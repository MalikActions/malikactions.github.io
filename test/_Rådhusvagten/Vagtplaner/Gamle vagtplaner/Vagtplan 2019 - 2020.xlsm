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threadedComments/threadedComment7.xml" ContentType="application/vnd.ms-excel.threaded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threadedComments/threadedComment8.xml" ContentType="application/vnd.ms-excel.threaded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threadedComments/threadedComment9.xml" ContentType="application/vnd.ms-excel.threadedcomments+xml"/>
  <Override PartName="/xl/comments12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omments1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524" codeName="{00000000-0000-0000-0000-000000000000}"/>
  <workbookPr codeName="Denne_projektmappe" defaultThemeVersion="166925"/>
  <mc:AlternateContent xmlns:mc="http://schemas.openxmlformats.org/markup-compatibility/2006">
    <mc:Choice Requires="x15">
      <x15ac:absPath xmlns:x15ac="http://schemas.microsoft.com/office/spreadsheetml/2010/11/ac" url="https://kksky.sharepoint.com/sites/ark-2371-raadhusservice/Delte dokumenter/Betjent/_Rådhusvagten/Vagtplaner/"/>
    </mc:Choice>
  </mc:AlternateContent>
  <xr:revisionPtr revIDLastSave="3149" documentId="113_{68409C7C-AA40-403B-8F1B-DD5206CE5F47}" xr6:coauthVersionLast="47" xr6:coauthVersionMax="47" xr10:uidLastSave="{ED25EBBA-EE2E-4F94-A0E1-1B8896E41495}"/>
  <bookViews>
    <workbookView xWindow="32040" yWindow="2205" windowWidth="21600" windowHeight="12735" tabRatio="744" firstSheet="8" activeTab="23" xr2:uid="{E44DADA7-1266-4FA3-A41A-DE5DCE1FB0CD}"/>
  </bookViews>
  <sheets>
    <sheet name="Marts 2020" sheetId="4" r:id="rId1"/>
    <sheet name="Ark14" sheetId="33" r:id="rId2"/>
    <sheet name="Ark13" sheetId="32" r:id="rId3"/>
    <sheet name="Ark12" sheetId="31" r:id="rId4"/>
    <sheet name="Ark9" sheetId="28" r:id="rId5"/>
    <sheet name="Ark8" sheetId="27" r:id="rId6"/>
    <sheet name="Maj 2019" sheetId="8" r:id="rId7"/>
    <sheet name="August 2019" sheetId="16" r:id="rId8"/>
    <sheet name="September 2019" sheetId="17" r:id="rId9"/>
    <sheet name="Februar 2020" sheetId="3" r:id="rId10"/>
    <sheet name="Ark10" sheetId="29" r:id="rId11"/>
    <sheet name="Oktober 2019" sheetId="18" r:id="rId12"/>
    <sheet name="November 2019" sheetId="19" r:id="rId13"/>
    <sheet name="December 2019" sheetId="1" r:id="rId14"/>
    <sheet name="Ark11" sheetId="30" r:id="rId15"/>
    <sheet name="Juli 2019" sheetId="15" r:id="rId16"/>
    <sheet name="Ark1" sheetId="20" r:id="rId17"/>
    <sheet name="Ark2" sheetId="21" r:id="rId18"/>
    <sheet name="Ark3" sheetId="22" r:id="rId19"/>
    <sheet name="Ark4" sheetId="23" r:id="rId20"/>
    <sheet name="April 2020" sheetId="5" r:id="rId21"/>
    <sheet name="Ark15" sheetId="34" r:id="rId22"/>
    <sheet name="Ark16" sheetId="35" r:id="rId23"/>
    <sheet name="Ark17" sheetId="36" r:id="rId24"/>
    <sheet name="Ark7" sheetId="26" r:id="rId25"/>
    <sheet name="Prisliste 2019" sheetId="7" r:id="rId26"/>
    <sheet name="Januar 2020" sheetId="2" r:id="rId27"/>
    <sheet name="Ark6" sheetId="25" r:id="rId28"/>
    <sheet name="Ark5" sheetId="24" r:id="rId29"/>
    <sheet name="Omvisere" sheetId="6" r:id="rId30"/>
    <sheet name="Nøgler GL" sheetId="10" r:id="rId31"/>
    <sheet name="Nøgler januar 2000" sheetId="11" r:id="rId32"/>
    <sheet name="Nøgler m lønkode" sheetId="12" r:id="rId33"/>
    <sheet name="Balanced 2010" sheetId="13" r:id="rId34"/>
    <sheet name="Juni 2019" sheetId="14" r:id="rId35"/>
    <sheet name="GRUSMUS 2019-2020" sheetId="9" r:id="rId36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93" i="12" l="1"/>
  <c r="I291" i="12"/>
  <c r="H277" i="12"/>
  <c r="G277" i="12"/>
  <c r="F277" i="12"/>
  <c r="E277" i="12"/>
  <c r="D277" i="12"/>
  <c r="C277" i="12"/>
  <c r="B277" i="12"/>
  <c r="I275" i="12"/>
  <c r="I272" i="12"/>
  <c r="I269" i="12"/>
  <c r="I266" i="12"/>
  <c r="I263" i="12"/>
  <c r="I260" i="12"/>
  <c r="I257" i="12"/>
  <c r="G249" i="12"/>
  <c r="H249" i="12" s="1"/>
  <c r="I249" i="12" s="1"/>
  <c r="H247" i="12"/>
  <c r="G247" i="12"/>
  <c r="F247" i="12"/>
  <c r="E247" i="12"/>
  <c r="D247" i="12"/>
  <c r="C247" i="12"/>
  <c r="B247" i="12"/>
  <c r="H238" i="12"/>
  <c r="G238" i="12"/>
  <c r="F238" i="12"/>
  <c r="E238" i="12"/>
  <c r="D238" i="12"/>
  <c r="C238" i="12"/>
  <c r="B238" i="12"/>
  <c r="I236" i="12"/>
  <c r="I233" i="12"/>
  <c r="I230" i="12"/>
  <c r="I227" i="12"/>
  <c r="I224" i="12"/>
  <c r="I221" i="12"/>
  <c r="H204" i="12"/>
  <c r="G204" i="12"/>
  <c r="F204" i="12"/>
  <c r="E204" i="12"/>
  <c r="D204" i="12"/>
  <c r="C204" i="12"/>
  <c r="B204" i="12"/>
  <c r="I202" i="12"/>
  <c r="I199" i="12"/>
  <c r="I196" i="12"/>
  <c r="H189" i="12"/>
  <c r="G189" i="12"/>
  <c r="F189" i="12"/>
  <c r="E189" i="12"/>
  <c r="D189" i="12"/>
  <c r="C189" i="12"/>
  <c r="B189" i="12"/>
  <c r="I187" i="12"/>
  <c r="I184" i="12"/>
  <c r="I169" i="12"/>
  <c r="G172" i="12" s="1"/>
  <c r="H172" i="12" s="1"/>
  <c r="I172" i="12" s="1"/>
  <c r="F163" i="12"/>
  <c r="E163" i="12"/>
  <c r="D163" i="12"/>
  <c r="C163" i="12"/>
  <c r="B163" i="12"/>
  <c r="I162" i="12"/>
  <c r="I157" i="12"/>
  <c r="H116" i="12"/>
  <c r="G116" i="12"/>
  <c r="F116" i="12"/>
  <c r="E116" i="12"/>
  <c r="D116" i="12"/>
  <c r="C116" i="12"/>
  <c r="B116" i="12"/>
  <c r="I115" i="12"/>
  <c r="I112" i="12"/>
  <c r="I109" i="12"/>
  <c r="I106" i="12"/>
  <c r="I103" i="12"/>
  <c r="I100" i="12"/>
  <c r="I97" i="12"/>
  <c r="I94" i="12"/>
  <c r="I91" i="12"/>
  <c r="I88" i="12"/>
  <c r="I85" i="12"/>
  <c r="I82" i="12"/>
  <c r="I79" i="12"/>
  <c r="I76" i="12"/>
  <c r="I73" i="12"/>
  <c r="H65" i="12"/>
  <c r="G65" i="12"/>
  <c r="F65" i="12"/>
  <c r="E65" i="12"/>
  <c r="D65" i="12"/>
  <c r="C65" i="12"/>
  <c r="B65" i="12"/>
  <c r="I63" i="12"/>
  <c r="I60" i="12"/>
  <c r="I57" i="12"/>
  <c r="H53" i="12"/>
  <c r="G53" i="12"/>
  <c r="F53" i="12"/>
  <c r="E53" i="12"/>
  <c r="D53" i="12"/>
  <c r="D287" i="12" s="1"/>
  <c r="D288" i="12" s="1"/>
  <c r="C53" i="12"/>
  <c r="B53" i="12"/>
  <c r="I51" i="12"/>
  <c r="I48" i="12"/>
  <c r="I45" i="12"/>
  <c r="I42" i="12"/>
  <c r="I39" i="12"/>
  <c r="I36" i="12"/>
  <c r="I11" i="12"/>
  <c r="G14" i="12" s="1"/>
  <c r="H14" i="12" s="1"/>
  <c r="I14" i="12" s="1"/>
  <c r="I4" i="12"/>
  <c r="G7" i="12" s="1"/>
  <c r="H7" i="12" s="1"/>
  <c r="I7" i="12" s="1"/>
  <c r="H265" i="11"/>
  <c r="G265" i="11"/>
  <c r="F265" i="11"/>
  <c r="E265" i="11"/>
  <c r="D265" i="11"/>
  <c r="C265" i="11"/>
  <c r="B265" i="11"/>
  <c r="I264" i="11"/>
  <c r="I262" i="11"/>
  <c r="I260" i="11"/>
  <c r="I258" i="11"/>
  <c r="I256" i="11"/>
  <c r="I254" i="11"/>
  <c r="I252" i="11"/>
  <c r="I250" i="11"/>
  <c r="I248" i="11"/>
  <c r="I246" i="11"/>
  <c r="I244" i="11"/>
  <c r="I242" i="11"/>
  <c r="I240" i="11"/>
  <c r="I238" i="11"/>
  <c r="I236" i="11"/>
  <c r="I225" i="11"/>
  <c r="I223" i="11"/>
  <c r="I224" i="11" s="1"/>
  <c r="H214" i="11"/>
  <c r="G214" i="11"/>
  <c r="F214" i="11"/>
  <c r="E214" i="11"/>
  <c r="D214" i="11"/>
  <c r="C214" i="11"/>
  <c r="B214" i="11"/>
  <c r="I213" i="11"/>
  <c r="I211" i="11"/>
  <c r="I209" i="11"/>
  <c r="H203" i="11"/>
  <c r="G203" i="11"/>
  <c r="F203" i="11"/>
  <c r="E203" i="11"/>
  <c r="D203" i="11"/>
  <c r="C203" i="11"/>
  <c r="B203" i="11"/>
  <c r="I202" i="11"/>
  <c r="I200" i="11"/>
  <c r="I198" i="11"/>
  <c r="I196" i="11"/>
  <c r="I194" i="11"/>
  <c r="N192" i="11" s="1"/>
  <c r="I192" i="11"/>
  <c r="N191" i="11" s="1"/>
  <c r="I190" i="11"/>
  <c r="N190" i="11" s="1"/>
  <c r="S187" i="11"/>
  <c r="H182" i="11"/>
  <c r="G182" i="11"/>
  <c r="F182" i="11"/>
  <c r="E182" i="11"/>
  <c r="D182" i="11"/>
  <c r="C182" i="11"/>
  <c r="B182" i="11"/>
  <c r="I181" i="11"/>
  <c r="N173" i="11"/>
  <c r="I173" i="11"/>
  <c r="N171" i="11" s="1"/>
  <c r="I171" i="11"/>
  <c r="I182" i="11" s="1"/>
  <c r="S166" i="11"/>
  <c r="H162" i="11"/>
  <c r="G162" i="11"/>
  <c r="F162" i="11"/>
  <c r="E162" i="11"/>
  <c r="D162" i="11"/>
  <c r="C162" i="11"/>
  <c r="B162" i="11"/>
  <c r="I161" i="11"/>
  <c r="I159" i="11"/>
  <c r="I157" i="11"/>
  <c r="I155" i="11"/>
  <c r="I153" i="11"/>
  <c r="I151" i="11"/>
  <c r="H144" i="11"/>
  <c r="G144" i="11"/>
  <c r="F144" i="11"/>
  <c r="E144" i="11"/>
  <c r="D144" i="11"/>
  <c r="C144" i="11"/>
  <c r="B144" i="11"/>
  <c r="I143" i="11"/>
  <c r="N142" i="11"/>
  <c r="I141" i="11"/>
  <c r="I139" i="11"/>
  <c r="H132" i="11"/>
  <c r="G132" i="11"/>
  <c r="F132" i="11"/>
  <c r="E132" i="11"/>
  <c r="D132" i="11"/>
  <c r="C132" i="11"/>
  <c r="B132" i="11"/>
  <c r="I131" i="11"/>
  <c r="N130" i="11" s="1"/>
  <c r="I129" i="11"/>
  <c r="S127" i="11"/>
  <c r="I123" i="11"/>
  <c r="G125" i="11" s="1"/>
  <c r="H125" i="11" s="1"/>
  <c r="I125" i="11" s="1"/>
  <c r="I117" i="11"/>
  <c r="I114" i="11"/>
  <c r="H107" i="11"/>
  <c r="G107" i="11"/>
  <c r="F107" i="11"/>
  <c r="E107" i="11"/>
  <c r="D107" i="11"/>
  <c r="C107" i="11"/>
  <c r="B107" i="11"/>
  <c r="I106" i="11"/>
  <c r="I104" i="11"/>
  <c r="I102" i="11"/>
  <c r="I100" i="11"/>
  <c r="I98" i="11"/>
  <c r="I96" i="11"/>
  <c r="I94" i="11"/>
  <c r="I92" i="11"/>
  <c r="I90" i="11"/>
  <c r="I88" i="11"/>
  <c r="I86" i="11"/>
  <c r="I84" i="11"/>
  <c r="I82" i="11"/>
  <c r="I80" i="11"/>
  <c r="I78" i="11"/>
  <c r="H70" i="11"/>
  <c r="G70" i="11"/>
  <c r="F70" i="11"/>
  <c r="E70" i="11"/>
  <c r="D70" i="11"/>
  <c r="C70" i="11"/>
  <c r="B70" i="11"/>
  <c r="I69" i="11"/>
  <c r="M66" i="11"/>
  <c r="I65" i="11"/>
  <c r="I63" i="11"/>
  <c r="N54" i="11" s="1"/>
  <c r="I61" i="11"/>
  <c r="N49" i="11" s="1"/>
  <c r="I59" i="11"/>
  <c r="N44" i="11" s="1"/>
  <c r="I57" i="11"/>
  <c r="N53" i="11" s="1"/>
  <c r="I55" i="11"/>
  <c r="N48" i="11" s="1"/>
  <c r="I53" i="11"/>
  <c r="N43" i="11" s="1"/>
  <c r="I51" i="11"/>
  <c r="N52" i="11" s="1"/>
  <c r="I49" i="11"/>
  <c r="N47" i="11" s="1"/>
  <c r="I47" i="11"/>
  <c r="N42" i="11" s="1"/>
  <c r="I45" i="11"/>
  <c r="N51" i="11" s="1"/>
  <c r="I43" i="11"/>
  <c r="N46" i="11" s="1"/>
  <c r="I41" i="11"/>
  <c r="N41" i="11" s="1"/>
  <c r="H34" i="11"/>
  <c r="G34" i="11"/>
  <c r="F34" i="11"/>
  <c r="E34" i="11"/>
  <c r="D34" i="11"/>
  <c r="C34" i="11"/>
  <c r="B34" i="11"/>
  <c r="M33" i="11"/>
  <c r="I33" i="11"/>
  <c r="I31" i="11"/>
  <c r="I29" i="11"/>
  <c r="H25" i="11"/>
  <c r="G25" i="11"/>
  <c r="F25" i="11"/>
  <c r="F220" i="11" s="1"/>
  <c r="F221" i="11" s="1"/>
  <c r="E25" i="11"/>
  <c r="D25" i="11"/>
  <c r="C25" i="11"/>
  <c r="C220" i="11" s="1"/>
  <c r="C221" i="11" s="1"/>
  <c r="B25" i="11"/>
  <c r="I24" i="11"/>
  <c r="I22" i="11"/>
  <c r="I20" i="11"/>
  <c r="N18" i="11" s="1"/>
  <c r="I18" i="11"/>
  <c r="I16" i="11"/>
  <c r="N16" i="11" s="1"/>
  <c r="I14" i="11"/>
  <c r="N15" i="11" s="1"/>
  <c r="I8" i="11"/>
  <c r="I4" i="11"/>
  <c r="G10" i="11" s="1"/>
  <c r="H10" i="11" s="1"/>
  <c r="I10" i="11" s="1"/>
  <c r="I155" i="10"/>
  <c r="I153" i="10"/>
  <c r="H144" i="10"/>
  <c r="G144" i="10"/>
  <c r="F144" i="10"/>
  <c r="E144" i="10"/>
  <c r="D144" i="10"/>
  <c r="C144" i="10"/>
  <c r="B144" i="10"/>
  <c r="I143" i="10"/>
  <c r="I141" i="10"/>
  <c r="I139" i="10"/>
  <c r="I137" i="10"/>
  <c r="I135" i="10"/>
  <c r="I127" i="10"/>
  <c r="I122" i="10"/>
  <c r="H117" i="10"/>
  <c r="G117" i="10"/>
  <c r="F117" i="10"/>
  <c r="E117" i="10"/>
  <c r="D117" i="10"/>
  <c r="C117" i="10"/>
  <c r="B117" i="10"/>
  <c r="I116" i="10"/>
  <c r="I114" i="10"/>
  <c r="I112" i="10"/>
  <c r="I107" i="10"/>
  <c r="I102" i="10"/>
  <c r="H98" i="10"/>
  <c r="G98" i="10"/>
  <c r="F98" i="10"/>
  <c r="E98" i="10"/>
  <c r="D98" i="10"/>
  <c r="C98" i="10"/>
  <c r="B98" i="10"/>
  <c r="I97" i="10"/>
  <c r="I95" i="10"/>
  <c r="I93" i="10"/>
  <c r="H89" i="10"/>
  <c r="G89" i="10"/>
  <c r="F89" i="10"/>
  <c r="E89" i="10"/>
  <c r="D89" i="10"/>
  <c r="C89" i="10"/>
  <c r="B89" i="10"/>
  <c r="I88" i="10"/>
  <c r="I86" i="10"/>
  <c r="I84" i="10"/>
  <c r="I82" i="10"/>
  <c r="I80" i="10"/>
  <c r="I78" i="10"/>
  <c r="H74" i="10"/>
  <c r="G74" i="10"/>
  <c r="F74" i="10"/>
  <c r="E74" i="10"/>
  <c r="D74" i="10"/>
  <c r="C74" i="10"/>
  <c r="B74" i="10"/>
  <c r="I73" i="10"/>
  <c r="I71" i="10"/>
  <c r="I69" i="10"/>
  <c r="H65" i="10"/>
  <c r="G65" i="10"/>
  <c r="F65" i="10"/>
  <c r="E65" i="10"/>
  <c r="D65" i="10"/>
  <c r="C65" i="10"/>
  <c r="B65" i="10"/>
  <c r="I64" i="10"/>
  <c r="I62" i="10"/>
  <c r="I60" i="10"/>
  <c r="I58" i="10"/>
  <c r="I56" i="10"/>
  <c r="I54" i="10"/>
  <c r="I52" i="10"/>
  <c r="I50" i="10"/>
  <c r="I48" i="10"/>
  <c r="I46" i="10"/>
  <c r="I44" i="10"/>
  <c r="I42" i="10"/>
  <c r="I40" i="10"/>
  <c r="I38" i="10"/>
  <c r="I36" i="10"/>
  <c r="H30" i="10"/>
  <c r="G30" i="10"/>
  <c r="F30" i="10"/>
  <c r="E30" i="10"/>
  <c r="D30" i="10"/>
  <c r="C30" i="10"/>
  <c r="B30" i="10"/>
  <c r="I29" i="10"/>
  <c r="I27" i="10"/>
  <c r="I25" i="10"/>
  <c r="I30" i="10" s="1"/>
  <c r="H20" i="10"/>
  <c r="G20" i="10"/>
  <c r="F20" i="10"/>
  <c r="F148" i="10" s="1"/>
  <c r="E20" i="10"/>
  <c r="D20" i="10"/>
  <c r="C20" i="10"/>
  <c r="B20" i="10"/>
  <c r="I19" i="10"/>
  <c r="I17" i="10"/>
  <c r="I15" i="10"/>
  <c r="I13" i="10"/>
  <c r="I11" i="10"/>
  <c r="I9" i="10"/>
  <c r="I4" i="10"/>
  <c r="I154" i="10"/>
  <c r="I156" i="10" s="1"/>
  <c r="I189" i="12"/>
  <c r="G191" i="12" s="1"/>
  <c r="H191" i="12" s="1"/>
  <c r="I191" i="12" s="1"/>
  <c r="I292" i="12"/>
  <c r="I294" i="12" s="1"/>
  <c r="H220" i="11"/>
  <c r="H221" i="11" s="1"/>
  <c r="Q129" i="11"/>
  <c r="O131" i="11" s="1"/>
  <c r="Q131" i="11" s="1"/>
  <c r="I20" i="10" l="1"/>
  <c r="I74" i="10"/>
  <c r="I98" i="10"/>
  <c r="I214" i="11"/>
  <c r="G216" i="11" s="1"/>
  <c r="H216" i="11" s="1"/>
  <c r="I216" i="11" s="1"/>
  <c r="H287" i="12"/>
  <c r="H288" i="12" s="1"/>
  <c r="I89" i="10"/>
  <c r="I132" i="11"/>
  <c r="G134" i="11" s="1"/>
  <c r="H134" i="11" s="1"/>
  <c r="I134" i="11" s="1"/>
  <c r="E148" i="10"/>
  <c r="E220" i="11"/>
  <c r="E221" i="11" s="1"/>
  <c r="I144" i="11"/>
  <c r="G146" i="11" s="1"/>
  <c r="H146" i="11" s="1"/>
  <c r="I146" i="11" s="1"/>
  <c r="E287" i="12"/>
  <c r="E288" i="12" s="1"/>
  <c r="I277" i="12"/>
  <c r="G279" i="12" s="1"/>
  <c r="H279" i="12" s="1"/>
  <c r="I279" i="12" s="1"/>
  <c r="B148" i="10"/>
  <c r="G148" i="10"/>
  <c r="F149" i="10" s="1"/>
  <c r="F150" i="10" s="1"/>
  <c r="H148" i="10"/>
  <c r="I65" i="10"/>
  <c r="C148" i="10"/>
  <c r="D148" i="10"/>
  <c r="I117" i="10"/>
  <c r="I144" i="10"/>
  <c r="I34" i="11"/>
  <c r="G220" i="11"/>
  <c r="G221" i="11" s="1"/>
  <c r="B220" i="11"/>
  <c r="B221" i="11" s="1"/>
  <c r="I107" i="11"/>
  <c r="G109" i="11" s="1"/>
  <c r="H109" i="11" s="1"/>
  <c r="I109" i="11" s="1"/>
  <c r="G119" i="11"/>
  <c r="H119" i="11" s="1"/>
  <c r="I119" i="11" s="1"/>
  <c r="D220" i="11"/>
  <c r="D221" i="11" s="1"/>
  <c r="I162" i="11"/>
  <c r="G164" i="11" s="1"/>
  <c r="H164" i="11" s="1"/>
  <c r="I164" i="11" s="1"/>
  <c r="I203" i="11"/>
  <c r="I265" i="11"/>
  <c r="G267" i="11" s="1"/>
  <c r="H267" i="11" s="1"/>
  <c r="I267" i="11" s="1"/>
  <c r="I53" i="12"/>
  <c r="I65" i="12"/>
  <c r="B287" i="12"/>
  <c r="B288" i="12" s="1"/>
  <c r="I116" i="12"/>
  <c r="G118" i="12" s="1"/>
  <c r="H118" i="12" s="1"/>
  <c r="I118" i="12" s="1"/>
  <c r="C287" i="12"/>
  <c r="C288" i="12" s="1"/>
  <c r="F287" i="12"/>
  <c r="F288" i="12" s="1"/>
  <c r="I204" i="12"/>
  <c r="G206" i="12" s="1"/>
  <c r="H206" i="12" s="1"/>
  <c r="I206" i="12" s="1"/>
  <c r="I238" i="12"/>
  <c r="G240" i="12" s="1"/>
  <c r="H240" i="12" s="1"/>
  <c r="I240" i="12" s="1"/>
  <c r="G287" i="12"/>
  <c r="G288" i="12" s="1"/>
  <c r="P203" i="11"/>
  <c r="G205" i="11"/>
  <c r="H205" i="11" s="1"/>
  <c r="I205" i="11" s="1"/>
  <c r="C149" i="10"/>
  <c r="C150" i="10" s="1"/>
  <c r="G149" i="10"/>
  <c r="G150" i="10" s="1"/>
  <c r="P182" i="11"/>
  <c r="G184" i="11"/>
  <c r="H184" i="11" s="1"/>
  <c r="I184" i="11" s="1"/>
  <c r="I163" i="12"/>
  <c r="G165" i="12" s="1"/>
  <c r="H165" i="12" s="1"/>
  <c r="I165" i="12" s="1"/>
  <c r="I25" i="11"/>
  <c r="I70" i="11"/>
  <c r="G72" i="11" s="1"/>
  <c r="H72" i="11" s="1"/>
  <c r="I72" i="11" s="1"/>
  <c r="N174" i="11"/>
  <c r="Q168" i="11" s="1"/>
  <c r="O170" i="11" s="1"/>
  <c r="Q170" i="11" s="1"/>
  <c r="O172" i="11" s="1"/>
  <c r="S172" i="11" s="1"/>
  <c r="S174" i="11" s="1"/>
  <c r="S182" i="11" s="1"/>
  <c r="I226" i="11"/>
  <c r="N56" i="11"/>
  <c r="O60" i="11" s="1"/>
  <c r="M62" i="11" s="1"/>
  <c r="P62" i="11" s="1"/>
  <c r="P64" i="11" s="1"/>
  <c r="P66" i="11" s="1"/>
  <c r="R66" i="11" s="1"/>
  <c r="O68" i="11" s="1"/>
  <c r="P68" i="11" s="1"/>
  <c r="N21" i="11"/>
  <c r="O25" i="11" s="1"/>
  <c r="M27" i="11" s="1"/>
  <c r="N195" i="11"/>
  <c r="Q189" i="11" s="1"/>
  <c r="O191" i="11" s="1"/>
  <c r="Q191" i="11" s="1"/>
  <c r="O193" i="11" s="1"/>
  <c r="S193" i="11" s="1"/>
  <c r="S195" i="11" s="1"/>
  <c r="S203" i="11" s="1"/>
  <c r="U203" i="11" s="1"/>
  <c r="U182" i="11" l="1"/>
  <c r="G67" i="12"/>
  <c r="H67" i="12" s="1"/>
  <c r="I67" i="12" s="1"/>
  <c r="I220" i="11"/>
  <c r="I221" i="11" s="1"/>
  <c r="I148" i="10"/>
  <c r="P27" i="11"/>
  <c r="H149" i="10"/>
  <c r="H150" i="10" s="1"/>
  <c r="E149" i="10"/>
  <c r="E150" i="10" s="1"/>
  <c r="B149" i="10"/>
  <c r="D149" i="10"/>
  <c r="D150" i="10" s="1"/>
  <c r="I287" i="12"/>
  <c r="I288" i="12" s="1"/>
  <c r="I297" i="12" s="1"/>
  <c r="M64" i="11"/>
  <c r="M35" i="11"/>
  <c r="G36" i="11"/>
  <c r="H36" i="11" s="1"/>
  <c r="I36" i="11" s="1"/>
  <c r="I229" i="11"/>
  <c r="J222" i="11"/>
  <c r="P29" i="11"/>
  <c r="P33" i="11" s="1"/>
  <c r="R33" i="11" s="1"/>
  <c r="O35" i="11" s="1"/>
  <c r="P35" i="11" s="1"/>
  <c r="M29" i="11"/>
  <c r="I149" i="10" l="1"/>
  <c r="B150" i="10"/>
  <c r="I150" i="10" s="1"/>
  <c r="I159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Steen Hertin</author>
    <author>Mathias Hartvig Morell Nielsen</author>
    <author>Michael Bo Pedersen</author>
    <author>Kim Holm Aabroe</author>
    <author>tc={DE4B5F8C-940C-4937-B78F-2AC558350B49}</author>
    <author>tc={2A6A9D20-1C89-4CD6-8026-6DE78A63CD77}</author>
    <author>Flemming Nielsen</author>
    <author>Thomas Holm</author>
    <author>Rasmus Sørensen</author>
    <author>marasm</author>
  </authors>
  <commentList>
    <comment ref="F20" authorId="0" shapeId="0" xr:uid="{269F1DD2-5AF3-4D5D-97ED-578257B4A2A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Kødbyen kl. 21.00</t>
        </r>
      </text>
    </comment>
    <comment ref="D22" authorId="0" shapeId="0" xr:uid="{E57CFDAB-6E16-4068-B202-389A8082DDE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E22" authorId="0" shapeId="0" xr:uid="{8A7E602D-DB9F-487E-9D06-D222668DD78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F22" authorId="0" shapeId="0" xr:uid="{643A2669-C019-4D01-ACDA-3EAFA182637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G22" authorId="0" shapeId="0" xr:uid="{771F1E56-74C6-4B56-9DF0-A83CD41F6C4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H22" authorId="0" shapeId="0" xr:uid="{27134E8F-47D4-49F2-A887-7EB39C1113D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K22" authorId="0" shapeId="0" xr:uid="{4EC97B8D-370C-4082-B1CB-84EDBFA9AB2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L22" authorId="0" shapeId="0" xr:uid="{9D5B42C7-EFD6-4091-A1D5-FEA3D24B730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M22" authorId="0" shapeId="0" xr:uid="{D46519D3-BA3A-404E-B024-4A13409378A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N22" authorId="0" shapeId="0" xr:uid="{8F4073FF-BC81-402C-88CE-EC1C8E95162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R22" authorId="0" shapeId="0" xr:uid="{9022435C-578C-47E4-9536-43C6FE830CB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D23" authorId="0" shapeId="0" xr:uid="{F08E3525-84EE-4104-869D-04023DF0311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E23" authorId="0" shapeId="0" xr:uid="{5BF27947-23E0-4F1A-825C-E7A9E82C348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F23" authorId="0" shapeId="0" xr:uid="{1F1914ED-1642-4243-9522-00F8EFBDB0C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G23" authorId="0" shapeId="0" xr:uid="{1713397A-74F3-4869-A175-C723BA9A650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H23" authorId="1" shapeId="0" xr:uid="{3673032D-8A23-4868-8EAF-D21827DC6C7E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Grus + GKL</t>
        </r>
      </text>
    </comment>
    <comment ref="R23" authorId="0" shapeId="0" xr:uid="{BE17ED9E-07A3-4A71-88E1-D71AACF3E7B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S23" authorId="0" shapeId="0" xr:uid="{92717AE6-84CB-485D-890C-FD8B1999E47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T23" authorId="0" shapeId="0" xr:uid="{52E851AE-9F0F-4318-A75A-EDE6E2868ED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U23" authorId="0" shapeId="0" xr:uid="{E94C354D-854F-49AF-A6F6-90836563272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V23" authorId="0" shapeId="0" xr:uid="{6782FC47-646D-45F2-B6DB-4C20595C2B1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Y25" authorId="0" shapeId="0" xr:uid="{41F639DB-58E3-4634-AA10-477815BA2A0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Bliver dækket af nødberedskabet</t>
        </r>
      </text>
    </comment>
    <comment ref="Z25" authorId="0" shapeId="0" xr:uid="{F5815610-1684-4C2A-9CEE-0256D7FCC4B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Bliver dækket af nødberedskabet</t>
        </r>
      </text>
    </comment>
    <comment ref="AA25" authorId="0" shapeId="0" xr:uid="{40C3290B-CCF9-4883-A4FD-A908735A612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Bliver dækket af nødberedskabet</t>
        </r>
      </text>
    </comment>
    <comment ref="AB25" authorId="0" shapeId="0" xr:uid="{3FE6B993-1CCC-4994-9405-B12FEC7485D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Bliver dækket af nødberedskabet</t>
        </r>
      </text>
    </comment>
    <comment ref="AC25" authorId="0" shapeId="0" xr:uid="{27616A18-C26E-44D6-9D98-F53E2B56DA4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Bliver dækket af nødberedskabet</t>
        </r>
      </text>
    </comment>
    <comment ref="AD25" authorId="0" shapeId="0" xr:uid="{1230F12E-4A02-453C-B245-9C517B1F369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Bliver dækket af nødberedskabet</t>
        </r>
      </text>
    </comment>
    <comment ref="AE25" authorId="0" shapeId="0" xr:uid="{DB027105-0729-430A-9159-44B731057F3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Bliver dækket af nødberedskabet</t>
        </r>
      </text>
    </comment>
    <comment ref="AE28" authorId="0" shapeId="0" xr:uid="{193C5F92-6BF9-421A-81AC-A40696AF05D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L37" authorId="0" shapeId="0" xr:uid="{A123DE8D-9CE2-4429-8531-98813ACE23D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Sundbyøsterhallen 15.00-23.00</t>
        </r>
      </text>
    </comment>
    <comment ref="AA50" authorId="0" shapeId="0" xr:uid="{E9CE5005-B3C4-40A4-A0F8-80DA09B8468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AB50" authorId="0" shapeId="0" xr:uid="{46968754-CA00-486C-B7FA-2833B67F9F1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AC50" authorId="0" shapeId="0" xr:uid="{B8038B12-FEFC-4BC1-B7D0-F0A5018A5C7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H61" authorId="1" shapeId="0" xr:uid="{D188FCAB-C1D5-4D87-BB29-D8AB8159F32D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Grus</t>
        </r>
      </text>
    </comment>
    <comment ref="U61" authorId="0" shapeId="0" xr:uid="{21F7BC35-DB49-4C57-B0D5-E19BDAE3402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V61" authorId="0" shapeId="0" xr:uid="{D6FAD9C8-CC2F-478C-AFE2-A9A1FB66738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W61" authorId="0" shapeId="0" xr:uid="{44719B84-A8C9-47B4-85A3-783440EC4B9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N63" authorId="2" shapeId="0" xr:uid="{8F044A37-8E50-4672-A2F2-73715FE81745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Sundbyøsterhallen
15.00-23.00</t>
        </r>
      </text>
    </comment>
    <comment ref="O63" authorId="0" shapeId="0" xr:uid="{FD4E6EF2-0B76-41AC-8C92-AC780615B1A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P63" authorId="0" shapeId="0" xr:uid="{E66EC2E6-96E3-4C7D-B13B-E2B10469B7D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Q63" authorId="0" shapeId="0" xr:uid="{ED2D4178-4216-475D-8C16-1C6C17FD528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W63" authorId="0" shapeId="0" xr:uid="{43A2617A-50CF-4FC8-932F-7998C6989DF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A2 på OA</t>
        </r>
      </text>
    </comment>
    <comment ref="D64" authorId="0" shapeId="0" xr:uid="{7E40E7A9-4530-4F8A-8271-D6D5DA8BD37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Mjølnerparken 09-15</t>
        </r>
      </text>
    </comment>
    <comment ref="L64" authorId="2" shapeId="0" xr:uid="{ADB3FD96-D950-4B14-B9FF-A5F09E8BC317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i1 vagt</t>
        </r>
      </text>
    </comment>
    <comment ref="G65" authorId="0" shapeId="0" xr:uid="{593674A2-E544-484B-8BD1-72F0CFEBB1B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26-vagt på oa</t>
        </r>
      </text>
    </comment>
    <comment ref="H65" authorId="1" shapeId="0" xr:uid="{3AF755F1-A9F5-478C-BC3F-B34326328D3A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Grus</t>
        </r>
      </text>
    </comment>
    <comment ref="Y65" authorId="0" shapeId="0" xr:uid="{DFABDA96-1585-4C6E-8DD7-A622DEE9014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Z65" authorId="0" shapeId="0" xr:uid="{5F9B9CEC-22D4-42F9-AC62-065307E2B92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AA65" authorId="0" shapeId="0" xr:uid="{ED770CF6-78E8-4FE4-BA82-B1CFA8C4BB6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AE65" authorId="0" shapeId="0" xr:uid="{27F3E98C-1D76-4525-8405-A642D0AAB5B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AF65" authorId="0" shapeId="0" xr:uid="{FD702648-7D0D-4D76-A381-CFDCCC1FBBA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AG65" authorId="0" shapeId="0" xr:uid="{C971344C-C499-4FD8-9E02-894A7B73DC8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H66" authorId="1" shapeId="0" xr:uid="{4C5E32AF-9A75-4E44-9CBA-E5111F15D44F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Grus</t>
        </r>
      </text>
    </comment>
    <comment ref="O66" authorId="0" shapeId="0" xr:uid="{56FAC686-A927-44F3-A2D6-48937DBF5D9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P66" authorId="0" shapeId="0" xr:uid="{124FB758-E5B2-45F9-8420-5CFE71B6193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G67" authorId="3" shapeId="0" xr:uid="{1A534DA0-612F-4FBE-A6BD-1FF6ED0A74FF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matthæusgade 1 oa</t>
        </r>
      </text>
    </comment>
    <comment ref="K67" authorId="4" shapeId="0" xr:uid="{DE4B5F8C-940C-4937-B78F-2AC558350B49}">
      <text>
        <t>[Threaded comment]
Your version of Excel allows you to read this threaded comment; however, any edits to it will get removed if the file is opened in a newer version of Excel. Learn more: https://go.microsoft.com/fwlink/?linkid=870924
Comment:
    Sundbyøsterhallen 1500-2300. på o/a</t>
      </text>
    </comment>
    <comment ref="W67" authorId="0" shapeId="0" xr:uid="{07E262E3-329C-4EA9-AA6A-D8463B932AF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 + Bavnehøjhallen 20.00-24.00</t>
        </r>
      </text>
    </comment>
    <comment ref="X67" authorId="0" shapeId="0" xr:uid="{CF3928CE-B607-4F19-87A4-8AAD3CB7A59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 + Bavnehøjhallen 20.00-24.00</t>
        </r>
      </text>
    </comment>
    <comment ref="K68" authorId="0" shapeId="0" xr:uid="{AF5487B5-07AE-4293-8FEF-146C0BD9685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Mjølnerparken</t>
        </r>
      </text>
    </comment>
    <comment ref="L68" authorId="0" shapeId="0" xr:uid="{6CC6C762-FCD4-40A8-8E12-455E590C448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08.00-12.00 genoptræning</t>
        </r>
      </text>
    </comment>
    <comment ref="M68" authorId="0" shapeId="0" xr:uid="{1CB166D4-0F92-47CE-8929-F958F6A3771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07.00.11.00 dækker i1 </t>
        </r>
      </text>
    </comment>
    <comment ref="N68" authorId="0" shapeId="0" xr:uid="{730B79F7-0A05-4A9F-BDE7-F5A95B6C2D3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08.00-12.00 genoptræning</t>
        </r>
      </text>
    </comment>
    <comment ref="O68" authorId="0" shapeId="0" xr:uid="{6854EBAD-2979-4983-90AE-1DC0AEF9E91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07.00.11.00 dækker i1 </t>
        </r>
      </text>
    </comment>
    <comment ref="R68" authorId="0" shapeId="0" xr:uid="{47474653-3A6A-4A39-A17A-9DE617A4ED6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Mjølnerparken</t>
        </r>
      </text>
    </comment>
    <comment ref="S68" authorId="0" shapeId="0" xr:uid="{358EA35B-1AAE-402C-954D-6CB39324322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08.00-12.00 genoptræning</t>
        </r>
      </text>
    </comment>
    <comment ref="T68" authorId="0" shapeId="0" xr:uid="{6C4699A5-8ADD-42A8-B557-1CD5CDF1A5A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08.00-12.00</t>
        </r>
      </text>
    </comment>
    <comment ref="U68" authorId="0" shapeId="0" xr:uid="{3663E6D1-1B86-4C53-ACAC-388F10639AC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08.00-12.00 genoptræning</t>
        </r>
      </text>
    </comment>
    <comment ref="V68" authorId="0" shapeId="0" xr:uid="{D3A2FF50-F0D2-46FE-8721-5D33A8FF041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08.00-12.00</t>
        </r>
      </text>
    </comment>
    <comment ref="Y68" authorId="0" shapeId="0" xr:uid="{4098B2FF-064A-4837-BB40-CE051528B54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Mjølnerparken</t>
        </r>
      </text>
    </comment>
    <comment ref="Z68" authorId="0" shapeId="0" xr:uid="{9BB8A154-26A2-4913-8CF0-197EED6CBCF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08.00-12.00 genoptræning</t>
        </r>
      </text>
    </comment>
    <comment ref="AA68" authorId="0" shapeId="0" xr:uid="{47F67A5C-97FC-4882-AB65-300D99DE350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08.00-12.00</t>
        </r>
      </text>
    </comment>
    <comment ref="AB68" authorId="0" shapeId="0" xr:uid="{556ECED1-3C5B-4484-BDB8-0365E6BEDCE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08.00-12.00 genoptræning</t>
        </r>
      </text>
    </comment>
    <comment ref="AC68" authorId="0" shapeId="0" xr:uid="{B2CDC2B2-EE21-4A1C-A25D-176835C6157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08.00-12.00</t>
        </r>
      </text>
    </comment>
    <comment ref="AF68" authorId="0" shapeId="0" xr:uid="{36D0C403-AD33-4C3D-A110-F63E8BADD3E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Mjølnerparken</t>
        </r>
      </text>
    </comment>
    <comment ref="AG68" authorId="0" shapeId="0" xr:uid="{E0CB005F-1200-4DF3-B663-0A281A8F5C8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08.00-12.00 genoptræning</t>
        </r>
      </text>
    </comment>
    <comment ref="AB69" authorId="0" shapeId="0" xr:uid="{4A51CF0C-0228-48C2-A96F-9E6A9CA85CA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F70" authorId="3" shapeId="0" xr:uid="{873EE09C-88C3-4AF6-93FC-F4667A2E89A8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26-vagt oa</t>
        </r>
      </text>
    </comment>
    <comment ref="L70" authorId="0" shapeId="0" xr:uid="{36C84F80-58E8-4934-B9D5-DAD0DFC4622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Dækker 4.vagten 14.30-17.30</t>
        </r>
      </text>
    </comment>
    <comment ref="S70" authorId="0" shapeId="0" xr:uid="{34FF127B-2E08-4EE0-ADD6-5C36CEDD779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T70" authorId="0" shapeId="0" xr:uid="{5F0C7CFA-BE17-4800-B417-A7C631337DA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AB70" authorId="0" shapeId="0" xr:uid="{D326AA56-E4A8-4382-B0B1-181C579454A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OA 16.00-23.00 Hjlæper 26_vagt, K2 + Kødbyen</t>
        </r>
      </text>
    </comment>
    <comment ref="AG70" authorId="0" shapeId="0" xr:uid="{57ECF290-FF67-4FF6-8C2A-B8D4C256C51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D71" authorId="3" shapeId="0" xr:uid="{04FCFF86-A75E-4C8C-9A1D-2CAE451B9BF1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mjølnerparken+ 26-vagt</t>
        </r>
      </text>
    </comment>
    <comment ref="E71" authorId="5" shapeId="0" xr:uid="{2A6A9D20-1C89-4CD6-8026-6DE78A63CD77}">
      <text>
        <t>[Threaded comment]
Your version of Excel allows you to read this threaded comment; however, any edits to it will get removed if the file is opened in a newer version of Excel. Learn more: https://go.microsoft.com/fwlink/?linkid=870924
Comment:
    26 vagt på o/a</t>
      </text>
    </comment>
    <comment ref="R71" authorId="0" shapeId="0" xr:uid="{7DA4115F-6E7B-40E7-8690-C9A45F95193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S71" authorId="0" shapeId="0" xr:uid="{450BB22F-6DBB-4959-B004-E1DD1E33D34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T71" authorId="0" shapeId="0" xr:uid="{94507978-D2CD-47ED-8A1D-9ADD19CCDF7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 + Bavnehøjhallen 20.00-24.00</t>
        </r>
      </text>
    </comment>
    <comment ref="AB71" authorId="0" shapeId="0" xr:uid="{BE7F0608-CEF6-4376-A9D4-CDA549546B9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AD71" authorId="0" shapeId="0" xr:uid="{206C120A-1352-445E-A83B-76361604FAF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AE71" authorId="0" shapeId="0" xr:uid="{F294C09E-0AFB-4CA4-B080-E03C681736C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R72" authorId="6" shapeId="0" xr:uid="{5FCF1B5C-ED91-4A41-94CE-C35178D4D1F4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OA Kødbyen</t>
        </r>
      </text>
    </comment>
    <comment ref="U73" authorId="0" shapeId="0" xr:uid="{860A05B3-AEB3-452C-9DDC-0F14D7311B9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 + Bavnehøjhallen 20.00-24.00</t>
        </r>
      </text>
    </comment>
    <comment ref="V73" authorId="0" shapeId="0" xr:uid="{2AC022F5-A71E-41D6-A62C-8381CDAA662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 + Bavnehøjhallen 20.00-24.00</t>
        </r>
      </text>
    </comment>
    <comment ref="Y73" authorId="0" shapeId="0" xr:uid="{2E996D1C-A176-43B0-A541-2F2B772D9E5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Z73" authorId="0" shapeId="0" xr:uid="{45D08AAA-18A2-42FC-A657-D641586B4D6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AA73" authorId="0" shapeId="0" xr:uid="{8D43DE31-D81C-48DD-80B2-EC6D06A277A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D79" authorId="6" shapeId="0" xr:uid="{2AF5BFCF-5F95-4257-B4F1-B39C0CD0CBF2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E79" authorId="6" shapeId="0" xr:uid="{FEB26EDA-D89D-4F2F-A729-56C9DA5ADEA6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F79" authorId="6" shapeId="0" xr:uid="{8D4ED9F5-4AA1-49BE-9C89-0942A513C6A9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G79" authorId="6" shapeId="0" xr:uid="{88BEEC68-A32F-4A80-9851-BDCBB6289ED5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H79" authorId="6" shapeId="0" xr:uid="{A4769A35-F5B9-4097-8731-10D9FD7289F8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K79" authorId="6" shapeId="0" xr:uid="{467895F9-7CE9-4E4A-8F86-72B67A2F7F28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L79" authorId="6" shapeId="0" xr:uid="{041872A9-775D-4E2D-BEAC-CF036898A989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M79" authorId="6" shapeId="0" xr:uid="{83788F6C-FDDC-4242-AB41-F06882DF03C5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N79" authorId="6" shapeId="0" xr:uid="{76A587B4-8F30-4640-9E1A-F849FE47EE0D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O79" authorId="6" shapeId="0" xr:uid="{2A0E60A2-2E4B-4027-A872-EB13027EF031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R79" authorId="6" shapeId="0" xr:uid="{8D1A9E5E-911D-4868-847B-23BE04EC2789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S79" authorId="6" shapeId="0" xr:uid="{90238AF4-98D3-4E8E-A0A1-8D954FA61E97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T79" authorId="6" shapeId="0" xr:uid="{CA871716-9CCA-4296-8775-3BA1600B613F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U79" authorId="6" shapeId="0" xr:uid="{8253589D-F0D3-4341-BEF1-66762739912A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V79" authorId="6" shapeId="0" xr:uid="{B1E92AAD-A455-4387-AC22-AEC149445F00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Y79" authorId="6" shapeId="0" xr:uid="{BAB8E98E-2E5C-425C-AD4B-D2061CC5B28B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Z79" authorId="6" shapeId="0" xr:uid="{D532F693-2779-499E-B065-B65801CB5459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AA79" authorId="6" shapeId="0" xr:uid="{F39C6E8B-6064-416E-94A8-A973330CD393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AB79" authorId="6" shapeId="0" xr:uid="{F0CAA1E3-0456-4B8C-837F-9A339DF2FE23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AC79" authorId="6" shapeId="0" xr:uid="{DDB033D1-399B-4FD5-A866-4E2D33B618A8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AF79" authorId="6" shapeId="0" xr:uid="{0ABE5BD5-F5DF-4858-849F-3DE39806976C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AG79" authorId="6" shapeId="0" xr:uid="{4AB588A7-E15E-4A87-911B-B72A00AEF275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AB80" authorId="0" shapeId="0" xr:uid="{83117E0A-4D0A-4026-AA56-4423321D18E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AC80" authorId="0" shapeId="0" xr:uid="{23358F34-D1F6-4C77-9D13-610BF938CF3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AF89" authorId="6" shapeId="0" xr:uid="{C71E0561-B087-40C7-951F-A2B279B1F7A7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AG89" authorId="6" shapeId="0" xr:uid="{869B821D-4596-4965-B50B-C45E0A6AE6B6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Rundviserne</t>
        </r>
      </text>
    </comment>
    <comment ref="D101" authorId="7" shapeId="0" xr:uid="{45BC3D84-BC84-46CA-809B-C3DAA6DC7A0D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13.30 Svendborggade</t>
        </r>
      </text>
    </comment>
    <comment ref="H101" authorId="1" shapeId="0" xr:uid="{5CE9C786-A5AC-49CE-9D7F-D3F9EE26FE48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Grus</t>
        </r>
      </text>
    </comment>
    <comment ref="K101" authorId="0" shapeId="0" xr:uid="{4DF85C8E-CD9B-40DF-876D-A3113D22080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Hjemløseenheden på OA.</t>
        </r>
      </text>
    </comment>
    <comment ref="X101" authorId="0" shapeId="0" xr:uid="{80DB8E3D-6959-4AE0-8702-D6DA14EAEE7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Y101" authorId="0" shapeId="0" xr:uid="{892439CB-96BC-4B3F-A25F-111E1715724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Z101" authorId="0" shapeId="0" xr:uid="{F1E58231-C14F-42E1-BC82-E3E917F767C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C102" authorId="8" shapeId="0" xr:uid="{E8D8995D-6C6E-46EA-902A-1558639C407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Bellahøjhallen 
14:30-23:30</t>
        </r>
      </text>
    </comment>
    <comment ref="H102" authorId="1" shapeId="0" xr:uid="{4EFAA4B7-0511-4573-92D3-5BADA1B082C5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Grus</t>
        </r>
      </text>
    </comment>
    <comment ref="Q102" authorId="0" shapeId="0" xr:uid="{EFA9690C-24A4-49D1-B44F-9A826E38BC1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H122" authorId="3" shapeId="0" xr:uid="{87C4DB56-5DFC-4DE5-9B0E-B031A5B1BB2F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6-vagt oa</t>
        </r>
      </text>
    </comment>
    <comment ref="K122" authorId="0" shapeId="0" xr:uid="{D2AAA898-EEFF-4F55-94C7-B8077C2C0B4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L122" authorId="0" shapeId="0" xr:uid="{F19B783B-EC2F-437E-8D96-B7FB5D98BB9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M122" authorId="0" shapeId="0" xr:uid="{C5DEA8B9-A02B-4015-ABAA-4AAFE54DC74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N122" authorId="0" shapeId="0" xr:uid="{188047D0-8186-482A-9A7E-A58C2E77F85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I124" authorId="0" shapeId="0" xr:uid="{9AFF9F74-7CF1-40F2-BACB-403F9A59AAF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Sundbyøster hallen 15.00-23.00</t>
        </r>
      </text>
    </comment>
    <comment ref="J124" authorId="0" shapeId="0" xr:uid="{7CAE4792-DC8B-4169-A493-ECC3046A07A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Sundbyøster hallen 15.00-23.00</t>
        </r>
      </text>
    </comment>
    <comment ref="M136" authorId="3" shapeId="0" xr:uid="{CAE52A21-2D72-4D67-855B-4F613151773B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sundbyøsterhallen.
Møder kl.14.00 på rådhuset</t>
        </r>
      </text>
    </comment>
    <comment ref="D176" authorId="0" shapeId="0" xr:uid="{1989FB1E-49AC-479C-AB73-2088D7B2C7D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intern flex
</t>
        </r>
      </text>
    </comment>
    <comment ref="R176" authorId="0" shapeId="0" xr:uid="{4722027E-AC7D-467E-A648-C9D83D095D9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9-vagt</t>
        </r>
      </text>
    </comment>
    <comment ref="AD177" authorId="0" shapeId="0" xr:uid="{93D7989B-3533-4169-BA53-B582D4F5E7B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AE177" authorId="0" shapeId="0" xr:uid="{B59B366C-7FD8-468C-9A5F-A09A64E2CA1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AF177" authorId="0" shapeId="0" xr:uid="{2EA297E2-ECAF-4309-8A58-3C9A64E8CF1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C180" authorId="0" shapeId="0" xr:uid="{8AC5219D-5A2C-435A-9AB8-ACDBA937E2C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Ryparken 15.00-23.30</t>
        </r>
      </text>
    </comment>
    <comment ref="R180" authorId="0" shapeId="0" xr:uid="{2A4BA66C-9698-4782-BFC5-69E6CF95C54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Lukket ned</t>
        </r>
      </text>
    </comment>
    <comment ref="S180" authorId="0" shapeId="0" xr:uid="{585545A2-57C3-4367-BA97-538E2D0E7E4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Lukket ned</t>
        </r>
      </text>
    </comment>
    <comment ref="T180" authorId="0" shapeId="0" xr:uid="{84A967B7-6CA8-4201-96F6-A229AD46BC4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Lukket ned</t>
        </r>
      </text>
    </comment>
    <comment ref="U180" authorId="0" shapeId="0" xr:uid="{F2798717-77F6-419D-8295-41044FAB61E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Lukket ned</t>
        </r>
      </text>
    </comment>
    <comment ref="V180" authorId="0" shapeId="0" xr:uid="{B6F92BA5-9FF7-4247-B16C-343EE36C6D1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Lukket ned</t>
        </r>
      </text>
    </comment>
    <comment ref="Y180" authorId="0" shapeId="0" xr:uid="{B7C8E4EB-47CF-4BA3-A12F-FE4D5EE1AB7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Z180" authorId="0" shapeId="0" xr:uid="{8EB364AF-4308-4AC5-9E20-99C893D21DB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AA180" authorId="0" shapeId="0" xr:uid="{C97EAC2A-1ECF-44AB-B391-A96B43B83EF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AB180" authorId="0" shapeId="0" xr:uid="{C573D3CE-95D4-4AE7-A85B-EA43EBD0DA3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Lukket ned</t>
        </r>
      </text>
    </comment>
    <comment ref="AC180" authorId="0" shapeId="0" xr:uid="{E72813A7-7DE8-4B26-BA48-2FD566EF763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Lukket ned</t>
        </r>
      </text>
    </comment>
    <comment ref="AF180" authorId="0" shapeId="0" xr:uid="{7DBA0B3C-031C-4171-AF67-7B8D3EE8A87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Lukket ned</t>
        </r>
      </text>
    </comment>
    <comment ref="AG180" authorId="0" shapeId="0" xr:uid="{A5CC1375-6D84-4221-9A5F-C397BD92BF3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Lukket ned</t>
        </r>
      </text>
    </comment>
    <comment ref="R181" authorId="0" shapeId="0" xr:uid="{AE6A8508-7DA2-4134-8198-A76D1D80560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Lukket ned</t>
        </r>
      </text>
    </comment>
    <comment ref="S181" authorId="0" shapeId="0" xr:uid="{2ED5F998-9241-44EE-B1F7-040BF69B501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Lukket ned</t>
        </r>
      </text>
    </comment>
    <comment ref="T181" authorId="0" shapeId="0" xr:uid="{580252A6-C429-44DE-A01E-DD0101C1B33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Lukket ned</t>
        </r>
      </text>
    </comment>
    <comment ref="U181" authorId="0" shapeId="0" xr:uid="{33487C12-2784-48F4-B4E1-4F2688BA01C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Lukket ned</t>
        </r>
      </text>
    </comment>
    <comment ref="Y181" authorId="0" shapeId="0" xr:uid="{8E61B42E-6228-4CEF-BEA9-0F9E6D17B7D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Lukket ned</t>
        </r>
      </text>
    </comment>
    <comment ref="Z181" authorId="0" shapeId="0" xr:uid="{A1889D4B-1EE7-4D21-9DCA-401976B73D7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Lukket ned</t>
        </r>
      </text>
    </comment>
    <comment ref="AA181" authorId="0" shapeId="0" xr:uid="{20D3C796-BFD2-42FC-839D-1869F41AF3B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Lukket ned</t>
        </r>
      </text>
    </comment>
    <comment ref="AB181" authorId="0" shapeId="0" xr:uid="{DEBB99E9-20FF-4F9A-9E8C-3933711E4C3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Lukket ned</t>
        </r>
      </text>
    </comment>
    <comment ref="AC181" authorId="0" shapeId="0" xr:uid="{26EAB8E0-43FC-4957-A501-E4CA59251B1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Lukke håndværkere ind Valdemarsgade</t>
        </r>
      </text>
    </comment>
    <comment ref="AF181" authorId="0" shapeId="0" xr:uid="{08D9F910-F561-46A1-BF0E-2038770373F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Lukke håndværkere ind Valdemarsgade</t>
        </r>
      </text>
    </comment>
    <comment ref="AG181" authorId="0" shapeId="0" xr:uid="{0234CE41-EEEB-43B5-A41A-7491C81D864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Lukke håndværkere ind Valdemarsgade</t>
        </r>
      </text>
    </comment>
    <comment ref="R184" authorId="0" shapeId="0" xr:uid="{E2913F5C-4894-4158-8CCB-695F03A015A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Lukket ned</t>
        </r>
      </text>
    </comment>
    <comment ref="S184" authorId="0" shapeId="0" xr:uid="{EE801FFA-3A6F-4E80-BB59-8C2897F1F2C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Lukket ned</t>
        </r>
      </text>
    </comment>
    <comment ref="T184" authorId="0" shapeId="0" xr:uid="{8F7FD9D9-47F9-49EE-AB26-AA7EC5D5D4C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Lukket ned</t>
        </r>
      </text>
    </comment>
    <comment ref="U184" authorId="0" shapeId="0" xr:uid="{57A260AC-7471-4146-9DDD-25EA91D1599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Lukket ned</t>
        </r>
      </text>
    </comment>
    <comment ref="V184" authorId="0" shapeId="0" xr:uid="{6A290FE0-4D65-4B34-A6CD-E1E66B180FF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Lukket ned</t>
        </r>
      </text>
    </comment>
    <comment ref="Y184" authorId="0" shapeId="0" xr:uid="{5C3DF716-F30D-4EFF-8D29-54DD916CCD6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Lukket ned</t>
        </r>
      </text>
    </comment>
    <comment ref="Z184" authorId="0" shapeId="0" xr:uid="{611EBC64-3C02-460F-92CE-F9955B5881B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Lukket ned</t>
        </r>
      </text>
    </comment>
    <comment ref="AA184" authorId="0" shapeId="0" xr:uid="{CEC590C9-6F44-4F53-BC1D-CB385229621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Lukket ned</t>
        </r>
      </text>
    </comment>
    <comment ref="AB184" authorId="0" shapeId="0" xr:uid="{97241645-7713-462E-BFA7-41821C059B4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Lukket ned</t>
        </r>
      </text>
    </comment>
    <comment ref="AC184" authorId="0" shapeId="0" xr:uid="{FCD5D443-65DD-43E1-A551-7302F62ED0A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arbejde</t>
        </r>
      </text>
    </comment>
    <comment ref="AF184" authorId="0" shapeId="0" xr:uid="{2E9EC62A-7EFF-416D-9F73-3324B106B8A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arbejde</t>
        </r>
      </text>
    </comment>
    <comment ref="AG184" authorId="0" shapeId="0" xr:uid="{F3CE5C07-5C05-4CC3-B425-136D292398E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arbejde</t>
        </r>
      </text>
    </comment>
    <comment ref="D186" authorId="0" shapeId="0" xr:uid="{10A7722D-0473-455D-8C56-1BAFA4DD791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Går kl. 13.30 </t>
        </r>
      </text>
    </comment>
    <comment ref="R187" authorId="0" shapeId="0" xr:uid="{CF5A906A-4ED4-4837-ADDC-BB0A7495B8B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lukket ned</t>
        </r>
      </text>
    </comment>
    <comment ref="Y187" authorId="0" shapeId="0" xr:uid="{9E27FDCD-F08F-48FF-93B7-AABDEFE9557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lukket ned</t>
        </r>
      </text>
    </comment>
    <comment ref="Z187" authorId="0" shapeId="0" xr:uid="{20180F1B-0EB2-41D4-9882-140B8287A7C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lukket ned</t>
        </r>
      </text>
    </comment>
    <comment ref="AA187" authorId="0" shapeId="0" xr:uid="{E290DA9F-C3CF-47E5-B896-D9652A8EBCC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lukket ned</t>
        </r>
      </text>
    </comment>
    <comment ref="AB187" authorId="0" shapeId="0" xr:uid="{CA096B7D-D6BA-413F-9B9A-3E95391EC0E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lukket ned</t>
        </r>
      </text>
    </comment>
    <comment ref="AC187" authorId="0" shapeId="0" xr:uid="{6F58C26F-C07A-4409-A031-E184D57D703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lukket ned</t>
        </r>
      </text>
    </comment>
    <comment ref="AB188" authorId="0" shapeId="0" xr:uid="{EB0B9945-6BE6-4921-93A9-D54556FFD8C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AC188" authorId="0" shapeId="0" xr:uid="{5C2C64A0-1685-41F8-A36C-315D503E6C6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AD188" authorId="0" shapeId="0" xr:uid="{AD73C8BA-92C5-4929-8F06-33D24864AFE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AF189" authorId="0" shapeId="0" xr:uid="{58F43C02-647A-496C-947A-8D521395802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Lukket ned</t>
        </r>
      </text>
    </comment>
    <comment ref="AG189" authorId="0" shapeId="0" xr:uid="{BD7E9B1C-4FB7-4396-9A7B-0119820E31A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Lukket ned</t>
        </r>
      </text>
    </comment>
    <comment ref="G212" authorId="9" shapeId="0" xr:uid="{A393D652-5747-4786-9F78-3EA965AF5CF0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afs - 11,45-14,45</t>
        </r>
      </text>
    </comment>
    <comment ref="Y215" authorId="0" shapeId="0" xr:uid="{7F5D45EA-A09D-417D-91AF-63DED727A98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Z215" authorId="0" shapeId="0" xr:uid="{9F212AE8-EC85-4917-B744-445EBC0A365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AA215" authorId="0" shapeId="0" xr:uid="{06699CB7-8EF9-454D-8815-7B2BD021232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AF256" authorId="0" shapeId="0" xr:uid="{D5233E86-5EF8-414B-B48B-2048DF87CAF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AG256" authorId="0" shapeId="0" xr:uid="{693A97BF-D80C-4392-B3A5-7A8EE26F70E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G285" authorId="9" shapeId="0" xr:uid="{449FF5CD-2C6C-4A98-A987-37F323DB5FA5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- 4 timer afs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Steen Hertin</author>
    <author>marasm</author>
    <author>Thomas Holm</author>
    <author>Michael Bo Pedersen</author>
    <author>Rasmus Sørensen</author>
    <author>Kim Holm Aabroe</author>
    <author>Bo Volfing Jacobsen</author>
    <author>Flemming Nielsen</author>
    <author>Kim BT. Pedersen</author>
  </authors>
  <commentList>
    <comment ref="Q12" authorId="0" shapeId="0" xr:uid="{1A0AEB04-CBA2-4CC3-BAEA-16915BEBCD1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GRUS</t>
        </r>
      </text>
    </comment>
    <comment ref="AB12" authorId="1" shapeId="0" xr:uid="{18AC50C6-FF6C-40E8-8D65-F19683A95DE0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AC12" authorId="1" shapeId="0" xr:uid="{0BC8BAD4-D1C7-456F-9613-9FDA9F3B0828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AA14" authorId="1" shapeId="0" xr:uid="{527C568C-69DA-4938-8908-85EC68EB88C8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Valg Sted</t>
        </r>
      </text>
    </comment>
    <comment ref="AB14" authorId="1" shapeId="0" xr:uid="{0BB59304-8B38-499D-85FB-F6A55F9BAC63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Valg sted</t>
        </r>
      </text>
    </comment>
    <comment ref="AC14" authorId="1" shapeId="0" xr:uid="{A5C1C92A-1214-44FF-A063-F61430194AF4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V17" authorId="2" shapeId="0" xr:uid="{247C05F8-819F-473A-A4CE-B947596BF8B8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Førstehjælp
</t>
        </r>
      </text>
    </comment>
    <comment ref="AC17" authorId="1" shapeId="0" xr:uid="{6CC04805-7C2C-43C0-A0BA-88AD4350BAF1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E18" authorId="3" shapeId="0" xr:uid="{4C31BCC5-01CB-4C1B-9F45-BBF25A181AD5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MUS+GRUS</t>
        </r>
      </text>
    </comment>
    <comment ref="R20" authorId="4" shapeId="0" xr:uid="{47C2C665-18A7-49AD-B763-338772553E6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Omlagt Tjeneste 21-04
Brikker</t>
        </r>
      </text>
    </comment>
    <comment ref="V20" authorId="5" shapeId="0" xr:uid="{427E701C-DAEA-4F3A-9641-322EFC77C7FB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arrangement 14.30</t>
        </r>
      </text>
    </comment>
    <comment ref="AB20" authorId="1" shapeId="0" xr:uid="{0F3011C4-B6E9-4643-AEAD-95A5EC1A62D9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Valg Sted</t>
        </r>
      </text>
    </comment>
    <comment ref="AC20" authorId="1" shapeId="0" xr:uid="{14AD71F2-9A51-4981-A108-B4F584AFB6F9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E21" authorId="0" shapeId="0" xr:uid="{C79D6788-9DF8-474C-9065-305C2A0BD92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4-vagt på oa</t>
        </r>
      </text>
    </comment>
    <comment ref="Q21" authorId="0" shapeId="0" xr:uid="{F67C738C-2FC5-4F00-B67E-880BA8750EC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GRUS</t>
        </r>
      </text>
    </comment>
    <comment ref="V21" authorId="0" shapeId="0" xr:uid="{C8D33FFC-13DF-4987-9DC2-C59E775C5636}">
      <text>
        <r>
          <rPr>
            <b/>
            <sz val="9"/>
            <color indexed="81"/>
            <rFont val="Tahoma"/>
            <family val="2"/>
          </rPr>
          <t>Steen Hertin
AFSP fra 08.00-11.00</t>
        </r>
      </text>
    </comment>
    <comment ref="Z21" authorId="0" shapeId="0" xr:uid="{849E6F0E-FEA6-4734-9609-23D12EA4FBE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Islands brygge 37+ Brønshøjvej</t>
        </r>
      </text>
    </comment>
    <comment ref="AB21" authorId="1" shapeId="0" xr:uid="{D0C73BBE-9338-4C60-891F-79DD98FA9E0C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AC21" authorId="1" shapeId="0" xr:uid="{A03EA1D4-12CE-400C-8F38-D524D9F93A58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Z22" authorId="0" shapeId="0" xr:uid="{83522282-0F2C-4DCE-B4BA-5C20D3FB46A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Islands brygge 37+ Brønshøjvej</t>
        </r>
      </text>
    </comment>
    <comment ref="AA22" authorId="1" shapeId="0" xr:uid="{C2916BC5-175A-4B76-BA86-8748A9DBAA54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Valg sted</t>
        </r>
      </text>
    </comment>
    <comment ref="AB22" authorId="1" shapeId="0" xr:uid="{33021A6B-68E4-4184-A01B-ADA532EB7515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Valg sted</t>
        </r>
      </text>
    </comment>
    <comment ref="AC22" authorId="1" shapeId="0" xr:uid="{849E2AB9-46A1-47B7-835A-0A966C2CE6F3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AA37" authorId="1" shapeId="0" xr:uid="{4573B3D7-2D58-4315-AB1D-D7195A474FDF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Valg Sted</t>
        </r>
      </text>
    </comment>
    <comment ref="AB37" authorId="1" shapeId="0" xr:uid="{E910A6C7-864A-4BBF-AF6A-272013B6A8D7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Valg Sted</t>
        </r>
      </text>
    </comment>
    <comment ref="AC37" authorId="1" shapeId="0" xr:uid="{BFBE5877-4D1A-4F8F-9A53-5F059D1CA4AC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K38" authorId="0" shapeId="0" xr:uid="{DAF1BE22-746A-405D-B397-426ED541C8A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Går kl. 11</t>
        </r>
      </text>
    </comment>
    <comment ref="AC41" authorId="1" shapeId="0" xr:uid="{D7F512DC-7D56-4A40-83DC-78E09230CE50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Vagthavende oa</t>
        </r>
      </text>
    </comment>
    <comment ref="AC45" authorId="6" shapeId="0" xr:uid="{472A07B8-A351-4441-BA78-3C945B335FD8}">
      <text>
        <r>
          <rPr>
            <b/>
            <sz val="9"/>
            <color indexed="81"/>
            <rFont val="Tahoma"/>
            <family val="2"/>
          </rPr>
          <t>Bo Volfing Jacobsen:</t>
        </r>
        <r>
          <rPr>
            <sz val="9"/>
            <color indexed="81"/>
            <rFont val="Tahoma"/>
            <family val="2"/>
          </rPr>
          <t xml:space="preserve">
7 vagt på OA.</t>
        </r>
      </text>
    </comment>
    <comment ref="E49" authorId="3" shapeId="0" xr:uid="{85B34A8E-B878-4F6A-8150-721215C744FD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MUS+GRUS</t>
        </r>
      </text>
    </comment>
    <comment ref="E50" authorId="3" shapeId="0" xr:uid="{23B7C15A-F62C-449B-914A-C00BB1C90A1F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MUS+GRUS</t>
        </r>
      </text>
    </comment>
    <comment ref="E51" authorId="3" shapeId="0" xr:uid="{2AD6E19B-94A7-4EF8-92DB-E174B3B13990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MUS+GRUS</t>
        </r>
      </text>
    </comment>
    <comment ref="P61" authorId="2" shapeId="0" xr:uid="{C229449B-0671-4BFC-B190-CAD1D247E964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Kjeld</t>
        </r>
      </text>
    </comment>
    <comment ref="Q61" authorId="2" shapeId="0" xr:uid="{75D02412-47BA-4361-83F0-E56CF729C7CF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Kjeld</t>
        </r>
      </text>
    </comment>
    <comment ref="R61" authorId="2" shapeId="0" xr:uid="{E34E0B2C-1A48-484F-85D4-1262F720452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Kjeld</t>
        </r>
      </text>
    </comment>
    <comment ref="V61" authorId="2" shapeId="0" xr:uid="{AFD43DE2-5BA9-4874-93B8-F3520C0735D4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Førstehjælp
08.00-13.00</t>
        </r>
      </text>
    </comment>
    <comment ref="W61" authorId="0" shapeId="0" xr:uid="{3F0B2A57-A620-4DA4-BEC2-9CEA765A0A7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Oplæring vagthavende</t>
        </r>
      </text>
    </comment>
    <comment ref="X61" authorId="0" shapeId="0" xr:uid="{94F9151D-AC3E-43E0-ADC8-04A3B46D469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Oplæring vagthavende</t>
        </r>
      </text>
    </comment>
    <comment ref="AC61" authorId="0" shapeId="0" xr:uid="{0EAB16B0-3B65-4BCD-ACFD-2A8BFC8BD38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Mjølnerparken på OA.</t>
        </r>
      </text>
    </comment>
    <comment ref="H63" authorId="3" shapeId="0" xr:uid="{D6BFBF6A-1D98-4E57-AB33-3713BBA790B8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Mjølnerparken til 15.00</t>
        </r>
      </text>
    </comment>
    <comment ref="K63" authorId="0" shapeId="0" xr:uid="{B9479145-6651-4DC0-8D2F-37B6C7E286A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Lyongade vagt til møde kl. 09-10</t>
        </r>
      </text>
    </comment>
    <comment ref="L63" authorId="3" shapeId="0" xr:uid="{B87B0D50-7C45-4064-91BE-AAE3C05E8E50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Møder 8-14 dækker 69
sammen med Camilla</t>
        </r>
      </text>
    </comment>
    <comment ref="V63" authorId="0" shapeId="0" xr:uid="{056D6912-107C-41E1-8F66-C50DFBCEFC9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Førestehjælp kl.08.00-13.00</t>
        </r>
      </text>
    </comment>
    <comment ref="AC63" authorId="4" shapeId="0" xr:uid="{3F8246D8-4FDF-4C7F-B007-0B8651B765B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M-vagt</t>
        </r>
      </text>
    </comment>
    <comment ref="AD63" authorId="4" shapeId="0" xr:uid="{E5F4C6ED-84F1-47B1-AE9E-9BC86B6FC25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M-vagt</t>
        </r>
      </text>
    </comment>
    <comment ref="AE63" authorId="4" shapeId="0" xr:uid="{58C91B80-69A0-483A-8D66-6E7D8E73BC1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M-vagt</t>
        </r>
      </text>
    </comment>
    <comment ref="AG63" authorId="4" shapeId="0" xr:uid="{B1E887E2-A56E-4B10-A6B0-3933BE321BC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M-vagt</t>
        </r>
      </text>
    </comment>
    <comment ref="H64" authorId="0" shapeId="0" xr:uid="{66FAE1D6-61E1-483C-A0C5-7772C790D87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Til tandlæge. Møder kl. 10.00</t>
        </r>
      </text>
    </comment>
    <comment ref="J64" authorId="0" shapeId="0" xr:uid="{2CD09337-2F5B-4121-A5E4-D1BCF37F639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1-vagt fra kl. 13.00</t>
        </r>
      </text>
    </comment>
    <comment ref="K64" authorId="0" shapeId="0" xr:uid="{B23037D6-D723-4330-BE7E-CC59F1C16D3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1-vagt fra kl. 11.00</t>
        </r>
      </text>
    </comment>
    <comment ref="L64" authorId="3" shapeId="0" xr:uid="{449F12BF-6358-435E-B478-4698D7EFFC60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møder 10-16 dækker 69 sammen med Ali</t>
        </r>
      </text>
    </comment>
    <comment ref="O64" authorId="3" shapeId="0" xr:uid="{99C22543-9866-4CF9-9D81-636198250EBC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Mjølnerparken</t>
        </r>
      </text>
    </comment>
    <comment ref="AC64" authorId="1" shapeId="0" xr:uid="{C4E158D3-7AA3-4D88-AEAC-278071615B38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V83" authorId="0" shapeId="0" xr:uid="{7D32D512-C3B8-4312-86E1-EF74B3342C1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12.</t>
        </r>
      </text>
    </comment>
    <comment ref="W83" authorId="2" shapeId="0" xr:uid="{1F690966-733C-46BD-B4EB-604EE77343A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Til lægen
10.20-11.30</t>
        </r>
      </text>
    </comment>
    <comment ref="AB83" authorId="7" shapeId="0" xr:uid="{F41D664A-BD6C-4D70-ADE1-8F73AE3A7343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VALG</t>
        </r>
      </text>
    </comment>
    <comment ref="J84" authorId="0" shapeId="0" xr:uid="{1F779FD4-697B-4773-875C-F406AB783D3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Til Læge kl. 9.30</t>
        </r>
      </text>
    </comment>
    <comment ref="Q112" authorId="0" shapeId="0" xr:uid="{B4B5A948-9C38-4E8E-87D3-D789BE87E6E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GRUS</t>
        </r>
      </text>
    </comment>
    <comment ref="AB112" authorId="1" shapeId="0" xr:uid="{6148494E-35DD-4B94-9B23-95F76355691C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AC112" authorId="1" shapeId="0" xr:uid="{35596CE2-8D49-4E80-BE7A-BC57A50C7453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AB117" authorId="1" shapeId="0" xr:uid="{B27507C1-C551-473A-A15F-06C83B578C40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AC117" authorId="1" shapeId="0" xr:uid="{AF70009F-6EBD-42B6-8602-1E3D1483A9AE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Q136" authorId="0" shapeId="0" xr:uid="{89318573-7A9E-4DC2-9607-28F051503CB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GRUS</t>
        </r>
      </text>
    </comment>
    <comment ref="AA136" authorId="1" shapeId="0" xr:uid="{B79879D8-38F4-414C-AFF7-29B882DAF8C2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Valg Sted</t>
        </r>
      </text>
    </comment>
    <comment ref="AB136" authorId="1" shapeId="0" xr:uid="{CE37BA93-5137-4AA9-BBCE-65E2BFD4E7E9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Valg Sted</t>
        </r>
      </text>
    </comment>
    <comment ref="Q137" authorId="0" shapeId="0" xr:uid="{2448D579-D98A-44AA-9986-7C7F8D5A8F4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GRUS</t>
        </r>
      </text>
    </comment>
    <comment ref="AA137" authorId="1" shapeId="0" xr:uid="{BC14E0E0-C284-4A43-8F57-A38243741939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Valg Sted</t>
        </r>
      </text>
    </comment>
    <comment ref="AB137" authorId="1" shapeId="0" xr:uid="{CC612C93-42C9-4F07-9B28-8DFEFD5D3395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Valg Sted</t>
        </r>
      </text>
    </comment>
    <comment ref="AC137" authorId="1" shapeId="0" xr:uid="{0CE4D461-1187-48EB-9232-8859E997D355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Q138" authorId="0" shapeId="0" xr:uid="{CECC1A1F-C59C-4125-89DA-CA8D752335E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GRUS</t>
        </r>
      </text>
    </comment>
    <comment ref="Q139" authorId="0" shapeId="0" xr:uid="{44205D76-8039-44A1-A1E0-4CBA3E8259D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GRUS</t>
        </r>
      </text>
    </comment>
    <comment ref="Q140" authorId="0" shapeId="0" xr:uid="{AEF125FE-ED7B-4422-8BE7-923F2B43831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GRUS</t>
        </r>
      </text>
    </comment>
    <comment ref="Q141" authorId="0" shapeId="0" xr:uid="{C644BE59-68F2-4B5A-9760-52B8A3698EE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GRUS</t>
        </r>
      </text>
    </comment>
    <comment ref="Q142" authorId="0" shapeId="0" xr:uid="{2D6C6939-B83D-43FC-85E3-5D9E7ABD925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GRUS</t>
        </r>
      </text>
    </comment>
    <comment ref="Q143" authorId="0" shapeId="0" xr:uid="{E2B33568-79BE-4570-AB7F-6A9570FE2D3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GRUS</t>
        </r>
      </text>
    </comment>
    <comment ref="D144" authorId="1" shapeId="0" xr:uid="{F992E906-AC9A-4706-8D39-8A9882A3820B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afløses fra kl 15</t>
        </r>
      </text>
    </comment>
    <comment ref="Q144" authorId="0" shapeId="0" xr:uid="{4E6545C9-5641-42FB-8CC3-44198F65AFE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GRUS</t>
        </r>
      </text>
    </comment>
    <comment ref="Q145" authorId="0" shapeId="0" xr:uid="{ACF9F230-1A2C-4F05-8672-D3A3A936E84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GRUS</t>
        </r>
      </text>
    </comment>
    <comment ref="Q146" authorId="0" shapeId="0" xr:uid="{07EC95A7-B511-4487-9418-33A3390FCFB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GRUS</t>
        </r>
      </text>
    </comment>
    <comment ref="Q147" authorId="0" shapeId="0" xr:uid="{336602A4-FC15-4FD8-A2EF-3846B461F56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GRUS</t>
        </r>
      </text>
    </comment>
    <comment ref="Q149" authorId="0" shapeId="0" xr:uid="{3B89EDAA-4497-4A4C-8228-E802155E9DC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GRUS</t>
        </r>
      </text>
    </comment>
    <comment ref="R149" authorId="0" shapeId="0" xr:uid="{E32ED194-32FB-4C64-BACD-C29BF99E24C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Kvantum</t>
        </r>
      </text>
    </comment>
    <comment ref="Q158" authorId="0" shapeId="0" xr:uid="{09B4D675-35E3-4929-BF32-E0950E1DD9C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GRUS</t>
        </r>
      </text>
    </comment>
    <comment ref="V164" authorId="0" shapeId="0" xr:uid="{636F7457-44C1-4BF8-9947-19E78C87433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Mjølnerparken</t>
        </r>
      </text>
    </comment>
    <comment ref="W164" authorId="1" shapeId="0" xr:uid="{7E3741BF-F164-4E8F-874D-0B3FF686240E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Kagens Dag kl 12,15</t>
        </r>
      </text>
    </comment>
    <comment ref="Z164" authorId="0" shapeId="0" xr:uid="{8B127D64-B172-4E97-AE61-5F2A952CD19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HNG brevstemmer
kl. 12.30 til slut.</t>
        </r>
      </text>
    </comment>
    <comment ref="D165" authorId="4" shapeId="0" xr:uid="{7F4B1FED-5EA8-4088-89EA-337D3AFBDA5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Afsp. fra kl 12</t>
        </r>
      </text>
    </comment>
    <comment ref="J165" authorId="4" shapeId="0" xr:uid="{63F4240F-30ED-42D0-8BFC-78C17D4F8DC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Aftenvagt kl: 15-23
arrangement</t>
        </r>
      </text>
    </comment>
    <comment ref="L165" authorId="0" shapeId="0" xr:uid="{50223604-C655-4071-A2B8-580C9158C0A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først kl 08.30</t>
        </r>
      </text>
    </comment>
    <comment ref="AA165" authorId="1" shapeId="0" xr:uid="{235AFB7F-ED36-40FD-ADA8-2B9453A9843C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165" authorId="1" shapeId="0" xr:uid="{2200B766-94AC-4E99-A694-0E9AC05822A7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65" authorId="1" shapeId="0" xr:uid="{F01D2B09-2541-4876-9668-A3625D6B30B8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Efter 1  vagt Fintælling</t>
        </r>
      </text>
    </comment>
    <comment ref="H166" authorId="4" shapeId="0" xr:uid="{1F6FB7F7-008A-4174-9CAC-F030F38118A3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Festsalen</t>
        </r>
      </text>
    </comment>
    <comment ref="J166" authorId="4" shapeId="0" xr:uid="{5FF75144-80D5-491C-823D-47A70A3B7C6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aftenvagt kl: 15-23
arrangement</t>
        </r>
      </text>
    </comment>
    <comment ref="V167" authorId="0" shapeId="0" xr:uid="{49D1BF2C-9536-4130-97B7-AE7306B21DD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Førestehjælp kl.08.00-13.00</t>
        </r>
      </text>
    </comment>
    <comment ref="Z167" authorId="0" shapeId="0" xr:uid="{C019FD06-1740-4971-B7E7-C5461463FC5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HNG brevstemmer 12.30 til 16.00</t>
        </r>
      </text>
    </comment>
    <comment ref="AC168" authorId="1" shapeId="0" xr:uid="{0C0531FE-54A7-412B-B613-7B0F2978B4ED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Møde til Fintælling til kl 17 derefter 25 Vagt</t>
        </r>
      </text>
    </comment>
    <comment ref="H172" authorId="4" shapeId="0" xr:uid="{BD1EF66B-6B64-4272-BA41-CEF90DCC7FD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Festsalen </t>
        </r>
      </text>
    </comment>
    <comment ref="L172" authorId="0" shapeId="0" xr:uid="{6542598B-BC87-4800-AED4-516F39452EDC}">
      <text>
        <r>
          <rPr>
            <b/>
            <sz val="9"/>
            <color indexed="81"/>
            <rFont val="Tahoma"/>
            <family val="2"/>
          </rPr>
          <t>Steen Hertin:
1-vagt på OA til kl. 09.00</t>
        </r>
      </text>
    </comment>
    <comment ref="V172" authorId="0" shapeId="0" xr:uid="{1C6FA69C-27B3-4DCD-8F63-06077A4C4A7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Førestehjælp kl.08.00-13.00</t>
        </r>
      </text>
    </comment>
    <comment ref="D180" authorId="4" shapeId="0" xr:uid="{6B9DE9E8-CFFF-4983-AEC8-A5AA18143FF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E180" authorId="4" shapeId="0" xr:uid="{91840414-7488-4C80-82FF-F66D1D48E2F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D181" authorId="4" shapeId="0" xr:uid="{F8644E52-0445-44D4-887B-062974E3062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E181" authorId="4" shapeId="0" xr:uid="{7A11372C-854E-40AB-BEB4-277F0C3BE7A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H181" authorId="4" shapeId="0" xr:uid="{4BDFDC60-5E75-4ABA-BA91-3CEA144449D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I181" authorId="4" shapeId="0" xr:uid="{A25D4FE5-5A54-4540-B552-6AD77C2D775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J181" authorId="4" shapeId="0" xr:uid="{847A710B-09E5-4595-B24B-9AE33C9CE19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K181" authorId="4" shapeId="0" xr:uid="{DA503A56-3742-48B8-9032-E2DFA7A6AF6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L181" authorId="4" shapeId="0" xr:uid="{2B20AD05-D146-4A5D-A184-6739DE1C863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O181" authorId="4" shapeId="0" xr:uid="{3617ED4C-2FBF-4B39-87B6-9A02AF97B8E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P181" authorId="4" shapeId="0" xr:uid="{6CFF195B-AFE3-447C-AA7D-3956AEC345D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Q181" authorId="4" shapeId="0" xr:uid="{61C2AAB1-EAAB-47FA-8EE0-05DBE5AF2B9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R181" authorId="4" shapeId="0" xr:uid="{A4AAADF3-2D50-4280-80CE-120E7516CEB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AG181" authorId="8" shapeId="0" xr:uid="{ADD3836C-6FBB-4EDA-B387-F3FE2B8B63E9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Hospitalet hele dagen.</t>
        </r>
      </text>
    </comment>
    <comment ref="AB202" authorId="1" shapeId="0" xr:uid="{ED97D6ED-AEC9-4BBE-B6D3-614A95A94364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AC202" authorId="1" shapeId="0" xr:uid="{77150369-4645-4068-A8B3-F197C7A5A2E1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AA204" authorId="1" shapeId="0" xr:uid="{84226C43-4F96-4350-8F2A-E88140729BAA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204" authorId="1" shapeId="0" xr:uid="{5EA5AAD0-BC9A-4D9B-8B28-C9BBEB3BFD1B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204" authorId="1" shapeId="0" xr:uid="{EFA6E0B3-50BC-42C4-8C32-75CB2E615637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AA208" authorId="1" shapeId="0" xr:uid="{20E69F7B-4538-4A39-9B6C-63C966148B36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208" authorId="1" shapeId="0" xr:uid="{B1F5C707-F2FC-4B4C-A2AD-B6149154A2CD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208" authorId="1" shapeId="0" xr:uid="{8DBCA042-8D09-4E13-9250-F293F8AEEB10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tc={35B6A560-8615-46FE-B041-E0FFFB087DB3}</author>
    <author>Steen Hertin</author>
    <author>Kim Holm Aabroe</author>
    <author>tc={B9051641-B966-4FA5-A663-52C4D28F266C}</author>
    <author>Rasmus Sørensen</author>
    <author>Thomas Holm</author>
    <author>tc={91B0043E-9750-4A70-B416-C33E8B2E894A}</author>
    <author>tc={2ED0FB6A-859E-4C62-AB63-3E0C92220BF2}</author>
    <author>tc={D94CCD8A-E99C-4498-AEAF-18A711D169DF}</author>
    <author>tc={18B528F4-340F-480F-A847-EB342A2FBF77}</author>
    <author>tc={65378A3E-98A4-4A45-B053-A41D9BC2A2D4}</author>
    <author>Michael Bo Pedersen</author>
    <author>tc={DAA9D9FF-C2D3-458E-BB16-CF0372C58EC7}</author>
    <author>tc={312DD69D-11B7-4A4B-A652-F761775925A0}</author>
    <author>tc={0E6EF2D8-D66C-433A-A8C3-2390E6EB0096}</author>
    <author>tc={8BC7C794-6BF1-41CB-9E2D-B52894B231C6}</author>
    <author>tc={D5C5B3B5-0752-4DB6-A798-63E43296AF9B}</author>
    <author>tc={2C052097-8C09-4529-BA2D-C23246741621}</author>
    <author>tc={676BA9A4-BAE6-4C82-ACC4-303708FE8951}</author>
    <author>tc={71CF4436-FBA8-463E-9833-6EF3BAE45213}</author>
    <author>tc={4D25702F-E11F-4BBE-BBC5-270DC4ECD1E7}</author>
    <author>tc={595727FF-87C7-42DD-A0C3-F2932BE88A0C}</author>
    <author>tc={E65435C8-21B4-47E9-8BC0-62F1161274E3}</author>
    <author>tc={CE635B18-DB9F-4F48-AA42-19BBFFEAA270}</author>
    <author>tc={A6DACC29-C0AF-4A9A-BA6E-A336C98F5CE2}</author>
    <author>tc={B8592E09-E840-4AB7-A630-FE5E52038CDE}</author>
    <author>tc={F9F07924-5071-4691-AFC8-A6BE3847D631}</author>
    <author>tc={033C8C57-DCF7-40DF-BDB5-1F144444A845}</author>
    <author>tc={3D90689A-590F-4850-A423-DAFD77F01B06}</author>
    <author>tc={9F74309E-CABB-4E5B-A61B-D055772FFBCF}</author>
    <author>tc={15E3DF8E-E0C2-4363-8E1E-E2003D4AD4D8}</author>
    <author>tc={AC451F95-9044-4807-8E76-3B0782F240AC}</author>
    <author>tc={A48677B0-CEBF-4C7C-9467-8B098374B58D}</author>
    <author>tc={204D8C0C-2EAF-41AA-91FF-32D00BCC59C4}</author>
    <author>tc={4E370817-D761-455A-A4E0-503FEF15B023}</author>
    <author>tc={919AA555-07AB-46E2-A595-A53867C97739}</author>
    <author>tc={A9723E36-1F7F-4BDE-B6EB-DD10B624933C}</author>
    <author>tc={1EE1C69C-963B-4EE6-9340-2C157783C2C8}</author>
    <author>tc={F9B5D8E3-F642-4D60-AD4B-25DC0E29B67D}</author>
    <author>tc={F8A991A0-BE39-4C01-AD0E-8D9F7383EDA8}</author>
    <author>tc={33BA7E11-0EE9-46EC-BB05-32A24EAB7A78}</author>
    <author>tc={A7F94203-A143-4384-A017-57738C02F769}</author>
  </authors>
  <commentList>
    <comment ref="N12" authorId="0" shapeId="0" xr:uid="{35B6A560-8615-46FE-B041-E0FFFB087DB3}">
      <text>
        <t>[Threaded comment]
Your version of Excel allows you to read this threaded comment; however, any edits to it will get removed if the file is opened in a newer version of Excel. Learn more: https://go.microsoft.com/fwlink/?linkid=870924
Comment:
    Flemming tårn og rundvisning</t>
      </text>
    </comment>
    <comment ref="R12" authorId="1" shapeId="0" xr:uid="{E8773E5A-14E3-4F6A-94B1-48474CAF78C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som vagthavende
til Anders møder.</t>
        </r>
      </text>
    </comment>
    <comment ref="AB16" authorId="1" shapeId="0" xr:uid="{196CFE0D-8C69-4489-968E-6BDF03E9BEF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12.00</t>
        </r>
      </text>
    </comment>
    <comment ref="G20" authorId="1" shapeId="0" xr:uid="{3A70A388-A813-4607-ADBC-8F588842541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Mjølnerparken OA</t>
        </r>
      </text>
    </comment>
    <comment ref="K20" authorId="2" shapeId="0" xr:uid="{0577A534-AE4D-46CF-88CF-2691200D2C35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G-vagt oa</t>
        </r>
      </text>
    </comment>
    <comment ref="C21" authorId="3" shapeId="0" xr:uid="{B9051641-B966-4FA5-A663-52C4D28F266C}">
      <text>
        <t>[Threaded comment]
Your version of Excel allows you to read this threaded comment; however, any edits to it will get removed if the file is opened in a newer version of Excel. Learn more: https://go.microsoft.com/fwlink/?linkid=870924
Comment:
    Kontrakter hele dagen.</t>
      </text>
    </comment>
    <comment ref="N21" authorId="4" shapeId="0" xr:uid="{00DF19A7-2CA0-4936-BDBC-BF5C4AE1E37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mjølnerparken</t>
        </r>
      </text>
    </comment>
    <comment ref="AB21" authorId="1" shapeId="0" xr:uid="{70A060AD-C09B-43BC-B03B-555E91941DC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Mjølnerparken</t>
        </r>
      </text>
    </comment>
    <comment ref="AC21" authorId="4" shapeId="0" xr:uid="{8A85E1DF-FE72-4EA8-8E3C-29E355A97AB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ekstravagt lyongade 14:00-16:30</t>
        </r>
      </text>
    </comment>
    <comment ref="AD21" authorId="1" shapeId="0" xr:uid="{E5FAF7FE-5F87-4E2D-B0C7-691DC71761F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Overdrage til Rasmus</t>
        </r>
      </text>
    </comment>
    <comment ref="U22" authorId="1" shapeId="0" xr:uid="{96ED1F16-5577-45B3-9DFF-52B0B5A000E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Mjølnerparken</t>
        </r>
      </text>
    </comment>
    <comment ref="AB22" authorId="1" shapeId="0" xr:uid="{18B69D63-B4C8-4EAE-9AD5-F49252E16E7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 + Arrangement kl. 12.00-16.30</t>
        </r>
      </text>
    </comment>
    <comment ref="AC22" authorId="1" shapeId="0" xr:uid="{EFCD0C07-EA42-4C5C-883C-D40C07BF577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 med Mads kl. 09.00</t>
        </r>
      </text>
    </comment>
    <comment ref="AD22" authorId="1" shapeId="0" xr:uid="{D35BDDE2-DE79-4C10-A0A4-D40EDC377C8C}">
      <text>
        <r>
          <rPr>
            <b/>
            <sz val="9"/>
            <color indexed="81"/>
            <rFont val="Tahoma"/>
            <family val="2"/>
          </rPr>
          <t>Steen Hertin:
Arbejde med Steen</t>
        </r>
      </text>
    </comment>
    <comment ref="AB26" authorId="1" shapeId="0" xr:uid="{DF733541-B7EF-4813-8056-A973DBF475B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Kjeld</t>
        </r>
      </text>
    </comment>
    <comment ref="U37" authorId="1" shapeId="0" xr:uid="{9A02A501-33D6-4092-8751-AC27EBF6A64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V37" authorId="1" shapeId="0" xr:uid="{AEC3444A-0933-466B-B1F5-2EBF72C698A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W37" authorId="1" shapeId="0" xr:uid="{F11A412C-E528-45BC-A012-A1AF5A8DD6E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X37" authorId="1" shapeId="0" xr:uid="{453FBB9D-3A7E-4653-ADCF-1AFD32B84E8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Y37" authorId="1" shapeId="0" xr:uid="{D5272C5B-D9E7-4D1D-8066-4CFAC36195E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AB37" authorId="5" shapeId="0" xr:uid="{E408FEA6-1A00-4D7C-AE04-7A71F4620BCF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AC37" authorId="1" shapeId="0" xr:uid="{FEDCB4EC-AB24-40CB-BA4A-01737A7623A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AD37" authorId="1" shapeId="0" xr:uid="{6869E340-5736-4114-A116-040F743C56E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H41" authorId="6" shapeId="0" xr:uid="{91B0043E-9750-4A70-B416-C33E8B2E894A}">
      <text>
        <t>[Threaded comment]
Your version of Excel allows you to read this threaded comment; however, any edits to it will get removed if the file is opened in a newer version of Excel. Learn more: https://go.microsoft.com/fwlink/?linkid=870924
Comment:
    8 vagt OA</t>
      </text>
    </comment>
    <comment ref="I41" authorId="7" shapeId="0" xr:uid="{2ED0FB6A-859E-4C62-AB63-3E0C92220BF2}">
      <text>
        <t>[Threaded comment]
Your version of Excel allows you to read this threaded comment; however, any edits to it will get removed if the file is opened in a newer version of Excel. Learn more: https://go.microsoft.com/fwlink/?linkid=870924
Comment:
    8 vagt OA</t>
      </text>
    </comment>
    <comment ref="J41" authorId="8" shapeId="0" xr:uid="{D94CCD8A-E99C-4498-AEAF-18A711D169DF}">
      <text>
        <t>[Threaded comment]
Your version of Excel allows you to read this threaded comment; however, any edits to it will get removed if the file is opened in a newer version of Excel. Learn more: https://go.microsoft.com/fwlink/?linkid=870924
Comment:
    8 vagt OA</t>
      </text>
    </comment>
    <comment ref="K41" authorId="9" shapeId="0" xr:uid="{18B528F4-340F-480F-A847-EB342A2FBF77}">
      <text>
        <t>[Threaded comment]
Your version of Excel allows you to read this threaded comment; however, any edits to it will get removed if the file is opened in a newer version of Excel. Learn more: https://go.microsoft.com/fwlink/?linkid=870924
Comment:
    8 vagt OA</t>
      </text>
    </comment>
    <comment ref="C61" authorId="1" shapeId="0" xr:uid="{4A183AE5-2754-4A15-82BC-E561703B210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25 på OA</t>
        </r>
      </text>
    </comment>
    <comment ref="D61" authorId="1" shapeId="0" xr:uid="{70AA6C2E-68BF-42BF-91FC-252F3FF9AF9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25 på OA</t>
        </r>
      </text>
    </comment>
    <comment ref="G64" authorId="1" shapeId="0" xr:uid="{FA2E6057-46DA-4041-8537-04158D14462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Kjeld på OA</t>
        </r>
      </text>
    </comment>
    <comment ref="H64" authorId="1" shapeId="0" xr:uid="{1C28BD7A-77E9-412A-866D-857C13C76F8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Kjeld på OA</t>
        </r>
      </text>
    </comment>
    <comment ref="I64" authorId="1" shapeId="0" xr:uid="{BF03A490-CE25-4708-A9AA-F31A03BB46C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Kjeld på OA</t>
        </r>
      </text>
    </comment>
    <comment ref="J64" authorId="1" shapeId="0" xr:uid="{000E8FBB-D71B-4BB9-B82B-47AD7211243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Kjeld på OA</t>
        </r>
      </text>
    </comment>
    <comment ref="K64" authorId="1" shapeId="0" xr:uid="{86A52A9B-E95B-41E3-BB55-D00C3EE1C35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Kjeld på OA</t>
        </r>
      </text>
    </comment>
    <comment ref="N64" authorId="1" shapeId="0" xr:uid="{8B7D6C7F-8AFB-43D8-8BDF-63B8884CBE3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K-vagt på oa</t>
        </r>
      </text>
    </comment>
    <comment ref="AF64" authorId="10" shapeId="0" xr:uid="{65378A3E-98A4-4A45-B053-A41D9BC2A2D4}">
      <text>
        <t>[Threaded comment]
Your version of Excel allows you to read this threaded comment; however, any edits to it will get removed if the file is opened in a newer version of Excel. Learn more: https://go.microsoft.com/fwlink/?linkid=870924
Comment:
    5-vagt på OA</t>
      </text>
    </comment>
    <comment ref="C66" authorId="1" shapeId="0" xr:uid="{3CC52580-ADB0-4490-83BD-BAFF6EF4D58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L-vagt på OA.</t>
        </r>
      </text>
    </comment>
    <comment ref="G66" authorId="11" shapeId="0" xr:uid="{F21A1F36-8307-4353-8191-D526BE3FCD5E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H66" authorId="12" shapeId="0" xr:uid="{DAA9D9FF-C2D3-458E-BB16-CF0372C58EC7}">
      <text>
        <t>[Threaded comment]
Your version of Excel allows you to read this threaded comment; however, any edits to it will get removed if the file is opened in a newer version of Excel. Learn more: https://go.microsoft.com/fwlink/?linkid=870924
Comment:
    D vagt</t>
      </text>
    </comment>
    <comment ref="I66" authorId="13" shapeId="0" xr:uid="{312DD69D-11B7-4A4B-A652-F761775925A0}">
      <text>
        <t>[Threaded comment]
Your version of Excel allows you to read this threaded comment; however, any edits to it will get removed if the file is opened in a newer version of Excel. Learn more: https://go.microsoft.com/fwlink/?linkid=870924
Comment:
    D vagt</t>
      </text>
    </comment>
    <comment ref="AE66" authorId="5" shapeId="0" xr:uid="{4C52E08D-C3CA-4A67-83C0-11278E7A10D0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Fejemand
</t>
        </r>
      </text>
    </comment>
    <comment ref="AF66" authorId="5" shapeId="0" xr:uid="{24DCE198-8C30-495E-800B-E8E485A49327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G67" authorId="1" shapeId="0" xr:uid="{80080541-42C4-4CBA-9CF7-9139142F1A9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H-vagt på OA.</t>
        </r>
      </text>
    </comment>
    <comment ref="H67" authorId="1" shapeId="0" xr:uid="{7F219CD0-719A-4057-8549-C4C77A2273C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H-vagt på OA.</t>
        </r>
      </text>
    </comment>
    <comment ref="I67" authorId="1" shapeId="0" xr:uid="{B44A0DE9-57B5-4DA2-A48E-EAD476DADDD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H-vagt på OA.</t>
        </r>
      </text>
    </comment>
    <comment ref="J67" authorId="1" shapeId="0" xr:uid="{CF7A8311-9E82-493F-AD24-41F617EBF09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H-vagt på OA.</t>
        </r>
      </text>
    </comment>
    <comment ref="K67" authorId="1" shapeId="0" xr:uid="{C67286E5-CB6F-4D06-8540-B08D38DE4D2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H-vagt på OA.</t>
        </r>
      </text>
    </comment>
    <comment ref="N67" authorId="14" shapeId="0" xr:uid="{0E6EF2D8-D66C-433A-A8C3-2390E6EB0096}">
      <text>
        <t>[Threaded comment]
Your version of Excel allows you to read this threaded comment; however, any edits to it will get removed if the file is opened in a newer version of Excel. Learn more: https://go.microsoft.com/fwlink/?linkid=870924
Comment:
    Hjælpe Sebastian hvis der er bygninger han ikke kan</t>
      </text>
    </comment>
    <comment ref="U67" authorId="1" shapeId="0" xr:uid="{B6B1A67A-ED82-4A71-B0A6-4A4BEF86C3A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Ferie flyttet</t>
        </r>
      </text>
    </comment>
    <comment ref="W68" authorId="11" shapeId="0" xr:uid="{A23C58DC-E52E-458D-9FBC-4BD4D740BC08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25 Vagt på OA til kl 21.00</t>
        </r>
      </text>
    </comment>
    <comment ref="X68" authorId="11" shapeId="0" xr:uid="{1581B05B-653B-4548-8BEB-188F1F794428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25 Vagt på OA til kl 21.00</t>
        </r>
      </text>
    </comment>
    <comment ref="C70" authorId="15" shapeId="0" xr:uid="{8BC7C794-6BF1-41CB-9E2D-B52894B231C6}">
      <text>
        <t>[Threaded comment]
Your version of Excel allows you to read this threaded comment; however, any edits to it will get removed if the file is opened in a newer version of Excel. Learn more: https://go.microsoft.com/fwlink/?linkid=870924
Comment:
    3-vagt på OA
Reply:
    + 4 vagt til kl. 17.30</t>
      </text>
    </comment>
    <comment ref="J70" authorId="1" shapeId="0" xr:uid="{2DA89E99-7226-4B2B-AEBE-EDB0DA227AA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oa som d-vagt</t>
        </r>
      </text>
    </comment>
    <comment ref="K70" authorId="1" shapeId="0" xr:uid="{935A2587-2221-4C0A-8616-B89FD587E90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oa som d-vagt</t>
        </r>
      </text>
    </comment>
    <comment ref="AC70" authorId="1" shapeId="0" xr:uid="{4974F2D3-03B9-44A3-B579-89562B36F06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7-vagt på OA.</t>
        </r>
      </text>
    </comment>
    <comment ref="V77" authorId="1" shapeId="0" xr:uid="{DC3C4810-F22D-4239-B36F-B7F23BD28A7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3-vagt når Brian går.</t>
        </r>
      </text>
    </comment>
    <comment ref="Q79" authorId="1" shapeId="0" xr:uid="{A08FF28D-0AF5-4B9C-84CD-F76510E9A74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D-vagt fra kl. 12.45</t>
        </r>
      </text>
    </comment>
    <comment ref="U80" authorId="16" shapeId="0" xr:uid="{D5C5B3B5-0752-4DB6-A798-63E43296AF9B}">
      <text>
        <t>[Threaded comment]
Your version of Excel allows you to read this threaded comment; however, any edits to it will get removed if the file is opened in a newer version of Excel. Learn more: https://go.microsoft.com/fwlink/?linkid=870924
Comment:
    Griffen</t>
      </text>
    </comment>
    <comment ref="G82" authorId="17" shapeId="0" xr:uid="{2C052097-8C09-4529-BA2D-C23246741621}">
      <text>
        <t>[Threaded comment]
Your version of Excel allows you to read this threaded comment; however, any edits to it will get removed if the file is opened in a newer version of Excel. Learn more: https://go.microsoft.com/fwlink/?linkid=870924
Comment:
    Tager kørekort</t>
      </text>
    </comment>
    <comment ref="H82" authorId="18" shapeId="0" xr:uid="{676BA9A4-BAE6-4C82-ACC4-303708FE8951}">
      <text>
        <t>[Threaded comment]
Your version of Excel allows you to read this threaded comment; however, any edits to it will get removed if the file is opened in a newer version of Excel. Learn more: https://go.microsoft.com/fwlink/?linkid=870924
Comment:
    Tager kørekort</t>
      </text>
    </comment>
    <comment ref="I82" authorId="19" shapeId="0" xr:uid="{71CF4436-FBA8-463E-9833-6EF3BAE45213}">
      <text>
        <t>[Threaded comment]
Your version of Excel allows you to read this threaded comment; however, any edits to it will get removed if the file is opened in a newer version of Excel. Learn more: https://go.microsoft.com/fwlink/?linkid=870924
Comment:
    Tager kørekort</t>
      </text>
    </comment>
    <comment ref="J82" authorId="20" shapeId="0" xr:uid="{4D25702F-E11F-4BBE-BBC5-270DC4ECD1E7}">
      <text>
        <t>[Threaded comment]
Your version of Excel allows you to read this threaded comment; however, any edits to it will get removed if the file is opened in a newer version of Excel. Learn more: https://go.microsoft.com/fwlink/?linkid=870924
Comment:
    Tager kørekort</t>
      </text>
    </comment>
    <comment ref="K82" authorId="21" shapeId="0" xr:uid="{595727FF-87C7-42DD-A0C3-F2932BE88A0C}">
      <text>
        <t>[Threaded comment]
Your version of Excel allows you to read this threaded comment; however, any edits to it will get removed if the file is opened in a newer version of Excel. Learn more: https://go.microsoft.com/fwlink/?linkid=870924
Comment:
    Tager kørekort</t>
      </text>
    </comment>
    <comment ref="N82" authorId="22" shapeId="0" xr:uid="{E65435C8-21B4-47E9-8BC0-62F1161274E3}">
      <text>
        <t>[Threaded comment]
Your version of Excel allows you to read this threaded comment; however, any edits to it will get removed if the file is opened in a newer version of Excel. Learn more: https://go.microsoft.com/fwlink/?linkid=870924
Comment:
    Tager kørekort</t>
      </text>
    </comment>
    <comment ref="O82" authorId="23" shapeId="0" xr:uid="{CE635B18-DB9F-4F48-AA42-19BBFFEAA270}">
      <text>
        <t>[Threaded comment]
Your version of Excel allows you to read this threaded comment; however, any edits to it will get removed if the file is opened in a newer version of Excel. Learn more: https://go.microsoft.com/fwlink/?linkid=870924
Comment:
    Tager kørekort</t>
      </text>
    </comment>
    <comment ref="P82" authorId="24" shapeId="0" xr:uid="{A6DACC29-C0AF-4A9A-BA6E-A336C98F5CE2}">
      <text>
        <t>[Threaded comment]
Your version of Excel allows you to read this threaded comment; however, any edits to it will get removed if the file is opened in a newer version of Excel. Learn more: https://go.microsoft.com/fwlink/?linkid=870924
Comment:
    Tager kørekort</t>
      </text>
    </comment>
    <comment ref="Q82" authorId="25" shapeId="0" xr:uid="{B8592E09-E840-4AB7-A630-FE5E52038CDE}">
      <text>
        <t>[Threaded comment]
Your version of Excel allows you to read this threaded comment; however, any edits to it will get removed if the file is opened in a newer version of Excel. Learn more: https://go.microsoft.com/fwlink/?linkid=870924
Comment:
    Tager kørekort</t>
      </text>
    </comment>
    <comment ref="R82" authorId="26" shapeId="0" xr:uid="{F9F07924-5071-4691-AFC8-A6BE3847D631}">
      <text>
        <t>[Threaded comment]
Your version of Excel allows you to read this threaded comment; however, any edits to it will get removed if the file is opened in a newer version of Excel. Learn more: https://go.microsoft.com/fwlink/?linkid=870924
Comment:
    Tager kørekort</t>
      </text>
    </comment>
    <comment ref="U82" authorId="27" shapeId="0" xr:uid="{033C8C57-DCF7-40DF-BDB5-1F144444A845}">
      <text>
        <t>[Threaded comment]
Your version of Excel allows you to read this threaded comment; however, any edits to it will get removed if the file is opened in a newer version of Excel. Learn more: https://go.microsoft.com/fwlink/?linkid=870924
Comment:
    Tager kørekort</t>
      </text>
    </comment>
    <comment ref="V82" authorId="28" shapeId="0" xr:uid="{3D90689A-590F-4850-A423-DAFD77F01B06}">
      <text>
        <t>[Threaded comment]
Your version of Excel allows you to read this threaded comment; however, any edits to it will get removed if the file is opened in a newer version of Excel. Learn more: https://go.microsoft.com/fwlink/?linkid=870924
Comment:
    Tager kørekort</t>
      </text>
    </comment>
    <comment ref="W82" authorId="29" shapeId="0" xr:uid="{9F74309E-CABB-4E5B-A61B-D055772FFBCF}">
      <text>
        <t>[Threaded comment]
Your version of Excel allows you to read this threaded comment; however, any edits to it will get removed if the file is opened in a newer version of Excel. Learn more: https://go.microsoft.com/fwlink/?linkid=870924
Comment:
    Tager kørekort</t>
      </text>
    </comment>
    <comment ref="X82" authorId="30" shapeId="0" xr:uid="{15E3DF8E-E0C2-4363-8E1E-E2003D4AD4D8}">
      <text>
        <t>[Threaded comment]
Your version of Excel allows you to read this threaded comment; however, any edits to it will get removed if the file is opened in a newer version of Excel. Learn more: https://go.microsoft.com/fwlink/?linkid=870924
Comment:
    Tager kørekort</t>
      </text>
    </comment>
    <comment ref="Y82" authorId="31" shapeId="0" xr:uid="{AC451F95-9044-4807-8E76-3B0782F240AC}">
      <text>
        <t>[Threaded comment]
Your version of Excel allows you to read this threaded comment; however, any edits to it will get removed if the file is opened in a newer version of Excel. Learn more: https://go.microsoft.com/fwlink/?linkid=870924
Comment:
    Tager kørekort</t>
      </text>
    </comment>
    <comment ref="AB82" authorId="32" shapeId="0" xr:uid="{A48677B0-CEBF-4C7C-9467-8B098374B58D}">
      <text>
        <t>[Threaded comment]
Your version of Excel allows you to read this threaded comment; however, any edits to it will get removed if the file is opened in a newer version of Excel. Learn more: https://go.microsoft.com/fwlink/?linkid=870924
Comment:
    Tager kørekort</t>
      </text>
    </comment>
    <comment ref="AC82" authorId="33" shapeId="0" xr:uid="{204D8C0C-2EAF-41AA-91FF-32D00BCC59C4}">
      <text>
        <t>[Threaded comment]
Your version of Excel allows you to read this threaded comment; however, any edits to it will get removed if the file is opened in a newer version of Excel. Learn more: https://go.microsoft.com/fwlink/?linkid=870924
Comment:
    Tager kørekort</t>
      </text>
    </comment>
    <comment ref="AD82" authorId="34" shapeId="0" xr:uid="{4E370817-D761-455A-A4E0-503FEF15B023}">
      <text>
        <t>[Threaded comment]
Your version of Excel allows you to read this threaded comment; however, any edits to it will get removed if the file is opened in a newer version of Excel. Learn more: https://go.microsoft.com/fwlink/?linkid=870924
Comment:
    Tager kørekort</t>
      </text>
    </comment>
    <comment ref="AE82" authorId="35" shapeId="0" xr:uid="{919AA555-07AB-46E2-A595-A53867C97739}">
      <text>
        <t>[Threaded comment]
Your version of Excel allows you to read this threaded comment; however, any edits to it will get removed if the file is opened in a newer version of Excel. Learn more: https://go.microsoft.com/fwlink/?linkid=870924
Comment:
    Tager kørekort</t>
      </text>
    </comment>
    <comment ref="AF82" authorId="36" shapeId="0" xr:uid="{A9723E36-1F7F-4BDE-B6EB-DD10B624933C}">
      <text>
        <t>[Threaded comment]
Your version of Excel allows you to read this threaded comment; however, any edits to it will get removed if the file is opened in a newer version of Excel. Learn more: https://go.microsoft.com/fwlink/?linkid=870924
Comment:
    Tager kørekort</t>
      </text>
    </comment>
    <comment ref="G101" authorId="1" shapeId="0" xr:uid="{9E584702-06D5-4348-AF69-B6328061AAE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Gå bag Brian
G vagt OA,
BV.</t>
        </r>
      </text>
    </comment>
    <comment ref="Z101" authorId="11" shapeId="0" xr:uid="{F8BF2E94-4FD0-4F70-89CA-DA43BA86D3F4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A1 på OA</t>
        </r>
      </text>
    </comment>
    <comment ref="AA101" authorId="11" shapeId="0" xr:uid="{4FB1879F-27D6-4B73-B5B5-A552B7E92DF2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A2 på OA</t>
        </r>
      </text>
    </comment>
    <comment ref="AG101" authorId="4" shapeId="0" xr:uid="{13E39AC5-559C-4FB0-B80A-9AB02F73979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borgmesterkørsel kff kl. 9-16</t>
        </r>
      </text>
    </comment>
    <comment ref="R121" authorId="1" shapeId="0" xr:uid="{C8079445-8DC0-4B7C-869E-68FC5174193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Vagthavende 13-14</t>
        </r>
      </text>
    </comment>
    <comment ref="C122" authorId="1" shapeId="0" xr:uid="{EF11BACB-F263-4FF9-814D-2D13BA39659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Genoptræning går kl. 15.00</t>
        </r>
      </text>
    </comment>
    <comment ref="G122" authorId="1" shapeId="0" xr:uid="{09013B6E-1461-4693-88D9-952E820A131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Genoptræning møder ca. 0930.</t>
        </r>
      </text>
    </comment>
    <comment ref="J122" authorId="1" shapeId="0" xr:uid="{66178B8B-1D03-4D34-9F39-27A14FF090C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Genoptræning går kl. 15.00</t>
        </r>
      </text>
    </comment>
    <comment ref="N122" authorId="1" shapeId="0" xr:uid="{3B6E4CE7-9919-4980-9014-ABB53D4874A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Genoptræning møder ca. 0930.</t>
        </r>
      </text>
    </comment>
    <comment ref="Q122" authorId="1" shapeId="0" xr:uid="{429196F6-C00F-424B-BF14-D67E2DB7809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Genoptræning går kl. 15.00</t>
        </r>
      </text>
    </comment>
    <comment ref="AE122" authorId="37" shapeId="0" xr:uid="{1EE1C69C-963B-4EE6-9340-2C157783C2C8}">
      <text>
        <t>[Threaded comment]
Your version of Excel allows you to read this threaded comment; however, any edits to it will get removed if the file is opened in a newer version of Excel. Learn more: https://go.microsoft.com/fwlink/?linkid=870924
Comment:
    +resten af FE</t>
      </text>
    </comment>
    <comment ref="U136" authorId="1" shapeId="0" xr:uid="{62A6BDE4-85D5-4178-8F96-DD2F2E59CC6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Kun 2 mand hele ugen</t>
        </r>
      </text>
    </comment>
    <comment ref="Y174" authorId="38" shapeId="0" xr:uid="{F9B5D8E3-F642-4D60-AD4B-25DC0E29B67D}">
      <text>
        <t>[Threaded comment]
Your version of Excel allows you to read this threaded comment; however, any edits to it will get removed if the file is opened in a newer version of Excel. Learn more: https://go.microsoft.com/fwlink/?linkid=870924
Comment:
    Intern Flex</t>
      </text>
    </comment>
    <comment ref="R175" authorId="1" shapeId="0" xr:uid="{F44C7892-1086-4FCA-814F-81287F15BED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Dækker D-vagt</t>
        </r>
      </text>
    </comment>
    <comment ref="AB176" authorId="1" shapeId="0" xr:uid="{5978BE00-89BC-4E12-B20A-DEDDEB683B2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Intern flex</t>
        </r>
      </text>
    </comment>
    <comment ref="G284" authorId="39" shapeId="0" xr:uid="{F8A991A0-BE39-4C01-AD0E-8D9F7383EDA8}">
      <text>
        <t>[Threaded comment]
Your version of Excel allows you to read this threaded comment; however, any edits to it will get removed if the file is opened in a newer version of Excel. Learn more: https://go.microsoft.com/fwlink/?linkid=870924
Comment:
    afs - 5,5 time</t>
      </text>
    </comment>
    <comment ref="J284" authorId="40" shapeId="0" xr:uid="{33BA7E11-0EE9-46EC-BB05-32A24EAB7A78}">
      <text>
        <t>[Threaded comment]
Your version of Excel allows you to read this threaded comment; however, any edits to it will get removed if the file is opened in a newer version of Excel. Learn more: https://go.microsoft.com/fwlink/?linkid=870924
Comment:
    afs - 4</t>
      </text>
    </comment>
    <comment ref="K284" authorId="41" shapeId="0" xr:uid="{A7F94203-A143-4384-A017-57738C02F769}">
      <text>
        <t>[Threaded comment]
Your version of Excel allows you to read this threaded comment; however, any edits to it will get removed if the file is opened in a newer version of Excel. Learn more: https://go.microsoft.com/fwlink/?linkid=870924
Comment:
    afs -2 Timer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Rasmus Sørensen</author>
    <author>Flemming Nielsen</author>
    <author>Thomas Holm</author>
    <author>Kim Holm Aabroe</author>
    <author>Michael Bo Pedersen</author>
    <author>tc={0958DDA0-329E-4A0D-BED8-F478CCAE2117}</author>
    <author>Steen Hertin</author>
    <author>tc={E9C96DA2-252C-4E0A-8C41-6B98709300D5}</author>
    <author>tc={B5E0D426-E5BD-451F-A4D6-480BF28BBB5F}</author>
    <author>tc={209A8133-E835-4B41-A8FA-2B078FBAAD47}</author>
    <author>tc={9A68C7C4-B115-4A9D-B86D-9BD3F87FCB0C}</author>
    <author>tc={D9F99C7F-3A59-41AC-B23E-F2CBFB18CA34}</author>
    <author>tc={C2CCB8A8-1462-4C0D-B4CB-E1C449879BC0}</author>
    <author>tc={63833DFA-8826-44DA-B1D6-CFE33953C621}</author>
    <author>tc={743AB70D-846D-4358-8525-57F88EABC2EB}</author>
    <author>tc={2287596E-739F-4653-8803-51D5B6CE674F}</author>
    <author>tc={E7C1D13C-E645-4C85-9149-FB6BB5FFB434}</author>
    <author>tc={99A01020-BAF7-48E2-96F2-323129AB6014}</author>
    <author>tc={2903EEDA-605D-452B-AA09-DE04F1E4D139}</author>
    <author>tc={BDA4EB71-1797-46AB-9D98-97F61C2109B8}</author>
    <author>tc={ADD0124C-72AF-47EA-BC55-6B060974B227}</author>
    <author>tc={55197711-9F96-44C2-9C21-C502BD568552}</author>
    <author>tc={B59534F5-EC0B-4127-9C5F-2D4291DF34CF}</author>
    <author>tc={EB907017-B896-48AC-A191-02E2FCC1BF46}</author>
    <author>tc={C46C848B-B36C-4E94-9739-FECE8A55673B}</author>
    <author>tc={B9634DA8-911F-4F5E-9FCF-EBAB2BE3841C}</author>
    <author>tc={789F592E-19D6-4C90-A845-D8005FD3D4D5}</author>
    <author>tc={55DADCBD-DC46-4125-AA53-6D52E58BCEEC}</author>
    <author>tc={BF9B80E6-46D5-4C00-99A9-222C5AC20CA0}</author>
    <author>tc={841041B5-8DC0-4B5A-940F-7F8363783082}</author>
  </authors>
  <commentList>
    <comment ref="M12" authorId="0" shapeId="0" xr:uid="{B2AA7C5F-03B1-442F-B6EF-853585F7670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betjentvagt</t>
        </r>
      </text>
    </comment>
    <comment ref="AA12" authorId="1" shapeId="0" xr:uid="{ED89BA8D-986F-4496-9323-E86EFD846D90}">
      <text>
        <r>
          <rPr>
            <b/>
            <sz val="9"/>
            <color indexed="81"/>
            <rFont val="Tahoma"/>
            <family val="2"/>
          </rPr>
          <t>betjentvagt med Rasmus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17" authorId="2" shapeId="0" xr:uid="{39CE43CC-ECD8-4B36-8313-0AF3C9050E0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Dronevagt 08.00-12.00</t>
        </r>
      </text>
    </comment>
    <comment ref="AB17" authorId="0" shapeId="0" xr:uid="{807524D7-D93B-4649-B7FA-12673702491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79-vagt på oa</t>
        </r>
      </text>
    </comment>
    <comment ref="M20" authorId="3" shapeId="0" xr:uid="{CAE50F3E-DE05-48E0-8EDA-F6DE85C7E910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valgmøde 1.86  10.30</t>
        </r>
      </text>
    </comment>
    <comment ref="R20" authorId="3" shapeId="0" xr:uid="{17528F96-DA8F-44E9-8E31-AA5B76701AB3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mjølnerparken OA</t>
        </r>
      </text>
    </comment>
    <comment ref="AB20" authorId="3" shapeId="0" xr:uid="{0064B1E1-0EA7-448A-BAED-21135EFD5DC2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g-vagt OA</t>
        </r>
      </text>
    </comment>
    <comment ref="AC20" authorId="3" shapeId="0" xr:uid="{EBB7A410-3B98-4D07-9661-886A673D4480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g-vagt OA</t>
        </r>
      </text>
    </comment>
    <comment ref="H22" authorId="0" shapeId="0" xr:uid="{E66C6510-21C8-4902-AD43-8D3C27D73A84}">
      <text>
        <r>
          <rPr>
            <b/>
            <sz val="9"/>
            <color indexed="81"/>
            <rFont val="Tahoma"/>
            <family val="2"/>
          </rPr>
          <t>Rasmus Sørensen:
Fejemand
Møde kl. 11</t>
        </r>
      </text>
    </comment>
    <comment ref="K22" authorId="0" shapeId="0" xr:uid="{655C7D7B-8644-441E-A4B9-FAE008B60C1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kjeld</t>
        </r>
      </text>
    </comment>
    <comment ref="T22" authorId="4" shapeId="0" xr:uid="{8599151A-FBDC-4100-8C0A-8959E4B11A7E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L-vagt</t>
        </r>
      </text>
    </comment>
    <comment ref="V22" authorId="0" shapeId="0" xr:uid="{87CD9BED-371C-4EF7-B0A2-4021C75671A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 Svanevej 12
L-Vagt</t>
        </r>
      </text>
    </comment>
    <comment ref="AB22" authorId="0" shapeId="0" xr:uid="{4BCD01A7-BD41-4CC2-B000-04963B8DF91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Dækker 69-vagt til 11</t>
        </r>
      </text>
    </comment>
    <comment ref="F23" authorId="5" shapeId="0" xr:uid="{0958DDA0-329E-4A0D-BED8-F478CCAE2117}">
      <text>
        <t>[Threaded comment]
Your version of Excel allows you to read this threaded comment; however, any edits to it will get removed if the file is opened in a newer version of Excel. Learn more: https://go.microsoft.com/fwlink/?linkid=870924
Comment:
    Rundvisning 16.30</t>
      </text>
    </comment>
    <comment ref="D37" authorId="6" shapeId="0" xr:uid="{9A4AAE49-DB77-41C0-8A54-6D163C106DB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AA37" authorId="4" shapeId="0" xr:uid="{1D9B95DD-9E90-47FA-8042-D5B0E6DA89F9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P-Vagt på OA</t>
        </r>
      </text>
    </comment>
    <comment ref="AB37" authorId="0" shapeId="0" xr:uid="{2BB15705-CA38-4169-9064-260F42D95F7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p-vagt oa</t>
        </r>
      </text>
    </comment>
    <comment ref="D42" authorId="7" shapeId="0" xr:uid="{E9C96DA2-252C-4E0A-8C41-6B98709300D5}">
      <text>
        <t>[Threaded comment]
Your version of Excel allows you to read this threaded comment; however, any edits to it will get removed if the file is opened in a newer version of Excel. Learn more: https://go.microsoft.com/fwlink/?linkid=870924
Comment:
    4-vagt på OA</t>
      </text>
    </comment>
    <comment ref="E42" authorId="0" shapeId="0" xr:uid="{A13E1DF4-5770-42D9-ADDF-20A2AA94BA0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4-vagt oa</t>
        </r>
      </text>
    </comment>
    <comment ref="F42" authorId="0" shapeId="0" xr:uid="{770CFF05-31E0-4B3A-87A7-E71029C72E6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4-vagt oa</t>
        </r>
      </text>
    </comment>
    <comment ref="G42" authorId="0" shapeId="0" xr:uid="{30AB2AA0-F684-4A9B-945B-91F288E4E05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4-vagt oa</t>
        </r>
      </text>
    </comment>
    <comment ref="H42" authorId="0" shapeId="0" xr:uid="{8268B612-A2B5-4A17-B7D5-FF939B86B25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4-vagt oa</t>
        </r>
      </text>
    </comment>
    <comment ref="Z63" authorId="6" shapeId="0" xr:uid="{9FAB1030-5AEA-4FD0-AAA5-C8ED2DD5FB2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Kjeld</t>
        </r>
      </text>
    </comment>
    <comment ref="M64" authorId="0" shapeId="0" xr:uid="{0B1E11E3-A08F-48C2-89BF-E5444093669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Griffen oa kl: 9-13</t>
        </r>
      </text>
    </comment>
    <comment ref="U64" authorId="0" shapeId="0" xr:uid="{0670B177-6DCF-4E2F-9C4E-A0259A22620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L-vagt</t>
        </r>
      </text>
    </comment>
    <comment ref="R65" authorId="6" shapeId="0" xr:uid="{139AA572-ACA7-42AB-B1BA-9BDF08E3479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Kjeld</t>
        </r>
      </text>
    </comment>
    <comment ref="S65" authorId="6" shapeId="0" xr:uid="{C0A81011-25D5-4009-919E-2F717FA845F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Kjeld</t>
        </r>
      </text>
    </comment>
    <comment ref="T65" authorId="6" shapeId="0" xr:uid="{5EF064F1-9F45-40E8-B5BC-0E41E25EEB2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Kjeld</t>
        </r>
      </text>
    </comment>
    <comment ref="U65" authorId="6" shapeId="0" xr:uid="{E4EA6A12-CEF6-4306-B90E-35D571E4817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Kjeld</t>
        </r>
      </text>
    </comment>
    <comment ref="V65" authorId="6" shapeId="0" xr:uid="{EC8022FF-BC72-4B9B-B8B5-8DFCD8410FB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Kjeld</t>
        </r>
      </text>
    </comment>
    <comment ref="Y65" authorId="0" shapeId="0" xr:uid="{681745E2-F648-42D8-B743-C12B07525DF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mjølnerparken</t>
        </r>
      </text>
    </comment>
    <comment ref="D67" authorId="8" shapeId="0" xr:uid="{B5E0D426-E5BD-451F-A4D6-480BF28BBB5F}">
      <text>
        <t>[Threaded comment]
Your version of Excel allows you to read this threaded comment; however, any edits to it will get removed if the file is opened in a newer version of Excel. Learn more: https://go.microsoft.com/fwlink/?linkid=870924
Comment:
    Brønshøjvej på oa.</t>
      </text>
    </comment>
    <comment ref="E67" authorId="2" shapeId="0" xr:uid="{76BA4A05-6295-4036-9D0E-2DB7C4D7F0BF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Ekstravagt Lyongade
12.30-14.30</t>
        </r>
      </text>
    </comment>
    <comment ref="Q67" authorId="2" shapeId="0" xr:uid="{BC14861A-BC59-40AD-9529-A4820E15094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Dronevagt 08.00-12.00</t>
        </r>
      </text>
    </comment>
    <comment ref="Y67" authorId="3" shapeId="0" xr:uid="{21346101-4702-47C9-A7E8-6A489571E02C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5-vagt OA</t>
        </r>
      </text>
    </comment>
    <comment ref="Z67" authorId="3" shapeId="0" xr:uid="{14288835-B675-4CA0-BF26-DD544EB70081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5-vagt OA</t>
        </r>
      </text>
    </comment>
    <comment ref="AA67" authorId="3" shapeId="0" xr:uid="{AF592866-A2CE-44D5-BA2B-E0000A2F8D2B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5-vagt OA</t>
        </r>
      </text>
    </comment>
    <comment ref="AB67" authorId="4" shapeId="0" xr:uid="{181FB1A8-DF17-4028-8EE3-D744EF764F09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5 Vagt på OA</t>
        </r>
      </text>
    </comment>
    <comment ref="AC67" authorId="4" shapeId="0" xr:uid="{7598DA5F-5FBA-4395-969C-A6772BD442BC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5 Vagt på OA</t>
        </r>
      </text>
    </comment>
    <comment ref="Q69" authorId="2" shapeId="0" xr:uid="{C5763CCA-5CC0-4BC9-B9EF-6C28BE3563BB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Dronevagt 08.00-12.00</t>
        </r>
      </text>
    </comment>
    <comment ref="AA69" authorId="4" shapeId="0" xr:uid="{DE40D85B-01CE-49CD-B100-670A90623DFB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L-Vagt på OA</t>
        </r>
      </text>
    </comment>
    <comment ref="AB69" authorId="0" shapeId="0" xr:uid="{0C69AB09-F306-47CC-A02E-3BA9AF01FDA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L-vagt</t>
        </r>
      </text>
    </comment>
    <comment ref="AC69" authorId="0" shapeId="0" xr:uid="{ACA69965-4D5A-4B16-9C19-676109326D4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79-vagt</t>
        </r>
      </text>
    </comment>
    <comment ref="M70" authorId="6" shapeId="0" xr:uid="{4857E117-11FD-4DAB-A411-4E558D19771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Kjeld</t>
        </r>
      </text>
    </comment>
    <comment ref="N70" authorId="6" shapeId="0" xr:uid="{8A3B03E9-6374-4088-851A-2125A1235AE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Kjeld
79 vagt 14.00-16.00 OA</t>
        </r>
      </text>
    </comment>
    <comment ref="O70" authorId="6" shapeId="0" xr:uid="{9398CF6E-7942-46CA-9B04-AA744BA6DBD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Kjeld</t>
        </r>
      </text>
    </comment>
    <comment ref="E72" authorId="6" shapeId="0" xr:uid="{F7A7DA2C-DAA5-4FFE-B3FB-BE374443AB7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F72" authorId="6" shapeId="0" xr:uid="{9CC759B3-81E1-498B-87C5-65F60E5E5FA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M72" authorId="6" shapeId="0" xr:uid="{C9BAD85C-858A-4803-82D2-164FF254E34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Køreprøve</t>
        </r>
      </text>
    </comment>
    <comment ref="R72" authorId="3" shapeId="0" xr:uid="{E7347D57-BF6C-454A-A315-48866706FA79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S72" authorId="3" shapeId="0" xr:uid="{1735F574-B031-488A-802D-3763EBCCA44E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T72" authorId="3" shapeId="0" xr:uid="{0096E48C-26C1-4BC8-9C8E-875252DBDDBF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U72" authorId="3" shapeId="0" xr:uid="{F32616FE-DFF4-4315-9F0F-ED1597F8EB6F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V72" authorId="3" shapeId="0" xr:uid="{D98EDE9D-C1A5-40BE-8132-95F9E5D5938F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Y77" authorId="0" shapeId="0" xr:uid="{5D9E1EDC-53DE-4E68-93CF-BFF3F3809A2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Kjeld</t>
        </r>
      </text>
    </comment>
    <comment ref="E78" authorId="0" shapeId="0" xr:uid="{B3AA2BF6-C4FF-44A7-94B1-74F3FC2386A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89-vagt på oa</t>
        </r>
      </text>
    </comment>
    <comment ref="F78" authorId="0" shapeId="0" xr:uid="{57E29DA6-46F8-45A3-968A-2505A044256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griffen oa 9-13</t>
        </r>
      </text>
    </comment>
    <comment ref="K78" authorId="3" shapeId="0" xr:uid="{A7ECDA43-2948-4486-B9D2-CFF13E7EC922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lyongade 14.00-15.00 OA
Ekstravagt</t>
        </r>
      </text>
    </comment>
    <comment ref="Y78" authorId="0" shapeId="0" xr:uid="{5464BE08-8631-4292-ADE5-B0D12232AE0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Svanevej fra kl. 13 oa</t>
        </r>
      </text>
    </comment>
    <comment ref="AC78" authorId="4" shapeId="0" xr:uid="{B9F53553-BB14-418A-9146-76E396F3F25B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P-vagt på OA</t>
        </r>
      </text>
    </comment>
    <comment ref="AF78" authorId="0" shapeId="0" xr:uid="{08202ED1-95FD-44BE-A567-388BF887D58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Mjølnerparken + Bellahøjhallerne 15.30-20.00</t>
        </r>
      </text>
    </comment>
    <comment ref="K79" authorId="0" shapeId="0" xr:uid="{4309FA0D-45BC-4E6E-B77C-94481206B8C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Mjølnerparken</t>
        </r>
      </text>
    </comment>
    <comment ref="D82" authorId="9" shapeId="0" xr:uid="{209A8133-E835-4B41-A8FA-2B078FBAAD47}">
      <text>
        <t>[Threaded comment]
Your version of Excel allows you to read this threaded comment; however, any edits to it will get removed if the file is opened in a newer version of Excel. Learn more: https://go.microsoft.com/fwlink/?linkid=870924
Comment:
    Tager kørekort</t>
      </text>
    </comment>
    <comment ref="E82" authorId="10" shapeId="0" xr:uid="{9A68C7C4-B115-4A9D-B86D-9BD3F87FCB0C}">
      <text>
        <t>[Threaded comment]
Your version of Excel allows you to read this threaded comment; however, any edits to it will get removed if the file is opened in a newer version of Excel. Learn more: https://go.microsoft.com/fwlink/?linkid=870924
Comment:
    Tager kørekort</t>
      </text>
    </comment>
    <comment ref="F82" authorId="11" shapeId="0" xr:uid="{D9F99C7F-3A59-41AC-B23E-F2CBFB18CA34}">
      <text>
        <t>[Threaded comment]
Your version of Excel allows you to read this threaded comment; however, any edits to it will get removed if the file is opened in a newer version of Excel. Learn more: https://go.microsoft.com/fwlink/?linkid=870924
Comment:
    Tager kørekort</t>
      </text>
    </comment>
    <comment ref="G82" authorId="12" shapeId="0" xr:uid="{C2CCB8A8-1462-4C0D-B4CB-E1C449879BC0}">
      <text>
        <t>[Threaded comment]
Your version of Excel allows you to read this threaded comment; however, any edits to it will get removed if the file is opened in a newer version of Excel. Learn more: https://go.microsoft.com/fwlink/?linkid=870924
Comment:
    Tager kørekort</t>
      </text>
    </comment>
    <comment ref="H82" authorId="13" shapeId="0" xr:uid="{63833DFA-8826-44DA-B1D6-CFE33953C621}">
      <text>
        <t>[Threaded comment]
Your version of Excel allows you to read this threaded comment; however, any edits to it will get removed if the file is opened in a newer version of Excel. Learn more: https://go.microsoft.com/fwlink/?linkid=870924
Comment:
    Tager kørekort</t>
      </text>
    </comment>
    <comment ref="K82" authorId="14" shapeId="0" xr:uid="{743AB70D-846D-4358-8525-57F88EABC2EB}">
      <text>
        <t>[Threaded comment]
Your version of Excel allows you to read this threaded comment; however, any edits to it will get removed if the file is opened in a newer version of Excel. Learn more: https://go.microsoft.com/fwlink/?linkid=870924
Comment:
    Tager kørekort</t>
      </text>
    </comment>
    <comment ref="L82" authorId="15" shapeId="0" xr:uid="{2287596E-739F-4653-8803-51D5B6CE674F}">
      <text>
        <t>[Threaded comment]
Your version of Excel allows you to read this threaded comment; however, any edits to it will get removed if the file is opened in a newer version of Excel. Learn more: https://go.microsoft.com/fwlink/?linkid=870924
Comment:
    Tager kørekort</t>
      </text>
    </comment>
    <comment ref="M82" authorId="16" shapeId="0" xr:uid="{E7C1D13C-E645-4C85-9149-FB6BB5FFB434}">
      <text>
        <t>[Threaded comment]
Your version of Excel allows you to read this threaded comment; however, any edits to it will get removed if the file is opened in a newer version of Excel. Learn more: https://go.microsoft.com/fwlink/?linkid=870924
Comment:
    Tager kørekort</t>
      </text>
    </comment>
    <comment ref="N82" authorId="17" shapeId="0" xr:uid="{99A01020-BAF7-48E2-96F2-323129AB6014}">
      <text>
        <t>[Threaded comment]
Your version of Excel allows you to read this threaded comment; however, any edits to it will get removed if the file is opened in a newer version of Excel. Learn more: https://go.microsoft.com/fwlink/?linkid=870924
Comment:
    Tager kørekort</t>
      </text>
    </comment>
    <comment ref="O82" authorId="18" shapeId="0" xr:uid="{2903EEDA-605D-452B-AA09-DE04F1E4D139}">
      <text>
        <t>[Threaded comment]
Your version of Excel allows you to read this threaded comment; however, any edits to it will get removed if the file is opened in a newer version of Excel. Learn more: https://go.microsoft.com/fwlink/?linkid=870924
Comment:
    Tager kørekort</t>
      </text>
    </comment>
    <comment ref="R82" authorId="19" shapeId="0" xr:uid="{BDA4EB71-1797-46AB-9D98-97F61C2109B8}">
      <text>
        <t>[Threaded comment]
Your version of Excel allows you to read this threaded comment; however, any edits to it will get removed if the file is opened in a newer version of Excel. Learn more: https://go.microsoft.com/fwlink/?linkid=870924
Comment:
    Tager kørekort</t>
      </text>
    </comment>
    <comment ref="S82" authorId="20" shapeId="0" xr:uid="{ADD0124C-72AF-47EA-BC55-6B060974B227}">
      <text>
        <t>[Threaded comment]
Your version of Excel allows you to read this threaded comment; however, any edits to it will get removed if the file is opened in a newer version of Excel. Learn more: https://go.microsoft.com/fwlink/?linkid=870924
Comment:
    Tager kørekort</t>
      </text>
    </comment>
    <comment ref="T82" authorId="21" shapeId="0" xr:uid="{55197711-9F96-44C2-9C21-C502BD568552}">
      <text>
        <t>[Threaded comment]
Your version of Excel allows you to read this threaded comment; however, any edits to it will get removed if the file is opened in a newer version of Excel. Learn more: https://go.microsoft.com/fwlink/?linkid=870924
Comment:
    Tager kørekort</t>
      </text>
    </comment>
    <comment ref="AF86" authorId="0" shapeId="0" xr:uid="{784F1482-64FD-4A6E-9DD1-92091857928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D87" authorId="0" shapeId="0" xr:uid="{893440AC-E1C5-4D18-9679-1EAECD41480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E87" authorId="0" shapeId="0" xr:uid="{7511D6E3-1FAA-4772-AB33-C74932E4F49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F87" authorId="0" shapeId="0" xr:uid="{5A76EA30-9DE1-46AC-B214-A09EAC7F59F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G87" authorId="0" shapeId="0" xr:uid="{124B5F38-F351-4F1B-954C-7DEA05E6CAE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H87" authorId="0" shapeId="0" xr:uid="{F157F049-2485-4F08-BD94-DCF9BB7A264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K87" authorId="0" shapeId="0" xr:uid="{49B7493F-2E3D-49BB-9501-9E729FE29C5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L87" authorId="0" shapeId="0" xr:uid="{462E5649-A81C-490B-AB58-CCEB85DDBD0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M87" authorId="0" shapeId="0" xr:uid="{45624EF5-93BE-4ED2-8A69-E9E1D5151FF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N87" authorId="0" shapeId="0" xr:uid="{54ACE422-E02E-4BA4-8C06-A417BB9B56B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O87" authorId="0" shapeId="0" xr:uid="{7E6DBA07-F80F-473F-B7C2-44F74170F9A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AF99" authorId="0" shapeId="0" xr:uid="{8DEB7F1F-2735-4EF8-AED5-D77F2E55E6A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4-vagt</t>
        </r>
      </text>
    </comment>
    <comment ref="D101" authorId="0" shapeId="0" xr:uid="{B61FE3C2-BEA6-4CBF-A2F4-136197A70DD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Ekstravagt lyongade 13-15</t>
        </r>
      </text>
    </comment>
    <comment ref="E101" authorId="22" shapeId="0" xr:uid="{B59534F5-EC0B-4127-9C5F-2D4291DF34CF}">
      <text>
        <t>[Threaded comment]
Your version of Excel allows you to read this threaded comment; however, any edits to it will get removed if the file is opened in a newer version of Excel. Learn more: https://go.microsoft.com/fwlink/?linkid=870924
Comment:
    Brønshøjvej på o/a</t>
      </text>
    </comment>
    <comment ref="H101" authorId="0" shapeId="0" xr:uid="{FDCB108E-9B3B-4726-9094-EDE35B2133A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Lyongade oa</t>
        </r>
      </text>
    </comment>
    <comment ref="Q101" authorId="2" shapeId="0" xr:uid="{19CB5691-F653-4749-984A-98C745DF09F0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Dronevagt 08.00-12.00</t>
        </r>
      </text>
    </comment>
    <comment ref="R101" authorId="0" shapeId="0" xr:uid="{F8CDA25F-68EE-4C2E-888A-A3E796A403D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Griffen</t>
        </r>
      </text>
    </comment>
    <comment ref="S101" authorId="0" shapeId="0" xr:uid="{783E1572-6E67-4A4B-89B5-03A8C5795EA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Griffen</t>
        </r>
      </text>
    </comment>
    <comment ref="T101" authorId="0" shapeId="0" xr:uid="{9AEB2695-C698-472E-98FE-2360FB250F0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Griffen</t>
        </r>
      </text>
    </comment>
    <comment ref="U101" authorId="0" shapeId="0" xr:uid="{E12EBFA7-520B-4925-B812-C3125284211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Griffen</t>
        </r>
      </text>
    </comment>
    <comment ref="V101" authorId="0" shapeId="0" xr:uid="{CCC66F3D-EB41-42BA-B02E-7D968A4F91F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Griffen</t>
        </r>
      </text>
    </comment>
    <comment ref="Y101" authorId="1" shapeId="0" xr:uid="{A29DB9B0-A1B6-4EB9-A786-7A21C84180A8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Ali OA M-vagt</t>
        </r>
      </text>
    </comment>
    <comment ref="Z101" authorId="0" shapeId="0" xr:uid="{8A76CBD3-17A2-4C3A-8AFC-C5BA820D266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M-vagt OA</t>
        </r>
      </text>
    </comment>
    <comment ref="G121" authorId="23" shapeId="0" xr:uid="{EB907017-B896-48AC-A191-02E2FCC1BF46}">
      <text>
        <t>[Threaded comment]
Your version of Excel allows you to read this threaded comment; however, any edits to it will get removed if the file is opened in a newer version of Excel. Learn more: https://go.microsoft.com/fwlink/?linkid=870924
Comment:
    Møder ca. 1000</t>
      </text>
    </comment>
    <comment ref="AB121" authorId="0" shapeId="0" xr:uid="{725B76A7-EA05-47DF-85DD-2D888C0F912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Møder 11:30</t>
        </r>
      </text>
    </comment>
    <comment ref="K122" authorId="6" shapeId="0" xr:uid="{109A6019-B2D1-424E-9037-8741D8EA0E7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Genoptræning møder ca. 0930.</t>
        </r>
      </text>
    </comment>
    <comment ref="N122" authorId="6" shapeId="0" xr:uid="{F0BDC1C6-522F-4DA6-A81F-B65AA7C87B6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Genoptræning går kl. 15.00</t>
        </r>
      </text>
    </comment>
    <comment ref="AF123" authorId="2" shapeId="0" xr:uid="{C8D73E91-FB09-4611-B8B2-AF9A09B11328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Bellahøjhallerne 15.30-20.00</t>
        </r>
      </text>
    </comment>
    <comment ref="Y150" authorId="24" shapeId="0" xr:uid="{C46C848B-B36C-4E94-9739-FECE8A55673B}">
      <text>
        <t>[Threaded comment]
Your version of Excel allows you to read this threaded comment; however, any edits to it will get removed if the file is opened in a newer version of Excel. Learn more: https://go.microsoft.com/fwlink/?linkid=870924
Comment:
    afs - 5 Timer</t>
      </text>
    </comment>
    <comment ref="F175" authorId="0" shapeId="0" xr:uid="{7E749A10-E1D6-405A-8D1A-9D83A09840C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Foa 9-13</t>
        </r>
      </text>
    </comment>
    <comment ref="G175" authorId="0" shapeId="0" xr:uid="{03F60030-F5A6-44E9-902A-52761E9617F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M175" authorId="0" shapeId="0" xr:uid="{78D753CE-D4CF-4F5A-BCC9-6E2FF282B09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foa kl: 9-13</t>
        </r>
      </text>
    </comment>
    <comment ref="R175" authorId="0" shapeId="0" xr:uid="{C04C33BB-FF93-4552-8183-7EE1A4BD1BA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S175" authorId="0" shapeId="0" xr:uid="{EA114D64-4DEE-45AE-A82E-D7E61645081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T175" authorId="0" shapeId="0" xr:uid="{CCB03A0A-1A2A-4381-9CBB-C18817BD8CB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U175" authorId="0" shapeId="0" xr:uid="{7648E0F4-7655-497F-968E-0E53B439FD1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V175" authorId="0" shapeId="0" xr:uid="{4065289F-BD4A-424F-9AEE-4B3D274CEB6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AA175" authorId="0" shapeId="0" xr:uid="{CEED29EA-D635-4BDB-A5C4-649CCE36164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AC175" authorId="0" shapeId="0" xr:uid="{3796383F-BB51-46AB-A7CF-232ED6B8FCD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intern flex</t>
        </r>
      </text>
    </comment>
    <comment ref="Y183" authorId="0" shapeId="0" xr:uid="{F7A0E4B6-A54A-45C9-8C14-60DC0A09D64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lægen kl. 13</t>
        </r>
      </text>
    </comment>
    <comment ref="R185" authorId="25" shapeId="0" xr:uid="{B9634DA8-911F-4F5E-9FCF-EBAB2BE3841C}">
      <text>
        <t>[Threaded comment]
Your version of Excel allows you to read this threaded comment; however, any edits to it will get removed if the file is opened in a newer version of Excel. Learn more: https://go.microsoft.com/fwlink/?linkid=870924
Comment:
    Går Til læge kl. 11.15</t>
      </text>
    </comment>
    <comment ref="R209" authorId="26" shapeId="0" xr:uid="{789F592E-19D6-4C90-A845-D8005FD3D4D5}">
      <text>
        <t>[Threaded comment]
Your version of Excel allows you to read this threaded comment; however, any edits to it will get removed if the file is opened in a newer version of Excel. Learn more: https://go.microsoft.com/fwlink/?linkid=870924
Comment:
    afd - 3 timer</t>
      </text>
    </comment>
    <comment ref="T212" authorId="27" shapeId="0" xr:uid="{55DADCBD-DC46-4125-AA53-6D52E58BCEEC}">
      <text>
        <t>[Threaded comment]
Your version of Excel allows you to read this threaded comment; however, any edits to it will get removed if the file is opened in a newer version of Excel. Learn more: https://go.microsoft.com/fwlink/?linkid=870924
Comment:
    afs - 2,5 time</t>
      </text>
    </comment>
    <comment ref="R285" authorId="28" shapeId="0" xr:uid="{BF9B80E6-46D5-4C00-99A9-222C5AC20CA0}">
      <text>
        <t>[Threaded comment]
Your version of Excel allows you to read this threaded comment; however, any edits to it will get removed if the file is opened in a newer version of Excel. Learn more: https://go.microsoft.com/fwlink/?linkid=870924
Comment:
    afs - 4 timer</t>
      </text>
    </comment>
    <comment ref="S285" authorId="29" shapeId="0" xr:uid="{841041B5-8DC0-4B5A-940F-7F8363783082}">
      <text>
        <t>[Threaded comment]
Your version of Excel allows you to read this threaded comment; however, any edits to it will get removed if the file is opened in a newer version of Excel. Learn more: https://go.microsoft.com/fwlink/?linkid=870924
Comment:
    adf - 1 time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 Bo Pedersen</author>
    <author>Steen Hertin</author>
    <author>marasm</author>
    <author>Nikolaj Langtin Pamhede</author>
    <author>Mathias Hartvig Morell Nielsen</author>
    <author>tc={AE8C6BD4-554A-4B16-A2D0-25878B3662CF}</author>
    <author>Flemming Nielsen</author>
    <author>Rasmus Sørensen</author>
  </authors>
  <commentList>
    <comment ref="I14" authorId="0" shapeId="0" xr:uid="{D9E2F139-E69A-439A-AA61-6564FC13D90B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OA fra 10-19 i st.18</t>
        </r>
      </text>
    </comment>
    <comment ref="P21" authorId="1" shapeId="0" xr:uid="{050FE024-81F2-4035-951D-621FD11AED8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Hospital</t>
        </r>
      </text>
    </comment>
    <comment ref="Q21" authorId="1" shapeId="0" xr:uid="{A617E71F-4B86-4109-8D38-392A6CFBBC9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Vanløsehallen 15.30-23.30</t>
        </r>
      </text>
    </comment>
    <comment ref="R21" authorId="1" shapeId="0" xr:uid="{220FDCAD-9DEA-4F97-A606-6C07754C922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Vanløsehallen 15.30-23.30</t>
        </r>
      </text>
    </comment>
    <comment ref="H22" authorId="1" shapeId="0" xr:uid="{F9933C2E-3DBB-417A-B39D-31DE6F9A651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Modtage dronningen Stormgade 20</t>
        </r>
      </text>
    </comment>
    <comment ref="M22" authorId="1" shapeId="0" xr:uid="{C4FC2047-D37F-453A-9B51-898C933191F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N22" authorId="1" shapeId="0" xr:uid="{E7F78747-FF4D-4A42-A33F-5DCBFD6167E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O22" authorId="1" shapeId="0" xr:uid="{C6A5D4AE-E159-4D0E-82AB-20591646F4B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P22" authorId="1" shapeId="0" xr:uid="{D0B8C22B-8092-4995-8765-03449AE6405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S22" authorId="1" shapeId="0" xr:uid="{35173C29-9A9B-4292-A20E-2E887055E47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T22" authorId="1" shapeId="0" xr:uid="{14EA37BE-1F51-4583-AFC0-FB9578BA915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U22" authorId="1" shapeId="0" xr:uid="{E70CB848-2838-4D61-B21D-B88528E5956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V22" authorId="1" shapeId="0" xr:uid="{CD60D46F-9E10-4098-A92A-4AF2AC99D42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W22" authorId="1" shapeId="0" xr:uid="{BF35539A-86BC-4060-B55F-5D5703A1426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L23" authorId="1" shapeId="0" xr:uid="{0768B629-98B6-4069-B87F-89374ADE580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M23" authorId="1" shapeId="0" xr:uid="{F7765DE5-D303-4B8F-8868-A33262AD6FC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N23" authorId="1" shapeId="0" xr:uid="{850FAFD7-050D-4028-9379-91437B34240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AC23" authorId="2" shapeId="0" xr:uid="{9C8EAD1C-0C6A-4F26-9231-122D1F6A99D7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Oplæring hos Dennis</t>
        </r>
      </text>
    </comment>
    <comment ref="AD23" authorId="2" shapeId="0" xr:uid="{2EFB3408-C496-4621-93D1-6E0A44BEF701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Oplæring hos Dennis</t>
        </r>
      </text>
    </comment>
    <comment ref="E37" authorId="1" shapeId="0" xr:uid="{ADDD9DBE-C7D3-4272-8885-B7ACC07EF39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Ryparken 15.00-23.30</t>
        </r>
      </text>
    </comment>
    <comment ref="H37" authorId="0" shapeId="0" xr:uid="{E6800BC2-8794-4928-9894-27130505E4ED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GLK</t>
        </r>
      </text>
    </comment>
    <comment ref="I37" authorId="0" shapeId="0" xr:uid="{0BEF5007-53AB-4284-9845-E11B9855E62B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GLK</t>
        </r>
      </text>
    </comment>
    <comment ref="J37" authorId="3" shapeId="0" xr:uid="{3FC5661C-4504-4AFF-A8D9-EDF62427F6BA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Ryparken 15.00 - 23.30</t>
        </r>
      </text>
    </comment>
    <comment ref="L37" authorId="1" shapeId="0" xr:uid="{5701C436-89D6-47BA-8344-1ECB395C9CA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i hjemløseenheden i stedet for 5-vagt
ryparken 15:00-23:30 oa</t>
        </r>
      </text>
    </comment>
    <comment ref="M37" authorId="1" shapeId="0" xr:uid="{A672BDE4-F5B6-43ED-A077-C447E9871A8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i hjemløseenheden i stedet for 5-vagt</t>
        </r>
      </text>
    </comment>
    <comment ref="N37" authorId="1" shapeId="0" xr:uid="{254032A7-F325-484F-A8DA-FB5A4841D0B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i hjemløseenheden i stedet for 5-vagt</t>
        </r>
      </text>
    </comment>
    <comment ref="O37" authorId="1" shapeId="0" xr:uid="{6FB3C93D-1408-4B8C-8936-F4D8DAF8136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i hjemløseenheden i stedet for 5-vagt</t>
        </r>
      </text>
    </comment>
    <comment ref="P37" authorId="1" shapeId="0" xr:uid="{E45EFA53-AB6B-4282-8CB1-1ED6DEB9FCB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i hjemløseenheden i stedet for 5-vagt</t>
        </r>
      </text>
    </comment>
    <comment ref="Q37" authorId="1" shapeId="0" xr:uid="{803F293F-DC38-4922-997B-8625F1CCC92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Ryparken 15.00-23.30</t>
        </r>
      </text>
    </comment>
    <comment ref="V42" authorId="4" shapeId="0" xr:uid="{C5A8A485-7EF5-467E-B8BA-73799BEB0F54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79-vagt oa</t>
        </r>
      </text>
    </comment>
    <comment ref="W42" authorId="4" shapeId="0" xr:uid="{4C8235F3-E7C3-400D-B184-D98F3877890E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79-vagt oa</t>
        </r>
      </text>
    </comment>
    <comment ref="Z45" authorId="1" shapeId="0" xr:uid="{BC168D8B-D8B6-45B9-9178-5D315E9C045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Ryparken 15.00-23.30</t>
        </r>
      </text>
    </comment>
    <comment ref="AA45" authorId="1" shapeId="0" xr:uid="{DD67141E-5242-475C-8BDB-86A6626CB15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Ryparken 15.00-23.30</t>
        </r>
      </text>
    </comment>
    <comment ref="AE45" authorId="1" shapeId="0" xr:uid="{B78DFA82-A118-44A8-8851-1D867C34765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Ryparken 15.00-23.30</t>
        </r>
      </text>
    </comment>
    <comment ref="J62" authorId="4" shapeId="0" xr:uid="{4BCBC09D-B5E9-4920-9A34-9D039F99C78B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OA rådhuset fra 11.00-17.00</t>
        </r>
      </text>
    </comment>
    <comment ref="S62" authorId="1" shapeId="0" xr:uid="{BB54F524-C55D-401B-BE7E-10662078771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L-vagt på OA.</t>
        </r>
      </text>
    </comment>
    <comment ref="V62" authorId="1" shapeId="0" xr:uid="{E5BB9118-EC44-465C-9C6D-91675C20216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griffen kl. 10.00 oa.</t>
        </r>
      </text>
    </comment>
    <comment ref="E63" authorId="2" shapeId="0" xr:uid="{E7528BA0-FE23-4E8B-93DB-FE08EF09B960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K2 på oa</t>
        </r>
      </text>
    </comment>
    <comment ref="O63" authorId="1" shapeId="0" xr:uid="{4C450A1D-196C-4D06-9630-7162ED117D2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7-vagt oa.</t>
        </r>
      </text>
    </comment>
    <comment ref="E64" authorId="1" shapeId="0" xr:uid="{567027AD-97BC-41D4-B4EE-92C59FFF118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F64" authorId="1" shapeId="0" xr:uid="{27E7CAC5-E5C8-4501-97AC-6B2FD3C348F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G64" authorId="1" shapeId="0" xr:uid="{127EA138-D850-49DE-B837-4ED0097CBD1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H64" authorId="1" shapeId="0" xr:uid="{993E3311-C27E-430F-8BFC-FD6A6469490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I64" authorId="1" shapeId="0" xr:uid="{EF405970-4BE1-48E2-95BF-AEC9A201398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Z64" authorId="1" shapeId="0" xr:uid="{2DB82B61-A116-4842-9228-F21BAB447A5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Mjølnerparken</t>
        </r>
      </text>
    </comment>
    <comment ref="AA64" authorId="5" shapeId="0" xr:uid="{AE8C6BD4-554A-4B16-A2D0-25878B3662CF}">
      <text>
        <t>[Threaded comment]
Your version of Excel allows you to read this threaded comment; however, any edits to it will get removed if the file is opened in a newer version of Excel. Learn more: https://go.microsoft.com/fwlink/?linkid=870924
Comment:
    H-vagt på o/a</t>
      </text>
    </comment>
    <comment ref="V65" authorId="1" shapeId="0" xr:uid="{B46539A3-45DD-4673-9ADF-B5C56EE58EE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H-vagt på OA.</t>
        </r>
      </text>
    </comment>
    <comment ref="N66" authorId="1" shapeId="0" xr:uid="{037AA30F-5F3E-4F90-AC35-4526A2156E9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7-vagt på OA</t>
        </r>
      </text>
    </comment>
    <comment ref="E67" authorId="1" shapeId="0" xr:uid="{D3898E26-9916-442C-AA07-19E9372725C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F67" authorId="1" shapeId="0" xr:uid="{C6596783-47E0-4598-A6E5-2577245CBE5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G67" authorId="1" shapeId="0" xr:uid="{0A2A756F-85A5-40EF-A3D7-EC7A22DEC71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H67" authorId="1" shapeId="0" xr:uid="{45FCBE3C-FE05-4507-9764-81728CDEF00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I67" authorId="1" shapeId="0" xr:uid="{F3943A81-D71A-4BA4-B2B1-E6D77E974F4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Z67" authorId="1" shapeId="0" xr:uid="{1040534B-1F0A-4B78-9C6E-9AF06521A8E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AA67" authorId="1" shapeId="0" xr:uid="{259B5FC5-D043-4EC4-B8FA-FA9CDB1E1F1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AB67" authorId="1" shapeId="0" xr:uid="{DC25C633-8FDD-4FF0-AC03-3F5AE28E8C8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AC67" authorId="1" shapeId="0" xr:uid="{021C8E07-E17C-4AB7-9CB6-07A00BEE37B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AD67" authorId="1" shapeId="0" xr:uid="{F42D67C8-B384-4D97-B064-09D6A910800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I70" authorId="0" shapeId="0" xr:uid="{02A184B7-F4BC-4AFA-8E77-11B230E0B729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OA fra 10-19 i st.18</t>
        </r>
      </text>
    </comment>
    <comment ref="L70" authorId="1" shapeId="0" xr:uid="{40D906F0-DC31-4205-93F6-C292D54B62D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N70" authorId="1" shapeId="0" xr:uid="{CDB51B7C-0F3F-4816-96E3-A6A71F8C41A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h-VAGT FRA KL. 10.00</t>
        </r>
      </text>
    </comment>
    <comment ref="O70" authorId="1" shapeId="0" xr:uid="{191E9478-42B8-482F-95EA-464CF130CFC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P70" authorId="1" shapeId="0" xr:uid="{55E94502-0724-424B-A447-CD2ADCCB8C8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E72" authorId="1" shapeId="0" xr:uid="{9558D329-4DA6-4D15-9914-F7E0D4D5B64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F72" authorId="1" shapeId="0" xr:uid="{53305D7D-65C7-4BE5-83C7-AECC9E2FDD7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G72" authorId="1" shapeId="0" xr:uid="{E41DCE63-1EB0-49DA-98DF-9BEA7C837F7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H72" authorId="1" shapeId="0" xr:uid="{3656BC2B-97F2-4B9C-A1A9-362627A2D08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I72" authorId="1" shapeId="0" xr:uid="{FA0D85BE-CB4E-4C98-A50E-C2A9FCB7269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L72" authorId="1" shapeId="0" xr:uid="{C2CD004C-5290-4E62-ADF1-B3669587ECD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M72" authorId="1" shapeId="0" xr:uid="{D560EF13-86AD-4840-B66B-886CBC0681D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N72" authorId="1" shapeId="0" xr:uid="{40BB2DA2-8AAA-43DE-B023-2AAA984A98D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O72" authorId="1" shapeId="0" xr:uid="{736172CD-7976-4D1F-99F4-B73A98A06ED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P72" authorId="1" shapeId="0" xr:uid="{347E4222-AF32-4409-93D0-903F700640E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S72" authorId="1" shapeId="0" xr:uid="{4E269C47-2847-4B79-9392-7CC8F9285A4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T72" authorId="1" shapeId="0" xr:uid="{10D5D5AD-A76F-473B-8DBB-8BF99C1BF05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U72" authorId="1" shapeId="0" xr:uid="{8A68C94D-D2F9-429E-9203-EDA240C691A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V72" authorId="1" shapeId="0" xr:uid="{1A5AABBB-91D9-47C5-B1EC-83A518F781C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W72" authorId="1" shapeId="0" xr:uid="{7E261FFB-748A-4A1A-AB07-10E90CF7592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Z72" authorId="1" shapeId="0" xr:uid="{9646D210-77E8-4E16-A0F6-0AD6BCEE48D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AA72" authorId="1" shapeId="0" xr:uid="{37061A1E-4B02-43E1-BF7B-86EE83E7B64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AB72" authorId="1" shapeId="0" xr:uid="{17FD8414-08C6-4E35-A761-47B34A19C6A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AC72" authorId="1" shapeId="0" xr:uid="{4D241DAA-D86F-4068-B479-FA7581AC9DB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AD72" authorId="1" shapeId="0" xr:uid="{E085A67E-8931-43E3-AA3A-33AF09E9A5B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E74" authorId="1" shapeId="0" xr:uid="{58D0FB0D-40E3-4ECF-9DB5-A9E5CD45559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Mjølnerparken</t>
        </r>
      </text>
    </comment>
    <comment ref="L74" authorId="1" shapeId="0" xr:uid="{D8287A96-5738-4690-ABB4-6DB503001CC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Mjølnerparken</t>
        </r>
      </text>
    </comment>
    <comment ref="N74" authorId="1" shapeId="0" xr:uid="{F764A0CF-0CD2-481C-B4EA-9B7DC4AD9A7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Dækker Hafrùn fra 11.30</t>
        </r>
      </text>
    </comment>
    <comment ref="S74" authorId="1" shapeId="0" xr:uid="{43E6ED01-BA40-43EA-8887-C06EEC9075C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Mjølnerparken</t>
        </r>
      </text>
    </comment>
    <comment ref="T74" authorId="1" shapeId="0" xr:uid="{0C02ECD6-D2E5-4B45-9B3F-89384C6639B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78" authorId="1" shapeId="0" xr:uid="{D3F903FC-3FC2-4115-A990-55A1A02D909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Går kl 15.00</t>
        </r>
      </text>
    </comment>
    <comment ref="AB78" authorId="0" shapeId="0" xr:uid="{AB41FE97-21B3-4DAF-867B-33E16BDC167A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Skal gå til læge kl.15.30
</t>
        </r>
      </text>
    </comment>
    <comment ref="E80" authorId="6" shapeId="0" xr:uid="{8AEFEE89-F7C1-4B12-BC75-00692CF4BFBA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F80" authorId="6" shapeId="0" xr:uid="{B207996B-0336-45A8-BB3A-3EC6F4146EB6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G80" authorId="6" shapeId="0" xr:uid="{9C208602-EC01-434B-A980-40E74B84B6A1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H80" authorId="6" shapeId="0" xr:uid="{4AA11640-F075-440D-8E7C-57E1D95375E6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I80" authorId="6" shapeId="0" xr:uid="{82FC1C9F-7514-4984-8D1B-1B0B29DF0CF3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L80" authorId="6" shapeId="0" xr:uid="{5A99CD8E-A0E9-4AEB-B681-9FDA38F58674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M80" authorId="6" shapeId="0" xr:uid="{372A5A43-D637-4D0F-94A0-7E6C73FD75E5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N80" authorId="6" shapeId="0" xr:uid="{0399C9F4-138C-40A1-B32F-14D56E29CE66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O80" authorId="6" shapeId="0" xr:uid="{C66DB204-2580-4539-A816-CBE8C832F62F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P80" authorId="6" shapeId="0" xr:uid="{03681A8F-1FB2-4058-82BE-5381C0F78DFD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S80" authorId="6" shapeId="0" xr:uid="{942D827E-6BB2-4FE0-852C-90B30A473870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T80" authorId="6" shapeId="0" xr:uid="{F927718C-B8D5-49CE-A611-956308E99FF3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U80" authorId="6" shapeId="0" xr:uid="{B529BE60-C7E7-49F0-B890-7AF98297CBEF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V80" authorId="6" shapeId="0" xr:uid="{2F351747-B663-4EF4-95F8-BE39A4D16216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W80" authorId="6" shapeId="0" xr:uid="{082F0D7C-57E1-464C-A6CC-D9F125879254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Z80" authorId="6" shapeId="0" xr:uid="{5807515A-4E81-4469-9357-523385406C8C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AA80" authorId="6" shapeId="0" xr:uid="{346A91AD-235B-4163-8C5B-26E381A5E206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AB80" authorId="6" shapeId="0" xr:uid="{4A51BEC6-115A-485A-808B-D5D3808481FD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AC80" authorId="6" shapeId="0" xr:uid="{050A268F-08C1-4428-845D-7A5F49303F9D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AD80" authorId="6" shapeId="0" xr:uid="{3E12D580-1AA2-4CF6-B6B0-C46AD7C74E0D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S88" authorId="6" shapeId="0" xr:uid="{4A10CBE3-0CB2-45E8-9750-51E502AA1129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T88" authorId="6" shapeId="0" xr:uid="{E7FA7A6F-4900-4966-AD04-993BA15CAB03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U88" authorId="6" shapeId="0" xr:uid="{4EEAA0E8-8DCD-4005-8C2A-ABD43B834C38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V88" authorId="6" shapeId="0" xr:uid="{7EFB0173-6849-415F-B5F3-64B94DBABCB3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W88" authorId="6" shapeId="0" xr:uid="{BE2E830B-2D33-4B14-B4A2-17853BE2597A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Z88" authorId="6" shapeId="0" xr:uid="{289547AE-7222-45BC-8CA3-C7238B2B5CFC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AA88" authorId="6" shapeId="0" xr:uid="{92BCD29D-BC63-453F-97C4-8DA250E8E3C5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AB88" authorId="6" shapeId="0" xr:uid="{48FB8A54-C18C-4EF4-8AC9-C5F60AF3768F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AC88" authorId="6" shapeId="0" xr:uid="{9D27A4C1-6AA7-486B-8373-A29D449B41F4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AD88" authorId="6" shapeId="0" xr:uid="{51DE2A65-05A2-4708-828D-B1146F89FDCB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E100" authorId="1" shapeId="0" xr:uid="{C62EE15A-D327-4D42-9713-59B26B8CBE7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Griffen</t>
        </r>
      </text>
    </comment>
    <comment ref="C101" authorId="1" shapeId="0" xr:uid="{F13C44E2-5E16-4794-83A5-9B76F2BF84A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Ryparken idrætsanlæg 07.00-15.50 + Sundby idrætsanlæg 16.00-23.30</t>
        </r>
      </text>
    </comment>
    <comment ref="D101" authorId="1" shapeId="0" xr:uid="{0A926579-22AA-4DB0-A15A-C0E4C0CC302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Ryparken idrætsanlæg 07.00-15.50 + Sundby idrætsanlæg 16.00-23.30</t>
        </r>
      </text>
    </comment>
    <comment ref="E101" authorId="1" shapeId="0" xr:uid="{A4628BA4-2C01-4283-B49A-E93D360E6BE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Lyongade 09.00-15.00 OA ekstra mand</t>
        </r>
      </text>
    </comment>
    <comment ref="F101" authorId="1" shapeId="0" xr:uid="{C292D5F5-8D81-4E50-B156-17D5019078C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Lyongade 09.00-15.00 OA ekstra mand</t>
        </r>
      </text>
    </comment>
    <comment ref="G101" authorId="1" shapeId="0" xr:uid="{5BBDD09E-FD15-47B6-9C83-DAA8AB6EC15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Lyongade 09.00-15.00 OA ekstra mand</t>
        </r>
      </text>
    </comment>
    <comment ref="H101" authorId="1" shapeId="0" xr:uid="{C6E44FE9-5163-4C18-8873-6768A5BDAC3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Lyongade 13-18 ekstra mand</t>
        </r>
      </text>
    </comment>
    <comment ref="I101" authorId="1" shapeId="0" xr:uid="{9FDC2AF9-8941-4BC1-90C5-0E2999C304E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Lyongade 09.00-13.00 ekstra mand</t>
        </r>
      </text>
    </comment>
    <comment ref="L101" authorId="1" shapeId="0" xr:uid="{9CE7CE82-D21F-4191-BD63-CEE5DE248AD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Lyongade 09.00-15.00 OA ekstra mand</t>
        </r>
      </text>
    </comment>
    <comment ref="M101" authorId="1" shapeId="0" xr:uid="{0A609257-A912-4978-9780-19855514DBC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Lyongade 09.00-15.00 OA ekstra mand</t>
        </r>
      </text>
    </comment>
    <comment ref="N101" authorId="1" shapeId="0" xr:uid="{A739FC0C-33D1-477B-9784-E62BEF26B2A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Lyongade 09.00-15.00 OA ekstra mand</t>
        </r>
      </text>
    </comment>
    <comment ref="O101" authorId="1" shapeId="0" xr:uid="{EECDB1EE-BF5D-4FD2-AE7E-2B056470A7B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09.00-18.45 Afløse Simon</t>
        </r>
      </text>
    </comment>
    <comment ref="P101" authorId="1" shapeId="0" xr:uid="{7C85E34B-7D57-4F82-BBC3-553EA8FCF2C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Lyongade 09.00-13.00 ekstra mand</t>
        </r>
      </text>
    </comment>
    <comment ref="R101" authorId="1" shapeId="0" xr:uid="{6D93B617-9194-4003-8773-82B7168258A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Ryparken 15.00-23.30</t>
        </r>
      </text>
    </comment>
    <comment ref="AC101" authorId="1" shapeId="0" xr:uid="{89512A83-5E46-4030-B2C5-E6EE8EB4648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Ryparken 15.00-23.30</t>
        </r>
      </text>
    </comment>
    <comment ref="AE101" authorId="7" shapeId="0" xr:uid="{E5537392-E09F-48A1-AA68-DC4BBF932B8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Bellahøjhallen 
14:30-23:30</t>
        </r>
      </text>
    </comment>
    <comment ref="G121" authorId="1" shapeId="0" xr:uid="{BE801D58-2987-4089-B3F2-0CBD14B0405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H121" authorId="1" shapeId="0" xr:uid="{F6BB72DE-3005-404D-871D-D6E5D0AC602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S121" authorId="1" shapeId="0" xr:uid="{10E4E455-DE17-488A-B9E6-9E3BB05F25C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T121" authorId="1" shapeId="0" xr:uid="{1CDD6D9A-8440-4A06-8666-7567D1B16C6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U121" authorId="1" shapeId="0" xr:uid="{694B235A-E7B7-4EE0-A6C5-5239C6604CA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V121" authorId="1" shapeId="0" xr:uid="{25CC637A-AE0D-43B2-8EE5-7BED0148B4E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W121" authorId="1" shapeId="0" xr:uid="{B4B9296B-E129-4C8C-A95A-ADFBE19CF9E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Z121" authorId="1" shapeId="0" xr:uid="{A189C9FD-308F-4E8C-9FC7-8B3756AD9DA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AA121" authorId="1" shapeId="0" xr:uid="{F374FAC4-D380-412E-A045-0CC5C4EA3BD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AB121" authorId="1" shapeId="0" xr:uid="{804B23B2-3E05-42FF-8418-45F5E58A623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AC121" authorId="1" shapeId="0" xr:uid="{63A7C32C-7B50-476B-B36A-5A171F37818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AD121" authorId="1" shapeId="0" xr:uid="{1999FC75-6F4B-4586-AC47-E22523F27C9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N122" authorId="1" shapeId="0" xr:uid="{D9DFB562-54AB-4C69-9685-19829F2AF8B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går kl.10</t>
        </r>
      </text>
    </comment>
    <comment ref="J123" authorId="6" shapeId="0" xr:uid="{6FCA1680-CEB7-4A12-BBA5-B19E7A60BDEA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Vanløsehallerne</t>
        </r>
      </text>
    </comment>
    <comment ref="K123" authorId="6" shapeId="0" xr:uid="{B7C1AF7E-B2FF-429E-855C-AD1063B1CD30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Vanløsehallerne</t>
        </r>
      </text>
    </comment>
    <comment ref="X123" authorId="7" shapeId="0" xr:uid="{BE99AD6D-086B-47F4-AD59-213D2DCD206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Bellahøjhallen 
14:30-23:30</t>
        </r>
      </text>
    </comment>
    <comment ref="Y123" authorId="7" shapeId="0" xr:uid="{E8F24C40-8FAD-44B1-91B4-AF3C85F1920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Bellahøjhallen 
14:30-23:30</t>
        </r>
      </text>
    </comment>
    <comment ref="L137" authorId="7" shapeId="0" xr:uid="{3B58226D-BEB6-4628-A1D2-603CDDF1BDB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21-vagt oa</t>
        </r>
      </text>
    </comment>
    <comment ref="P174" authorId="1" shapeId="0" xr:uid="{0EEE9E51-7221-42C1-9693-280EF842C51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Ryparken 15.00-23.30</t>
        </r>
      </text>
    </comment>
    <comment ref="Z174" authorId="1" shapeId="0" xr:uid="{87BE3DD1-D9CE-4959-AA7C-F035E8FE76F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Ryparken 15.30-23.30</t>
        </r>
      </text>
    </comment>
    <comment ref="K175" authorId="1" shapeId="0" xr:uid="{52991119-8CF3-42D0-AC31-01B8E7A9468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Ryparken 15.00-23.30</t>
        </r>
      </text>
    </comment>
    <comment ref="W175" authorId="1" shapeId="0" xr:uid="{0A4F6895-2D95-4C67-B1EF-79B3675F57A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Ryparken 15.00-23.30</t>
        </r>
      </text>
    </comment>
    <comment ref="X175" authorId="1" shapeId="0" xr:uid="{EFD7B8A3-C685-4A08-AE99-AC61322CE1A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Ryparken 07-15.30</t>
        </r>
      </text>
    </comment>
    <comment ref="N179" authorId="1" shapeId="0" xr:uid="{AE43F723-CDE3-4400-ACE0-D77DAEC99D0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går kl.10</t>
        </r>
      </text>
    </comment>
    <comment ref="S179" authorId="1" shapeId="0" xr:uid="{397BD1BA-B880-4151-8A5F-13E799CDDA2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Tandlæge</t>
        </r>
      </text>
    </comment>
    <comment ref="Y179" authorId="1" shapeId="0" xr:uid="{B55435BF-C94A-40DC-A73B-DCF66168CC4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Ryparken 07-15.30</t>
        </r>
      </text>
    </comment>
    <comment ref="N181" authorId="1" shapeId="0" xr:uid="{99C7E8D3-B261-453D-A655-E1D657F3C5D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Går kl.11.30</t>
        </r>
      </text>
    </comment>
    <comment ref="G182" authorId="7" shapeId="0" xr:uid="{156D9702-78B5-4520-B15C-44568FEB71B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Går 12:30</t>
        </r>
      </text>
    </comment>
    <comment ref="H183" authorId="1" shapeId="0" xr:uid="{46B27CEC-FED9-4736-9815-57976341F83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Begravelse</t>
        </r>
      </text>
    </comment>
    <comment ref="P285" authorId="6" shapeId="0" xr:uid="{D2B9930A-B16D-4C5B-9512-47A0E61F6CC9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2 timer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Rasmus Sørensen</author>
    <author>Steen Hertin</author>
    <author>Kim Holm Aabroe</author>
    <author>Thomas Holm</author>
    <author>tc={F9BA4EA5-B6A7-44F9-A156-07390224E014}</author>
    <author>Michael Bo Pedersen</author>
    <author>tc={E732BFC9-8894-4406-87B3-0174FB2E2761}</author>
    <author>tc={4291685E-75D8-4FC2-BFB4-453B622D8DBB}</author>
    <author>Flemming Nielsen</author>
    <author>tc={3C0005CD-DF04-43DF-B3C6-FE1DE3EAF6B2}</author>
    <author>tc={FD95AAC0-3A2B-446D-B5EE-CF8265A0DE5F}</author>
  </authors>
  <commentList>
    <comment ref="E12" authorId="0" shapeId="0" xr:uid="{0188316C-6B2B-453C-A684-40FAE294CC2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Betjentvagt med Rasmus</t>
        </r>
      </text>
    </comment>
    <comment ref="X12" authorId="1" shapeId="0" xr:uid="{41BD7C17-5CBE-46B8-8FBA-18691633389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 Brian og Johnny når de er til læge.</t>
        </r>
      </text>
    </comment>
    <comment ref="AD12" authorId="1" shapeId="0" xr:uid="{1B20CAD9-2D19-4086-9056-2DF6BAEF7C6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Dækker vagthavende </t>
        </r>
      </text>
    </comment>
    <comment ref="T15" authorId="2" shapeId="0" xr:uid="{212DFEB9-1CC9-406B-B80F-0649DE8C542E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bellahøj hallen OA</t>
        </r>
      </text>
    </comment>
    <comment ref="D17" authorId="3" shapeId="0" xr:uid="{AB620D77-CEFE-461A-B84E-E167D8F26D4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Britiske ambassade
seminar</t>
        </r>
      </text>
    </comment>
    <comment ref="F17" authorId="3" shapeId="0" xr:uid="{8D1455EA-B102-498F-AA58-524B5CE06550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Bellahøjhallerne</t>
        </r>
      </text>
    </comment>
    <comment ref="AD20" authorId="1" shapeId="0" xr:uid="{2338F2AF-FBB4-46C0-A0A3-165794BD6FB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Dækker vagthavende </t>
        </r>
      </text>
    </comment>
    <comment ref="C21" authorId="3" shapeId="0" xr:uid="{16408471-CBB9-4026-B099-24CD3DDAC688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Bellahøjhallerne 15.30-20.00</t>
        </r>
      </text>
    </comment>
    <comment ref="D21" authorId="3" shapeId="0" xr:uid="{31F8D26C-827F-4686-B4EC-DC347C5F68B1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Britiske ambassade
seminar </t>
        </r>
      </text>
    </comment>
    <comment ref="E21" authorId="0" shapeId="0" xr:uid="{5B3C8FD8-DAB7-440E-930E-CE511DFDBD3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Betjentvagt med flemming</t>
        </r>
      </text>
    </comment>
    <comment ref="J21" authorId="0" shapeId="0" xr:uid="{866D1B1E-3248-4196-B20F-F32AEA29779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C40</t>
        </r>
      </text>
    </comment>
    <comment ref="K21" authorId="0" shapeId="0" xr:uid="{942A14E3-0978-4B60-9666-AC79E5BBC16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C40</t>
        </r>
      </text>
    </comment>
    <comment ref="L21" authorId="0" shapeId="0" xr:uid="{F62B5FE8-4163-4E54-82DC-30DCDC53D24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C40</t>
        </r>
      </text>
    </comment>
    <comment ref="P21" authorId="0" shapeId="0" xr:uid="{5BFEA590-C457-4738-B650-9CBFFD11784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Mjølnerparken</t>
        </r>
      </text>
    </comment>
    <comment ref="Z21" authorId="1" shapeId="0" xr:uid="{410C71FF-7FBA-4585-977E-0B4B65068D5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 i2</t>
        </r>
      </text>
    </comment>
    <comment ref="AA21" authorId="1" shapeId="0" xr:uid="{96434AEE-5B5B-4EDE-96B5-07332863219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 i2</t>
        </r>
      </text>
    </comment>
    <comment ref="T37" authorId="4" shapeId="0" xr:uid="{F9BA4EA5-B6A7-44F9-A156-07390224E014}">
      <text>
        <t>[Threaded comment]
Your version of Excel allows you to read this threaded comment; however, any edits to it will get removed if the file is opened in a newer version of Excel. Learn more: https://go.microsoft.com/fwlink/?linkid=870924
Comment:
    23-0715</t>
      </text>
    </comment>
    <comment ref="Y37" authorId="0" shapeId="0" xr:uid="{2E6EDCC7-08EB-45A3-9BC4-9CB71EDA9D8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10-vagt på oa</t>
        </r>
      </text>
    </comment>
    <comment ref="T38" authorId="1" shapeId="0" xr:uid="{DD6FB952-1EAE-4BDF-B2BF-E1A112EC1F4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Hjemløseenheden</t>
        </r>
      </text>
    </comment>
    <comment ref="W38" authorId="1" shapeId="0" xr:uid="{DBA0A1AB-7006-4729-B188-9CB23186452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Hjemløseenheden</t>
        </r>
      </text>
    </comment>
    <comment ref="X38" authorId="1" shapeId="0" xr:uid="{BA10EA9A-804D-4ADA-A57F-D2E7D2B258F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Hjemløseenheden</t>
        </r>
      </text>
    </comment>
    <comment ref="Y38" authorId="1" shapeId="0" xr:uid="{1AEB9F26-934B-4B2A-8C68-8833FD50E88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Hjemløseenheden</t>
        </r>
      </text>
    </comment>
    <comment ref="Z38" authorId="1" shapeId="0" xr:uid="{BAC9E4F8-6EE1-4D61-A09E-99086BA2C09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Hjemløseenheden</t>
        </r>
      </text>
    </comment>
    <comment ref="AA38" authorId="1" shapeId="0" xr:uid="{CF657251-9FDE-448A-8363-A10C4710DAF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Hjemløseenheden</t>
        </r>
      </text>
    </comment>
    <comment ref="AD38" authorId="1" shapeId="0" xr:uid="{F3DE907D-22DD-4B6D-9BC0-80CD9EE1565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Hjemløseenheden</t>
        </r>
      </text>
    </comment>
    <comment ref="AE38" authorId="1" shapeId="0" xr:uid="{4E65694D-5B2F-4DCD-8150-6A704D96B9B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Hjemløseenheden</t>
        </r>
      </text>
    </comment>
    <comment ref="AF38" authorId="1" shapeId="0" xr:uid="{0764CA23-5B31-40C3-9389-4C3BC6F9415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Hjemløseenheden</t>
        </r>
      </text>
    </comment>
    <comment ref="AG38" authorId="1" shapeId="0" xr:uid="{B0B277D4-1B27-4D9C-84C2-0DC4BC10120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Hjemløseenheden</t>
        </r>
      </text>
    </comment>
    <comment ref="P41" authorId="0" shapeId="0" xr:uid="{44C2E90F-723B-4E55-B3C5-E88628D5C04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Omlagt tjeneste</t>
        </r>
      </text>
    </comment>
    <comment ref="Q41" authorId="0" shapeId="0" xr:uid="{81808078-D768-4DCE-80F7-7A99F3D67F6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Omlagt tjeneste</t>
        </r>
      </text>
    </comment>
    <comment ref="R41" authorId="0" shapeId="0" xr:uid="{B3B28396-4B55-46BC-8F23-9AD4C761745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Omlagt tjeneste</t>
        </r>
      </text>
    </comment>
    <comment ref="S41" authorId="0" shapeId="0" xr:uid="{9FF78C26-4C3A-4A20-BC5C-93B0E1FA599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Omlagt tjeneste</t>
        </r>
      </text>
    </comment>
    <comment ref="AD41" authorId="1" shapeId="0" xr:uid="{B03721B0-D76C-4B8A-8AEB-1BF54A39BD6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AE41" authorId="1" shapeId="0" xr:uid="{B5B0F842-A378-4926-AD57-7369F6F6E36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AF41" authorId="1" shapeId="0" xr:uid="{9A87438E-644C-4158-BB7E-1D8618B0624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AG41" authorId="1" shapeId="0" xr:uid="{A31E0F2D-4989-4700-902D-32CE6251161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AB43" authorId="0" shapeId="0" xr:uid="{4403B7CA-BFEA-4DAA-A523-851757320EF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gået syg hjem</t>
        </r>
      </text>
    </comment>
    <comment ref="R45" authorId="1" shapeId="0" xr:uid="{400ED88F-2B0B-45AF-8C98-C6085B692EC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Bellahøj 15.30-20.00</t>
        </r>
      </text>
    </comment>
    <comment ref="Q65" authorId="2" shapeId="0" xr:uid="{3951FC3B-66D8-4B14-8284-66F3C504DA52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9-vagt</t>
        </r>
      </text>
    </comment>
    <comment ref="R65" authorId="2" shapeId="0" xr:uid="{9C726676-7E64-4DF1-9608-12798F8D9E68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9-vagt</t>
        </r>
      </text>
    </comment>
    <comment ref="S65" authorId="2" shapeId="0" xr:uid="{184DE977-5C0E-4B21-8AEE-C9B8C3A3FF29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9-vagt</t>
        </r>
      </text>
    </comment>
    <comment ref="W65" authorId="0" shapeId="0" xr:uid="{F9771045-0C85-43CB-8E72-0CE7AD91DE0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Mjølnerparken
9-vagt på oa</t>
        </r>
      </text>
    </comment>
    <comment ref="X65" authorId="2" shapeId="0" xr:uid="{AB8E2681-484E-409E-A4A9-CCD2F6E13740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10-vagt OA</t>
        </r>
      </text>
    </comment>
    <comment ref="I67" authorId="1" shapeId="0" xr:uid="{798989A0-D0FD-4F98-9FAB-A2AC108EDBD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Bellahøj OA</t>
        </r>
      </text>
    </comment>
    <comment ref="P67" authorId="1" shapeId="0" xr:uid="{0CFD0CD2-E60C-44E0-82AD-857BBD9F0EE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Bellahøj 15.30-20.00</t>
        </r>
      </text>
    </comment>
    <comment ref="Q67" authorId="1" shapeId="0" xr:uid="{6276729A-6EE2-409F-976C-D89BBD54EAE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Bellahøj 15.30-20.00</t>
        </r>
      </text>
    </comment>
    <comment ref="I69" authorId="1" shapeId="0" xr:uid="{46C79059-8D27-49E7-B0C0-6C007D8D4CE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Kun dagvagt</t>
        </r>
      </text>
    </comment>
    <comment ref="W69" authorId="1" shapeId="0" xr:uid="{0BD08B1C-E994-4176-88C4-660585CA61C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Bellahøjhallen 15.00-20.00</t>
        </r>
      </text>
    </comment>
    <comment ref="X69" authorId="1" shapeId="0" xr:uid="{3F33669A-29B3-4F8F-9406-CA7AFFC1CE5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Bellahøjhallen 15.00-20.00</t>
        </r>
      </text>
    </comment>
    <comment ref="Y69" authorId="1" shapeId="0" xr:uid="{8A898C00-3B90-42BB-BE0E-4E561066992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Bellahøjhallen 15.00-20.00</t>
        </r>
      </text>
    </comment>
    <comment ref="Z69" authorId="1" shapeId="0" xr:uid="{4A9B1EB4-24BA-4EE0-8640-7D3A967FE6C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Bellahøjhallen 15.00-20.00</t>
        </r>
      </text>
    </comment>
    <comment ref="AA69" authorId="1" shapeId="0" xr:uid="{0B10B711-543E-48E8-8721-160836DDA1C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Bellahøjhallen 15.00-20.00</t>
        </r>
      </text>
    </comment>
    <comment ref="AD69" authorId="0" shapeId="0" xr:uid="{799117E7-62C2-43C7-9787-16DB2605320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Mjølnerparken</t>
        </r>
      </text>
    </comment>
    <comment ref="I70" authorId="0" shapeId="0" xr:uid="{ADCBBABD-B193-4FEE-9228-1AF19C5BD8F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kjeld</t>
        </r>
      </text>
    </comment>
    <comment ref="J70" authorId="0" shapeId="0" xr:uid="{906B9967-CFE4-4892-BE8B-E4879C310C0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kjeld</t>
        </r>
      </text>
    </comment>
    <comment ref="K70" authorId="0" shapeId="0" xr:uid="{D7248C74-A204-468A-A7F9-32011315FCC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kjeld</t>
        </r>
      </text>
    </comment>
    <comment ref="L70" authorId="0" shapeId="0" xr:uid="{3CA747CE-EF18-4F41-B2B3-9AF3587A05A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kjeld</t>
        </r>
      </text>
    </comment>
    <comment ref="M70" authorId="0" shapeId="0" xr:uid="{91E7E253-2CB7-4282-9443-854F7CB0D88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kjeld</t>
        </r>
      </text>
    </comment>
    <comment ref="P70" authorId="0" shapeId="0" xr:uid="{DA53BD4A-35C9-400D-BB15-F0BFE822E05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kjeld+ 4-vagt</t>
        </r>
      </text>
    </comment>
    <comment ref="Q70" authorId="0" shapeId="0" xr:uid="{6CBD4BD9-345E-4634-AF02-47431218716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kjeld+ 3-vagt</t>
        </r>
      </text>
    </comment>
    <comment ref="R70" authorId="0" shapeId="0" xr:uid="{17FDD459-F48D-4548-A85D-B46232F2446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kjeld+ 3-vagt</t>
        </r>
      </text>
    </comment>
    <comment ref="S70" authorId="0" shapeId="0" xr:uid="{55026666-76D9-4F9C-A415-3AFDFD178AD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kjeld+ 3-vagt</t>
        </r>
      </text>
    </comment>
    <comment ref="T70" authorId="2" shapeId="0" xr:uid="{AA270FC4-9473-459E-8D24-5EF8B9FF15D9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3-vagt OA</t>
        </r>
      </text>
    </comment>
    <comment ref="W70" authorId="0" shapeId="0" xr:uid="{A0B766F6-6736-4F81-8842-94331BE83ED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kjeld på oa</t>
        </r>
      </text>
    </comment>
    <comment ref="X70" authorId="0" shapeId="0" xr:uid="{2527996C-4E71-4C2F-A932-A83060CD4163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kjeld på oa</t>
        </r>
      </text>
    </comment>
    <comment ref="Y70" authorId="0" shapeId="0" xr:uid="{1609487A-157E-4804-B595-C6B0308AB9D3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kjeld</t>
        </r>
      </text>
    </comment>
    <comment ref="Z70" authorId="0" shapeId="0" xr:uid="{BF29943E-604B-4BEE-80DE-F133BA896F3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kjeld </t>
        </r>
      </text>
    </comment>
    <comment ref="AA70" authorId="0" shapeId="0" xr:uid="{A6849564-1FA0-4854-AFA1-ECD5E29BD7E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kjeld  skal gå kl. 12.00</t>
        </r>
      </text>
    </comment>
    <comment ref="AD70" authorId="0" shapeId="0" xr:uid="{91D166F6-19D4-45CC-8D2E-94DF273FD86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Bellahøjhallen</t>
        </r>
      </text>
    </comment>
    <comment ref="AE70" authorId="0" shapeId="0" xr:uid="{2F022C62-E127-47F7-941F-F26974BEBDB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Bellahøjhallen</t>
        </r>
      </text>
    </comment>
    <comment ref="AF70" authorId="0" shapeId="0" xr:uid="{9628CF89-03C1-4976-AD8A-8BB4B2F89BC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Bellahøjhallen</t>
        </r>
      </text>
    </comment>
    <comment ref="AG70" authorId="0" shapeId="0" xr:uid="{50B4F302-E5D6-474A-A92A-BB4DDD8B738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Bellahøjhallen</t>
        </r>
      </text>
    </comment>
    <comment ref="C71" authorId="3" shapeId="0" xr:uid="{A7DDF517-68C5-4BDF-B927-DFDF9AC22F40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Bellahøjhallerne</t>
        </r>
      </text>
    </comment>
    <comment ref="D71" authorId="3" shapeId="0" xr:uid="{FF3DF673-FA7A-4D7F-9678-8B472175AC4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Bellahøjhallerne</t>
        </r>
      </text>
    </comment>
    <comment ref="E71" authorId="3" shapeId="0" xr:uid="{5F31A592-ED3F-4923-9856-0AD06F8BA513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Bellahøjhallerne</t>
        </r>
      </text>
    </comment>
    <comment ref="I71" authorId="1" shapeId="0" xr:uid="{2E2589D6-91F7-492A-BE7F-FABC72BF3B4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Bellahøhallenj  </t>
        </r>
      </text>
    </comment>
    <comment ref="J71" authorId="1" shapeId="0" xr:uid="{9B1542E0-B714-4F0B-9195-C38482EBE1C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Bellahøhallenj  </t>
        </r>
      </text>
    </comment>
    <comment ref="K71" authorId="1" shapeId="0" xr:uid="{AA9B4495-E19D-4444-87E6-79EF17E391D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Bellahøhallenj  </t>
        </r>
      </text>
    </comment>
    <comment ref="L71" authorId="1" shapeId="0" xr:uid="{187852A8-09F2-4371-9EAC-54D57A6F553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Bellahøhallenj  </t>
        </r>
      </text>
    </comment>
    <comment ref="M71" authorId="1" shapeId="0" xr:uid="{E2CC0E8F-D767-4F62-884C-CCEB669DB4C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Bellahøhallenj  </t>
        </r>
      </text>
    </comment>
    <comment ref="J72" authorId="1" shapeId="0" xr:uid="{E9093451-72C5-4E85-868F-78FAE0BF944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Bellahøhallenj  </t>
        </r>
      </text>
    </comment>
    <comment ref="K72" authorId="1" shapeId="0" xr:uid="{17A703CD-8787-4CFE-952C-FC3BC7ED076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Bellahøhallenj  </t>
        </r>
      </text>
    </comment>
    <comment ref="L72" authorId="1" shapeId="0" xr:uid="{B020A322-F141-49BB-AB5F-D265BF3B84F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Bellahøhallenj  </t>
        </r>
      </text>
    </comment>
    <comment ref="M72" authorId="1" shapeId="0" xr:uid="{4A397B0F-0536-4079-9636-7A5EAA4C475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Bellahøhallenj  </t>
        </r>
      </text>
    </comment>
    <comment ref="R72" authorId="1" shapeId="0" xr:uid="{91158776-2D67-469F-BD08-8B3D1CA63BD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Ballahøj 15.30-20.00</t>
        </r>
      </text>
    </comment>
    <comment ref="C73" authorId="0" shapeId="0" xr:uid="{CD149557-7B6E-4D23-93EB-09B05F96D35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kjeld</t>
        </r>
      </text>
    </comment>
    <comment ref="D73" authorId="0" shapeId="0" xr:uid="{0457DA78-0CDB-4915-9CDE-91CDA26C75A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kjeld</t>
        </r>
      </text>
    </comment>
    <comment ref="E73" authorId="0" shapeId="0" xr:uid="{873C59BA-D90B-49C8-A7C0-497E1A679B4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kjeld</t>
        </r>
      </text>
    </comment>
    <comment ref="F73" authorId="0" shapeId="0" xr:uid="{182724A9-A146-40F4-B708-CA42CF5BFD9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Kjeld</t>
        </r>
      </text>
    </comment>
    <comment ref="X73" authorId="1" shapeId="0" xr:uid="{B67A98FE-AA4E-4D4E-9666-4B119A6BC2E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LÆGE. Møder først kl. 13</t>
        </r>
      </text>
    </comment>
    <comment ref="X77" authorId="2" shapeId="0" xr:uid="{CFA59179-895F-4AD8-9E4F-2A0505445157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9-vagt OA</t>
        </r>
      </text>
    </comment>
    <comment ref="Y77" authorId="2" shapeId="0" xr:uid="{45FC2A3D-2A63-43A2-9CB8-4CA1B16970FF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9-vagt OA</t>
        </r>
      </text>
    </comment>
    <comment ref="E82" authorId="0" shapeId="0" xr:uid="{FE9C3451-8EE1-47B4-937E-BFB86AE4008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til lægen</t>
        </r>
      </text>
    </comment>
    <comment ref="AD82" authorId="0" shapeId="0" xr:uid="{BAE2F9C0-4F86-4571-8DF9-BBA67A73A2D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Kjeld</t>
        </r>
      </text>
    </comment>
    <comment ref="AE82" authorId="0" shapeId="0" xr:uid="{61497DB9-EC7D-40B6-B2A3-2169DFA414F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kjeld</t>
        </r>
      </text>
    </comment>
    <comment ref="AF82" authorId="0" shapeId="0" xr:uid="{5CD7E05C-4A8B-4DF8-BF42-64118FE7DF1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kjeld</t>
        </r>
      </text>
    </comment>
    <comment ref="AG82" authorId="0" shapeId="0" xr:uid="{66630D15-0846-45A2-88AF-4CCD2A9207E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kjeld</t>
        </r>
      </text>
    </comment>
    <comment ref="C86" authorId="0" shapeId="0" xr:uid="{394ECFE0-183C-426C-8B0E-9D87A56FA51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D86" authorId="0" shapeId="0" xr:uid="{B58F7618-DFA2-4C05-87BA-6F4A1BF30DF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E86" authorId="0" shapeId="0" xr:uid="{771741D5-3131-433C-9597-5886C58F95D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F86" authorId="0" shapeId="0" xr:uid="{B3D97F7F-211C-4C79-9163-AEE20C1B3B0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I86" authorId="0" shapeId="0" xr:uid="{F948D918-1B3D-414B-A760-89FC2122A75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J86" authorId="0" shapeId="0" xr:uid="{A57F0FBD-60A1-41DC-AD8D-C9405B7A8A1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K86" authorId="0" shapeId="0" xr:uid="{58D7075E-C69B-4575-8B7D-89914F43A9A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L86" authorId="0" shapeId="0" xr:uid="{6B5428EB-C28C-469B-8E82-8F1C562BF63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M86" authorId="0" shapeId="0" xr:uid="{E57D3EDE-C9EB-45C1-A7DC-8F058158D2B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Z87" authorId="2" shapeId="0" xr:uid="{93C0017C-BCD1-4BF0-8320-81615BD1DCD4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gået hjem syg kl.21.30</t>
        </r>
      </text>
    </comment>
    <comment ref="AD88" authorId="0" shapeId="0" xr:uid="{D8BD42FC-E035-456B-B6FB-8C2D4822EC7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AE88" authorId="0" shapeId="0" xr:uid="{AD2680DD-FFEA-4169-8B10-B7E8840C8DA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AF88" authorId="0" shapeId="0" xr:uid="{9FBB98A1-1E61-4550-A5BA-FFC654E7AF3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AG88" authorId="0" shapeId="0" xr:uid="{DDFFC9A9-E32F-4D45-8426-D20736348B6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C99" authorId="0" shapeId="0" xr:uid="{5B0DB48A-5CFA-4A3B-9B30-68C1307BD3A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4-vagt</t>
        </r>
      </text>
    </comment>
    <comment ref="D99" authorId="0" shapeId="0" xr:uid="{B334C115-CA0A-4365-8AA9-C5188A188BA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4-vagt</t>
        </r>
      </text>
    </comment>
    <comment ref="E99" authorId="0" shapeId="0" xr:uid="{2D08ACC3-4A49-4AC1-BE36-E2C57E4D0C4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4-vagt</t>
        </r>
      </text>
    </comment>
    <comment ref="F99" authorId="0" shapeId="0" xr:uid="{A635433E-9251-4B00-9FB2-37BED66D2CD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4-vagt</t>
        </r>
      </text>
    </comment>
    <comment ref="M99" authorId="1" shapeId="0" xr:uid="{03EA4183-DEC8-4EF1-BF1C-231C0C2105C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Borgmesterkørsel???</t>
        </r>
      </text>
    </comment>
    <comment ref="E100" authorId="3" shapeId="0" xr:uid="{48AD73E8-40C2-48E5-80AC-C6186B9F91E4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Bellahøjhallerne 15.30-20.00</t>
        </r>
      </text>
    </comment>
    <comment ref="I100" authorId="0" shapeId="0" xr:uid="{79205BC3-1617-475D-BD9B-5626674D3D3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Mjølnerparken</t>
        </r>
      </text>
    </comment>
    <comment ref="AA101" authorId="0" shapeId="0" xr:uid="{3D68C3FB-1BCE-4B7F-A9D0-800903276660}">
      <text>
        <r>
          <rPr>
            <b/>
            <sz val="9"/>
            <color indexed="81"/>
            <rFont val="Tahoma"/>
            <family val="2"/>
          </rPr>
          <t>Rasmus Sørensen:
H-vagt oa</t>
        </r>
      </text>
    </comment>
    <comment ref="S120" authorId="1" shapeId="0" xr:uid="{97EC6FBE-8657-467A-9BBF-E213CF5A6CD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Bellahøj 15.30-20.00</t>
        </r>
      </text>
    </comment>
    <comment ref="D121" authorId="3" shapeId="0" xr:uid="{4444801C-7EC9-48F7-BA7A-47019888FC0D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Møder kl. 09.00</t>
        </r>
      </text>
    </comment>
    <comment ref="J121" authorId="3" shapeId="0" xr:uid="{B28C61E0-C4A6-447D-90E9-CBBE9E924DA3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Afsp. 14-16</t>
        </r>
      </text>
    </comment>
    <comment ref="Q121" authorId="1" shapeId="0" xr:uid="{19EEFB8C-7C23-4C2B-9DAD-7BBE70EFCC2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Kommer først kl. 11.00</t>
        </r>
      </text>
    </comment>
    <comment ref="C122" authorId="5" shapeId="0" xr:uid="{9105B8F7-7E7C-4D88-8501-50E598198E58}">
      <text>
        <r>
          <rPr>
            <b/>
            <sz val="9"/>
            <color indexed="81"/>
            <rFont val="Tahoma"/>
            <family val="2"/>
          </rPr>
          <t>Michael Bo Pedersen:
Hos læge</t>
        </r>
        <r>
          <rPr>
            <sz val="9"/>
            <color indexed="81"/>
            <rFont val="Tahoma"/>
            <family val="2"/>
          </rPr>
          <t xml:space="preserve">
Møder kl.10.00
</t>
        </r>
      </text>
    </comment>
    <comment ref="I122" authorId="1" shapeId="0" xr:uid="{8BAEB3B5-F12D-4160-AACD-8E6DA93BA05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Bellahøj kl. 15.30</t>
        </r>
      </text>
    </comment>
    <comment ref="S122" authorId="1" shapeId="0" xr:uid="{ED5D5B2C-C8CF-4835-8155-1545668ACF8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Ballahøj</t>
        </r>
      </text>
    </comment>
    <comment ref="X122" authorId="5" shapeId="0" xr:uid="{00E7D1FB-DC26-42DD-9F70-9A07D0125EB7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Møder måske senere</t>
        </r>
      </text>
    </comment>
    <comment ref="P123" authorId="1" shapeId="0" xr:uid="{4B8A379D-144F-4A63-9D42-AE0BAE6FBBF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Bellahøj 15.30-20.00</t>
        </r>
      </text>
    </comment>
    <comment ref="Q123" authorId="1" shapeId="0" xr:uid="{567ACC8C-7CD9-4D63-A4B8-63DFB5CE25E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Bellahøj 15.30-20.00</t>
        </r>
      </text>
    </comment>
    <comment ref="T123" authorId="2" shapeId="0" xr:uid="{21A7AF26-037F-48E0-A1A7-B59210D09177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bellahøj hallen OA</t>
        </r>
      </text>
    </comment>
    <comment ref="X123" authorId="1" shapeId="0" xr:uid="{7202CC5F-3B6F-4996-AECC-9958C56D854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Til læge 08.45 møder bagefter</t>
        </r>
      </text>
    </comment>
    <comment ref="D139" authorId="3" shapeId="0" xr:uid="{EA777B8E-6484-4C05-9BA5-05027D94B2D6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Bellahøjhallerne 15.30-20.00</t>
        </r>
      </text>
    </comment>
    <comment ref="F139" authorId="3" shapeId="0" xr:uid="{04170155-C547-4495-8128-DE044406C64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Bellahøjhallerne 15.30-20.00</t>
        </r>
      </text>
    </comment>
    <comment ref="AA151" authorId="6" shapeId="0" xr:uid="{E732BFC9-8894-4406-87B3-0174FB2E2761}">
      <text>
        <t>[Threaded comment]
Your version of Excel allows you to read this threaded comment; however, any edits to it will get removed if the file is opened in a newer version of Excel. Learn more: https://go.microsoft.com/fwlink/?linkid=870924
Comment:
    Kristoffer kommer ca kl 10-10,30</t>
      </text>
    </comment>
    <comment ref="S176" authorId="1" shapeId="0" xr:uid="{64D47D63-45AC-4EA1-A9BE-048A060BE73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Intern flex</t>
        </r>
      </text>
    </comment>
    <comment ref="T176" authorId="1" shapeId="0" xr:uid="{74A5586B-59DD-4BC7-9134-335762AE0AE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Intern flex</t>
        </r>
      </text>
    </comment>
    <comment ref="AE177" authorId="0" shapeId="0" xr:uid="{15BF4406-D3EC-4B2F-9EE4-B3D0BE8E7C5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hjælper med flytning griffen</t>
        </r>
      </text>
    </comment>
    <comment ref="AD185" authorId="1" shapeId="0" xr:uid="{11962AF1-4C46-4BCF-B92F-FDAD1341A28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hospital 08.15 møder bagefter.</t>
        </r>
      </text>
    </comment>
    <comment ref="L266" authorId="7" shapeId="0" xr:uid="{4291685E-75D8-4FC2-BFB4-453B622D8DBB}">
      <text>
        <t>[Threaded comment]
Your version of Excel allows you to read this threaded comment; however, any edits to it will get removed if the file is opened in a newer version of Excel. Learn more: https://go.microsoft.com/fwlink/?linkid=870924
Comment:
    § 56</t>
      </text>
    </comment>
    <comment ref="S266" authorId="2" shapeId="0" xr:uid="{B34475F5-3F9C-41CA-9EEB-E3087BD73D6E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§ 56</t>
        </r>
      </text>
    </comment>
    <comment ref="T266" authorId="2" shapeId="0" xr:uid="{DF872EB2-EBCE-447F-9458-427687BD5D23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§ 56</t>
        </r>
      </text>
    </comment>
    <comment ref="C284" authorId="8" shapeId="0" xr:uid="{B54CE061-483F-471A-8683-7DFE63522555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Afspadsering 4 timer</t>
        </r>
      </text>
    </comment>
    <comment ref="X284" authorId="9" shapeId="0" xr:uid="{3C0005CD-DF04-43DF-B3C6-FE1DE3EAF6B2}">
      <text>
        <t>[Threaded comment]
Your version of Excel allows you to read this threaded comment; however, any edits to it will get removed if the file is opened in a newer version of Excel. Learn more: https://go.microsoft.com/fwlink/?linkid=870924
Comment:
    - 4 timer i afs</t>
      </text>
    </comment>
    <comment ref="R285" authorId="10" shapeId="0" xr:uid="{FD95AAC0-3A2B-446D-B5EE-CF8265A0DE5F}">
      <text>
        <t>[Threaded comment]
Your version of Excel allows you to read this threaded comment; however, any edits to it will get removed if the file is opened in a newer version of Excel. Learn more: https://go.microsoft.com/fwlink/?linkid=870924
Comment:
    - 3,5 afs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 Holm Aabroe</author>
    <author>Rasmus Sørensen</author>
    <author>Steen Hertin</author>
    <author>tc={A9F93335-8F08-4160-A62E-BD3A6596832A}</author>
    <author>Michael Bo Pedersen</author>
    <author>Flemming Nielsen</author>
    <author>tc={50FD1A74-FBC6-432E-A7D3-C7DBF998808E}</author>
    <author>Mathias Hartvig Morell Nielsen</author>
    <author>tc={3AA62477-9039-4EB3-A456-1B7A160CFC26}</author>
    <author>tc={6F1AF5B5-B30A-4CDB-BEDD-81AFFA5BED41}</author>
    <author>tc={84B57935-DFE8-4FA0-A790-BD6F3DA4CA23}</author>
    <author>tc={D89BC4E0-E803-47BF-A552-52FC8DB5FDBF}</author>
    <author>tc={16A0799E-3D0C-448B-8173-94435B3219A3}</author>
    <author>tc={1632199E-558C-4A9F-83B7-82FF0B47462A}</author>
    <author>marasm</author>
    <author>tc={812E474C-AF59-4538-992F-B3CA746F57F6}</author>
  </authors>
  <commentList>
    <comment ref="AC15" authorId="0" shapeId="0" xr:uid="{18AB296F-6A84-413A-A4DD-A0D2E1CA5450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møde 14.30</t>
        </r>
      </text>
    </comment>
    <comment ref="F20" authorId="1" shapeId="0" xr:uid="{E8CFD59D-EDC3-458C-BFA6-1F844EB2448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</t>
        </r>
      </text>
    </comment>
    <comment ref="X20" authorId="2" shapeId="0" xr:uid="{DAE8A9F9-FFEE-4239-A59C-1144B8A1299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+ </t>
        </r>
      </text>
    </comment>
    <comment ref="AE20" authorId="2" shapeId="0" xr:uid="{F5AA1C2D-F7A5-4961-B93E-BB96C770AD6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Svanevej</t>
        </r>
      </text>
    </comment>
    <comment ref="F21" authorId="1" shapeId="0" xr:uid="{B4A67D11-006A-4F25-ADC0-9AF9BD214D0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</t>
        </r>
      </text>
    </comment>
    <comment ref="H21" authorId="2" shapeId="0" xr:uid="{673A4AF8-3B7B-4DB0-9C3A-870280457DF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Svendborggade kl. 13.30</t>
        </r>
      </text>
    </comment>
    <comment ref="M21" authorId="3" shapeId="0" xr:uid="{A9F93335-8F08-4160-A62E-BD3A6596832A}">
      <text>
        <t>[Threaded comment]
Your version of Excel allows you to read this threaded comment; however, any edits to it will get removed if the file is opened in a newer version of Excel. Learn more: https://go.microsoft.com/fwlink/?linkid=870924
Comment:
    Matthæusgade</t>
      </text>
    </comment>
    <comment ref="O21" authorId="1" shapeId="0" xr:uid="{04928A66-7862-44FC-9135-CE2A224EED3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arrangement</t>
        </r>
      </text>
    </comment>
    <comment ref="T21" authorId="2" shapeId="0" xr:uid="{93EE3E08-BBF4-4F84-924D-AA90D1B3520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Arrangement</t>
        </r>
      </text>
    </comment>
    <comment ref="U21" authorId="2" shapeId="0" xr:uid="{FD1A66A1-49AC-4227-89BF-4F4ED8E1B4A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Hjemløse</t>
        </r>
      </text>
    </comment>
    <comment ref="V21" authorId="2" shapeId="0" xr:uid="{AC12A51B-CE1A-41EE-A7FC-2F99D75A9FA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Hjemløse</t>
        </r>
      </text>
    </comment>
    <comment ref="W21" authorId="2" shapeId="0" xr:uid="{C839D2E0-D16A-401D-92DA-CE1EE59D8F0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Hjemløse</t>
        </r>
      </text>
    </comment>
    <comment ref="X21" authorId="1" shapeId="0" xr:uid="{632D8EA3-9C5B-43FC-9DB0-80FC4C65736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 </t>
        </r>
      </text>
    </comment>
    <comment ref="AD21" authorId="1" shapeId="0" xr:uid="{E2884C81-8B20-45EF-AFD0-F507F749BB4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Rundvisning 16:30</t>
        </r>
      </text>
    </comment>
    <comment ref="AE21" authorId="1" shapeId="0" xr:uid="{A6BF24FF-F393-4350-8C0A-ED98D5DB55D3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kun dagvagt</t>
        </r>
      </text>
    </comment>
    <comment ref="W22" authorId="2" shapeId="0" xr:uid="{45067FFB-070D-4604-B9F4-E4CEE061645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15.00 til BR.</t>
        </r>
      </text>
    </comment>
    <comment ref="C37" authorId="4" shapeId="0" xr:uid="{56D00320-6BBA-4154-AA28-C4516E7586E1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fuglebakken på OA
23.45-07.00</t>
        </r>
      </text>
    </comment>
    <comment ref="U37" authorId="5" shapeId="0" xr:uid="{22071FB8-94CF-46C2-BEF8-02076E5B8609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Kødbyen OA</t>
        </r>
      </text>
    </comment>
    <comment ref="V37" authorId="5" shapeId="0" xr:uid="{98844BF7-2121-4246-BE9C-353BFC1B1E7E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Kødbyen OA</t>
        </r>
      </text>
    </comment>
    <comment ref="AA37" authorId="6" shapeId="0" xr:uid="{50FD1A74-FBC6-432E-A7D3-C7DBF998808E}">
      <text>
        <t>[Threaded comment]
Your version of Excel allows you to read this threaded comment; however, any edits to it will get removed if the file is opened in a newer version of Excel. Learn more: https://go.microsoft.com/fwlink/?linkid=870924
Comment:
    Går kl.1345.</t>
      </text>
    </comment>
    <comment ref="C38" authorId="2" shapeId="0" xr:uid="{D4D746F1-0BF7-4371-89AA-0EB0A293C07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Hjemløseenheden</t>
        </r>
      </text>
    </comment>
    <comment ref="C41" authorId="2" shapeId="0" xr:uid="{EEE50054-9720-4B9A-BEBE-9AC3DDFB1D6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T41" authorId="2" shapeId="0" xr:uid="{D0D678AB-B31C-4DBD-AA6E-A5111B0A4E1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U41" authorId="2" shapeId="0" xr:uid="{EE989C17-B0E3-40E2-9257-76CFE78A13A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V41" authorId="2" shapeId="0" xr:uid="{128CF3BD-73D3-4AB4-915B-F3D7B9591C0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W41" authorId="2" shapeId="0" xr:uid="{8E5EA8FF-A001-42C9-B179-FEA8B56EC43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AC42" authorId="2" shapeId="0" xr:uid="{0E2C2D2C-71BD-4D83-A3C7-D0FDA991134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Juletræ bagporten</t>
        </r>
      </text>
    </comment>
    <comment ref="U43" authorId="5" shapeId="0" xr:uid="{F6A66FE9-5547-4414-A87D-A590A8A6B0F1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Valdemarsgade</t>
        </r>
      </text>
    </comment>
    <comment ref="V43" authorId="5" shapeId="0" xr:uid="{C2D7A924-85B4-42E7-937A-EA8E42CE3D1D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Valdemarsgade</t>
        </r>
      </text>
    </comment>
    <comment ref="P47" authorId="7" shapeId="0" xr:uid="{A573B70B-E6DE-4A3E-955E-07D962479D24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rundviser</t>
        </r>
      </text>
    </comment>
    <comment ref="Q47" authorId="7" shapeId="0" xr:uid="{AB1EFD08-B96B-454F-966A-5962D128024F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rundviser</t>
        </r>
      </text>
    </comment>
    <comment ref="AC61" authorId="2" shapeId="0" xr:uid="{7E9EE355-E220-498C-8426-FE722C824E6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Afløser Lara kl. 09.00</t>
        </r>
      </text>
    </comment>
    <comment ref="N62" authorId="8" shapeId="0" xr:uid="{3AA62477-9039-4EB3-A456-1B7A160CFC26}">
      <text>
        <t>[Threaded comment]
Your version of Excel allows you to read this threaded comment; however, any edits to it will get removed if the file is opened in a newer version of Excel. Learn more: https://go.microsoft.com/fwlink/?linkid=870924
Comment:
    Kan godt tage evt. vagt</t>
      </text>
    </comment>
    <comment ref="O62" authorId="9" shapeId="0" xr:uid="{6F1AF5B5-B30A-4CDB-BEDD-81AFFA5BED41}">
      <text>
        <t>[Threaded comment]
Your version of Excel allows you to read this threaded comment; however, any edits to it will get removed if the file is opened in a newer version of Excel. Learn more: https://go.microsoft.com/fwlink/?linkid=870924
Comment:
    Kan godt tage evt vagter</t>
      </text>
    </comment>
    <comment ref="P62" authorId="2" shapeId="0" xr:uid="{572D48AA-203A-4072-AF64-23E2112495E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fra kl. 12.00</t>
        </r>
      </text>
    </comment>
    <comment ref="V62" authorId="1" shapeId="0" xr:uid="{AD243B14-8E28-41D1-8789-5CFF97E72EC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Bellahøjhallen</t>
        </r>
      </text>
    </comment>
    <comment ref="W62" authorId="1" shapeId="0" xr:uid="{CA0654D1-0241-4214-AE97-CD864CB9C10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Bellahøjhallen</t>
        </r>
      </text>
    </comment>
    <comment ref="X62" authorId="1" shapeId="0" xr:uid="{65DD8ABC-0EC2-4530-8FA8-F15B0847D41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Bellahøjhallen</t>
        </r>
      </text>
    </comment>
    <comment ref="W63" authorId="2" shapeId="0" xr:uid="{57241641-326B-40EB-896C-45444FA38AD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6-vagt på OA</t>
        </r>
      </text>
    </comment>
    <comment ref="C65" authorId="1" shapeId="0" xr:uid="{41F4A60D-40F1-4720-A848-28785166CE8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Kun dagvagt</t>
        </r>
      </text>
    </comment>
    <comment ref="Q65" authorId="1" shapeId="0" xr:uid="{48251F98-30E5-4868-A69D-FFC902881B9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Ekstravagt Lyongade 12-</t>
        </r>
      </text>
    </comment>
    <comment ref="T65" authorId="2" shapeId="0" xr:uid="{2A77B3BC-DA3D-41B1-877A-B87503DFAC5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Mjølnerparken</t>
        </r>
      </text>
    </comment>
    <comment ref="AA65" authorId="1" shapeId="0" xr:uid="{B15FC467-25C1-41E3-BB92-5F634598B51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Bellahøjhallen</t>
        </r>
      </text>
    </comment>
    <comment ref="AB65" authorId="1" shapeId="0" xr:uid="{22992BF4-F4E2-4FEA-8160-EB76940980D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Bellahøjhallen</t>
        </r>
      </text>
    </comment>
    <comment ref="AC65" authorId="1" shapeId="0" xr:uid="{798960F6-334C-41EB-AE7A-8F29133D31F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Bellahøjhallen</t>
        </r>
      </text>
    </comment>
    <comment ref="AD65" authorId="1" shapeId="0" xr:uid="{73E671D8-6973-45C4-8CC5-3C846ABCC2B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Bellahøjhallen</t>
        </r>
      </text>
    </comment>
    <comment ref="AE65" authorId="1" shapeId="0" xr:uid="{19354BB8-9B01-4033-83E7-CBDB5B50FEB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Bellahøjhallen</t>
        </r>
      </text>
    </comment>
    <comment ref="E66" authorId="4" shapeId="0" xr:uid="{78BB1E2E-E836-4A96-9E65-919048EB6EAF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Fuglebakken på OA
07.00-19.00</t>
        </r>
      </text>
    </comment>
    <comment ref="M67" authorId="10" shapeId="0" xr:uid="{84B57935-DFE8-4FA0-A790-BD6F3DA4CA23}">
      <text>
        <t>[Threaded comment]
Your version of Excel allows you to read this threaded comment; however, any edits to it will get removed if the file is opened in a newer version of Excel. Learn more: https://go.microsoft.com/fwlink/?linkid=870924
Comment:
    Hjemløseenheden Sundholmsvej</t>
      </text>
    </comment>
    <comment ref="U67" authorId="2" shapeId="0" xr:uid="{9C103BD7-2D54-4CD3-9B4E-3824A45C657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Bellahøjhallen</t>
        </r>
      </text>
    </comment>
    <comment ref="X67" authorId="2" shapeId="0" xr:uid="{F6A278E0-AF64-40D4-AA50-30F44D5531C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Hjemløse</t>
        </r>
      </text>
    </comment>
    <comment ref="W68" authorId="7" shapeId="0" xr:uid="{0AFE6233-21CD-4603-8401-DC2ACFB85755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X68" authorId="7" shapeId="0" xr:uid="{7AF197B3-0914-4361-B885-6116079DF1DF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C69" authorId="1" shapeId="0" xr:uid="{DCAD9A1F-AB98-43E8-84F4-5C7B756FE28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Bellahøjhallen</t>
        </r>
      </text>
    </comment>
    <comment ref="M69" authorId="1" shapeId="0" xr:uid="{3EEFDADF-66E9-427D-947B-3923FFE0E06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Bellahøjhallen</t>
        </r>
      </text>
    </comment>
    <comment ref="N69" authorId="1" shapeId="0" xr:uid="{F4882A59-8E5E-46CE-8F9B-2C57B4307F7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Bellahøjhallen</t>
        </r>
      </text>
    </comment>
    <comment ref="O69" authorId="1" shapeId="0" xr:uid="{9D0C981B-5FCD-4BC8-A98F-D7ECA443A14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Bellahøjhallen</t>
        </r>
      </text>
    </comment>
    <comment ref="P69" authorId="1" shapeId="0" xr:uid="{E463C452-E1A2-473A-9779-2B7B4B7E1F7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Bellahøjhallen</t>
        </r>
      </text>
    </comment>
    <comment ref="Q69" authorId="1" shapeId="0" xr:uid="{6B662E6D-5F12-44DA-B898-45900EE7BDA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Bellahøjhallen</t>
        </r>
      </text>
    </comment>
    <comment ref="T69" authorId="2" shapeId="0" xr:uid="{2F151868-D450-4AB2-B1CC-6061A473BC1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6-vagt OA</t>
        </r>
      </text>
    </comment>
    <comment ref="U69" authorId="2" shapeId="0" xr:uid="{B7DCFDD0-B810-4230-B317-CD135DDFD11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6-vagt OA</t>
        </r>
      </text>
    </comment>
    <comment ref="H71" authorId="2" shapeId="0" xr:uid="{2D49F73F-7CF3-4E00-90B3-BCB860D11AE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Bellahøj 15-20</t>
        </r>
      </text>
    </comment>
    <comment ref="I71" authorId="2" shapeId="0" xr:uid="{3842FE0D-3C3A-47AE-AD65-D335468EF16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Bellahøj 15-20</t>
        </r>
      </text>
    </comment>
    <comment ref="J71" authorId="2" shapeId="0" xr:uid="{FC2B558C-950A-4733-989A-28E0FDBA93C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Bellahøj 15-20</t>
        </r>
      </text>
    </comment>
    <comment ref="V71" authorId="5" shapeId="0" xr:uid="{E745C272-FB6C-410F-9665-A9CAEFF399E0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OA 6-vagt</t>
        </r>
      </text>
    </comment>
    <comment ref="X71" authorId="5" shapeId="0" xr:uid="{314B1E89-3F7E-44A7-85D8-B80EB2F0B646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OA 6-vagt</t>
        </r>
      </text>
    </comment>
    <comment ref="D77" authorId="4" shapeId="0" xr:uid="{227305AF-3187-4BC7-A9F5-EA696BF3A019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Fuglebakken på OA 
19.00-07-00</t>
        </r>
      </text>
    </comment>
    <comment ref="E77" authorId="4" shapeId="0" xr:uid="{CA6C729F-3B13-4C23-A6DE-E9AF4835B63D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Fuglebakken på OA 
19.00-05.00
</t>
        </r>
      </text>
    </comment>
    <comment ref="C82" authorId="1" shapeId="0" xr:uid="{F8D1D07F-DC12-494F-B6D3-B32C423BF5C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kjeld</t>
        </r>
      </text>
    </comment>
    <comment ref="F88" authorId="5" shapeId="0" xr:uid="{65A081A3-9CDF-4EBB-A63E-68534D550EFF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Rundviser</t>
        </r>
      </text>
    </comment>
    <comment ref="G88" authorId="5" shapeId="0" xr:uid="{9E4314DD-8F63-4149-BA47-282FC9C1B6B7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H88" authorId="5" shapeId="0" xr:uid="{4E7B4AC2-F46C-48B4-9E94-A78EE7A593BA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Sikringsvagt</t>
        </r>
      </text>
    </comment>
    <comment ref="I88" authorId="5" shapeId="0" xr:uid="{4C8B14F4-2A70-4AC8-9457-C5BD29A3B822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Kredsvagt</t>
        </r>
      </text>
    </comment>
    <comment ref="J88" authorId="5" shapeId="0" xr:uid="{8EB143B1-6CEE-497E-9AC6-D24FC8E1ED3D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Posten</t>
        </r>
      </text>
    </comment>
    <comment ref="F99" authorId="2" shapeId="0" xr:uid="{0587FBCD-73FB-4972-AD50-D8621F7BC88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Kjeld</t>
        </r>
      </text>
    </comment>
    <comment ref="G99" authorId="2" shapeId="0" xr:uid="{97FB517F-A144-4132-B34B-1D645A2F052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Kjeld</t>
        </r>
      </text>
    </comment>
    <comment ref="T99" authorId="2" shapeId="0" xr:uid="{F42717D2-1F7A-40B0-906D-0878B73A7AA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Matthæus på OA</t>
        </r>
      </text>
    </comment>
    <comment ref="F100" authorId="2" shapeId="0" xr:uid="{20BC8216-F95F-482E-B5B2-5F76F15E977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Mjølnerparken + Bellahøjhallen</t>
        </r>
      </text>
    </comment>
    <comment ref="M100" authorId="2" shapeId="0" xr:uid="{BCE7E788-ADC4-4FC9-A007-C1F89FBCDC5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Mjølnerparken</t>
        </r>
      </text>
    </comment>
    <comment ref="T100" authorId="2" shapeId="0" xr:uid="{27F764F2-C47D-43DD-B764-2C383474536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Hjemløse på oa</t>
        </r>
      </text>
    </comment>
    <comment ref="AA100" authorId="2" shapeId="0" xr:uid="{F6C958D3-DEEF-4C39-A978-B69FEDA7F4F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Mjølnerparken på oa.</t>
        </r>
      </text>
    </comment>
    <comment ref="AC100" authorId="4" shapeId="0" xr:uid="{89E30E21-B1FD-427B-A799-8A0D38505CA1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E-vagt på OA</t>
        </r>
      </text>
    </comment>
    <comment ref="D121" authorId="4" shapeId="0" xr:uid="{265C319C-C199-4472-998A-89BC654B6C64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Fuglebakke på OA 
07.00-19.00</t>
        </r>
      </text>
    </comment>
    <comment ref="G122" authorId="2" shapeId="0" xr:uid="{2D44B501-F8E2-4298-A247-B544C8DE808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Går kl. 14.15</t>
        </r>
      </text>
    </comment>
    <comment ref="G138" authorId="1" shapeId="0" xr:uid="{6D9D915E-7C3C-4C30-870B-94AB6128879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Bellahøj OA </t>
        </r>
      </text>
    </comment>
    <comment ref="T138" authorId="2" shapeId="0" xr:uid="{A8E1C79A-B2A4-439C-8746-AE9FA3A1886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Bellahøjhallen</t>
        </r>
      </text>
    </comment>
    <comment ref="AA175" authorId="11" shapeId="0" xr:uid="{D89BC4E0-E803-47BF-A552-52FC8DB5FDBF}">
      <text>
        <t>[Threaded comment]
Your version of Excel allows you to read this threaded comment; however, any edits to it will get removed if the file is opened in a newer version of Excel. Learn more: https://go.microsoft.com/fwlink/?linkid=870924
Comment:
    Internt flex</t>
      </text>
    </comment>
    <comment ref="G179" authorId="2" shapeId="0" xr:uid="{9AB90474-4EEC-4241-A276-A7409F2B3C4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Kjeld</t>
        </r>
      </text>
    </comment>
    <comment ref="H179" authorId="2" shapeId="0" xr:uid="{2AF7B648-6109-4A1D-AFB9-B128B6B06CF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Kjeld</t>
        </r>
      </text>
    </comment>
    <comment ref="I179" authorId="2" shapeId="0" xr:uid="{C7998327-0850-44EB-9FB3-B65C9818162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Kjeld</t>
        </r>
      </text>
    </comment>
    <comment ref="J179" authorId="2" shapeId="0" xr:uid="{D37FD670-8458-469B-9438-5A63548191C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Kjeld</t>
        </r>
      </text>
    </comment>
    <comment ref="M179" authorId="2" shapeId="0" xr:uid="{F6C4EE4F-7C03-4D9F-935F-F29C042963D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Kjeld</t>
        </r>
      </text>
    </comment>
    <comment ref="N179" authorId="2" shapeId="0" xr:uid="{FB82C6E1-765A-4706-BF07-A28BAB279B4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Kjeld</t>
        </r>
      </text>
    </comment>
    <comment ref="O179" authorId="2" shapeId="0" xr:uid="{C7676965-41DF-43CD-AA68-CFD7CD17AF2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Kjeld</t>
        </r>
      </text>
    </comment>
    <comment ref="P179" authorId="2" shapeId="0" xr:uid="{1CE0DFE5-8FC0-4D17-B4B4-F83C7BED89E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Kjeld</t>
        </r>
      </text>
    </comment>
    <comment ref="Q179" authorId="2" shapeId="0" xr:uid="{B4640575-4A0D-414C-AAFF-6819557B1FF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Kjeld</t>
        </r>
      </text>
    </comment>
    <comment ref="AA179" authorId="2" shapeId="0" xr:uid="{94413C31-A089-4C12-9BE2-5378DAD21B5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Kjeld</t>
        </r>
      </text>
    </comment>
    <comment ref="AB179" authorId="2" shapeId="0" xr:uid="{EF76A9F2-9C41-4F94-A8B7-4809882882A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Kjeld</t>
        </r>
      </text>
    </comment>
    <comment ref="AC179" authorId="2" shapeId="0" xr:uid="{BF5BCC2E-666C-4B32-89CA-C07B2E9701C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Kjeld</t>
        </r>
      </text>
    </comment>
    <comment ref="AD179" authorId="2" shapeId="0" xr:uid="{12D7E379-B7B8-43FD-A909-5D5DBB610C9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Kjeld</t>
        </r>
      </text>
    </comment>
    <comment ref="AE179" authorId="2" shapeId="0" xr:uid="{F67A6C83-0864-4E63-8C25-15040BC0FC8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Kjeld</t>
        </r>
      </text>
    </comment>
    <comment ref="AE183" authorId="2" shapeId="0" xr:uid="{E9590AB6-EBDE-462D-925E-FBDCF698837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Går kl. 10.30</t>
        </r>
      </text>
    </comment>
    <comment ref="P185" authorId="2" shapeId="0" xr:uid="{F2ECFD2E-6D54-4167-A2A9-3B92601DA10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Hospital kl. 12.</t>
        </r>
      </text>
    </comment>
    <comment ref="I188" authorId="2" shapeId="0" xr:uid="{B181A076-CCE0-4DE9-9CEF-C2B2F01832E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Arbejdsskade</t>
        </r>
      </text>
    </comment>
    <comment ref="T214" authorId="2" shapeId="0" xr:uid="{FB14B27E-AABB-4359-9A2F-FDE9A02C6A8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Kjeld</t>
        </r>
      </text>
    </comment>
    <comment ref="U214" authorId="2" shapeId="0" xr:uid="{283061F2-D87F-4D17-B265-55C7327DC78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Kjeld</t>
        </r>
      </text>
    </comment>
    <comment ref="V214" authorId="2" shapeId="0" xr:uid="{C26EB335-2D0A-450C-A586-604D804C95B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Kjeld</t>
        </r>
      </text>
    </comment>
    <comment ref="T253" authorId="12" shapeId="0" xr:uid="{16A0799E-3D0C-448B-8173-94435B3219A3}">
      <text>
        <t>[Threaded comment]
Your version of Excel allows you to read this threaded comment; however, any edits to it will get removed if the file is opened in a newer version of Excel. Learn more: https://go.microsoft.com/fwlink/?linkid=870924
Comment:
    - 1 time afs.</t>
      </text>
    </comment>
    <comment ref="M266" authorId="13" shapeId="0" xr:uid="{1632199E-558C-4A9F-83B7-82FF0B47462A}">
      <text>
        <t>[Threaded comment]
Your version of Excel allows you to read this threaded comment; however, any edits to it will get removed if the file is opened in a newer version of Excel. Learn more: https://go.microsoft.com/fwlink/?linkid=870924
Comment:
    §56</t>
      </text>
    </comment>
    <comment ref="V284" authorId="14" shapeId="0" xr:uid="{601CB91B-F0A8-4C90-A034-772033918F24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- 4 Timer i afs</t>
        </r>
      </text>
    </comment>
    <comment ref="J286" authorId="15" shapeId="0" xr:uid="{812E474C-AF59-4538-992F-B3CA746F57F6}">
      <text>
        <t>[Threaded comment]
Your version of Excel allows you to read this threaded comment; however, any edits to it will get removed if the file is opened in a newer version of Excel. Learn more: https://go.microsoft.com/fwlink/?linkid=870924
Comment:
    - 6 timer afs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Steen Hertin</author>
    <author>Rasmus Sørensen</author>
    <author>tc={08FFA82B-4B60-4051-A089-3866590AA9EE}</author>
    <author>tc={9D8E5893-F6EA-48EA-99D7-FA9E2C76A396}</author>
    <author>tc={65AAA666-C9A9-45A0-A8FF-3B49EF87ECD3}</author>
    <author>Flemming Nielsen</author>
    <author>Thomas Holm</author>
    <author>marasm</author>
  </authors>
  <commentList>
    <comment ref="K16" authorId="0" shapeId="0" xr:uid="{328EFE66-33BE-43BA-8C0D-18EF46074EF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Send en vagt forbi T-vagt og sæt hende ind i vagten.</t>
        </r>
      </text>
    </comment>
    <comment ref="N17" authorId="0" shapeId="0" xr:uid="{DA2D21A0-B68F-438C-A221-B66A5A1E58B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 i1+i2 fra kl. 13.30</t>
        </r>
      </text>
    </comment>
    <comment ref="T17" authorId="0" shapeId="0" xr:uid="{F1ECFE08-4935-4C6B-B7BE-E7A52648313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Mangler 4-vagt fra kl. 15.00</t>
        </r>
      </text>
    </comment>
    <comment ref="U17" authorId="0" shapeId="0" xr:uid="{C5427612-E4DA-4BF1-A6A8-2005639EC9E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Mangler 4-vagt fra kl. 15.00</t>
        </r>
      </text>
    </comment>
    <comment ref="V17" authorId="0" shapeId="0" xr:uid="{1B393E3D-9C33-4456-9A04-53E814F490C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Mangler 4-vagt fra kl. 15.00</t>
        </r>
      </text>
    </comment>
    <comment ref="D21" authorId="1" shapeId="0" xr:uid="{FDD4C79A-76F4-4818-A825-9A59E1935223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GKL.</t>
        </r>
      </text>
    </comment>
    <comment ref="H21" authorId="0" shapeId="0" xr:uid="{9A146756-BAD2-4E79-8D83-E6832C9A632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Vagt GLK</t>
        </r>
      </text>
    </comment>
    <comment ref="K21" authorId="1" shapeId="0" xr:uid="{0B8FC7EC-B4F4-46EB-9FFB-54B03D96772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Mjølnerparken</t>
        </r>
      </text>
    </comment>
    <comment ref="O21" authorId="2" shapeId="0" xr:uid="{08FFA82B-4B60-4051-A089-3866590AA9EE}">
      <text>
        <t>[Threaded comment]
Your version of Excel allows you to read this threaded comment; however, any edits to it will get removed if the file is opened in a newer version of Excel. Learn more: https://go.microsoft.com/fwlink/?linkid=870924
Comment:
    RH</t>
      </text>
    </comment>
    <comment ref="T21" authorId="0" shapeId="0" xr:uid="{307B40CE-FF81-444E-95F5-9C850D5547B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Arbejder hjemme</t>
        </r>
      </text>
    </comment>
    <comment ref="V21" authorId="0" shapeId="0" xr:uid="{AB85A139-4C6F-401E-9C96-6BF1C99A79A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Griffren</t>
        </r>
      </text>
    </comment>
    <comment ref="Y21" authorId="0" shapeId="0" xr:uid="{103B813A-F85A-4158-A3DE-97DDB1F1253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Arbejde med vagtplaner.</t>
        </r>
      </text>
    </comment>
    <comment ref="AG21" authorId="0" shapeId="0" xr:uid="{99EA558C-4872-47C9-800C-FD2AA912A9B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GLK.08.30-12.00</t>
        </r>
      </text>
    </comment>
    <comment ref="D22" authorId="0" shapeId="0" xr:uid="{B2B16EEC-C268-49B2-A499-764CA71FF39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Mjølner OA</t>
        </r>
      </text>
    </comment>
    <comment ref="G22" authorId="1" shapeId="0" xr:uid="{E3EF9A01-E597-4EF6-92ED-1C735113626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Betjentvagt
G-vagt fra 14.00</t>
        </r>
      </text>
    </comment>
    <comment ref="K22" authorId="1" shapeId="0" xr:uid="{AE315254-1377-473A-9D54-F45216F9283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 kl 12</t>
        </r>
      </text>
    </comment>
    <comment ref="R22" authorId="0" shapeId="0" xr:uid="{9DD14B62-345C-4015-8158-EF4C7A00937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S22" authorId="0" shapeId="0" xr:uid="{30A5F0A7-41D8-46C0-82F4-F32C6378365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T22" authorId="0" shapeId="0" xr:uid="{0AF5CD6E-F4DD-4723-AD16-90B484F10BD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U22" authorId="0" shapeId="0" xr:uid="{F04DE3F8-0CB5-4C83-88B3-68BBFC839F8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AC22" authorId="1" shapeId="0" xr:uid="{49F405F2-68B5-4BE0-B48C-C250E245ACC3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Døgnvagten</t>
        </r>
      </text>
    </comment>
    <comment ref="AF22" authorId="1" shapeId="0" xr:uid="{1F08BAAD-362E-4934-B656-47798AF55743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Døgnvagten</t>
        </r>
      </text>
    </comment>
    <comment ref="G23" authorId="0" shapeId="0" xr:uid="{A3A8FF4F-7B83-4804-AFE1-A5CF6B4679C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V23" authorId="0" shapeId="0" xr:uid="{CA741DA1-C8ED-4FC5-BBD6-3285BC7FCB6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AC25" authorId="0" shapeId="0" xr:uid="{F950B284-244F-401A-84D9-15A9C5ADD93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Lara dækker den fra 07.30-09.30</t>
        </r>
      </text>
    </comment>
    <comment ref="Y26" authorId="0" shapeId="0" xr:uid="{6B5F154E-27C9-4559-9696-E8F2CE65636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Lara dækker den fra 07.30-09.30</t>
        </r>
      </text>
    </comment>
    <comment ref="D37" authorId="3" shapeId="0" xr:uid="{9D8E5893-F6EA-48EA-99D7-FA9E2C76A396}">
      <text>
        <t>[Threaded comment]
Your version of Excel allows you to read this threaded comment; however, any edits to it will get removed if the file is opened in a newer version of Excel. Learn more: https://go.microsoft.com/fwlink/?linkid=870924
Comment:
    Går kl. 1345</t>
      </text>
    </comment>
    <comment ref="F37" authorId="4" shapeId="0" xr:uid="{65AAA666-C9A9-45A0-A8FF-3B49EF87ECD3}">
      <text>
        <t>[Threaded comment]
Your version of Excel allows you to read this threaded comment; however, any edits to it will get removed if the file is opened in a newer version of Excel. Learn more: https://go.microsoft.com/fwlink/?linkid=870924
Comment:
    Møder kl. 10.00 Går kl. 1500</t>
      </text>
    </comment>
    <comment ref="H37" authorId="0" shapeId="0" xr:uid="{45D03B66-FEDC-4297-B5F7-ABBE396F7C8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21-vagt på OA.</t>
        </r>
      </text>
    </comment>
    <comment ref="O37" authorId="0" shapeId="0" xr:uid="{E989CE66-5C82-4D14-B10E-EA3B5C42AB6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T-vagt på OA. Send en kreds forbi til at vise Anders hvordan man lukker.</t>
        </r>
      </text>
    </comment>
    <comment ref="R42" authorId="0" shapeId="0" xr:uid="{3C3E86E2-977F-4CB9-93C6-E6538CD38E6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som 99-vagt</t>
        </r>
      </text>
    </comment>
    <comment ref="Y42" authorId="0" shapeId="0" xr:uid="{B0CB9665-BF56-4009-A08C-D016192D549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i2 til kl 09.30</t>
        </r>
      </text>
    </comment>
    <comment ref="AC42" authorId="0" shapeId="0" xr:uid="{2F870AF6-1E86-4315-95BA-45793F18702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i2 til kl 09.30</t>
        </r>
      </text>
    </comment>
    <comment ref="S43" authorId="5" shapeId="0" xr:uid="{D3A29B38-374E-4797-85AA-115C9A0C6464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69-vagt</t>
        </r>
      </text>
    </comment>
    <comment ref="S45" authorId="6" shapeId="0" xr:uid="{4D19AFEE-673D-48F6-AC17-2C7CD2B75287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Svanevej</t>
        </r>
      </text>
    </comment>
    <comment ref="T45" authorId="6" shapeId="0" xr:uid="{27A6F4FF-8B03-49E4-AC6E-63203074AECC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Svanevej</t>
        </r>
      </text>
    </comment>
    <comment ref="U45" authorId="6" shapeId="0" xr:uid="{20A7C320-F6B1-4895-BD71-5A9B272CF2C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Svanevej</t>
        </r>
      </text>
    </comment>
    <comment ref="M64" authorId="0" shapeId="0" xr:uid="{4B457959-CDE9-46D0-B92D-18855360761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Griffen kl. 12 på oa.</t>
        </r>
      </text>
    </comment>
    <comment ref="D66" authorId="0" shapeId="0" xr:uid="{607DC01B-F8C4-42AA-9D39-531DFAC3380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79 OA</t>
        </r>
      </text>
    </comment>
    <comment ref="E66" authorId="0" shapeId="0" xr:uid="{CCB834CE-797D-4B29-87D1-1126101AF90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79 OA</t>
        </r>
      </text>
    </comment>
    <comment ref="F66" authorId="0" shapeId="0" xr:uid="{5654D8FF-980F-478A-8199-3F1515F7F44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79 OA</t>
        </r>
      </text>
    </comment>
    <comment ref="G66" authorId="0" shapeId="0" xr:uid="{A47537C7-A859-4862-A70F-37B402BFD8D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79 OA</t>
        </r>
      </text>
    </comment>
    <comment ref="H66" authorId="0" shapeId="0" xr:uid="{45648006-6FBD-4C4A-A6A2-3453FA2EA2F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79 OA</t>
        </r>
      </text>
    </comment>
    <comment ref="K66" authorId="0" shapeId="0" xr:uid="{5D54581D-A768-4A28-8877-23CA3924766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89 på OA</t>
        </r>
      </text>
    </comment>
    <comment ref="D67" authorId="0" shapeId="0" xr:uid="{99BFB5A9-8630-40D6-9121-CE4FE4F7065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E67" authorId="0" shapeId="0" xr:uid="{4340B831-DBF7-42DE-88F6-DB85D9CE3D4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F67" authorId="0" shapeId="0" xr:uid="{D609DBDD-D4A3-438E-84E4-D4D2946B590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G67" authorId="0" shapeId="0" xr:uid="{B202205E-0F8F-4B44-9E70-9AFA1DD79F6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H67" authorId="0" shapeId="0" xr:uid="{BA6E0959-0A82-4EF6-B194-E0D1AB643C3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 + 23 vagt på OA</t>
        </r>
      </text>
    </comment>
    <comment ref="K67" authorId="0" shapeId="0" xr:uid="{E61B2500-5C00-4ADB-8CE4-254992B6007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L67" authorId="0" shapeId="0" xr:uid="{76B4521E-5B2D-4CA9-BEF4-D934351B780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M67" authorId="0" shapeId="0" xr:uid="{A7BDDE6C-AEF4-43F4-A4F5-A68A56316DD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N67" authorId="0" shapeId="0" xr:uid="{D86A6045-5F48-4664-AB76-F5A07A1CB13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O67" authorId="0" shapeId="0" xr:uid="{F488AF0B-B456-4E88-BE17-9A906B6B052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Y67" authorId="0" shapeId="0" xr:uid="{2CE5F667-72EF-445F-806F-7729718015E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AC67" authorId="0" shapeId="0" xr:uid="{F6864EE7-6B59-4655-B15E-DED691B21C3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AF67" authorId="0" shapeId="0" xr:uid="{530BD014-080F-41D5-BCBF-56A4D3CB503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O68" authorId="0" shapeId="0" xr:uid="{1202DC5D-C806-4CF1-956E-6650184C8ED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26-vagten kører i Bellahøjhallen 15.30-20.00</t>
        </r>
      </text>
    </comment>
    <comment ref="U68" authorId="0" shapeId="0" xr:uid="{4A15EE79-935C-45BE-B443-D90299957A5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AG69" authorId="0" shapeId="0" xr:uid="{8EA97DB4-89AA-4FDB-8D84-AC8ECCB3BFC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Hjemløseenhed kl. 10.00-12.00</t>
        </r>
      </text>
    </comment>
    <comment ref="D70" authorId="0" shapeId="0" xr:uid="{9240A8B4-4357-42F4-AD1E-EA516A87EED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Kun vagt til 12.30</t>
        </r>
      </text>
    </comment>
    <comment ref="R71" authorId="0" shapeId="0" xr:uid="{AA8FE01D-D0B0-4817-BBF1-3DD9A0EC5FC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Bellahøjhallen</t>
        </r>
      </text>
    </comment>
    <comment ref="S71" authorId="0" shapeId="0" xr:uid="{F3F6A7CC-F8D9-4F2D-8CF2-C29B52F6533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Bellahøjhallen</t>
        </r>
      </text>
    </comment>
    <comment ref="T71" authorId="0" shapeId="0" xr:uid="{4D472AE7-19BD-4158-B917-376FC9851E7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Bellahøjhallen + 4-vagt på OA.</t>
        </r>
      </text>
    </comment>
    <comment ref="U71" authorId="0" shapeId="0" xr:uid="{B73F72A7-1198-4704-8A9B-BACEC339BF4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Bellahøjhallen + 4-vagt på OA.</t>
        </r>
      </text>
    </comment>
    <comment ref="V71" authorId="0" shapeId="0" xr:uid="{EFB993D0-F05F-427C-B160-26AAA7E9876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Bellahøjhallen</t>
        </r>
      </text>
    </comment>
    <comment ref="D72" authorId="0" shapeId="0" xr:uid="{7EA87B47-A0AA-4249-9F97-F39F3ECB3AD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E72" authorId="0" shapeId="0" xr:uid="{72A996A9-4AB0-4525-962D-FA5F61E7C31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F72" authorId="0" shapeId="0" xr:uid="{AA60E6D7-8832-41E3-887C-572CA2797AF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G72" authorId="0" shapeId="0" xr:uid="{EE2EBF40-E950-43CB-BFB5-54205DF819B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H72" authorId="0" shapeId="0" xr:uid="{99B04F3A-BB2B-41DB-8C14-71DFBC9FCC8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K72" authorId="0" shapeId="0" xr:uid="{C46CF9DD-6A30-49B1-821A-2565A5D9282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L72" authorId="0" shapeId="0" xr:uid="{16B0CDDE-34CE-4AEA-B349-6CC56BFE62F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M72" authorId="0" shapeId="0" xr:uid="{4E7D72B9-7128-445B-9BEF-D5E4EC6EE21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N72" authorId="0" shapeId="0" xr:uid="{B8E8C7DA-B724-4989-8F13-BABAC32AD0A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O72" authorId="0" shapeId="0" xr:uid="{A77C7DCD-D8D5-43FB-8EAD-611E9970F33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R72" authorId="0" shapeId="0" xr:uid="{53A57913-C570-4905-A97A-604111C5B08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S72" authorId="0" shapeId="0" xr:uid="{DF67C55B-AA82-465F-A0FC-9B7878BF156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T72" authorId="0" shapeId="0" xr:uid="{7A56DF92-E1F6-4923-A483-B156A5A015B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U72" authorId="0" shapeId="0" xr:uid="{AE1AE357-0221-43A2-8331-01C536F64B0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V72" authorId="0" shapeId="0" xr:uid="{0726E501-351B-4AEC-A5A0-78850791E08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Y72" authorId="0" shapeId="0" xr:uid="{4C634CED-A835-43B9-9EAB-853FD9316B3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AC72" authorId="0" shapeId="0" xr:uid="{64C6F122-678A-4D0D-8A2B-3E100A7C814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AF72" authorId="0" shapeId="0" xr:uid="{5F935285-5266-4029-A526-720EDCAADA5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K73" authorId="1" shapeId="0" xr:uid="{86E249A8-E6CF-4D38-9ED8-406FCE5ABF0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arrangementsservice</t>
        </r>
      </text>
    </comment>
    <comment ref="L73" authorId="1" shapeId="0" xr:uid="{5A86A2FF-740E-4013-ACAC-3F08E93F4BB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arrangementsservice</t>
        </r>
      </text>
    </comment>
    <comment ref="M73" authorId="1" shapeId="0" xr:uid="{C1F71C62-01E4-428E-AA42-5AF350E940A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arrangementsservice</t>
        </r>
      </text>
    </comment>
    <comment ref="V74" authorId="0" shapeId="0" xr:uid="{88ABF359-F84B-4722-A5E5-691C20520F5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Y74" authorId="0" shapeId="0" xr:uid="{05642C40-F728-4642-8AE0-2B742145637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T100" authorId="0" shapeId="0" xr:uid="{81BB009A-6175-418F-8F9F-3677EAAB3D0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Griffen på OA.</t>
        </r>
      </text>
    </comment>
    <comment ref="H101" authorId="0" shapeId="0" xr:uid="{F3D15B6C-73AA-49FB-A92A-59353BF9CE8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Fuglebakken 16.00 - 01.00 lukke huset efter julefrokost.</t>
        </r>
      </text>
    </comment>
    <comment ref="L101" authorId="1" shapeId="0" xr:uid="{397610AB-BCAC-487D-B7FE-D194563EFB3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89</t>
        </r>
      </text>
    </comment>
    <comment ref="M101" authorId="1" shapeId="0" xr:uid="{94225449-429F-481F-876B-CC98E5C15D6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89</t>
        </r>
      </text>
    </comment>
    <comment ref="O101" authorId="1" shapeId="0" xr:uid="{581B0D67-F36A-41E8-867A-07E0CBE6529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89</t>
        </r>
      </text>
    </comment>
    <comment ref="R101" authorId="0" shapeId="0" xr:uid="{4465849B-0743-44A8-84FF-EE441A658A0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Mjølnerparken OA.</t>
        </r>
      </text>
    </comment>
    <comment ref="S101" authorId="0" shapeId="0" xr:uid="{6D6A3CE3-5C95-4EE6-A9F8-A7EF0E96C25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Spaniensgade kl. 12.00</t>
        </r>
      </text>
    </comment>
    <comment ref="Y101" authorId="0" shapeId="0" xr:uid="{87CE602A-65EB-4E98-99EF-9C728DF765C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S-VAGT på OA</t>
        </r>
      </text>
    </comment>
    <comment ref="N108" authorId="0" shapeId="0" xr:uid="{975F9C69-8476-4495-A0FD-8FFD7A30233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Går kl. 13.30</t>
        </r>
      </text>
    </comment>
    <comment ref="N119" authorId="0" shapeId="0" xr:uid="{497FB6D8-875F-47B4-8AC1-136AEB4021C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Går kl. 13.30</t>
        </r>
      </text>
    </comment>
    <comment ref="H120" authorId="0" shapeId="0" xr:uid="{534A6D2E-B3F9-42D4-8F14-2B8F11E86CE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Bellahøjhallen OA.</t>
        </r>
      </text>
    </comment>
    <comment ref="R121" authorId="0" shapeId="0" xr:uid="{9098045B-7B3D-4266-BF2A-29C7FBE38F8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Køre for posten kl. 14.30-15.30</t>
        </r>
      </text>
    </comment>
    <comment ref="S122" authorId="0" shapeId="0" xr:uid="{0FDA5F80-56B0-4715-9C6F-785B82A6536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Læge kl. 12</t>
        </r>
      </text>
    </comment>
    <comment ref="D123" authorId="0" shapeId="0" xr:uid="{6589B084-6435-4124-A2F2-DC6176C0792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Bellahøjhllen OA</t>
        </r>
      </text>
    </comment>
    <comment ref="E123" authorId="0" shapeId="0" xr:uid="{3007A376-7775-470D-9DCC-180E4EAC1D8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Bellahøjhllen OA</t>
        </r>
      </text>
    </comment>
    <comment ref="F123" authorId="0" shapeId="0" xr:uid="{0D313F0A-A29E-4CD5-A05A-06EADC1B026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Bellahøjhllen OA</t>
        </r>
      </text>
    </comment>
    <comment ref="G123" authorId="0" shapeId="0" xr:uid="{008D32A3-0485-44A5-AD3E-B70CE2EBBA7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Bellahøjhllen OA</t>
        </r>
      </text>
    </comment>
    <comment ref="K123" authorId="0" shapeId="0" xr:uid="{008A7410-4898-4C4D-A09D-1F4F9BD58BC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Bellahøjhllen OA</t>
        </r>
      </text>
    </comment>
    <comment ref="L123" authorId="0" shapeId="0" xr:uid="{B048E5EC-CF7F-491C-A4C2-FB05A711E71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Bellahøjhllen OA</t>
        </r>
      </text>
    </comment>
    <comment ref="M123" authorId="0" shapeId="0" xr:uid="{7C5FF966-0C59-457F-AA7D-1B81D0A693E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Bellahøjhllen OA</t>
        </r>
      </text>
    </comment>
    <comment ref="N123" authorId="0" shapeId="0" xr:uid="{98F06DE6-A7DA-458C-86EA-E4D68B99165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Bellahøjhllen OA</t>
        </r>
      </text>
    </comment>
    <comment ref="C139" authorId="0" shapeId="0" xr:uid="{E8E4601A-813C-4F28-82BF-707086906FE0}">
      <text>
        <r>
          <rPr>
            <b/>
            <sz val="9"/>
            <color indexed="81"/>
            <rFont val="Tahoma"/>
            <family val="2"/>
          </rPr>
          <t>Steen Hertin:
GKL</t>
        </r>
      </text>
    </comment>
    <comment ref="O139" authorId="0" shapeId="0" xr:uid="{B31D1397-69E9-4F23-9523-B3258BCC1F8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Fuglebakken 16.00 til slut.</t>
        </r>
      </text>
    </comment>
    <comment ref="H182" authorId="0" shapeId="0" xr:uid="{0A5D8822-D99A-4E5D-B0F4-82C0392DCE3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Vagt GLK</t>
        </r>
      </text>
    </comment>
    <comment ref="V186" authorId="0" shapeId="0" xr:uid="{D8863017-3B15-408E-BF77-4B29F476575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Til læge kl. 11.00</t>
        </r>
      </text>
    </comment>
    <comment ref="G209" authorId="7" shapeId="0" xr:uid="{FE287BBD-D43F-4DC6-A07D-A86D5F818EA8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afs - 1,75</t>
        </r>
      </text>
    </comment>
    <comment ref="O210" authorId="0" shapeId="0" xr:uid="{B6EF110D-8CBC-4B82-BDFE-D37E2E7F50F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Fuglebakken 16.00 til lukke hus efter julefrokost.</t>
        </r>
      </text>
    </comment>
    <comment ref="L214" authorId="7" shapeId="0" xr:uid="{72EACA1F-37A8-4AC5-AF49-2DCC8BB9F59B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afs - 4,5 time</t>
        </r>
      </text>
    </comment>
    <comment ref="T287" authorId="7" shapeId="0" xr:uid="{579CF6E9-55EE-4752-80B4-593F8DFC7F2F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- 4 timer i afs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Steen Hertin</author>
    <author>tc={0954CA62-C888-4463-B50A-2FF38E30EB17}</author>
    <author>tc={DCCC9784-56B9-413B-B7E7-0E8BCEDD82FC}</author>
    <author>Rasmus Sørensen</author>
    <author>tc={8BA394A2-5636-4382-88FF-4361C6C1D220}</author>
    <author>Dennis Rise</author>
    <author>Kim Holm Aabroe</author>
    <author>tc={CF1281F0-E1B1-409D-A056-48A09818C1BE}</author>
    <author>tc={32DF241B-6827-4C17-8BB0-A2591C85DD68}</author>
    <author>tc={97C740F4-E900-4471-8C80-F24E1B39EA7A}</author>
    <author>tc={256B104D-3377-459E-B8F9-474257F1E450}</author>
    <author>tc={26287CAE-EE6F-4566-AE5E-73FA7FD70F60}</author>
    <author>tc={1CF57D00-7B52-4B50-9C67-099C569057DC}</author>
    <author>tc={7EE56206-0F5A-4736-91E8-59F3F88703C5}</author>
    <author>Thomas Holm</author>
    <author>tc={073974FE-DD0C-4B67-8C91-8D178D40A9DE}</author>
    <author>marasm</author>
    <author>tc={E0C31AD7-01FD-4170-A9E5-6D4BDBBB4171}</author>
    <author>tc={A8EFBB1F-BB6B-4809-A464-487058CB2D41}</author>
  </authors>
  <commentList>
    <comment ref="R16" authorId="0" shapeId="0" xr:uid="{ED9A10B7-0539-4D10-9D5C-0A3C151DD75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hjælper Marianne med 79-vagt</t>
        </r>
      </text>
    </comment>
    <comment ref="S16" authorId="0" shapeId="0" xr:uid="{72B687B8-5013-448F-8F5D-E3C7941E2FA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hjælper Marianne med 79-vagt</t>
        </r>
      </text>
    </comment>
    <comment ref="AB17" authorId="0" shapeId="0" xr:uid="{DDB4FF09-A080-4556-A428-D4634B32657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 i2</t>
        </r>
      </text>
    </comment>
    <comment ref="AE17" authorId="0" shapeId="0" xr:uid="{2E8C5A1C-3B11-4FC1-88DB-78322239A90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Mjølnerparken på OA</t>
        </r>
      </text>
    </comment>
    <comment ref="C21" authorId="0" shapeId="0" xr:uid="{EE7DF775-F9BE-43C8-96DE-01BD03A7C62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Mjølnerparken</t>
        </r>
      </text>
    </comment>
    <comment ref="L21" authorId="0" shapeId="0" xr:uid="{A43A2182-CCA7-4780-8614-E30ABB81DF2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Dækker T-vagt</t>
        </r>
      </text>
    </comment>
    <comment ref="S21" authorId="1" shapeId="0" xr:uid="{0954CA62-C888-4463-B50A-2FF38E30EB17}">
      <text>
        <t>[Threaded comment]
Your version of Excel allows you to read this threaded comment; however, any edits to it will get removed if the file is opened in a newer version of Excel. Learn more: https://go.microsoft.com/fwlink/?linkid=870924
Comment:
    Dækker 69-vagten</t>
      </text>
    </comment>
    <comment ref="T21" authorId="0" shapeId="0" xr:uid="{55A1E237-3D4F-4D69-AC4F-634935CFF69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SOF</t>
        </r>
      </text>
    </comment>
    <comment ref="X21" authorId="0" shapeId="0" xr:uid="{A4F3F827-5942-41D2-8375-479D7729C21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Mjølnerparken</t>
        </r>
      </text>
    </comment>
    <comment ref="Y21" authorId="2" shapeId="0" xr:uid="{DCCC9784-56B9-413B-B7E7-0E8BCEDD82FC}">
      <text>
        <t>[Threaded comment]
Your version of Excel allows you to read this threaded comment; however, any edits to it will get removed if the file is opened in a newer version of Excel. Learn more: https://go.microsoft.com/fwlink/?linkid=870924
Comment:
    Flemming Dam og Henrik hele dagen</t>
      </text>
    </comment>
    <comment ref="AA21" authorId="0" shapeId="0" xr:uid="{A87AA9EB-C178-43BE-BACE-16F9F44A86E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Til læge kl. 10.00 + GKL derefter</t>
        </r>
      </text>
    </comment>
    <comment ref="AE21" authorId="0" shapeId="0" xr:uid="{A39C9816-E906-4EF6-B035-94F8D405C81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Svanevej kl. 11.00</t>
        </r>
      </text>
    </comment>
    <comment ref="Q22" authorId="3" shapeId="0" xr:uid="{F1EC16F3-2545-486C-ABB2-6087C5C01903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svendborggade</t>
        </r>
      </text>
    </comment>
    <comment ref="X22" authorId="3" shapeId="0" xr:uid="{321AF9E2-44C3-4240-9353-2A4624BFF44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D-vagt OA</t>
        </r>
      </text>
    </comment>
    <comment ref="Y22" authorId="3" shapeId="0" xr:uid="{AC791344-AF43-4B17-A0EB-4E4BB85C793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D-vagt OA</t>
        </r>
      </text>
    </comment>
    <comment ref="Z22" authorId="3" shapeId="0" xr:uid="{25EFB10F-0A28-464A-8019-39DF1629D52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GLK OA</t>
        </r>
      </text>
    </comment>
    <comment ref="AA22" authorId="4" shapeId="0" xr:uid="{8BA394A2-5636-4382-88FF-4361C6C1D220}">
      <text>
        <t>[Threaded comment]
Your version of Excel allows you to read this threaded comment; however, any edits to it will get removed if the file is opened in a newer version of Excel. Learn more: https://go.microsoft.com/fwlink/?linkid=870924
Comment:
    GKL 43I</t>
      </text>
    </comment>
    <comment ref="M38" authorId="0" shapeId="0" xr:uid="{75BFB55E-D745-4171-9217-70F4237D589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T-vagt på oa.</t>
        </r>
      </text>
    </comment>
    <comment ref="H44" authorId="5" shapeId="0" xr:uid="{34E06379-C524-4388-86CF-0B321EA61B8F}">
      <text>
        <r>
          <rPr>
            <b/>
            <sz val="9"/>
            <color indexed="81"/>
            <rFont val="Tahoma"/>
            <family val="2"/>
          </rPr>
          <t>Dennis Rise:</t>
        </r>
        <r>
          <rPr>
            <sz val="9"/>
            <color indexed="81"/>
            <rFont val="Tahoma"/>
            <family val="2"/>
          </rPr>
          <t xml:space="preserve">
Forsætter på 19-7</t>
        </r>
      </text>
    </comment>
    <comment ref="O46" authorId="0" shapeId="0" xr:uid="{CDE32D46-D1CF-4E32-8D3F-C1032C1B679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Dækker R3</t>
        </r>
      </text>
    </comment>
    <comment ref="C48" authorId="0" shapeId="0" xr:uid="{D5798D74-841E-47AA-B9E7-416735D16F5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Kjeld</t>
        </r>
      </text>
    </comment>
    <comment ref="D48" authorId="0" shapeId="0" xr:uid="{59DD8136-131E-4962-877A-F6630AE1041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Kjeld</t>
        </r>
      </text>
    </comment>
    <comment ref="E48" authorId="0" shapeId="0" xr:uid="{5B999514-3755-469C-8D99-6E122CAA736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Kjeld</t>
        </r>
      </text>
    </comment>
    <comment ref="F48" authorId="0" shapeId="0" xr:uid="{32CACFAB-5B3D-41AC-8E57-BFE1C37A93C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Kjeld</t>
        </r>
      </text>
    </comment>
    <comment ref="G48" authorId="0" shapeId="0" xr:uid="{464CA2F2-4B28-45B7-8F33-4B9CBDA0633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Kjeld</t>
        </r>
      </text>
    </comment>
    <comment ref="AB50" authorId="0" shapeId="0" xr:uid="{7A980BC5-6E5B-4F42-ABD9-A591EBE8C4F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dækker L-vagt</t>
        </r>
      </text>
    </comment>
    <comment ref="AE61" authorId="0" shapeId="0" xr:uid="{DA9862AB-E010-4843-AA22-1A0A4FA5802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25 på OA</t>
        </r>
      </text>
    </comment>
    <comment ref="AF61" authorId="0" shapeId="0" xr:uid="{D3935B3D-720A-412C-AB36-20570EC28B1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25 på OA</t>
        </r>
      </text>
    </comment>
    <comment ref="AG61" authorId="0" shapeId="0" xr:uid="{9EBB96B8-5C4B-44B1-8A1B-7FB11940B14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25 på OA</t>
        </r>
      </text>
    </comment>
    <comment ref="S62" authorId="0" shapeId="0" xr:uid="{B23EF4E1-DD42-4D84-A37C-2DB58F3F187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Gå bag Brian</t>
        </r>
      </text>
    </comment>
    <comment ref="V62" authorId="0" shapeId="0" xr:uid="{833BC108-5B61-475C-8A93-ED8AA1177BC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Skal gå bag Sebastian til han selv kan det.</t>
        </r>
      </text>
    </comment>
    <comment ref="M63" authorId="0" shapeId="0" xr:uid="{1B4C453D-F621-4DA0-B129-A5B74D564AD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k2 på OA</t>
        </r>
      </text>
    </comment>
    <comment ref="Q63" authorId="0" shapeId="0" xr:uid="{BDDF5D65-94AD-4F1C-BA1C-4E9BCB63B0B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Skal gå bag Sebastian til han selv kan det.
Vasbygade ekstra fra l. 08.00 på OA.</t>
        </r>
      </text>
    </comment>
    <comment ref="J65" authorId="0" shapeId="0" xr:uid="{8C3C3829-F21E-4712-B034-507506726B4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Omviser på OA.</t>
        </r>
      </text>
    </comment>
    <comment ref="K65" authorId="0" shapeId="0" xr:uid="{EE7BBE03-67B9-40C9-AB86-112F5F30AD4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Omviser på OA.</t>
        </r>
      </text>
    </comment>
    <comment ref="L65" authorId="0" shapeId="0" xr:uid="{AFF3D542-9058-42A3-85B3-45C6820A7E1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Omviser på OA.</t>
        </r>
      </text>
    </comment>
    <comment ref="M65" authorId="0" shapeId="0" xr:uid="{C8CC8AF1-B978-4E5E-8C4C-BF2C5A7992D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Omviser på OA.</t>
        </r>
      </text>
    </comment>
    <comment ref="N65" authorId="0" shapeId="0" xr:uid="{FAA99C53-92E4-4BA7-9ECE-48548CA6205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Omviser på OA.</t>
        </r>
      </text>
    </comment>
    <comment ref="AE65" authorId="0" shapeId="0" xr:uid="{ED8791ED-842A-4363-A47B-8C6B1C757C1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k2 oa</t>
        </r>
      </text>
    </comment>
    <comment ref="AF65" authorId="0" shapeId="0" xr:uid="{7DEF274C-2E52-4DFD-B72D-A649B682482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k2 oa</t>
        </r>
      </text>
    </comment>
    <comment ref="AG65" authorId="0" shapeId="0" xr:uid="{20A27999-F7E5-48A0-A384-B91A5CC20B5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k2 oa</t>
        </r>
      </text>
    </comment>
    <comment ref="N66" authorId="0" shapeId="0" xr:uid="{4E3645EC-1604-4F16-B301-F33612FA988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T-VAGT på OA.</t>
        </r>
      </text>
    </comment>
    <comment ref="L67" authorId="6" shapeId="0" xr:uid="{EADBFD79-3BFD-4094-A41B-4B097E1EB5B2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99 OA</t>
        </r>
      </text>
    </comment>
    <comment ref="M67" authorId="6" shapeId="0" xr:uid="{6290EEB5-26E4-48DF-8DF0-CDABAB151243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99 OA</t>
        </r>
      </text>
    </comment>
    <comment ref="T67" authorId="7" shapeId="0" xr:uid="{CF1281F0-E1B1-409D-A056-48A09818C1BE}">
      <text>
        <t>[Threaded comment]
Your version of Excel allows you to read this threaded comment; however, any edits to it will get removed if the file is opened in a newer version of Excel. Learn more: https://go.microsoft.com/fwlink/?linkid=870924
Comment:
    5-vagt på OA.</t>
      </text>
    </comment>
    <comment ref="U67" authorId="8" shapeId="0" xr:uid="{32DF241B-6827-4C17-8BB0-A2591C85DD68}">
      <text>
        <t>[Threaded comment]
Your version of Excel allows you to read this threaded comment; however, any edits to it will get removed if the file is opened in a newer version of Excel. Learn more: https://go.microsoft.com/fwlink/?linkid=870924
Comment:
    5-vagt på OA.</t>
      </text>
    </comment>
    <comment ref="Z67" authorId="0" shapeId="0" xr:uid="{ACE73F24-EDBA-4FFE-8286-BE28878DC5A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oa glk.</t>
        </r>
      </text>
    </comment>
    <comment ref="N68" authorId="3" shapeId="0" xr:uid="{568B27D0-7E7B-4F57-AB23-D3C73577832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K2 på oa</t>
        </r>
      </text>
    </comment>
    <comment ref="AE69" authorId="0" shapeId="0" xr:uid="{1AAA0878-2059-4554-9A9D-78D5736E544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intern bytning med Anders H.</t>
        </r>
      </text>
    </comment>
    <comment ref="AE74" authorId="9" shapeId="0" xr:uid="{97C740F4-E900-4471-8C80-F24E1B39EA7A}">
      <text>
        <t>[Threaded comment]
Your version of Excel allows you to read this threaded comment; however, any edits to it will get removed if the file is opened in a newer version of Excel. Learn more: https://go.microsoft.com/fwlink/?linkid=870924
Comment:
    3-vagt på OA</t>
      </text>
    </comment>
    <comment ref="AF74" authorId="10" shapeId="0" xr:uid="{256B104D-3377-459E-B8F9-474257F1E450}">
      <text>
        <t>[Threaded comment]
Your version of Excel allows you to read this threaded comment; however, any edits to it will get removed if the file is opened in a newer version of Excel. Learn more: https://go.microsoft.com/fwlink/?linkid=870924
Comment:
    3-vagt på OA</t>
      </text>
    </comment>
    <comment ref="AG74" authorId="11" shapeId="0" xr:uid="{26287CAE-EE6F-4566-AE5E-73FA7FD70F60}">
      <text>
        <t>[Threaded comment]
Your version of Excel allows you to read this threaded comment; however, any edits to it will get removed if the file is opened in a newer version of Excel. Learn more: https://go.microsoft.com/fwlink/?linkid=870924
Comment:
    3-vagt på OA</t>
      </text>
    </comment>
    <comment ref="J77" authorId="0" shapeId="0" xr:uid="{A1676C76-0755-4672-952A-DE9F2C8F480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Rasmus tager imod kl 09.00</t>
        </r>
      </text>
    </comment>
    <comment ref="L97" authorId="3" shapeId="0" xr:uid="{5C4FE82D-7EC7-4E3F-B8DB-D56C084F27A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Vagthavende + K2 på OA</t>
        </r>
      </text>
    </comment>
    <comment ref="Z97" authorId="3" shapeId="0" xr:uid="{4239736A-3F07-4D4F-904E-E038EB3274B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D-vagt OA</t>
        </r>
      </text>
    </comment>
    <comment ref="F99" authorId="3" shapeId="0" xr:uid="{0057DF1E-6C98-4972-9FCD-876387551C6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i2</t>
        </r>
      </text>
    </comment>
    <comment ref="J99" authorId="0" shapeId="0" xr:uid="{3C9825F0-CF01-4647-87E5-52AA48F189B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Mjølnerparken</t>
        </r>
      </text>
    </comment>
    <comment ref="K99" authorId="0" shapeId="0" xr:uid="{1B8A3294-615F-4764-B427-513E253C193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99-vagt på oa.</t>
        </r>
      </text>
    </comment>
    <comment ref="O99" authorId="0" shapeId="0" xr:uid="{7392E1EB-B74A-4C4D-97E3-9FF64DE44AA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09.00 og dækker Martin Hvorslev til kl. 13.30</t>
        </r>
      </text>
    </comment>
    <comment ref="AF100" authorId="0" shapeId="0" xr:uid="{95D355AB-AC0A-4668-BEDC-AB101F087E8A}">
      <text>
        <r>
          <rPr>
            <b/>
            <sz val="9"/>
            <color indexed="81"/>
            <rFont val="Tahoma"/>
            <family val="2"/>
          </rPr>
          <t>Steen Hertin:
Sidste dag. Afleverer tøj og nøgler på rådhuset kl. 12.00</t>
        </r>
      </text>
    </comment>
    <comment ref="T106" authorId="12" shapeId="0" xr:uid="{1CF57D00-7B52-4B50-9C67-099C569057DC}">
      <text>
        <t>[Threaded comment]
Your version of Excel allows you to read this threaded comment; however, any edits to it will get removed if the file is opened in a newer version of Excel. Learn more: https://go.microsoft.com/fwlink/?linkid=870924
Comment:
    møder som vh.</t>
      </text>
    </comment>
    <comment ref="U106" authorId="13" shapeId="0" xr:uid="{7EE56206-0F5A-4736-91E8-59F3F88703C5}">
      <text>
        <t>[Threaded comment]
Your version of Excel allows you to read this threaded comment; however, any edits to it will get removed if the file is opened in a newer version of Excel. Learn more: https://go.microsoft.com/fwlink/?linkid=870924
Comment:
    møder som vh.</t>
      </text>
    </comment>
    <comment ref="F120" authorId="3" shapeId="0" xr:uid="{C99B8BB5-C21F-4951-9AEE-96ED31CECA3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Går kl 12</t>
        </r>
      </text>
    </comment>
    <comment ref="Y120" authorId="14" shapeId="0" xr:uid="{DDA895B2-DBA6-4187-922F-2063B3AFD0E9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Møder kl. 11.00</t>
        </r>
      </text>
    </comment>
    <comment ref="X133" authorId="0" shapeId="0" xr:uid="{D5FF44E2-2932-4E30-A18C-26B349C5BA3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Kun 2 mand hele ugen.</t>
        </r>
      </text>
    </comment>
    <comment ref="J135" authorId="0" shapeId="0" xr:uid="{8809FFBE-E064-4A20-9771-EE013A45041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Kun 2 mand i kødbyen</t>
        </r>
      </text>
    </comment>
    <comment ref="P135" authorId="0" shapeId="0" xr:uid="{C1B87BB7-D345-42E8-92EF-47975A58550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Kun 2 mand i kødbyen</t>
        </r>
      </text>
    </comment>
    <comment ref="Q136" authorId="0" shapeId="0" xr:uid="{00C27A89-56BD-46B0-8C0F-63B9F5F1492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Ingen afløser for Peter hele ugen</t>
        </r>
      </text>
    </comment>
    <comment ref="Z137" authorId="3" shapeId="0" xr:uid="{6FAD7626-BBB0-4FB0-BE91-46AAF4856F4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AA137" authorId="3" shapeId="0" xr:uid="{743CBE0B-C083-4AF1-869C-9FC9F6D9C55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AB137" authorId="3" shapeId="0" xr:uid="{D9C5EB88-AB0A-43ED-B61A-0671782FABE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AE137" authorId="0" shapeId="0" xr:uid="{48C95615-FB18-4DF3-8CEA-55C96B794FF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Kun 2 mand hele ugen.</t>
        </r>
      </text>
    </comment>
    <comment ref="U148" authorId="15" shapeId="0" xr:uid="{073974FE-DD0C-4B67-8C91-8D178D40A9DE}">
      <text>
        <t>[Threaded comment]
Your version of Excel allows you to read this threaded comment; however, any edits to it will get removed if the file is opened in a newer version of Excel. Learn more: https://go.microsoft.com/fwlink/?linkid=870924
Comment:
    Går kl 11,15</t>
      </text>
    </comment>
    <comment ref="G153" authorId="16" shapeId="0" xr:uid="{591D0989-0785-43EB-BCB5-1DAE44CCBA37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- 4 timer afs</t>
        </r>
      </text>
    </comment>
    <comment ref="C173" authorId="0" shapeId="0" xr:uid="{F3F1F9D9-7C7D-429B-B906-35426628534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intern Flex</t>
        </r>
      </text>
    </comment>
    <comment ref="J174" authorId="0" shapeId="0" xr:uid="{4FCC49FD-892A-49CA-88B4-04AFB211034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Dækker E-vagt</t>
        </r>
      </text>
    </comment>
    <comment ref="K174" authorId="0" shapeId="0" xr:uid="{185C5BD9-1106-4701-90A3-9BDAE56CA0D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Dækker E-vagt</t>
        </r>
      </text>
    </comment>
    <comment ref="L174" authorId="0" shapeId="0" xr:uid="{50947793-8714-477C-9DBF-2A867972351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Dækker E-vagt</t>
        </r>
      </text>
    </comment>
    <comment ref="M174" authorId="0" shapeId="0" xr:uid="{B1C93D72-9E29-480B-907C-5D9DF6330CC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Dækker E-vagt</t>
        </r>
      </text>
    </comment>
    <comment ref="N174" authorId="0" shapeId="0" xr:uid="{F43E5DA7-9767-4628-985E-D9FD2233E6F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Dækker E-vagt</t>
        </r>
      </text>
    </comment>
    <comment ref="Q174" authorId="0" shapeId="0" xr:uid="{140E8216-DAD4-4B50-AF63-9A44971ECE3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Dækker E-vagt</t>
        </r>
      </text>
    </comment>
    <comment ref="R174" authorId="0" shapeId="0" xr:uid="{590B576F-852B-4047-AC68-0B9B8854AA1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Dækker E-vagt</t>
        </r>
      </text>
    </comment>
    <comment ref="S174" authorId="0" shapeId="0" xr:uid="{40080649-CDB9-42EF-AC4C-7BACC5AE319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Dækker E-vagt</t>
        </r>
      </text>
    </comment>
    <comment ref="T174" authorId="0" shapeId="0" xr:uid="{C914695C-9C7F-45BC-9B6E-EEAB33548CF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Dækker E-vagt</t>
        </r>
      </text>
    </comment>
    <comment ref="U174" authorId="0" shapeId="0" xr:uid="{65F726B5-7F2D-49AB-B7E8-A8D688A4F9B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Dækker E-vagt</t>
        </r>
      </text>
    </comment>
    <comment ref="J179" authorId="0" shapeId="0" xr:uid="{7F75666F-99C1-412A-B702-BC84F8203EA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Ferie flyttet til 29 juli</t>
        </r>
      </text>
    </comment>
    <comment ref="U181" authorId="0" shapeId="0" xr:uid="{7C02C853-A2CE-48E5-9D8A-DD33DAD78B4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hospital</t>
        </r>
      </text>
    </comment>
    <comment ref="Q183" authorId="3" shapeId="0" xr:uid="{B05C3231-AEE6-46EB-AD72-A803FC632BF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Til lægen </t>
        </r>
      </text>
    </comment>
    <comment ref="D279" authorId="16" shapeId="0" xr:uid="{CE98B06B-76D3-43EA-ACF5-DEDBD5D547D8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- 4 timer afs</t>
        </r>
      </text>
    </comment>
    <comment ref="D282" authorId="16" shapeId="0" xr:uid="{B1FC57FA-B5A3-4F52-AF6F-5D46C5CEE9DF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- 5 timer afs.</t>
        </r>
      </text>
    </comment>
    <comment ref="G282" authorId="16" shapeId="0" xr:uid="{AF19CE23-0310-47B1-A7A7-4A5B480250E5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-3 timer afs</t>
        </r>
      </text>
    </comment>
    <comment ref="M282" authorId="16" shapeId="0" xr:uid="{09A27AA4-2982-446A-A2E6-CD1D6BC87A81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afs fra kl 10</t>
        </r>
      </text>
    </comment>
    <comment ref="Z282" authorId="17" shapeId="0" xr:uid="{E0C31AD7-01FD-4170-A9E5-6D4BDBBB4171}">
      <text>
        <t>[Threaded comment]
Your version of Excel allows you to read this threaded comment; however, any edits to it will get removed if the file is opened in a newer version of Excel. Learn more: https://go.microsoft.com/fwlink/?linkid=870924
Comment:
    afs 1,5 time</t>
      </text>
    </comment>
    <comment ref="AB282" authorId="18" shapeId="0" xr:uid="{A8EFBB1F-BB6B-4809-A464-487058CB2D41}">
      <text>
        <t>[Threaded comment]
Your version of Excel allows you to read this threaded comment; however, any edits to it will get removed if the file is opened in a newer version of Excel. Learn more: https://go.microsoft.com/fwlink/?linkid=870924
Comment:
    afs 1,5 time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Steen Hertin</author>
    <author>Mathias Hartvig Morell Nielsen</author>
    <author>Kim Holm Aabroe</author>
    <author>Flemming Nielsen</author>
    <author>marasm</author>
  </authors>
  <commentList>
    <comment ref="V37" authorId="0" shapeId="0" xr:uid="{2E978D46-73D1-446A-911C-A25E2C40CD3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Anders + Oliver</t>
        </r>
      </text>
    </comment>
    <comment ref="P42" authorId="1" shapeId="0" xr:uid="{000C160C-0B8C-4F66-87BB-98839BF4C263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Til læge.
Kommer kl. 11.00</t>
        </r>
      </text>
    </comment>
    <comment ref="V42" authorId="0" shapeId="0" xr:uid="{B488CDD4-B94C-41AC-8AC4-E0B70D0DEBB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Dækkes af nødvagter.</t>
        </r>
      </text>
    </comment>
    <comment ref="AC50" authorId="0" shapeId="0" xr:uid="{67DDE3AC-B1CC-4939-AFB4-F39A1851DB6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INGE</t>
        </r>
      </text>
    </comment>
    <comment ref="AC61" authorId="0" shapeId="0" xr:uid="{59257BA2-FCC1-4E61-87ED-1C7402DB629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E62" authorId="0" shapeId="0" xr:uid="{19B64F54-2F62-49A4-A73B-A4F4F5576A1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F62" authorId="0" shapeId="0" xr:uid="{06466E09-B43A-4024-B65D-4FA03407B09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G62" authorId="0" shapeId="0" xr:uid="{865B4CD7-7A16-4945-8B96-CCC84950247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L62" authorId="0" shapeId="0" xr:uid="{9353798D-28F4-4122-B6D3-F3B699E7A63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M62" authorId="0" shapeId="0" xr:uid="{DCC1B6DE-D54E-434D-9A53-93C2B29C8C9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N62" authorId="0" shapeId="0" xr:uid="{CDB4ABED-B85D-4FFD-A522-0F79FFB67F7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K63" authorId="0" shapeId="0" xr:uid="{DF7C1D9A-F565-4E61-A554-915E3F33F08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L63" authorId="0" shapeId="0" xr:uid="{C688A3DD-A7C2-4716-8C7F-ED86E0E031C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F64" authorId="0" shapeId="0" xr:uid="{B7B0C210-A163-437F-B752-8D8B6F2CE54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G64" authorId="0" shapeId="0" xr:uid="{DC563080-C780-4762-B985-B1588AF6C0A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K64" authorId="0" shapeId="0" xr:uid="{477EFFF2-437A-45E1-8963-D1515543D95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L64" authorId="0" shapeId="0" xr:uid="{AE2ECF7B-9AA4-404A-9C82-0D344C36BD5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M64" authorId="0" shapeId="0" xr:uid="{CD78E171-C58D-43DF-894E-8767AF317F1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R64" authorId="0" shapeId="0" xr:uid="{130E5D8D-735E-43FE-A09E-3DE740F87EF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S64" authorId="0" shapeId="0" xr:uid="{992CD938-4368-4F31-BDB2-DF9B11FF43E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T64" authorId="0" shapeId="0" xr:uid="{694CCB32-C7C2-4A2F-B63A-F14DA77B303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O65" authorId="0" shapeId="0" xr:uid="{3A5CE630-FAE6-444A-ADB1-4D2015EE665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E66" authorId="0" shapeId="0" xr:uid="{701FB1EB-A6F5-4AE5-9E78-40B98D05521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 07-19</t>
        </r>
      </text>
    </comment>
    <comment ref="H66" authorId="0" shapeId="0" xr:uid="{CF1CA5BF-AD32-42E7-A435-CDF5CD94C2E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I66" authorId="0" shapeId="0" xr:uid="{0320B8D6-67F9-4B72-9D40-356A6644E59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J66" authorId="0" shapeId="0" xr:uid="{38F25119-36F8-48C8-AE2E-3EA353574E9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K66" authorId="0" shapeId="0" xr:uid="{79BFF810-36E7-4C1D-80A4-5BF8B0B0D20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W66" authorId="0" shapeId="0" xr:uid="{425C4510-7660-4E04-A04B-6B4DAC2D9D4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26 på OA</t>
        </r>
      </text>
    </comment>
    <comment ref="X66" authorId="0" shapeId="0" xr:uid="{B79BA7E5-5A0C-413D-99F7-EDAC402D07E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26 på OA</t>
        </r>
      </text>
    </comment>
    <comment ref="Y66" authorId="0" shapeId="0" xr:uid="{9AB84250-B9FB-46B1-957B-B089167CBDF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26 på OA</t>
        </r>
      </text>
    </comment>
    <comment ref="O67" authorId="0" shapeId="0" xr:uid="{FB0D1BDE-874B-4D50-8E94-B6B593EB6AF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P67" authorId="0" shapeId="0" xr:uid="{A5D265EC-68AD-4E62-BFF1-5B06E1CB948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Q67" authorId="0" shapeId="0" xr:uid="{8E562260-3208-437B-9363-A37155E1E4F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K69" authorId="0" shapeId="0" xr:uid="{EF5D3935-5EA2-4AE2-B346-4F29054A0C4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N69" authorId="0" shapeId="0" xr:uid="{75F02777-7A7C-47BF-8DED-21FBDF639C3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O69" authorId="0" shapeId="0" xr:uid="{15F3E768-C6F8-4916-8DFA-36FC2B28902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R69" authorId="2" shapeId="0" xr:uid="{F31B8A46-912F-465A-B9A3-801A7B5AC9ED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S69" authorId="2" shapeId="0" xr:uid="{323221A2-762F-4C75-BF44-1D07AA2DAC51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19-07</t>
        </r>
      </text>
    </comment>
    <comment ref="C70" authorId="0" shapeId="0" xr:uid="{C8611B6E-961F-41D1-83F7-2456AA940D1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D70" authorId="0" shapeId="0" xr:uid="{F2791142-17EA-48B2-B6D5-3C27AE31660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M70" authorId="0" shapeId="0" xr:uid="{DB97B774-7CE9-4DCD-8D8B-7A72D27D3E3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N70" authorId="0" shapeId="0" xr:uid="{DC93258F-F393-41DD-A109-C6FD57D3552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O70" authorId="0" shapeId="0" xr:uid="{5D71785D-EF81-4130-93FD-D0BBDC6FD88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S70" authorId="0" shapeId="0" xr:uid="{97644688-A86F-4412-9D5C-0397A52D4EE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T70" authorId="0" shapeId="0" xr:uid="{1AEDFD53-E5BC-45BF-80C7-3DE815B7644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U70" authorId="0" shapeId="0" xr:uid="{5A25AE0A-6A9C-4831-AE80-F7D5A17E3AC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P71" authorId="0" shapeId="0" xr:uid="{513FC49F-FC27-4B91-AFAB-5E92776B59C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Q71" authorId="0" shapeId="0" xr:uid="{A523FAC1-4B33-4392-98B7-4E79B233564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AA71" authorId="0" shapeId="0" xr:uid="{6710FF14-EF2B-4515-8748-CE8A34DDA86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AB71" authorId="0" shapeId="0" xr:uid="{AA5AD129-141A-4794-B1EB-15D3E679D62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D72" authorId="0" shapeId="0" xr:uid="{23EF84D4-055A-42B0-9DE7-EFB9E44FB50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H72" authorId="0" shapeId="0" xr:uid="{AA5F0CC7-1D2B-403A-B989-A608243F43A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I72" authorId="0" shapeId="0" xr:uid="{0C7137D2-E1EA-4C99-8329-DA86CBF4805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J72" authorId="0" shapeId="0" xr:uid="{EB35F204-EC32-408C-B6E2-6C3AEDA12E9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T72" authorId="0" shapeId="0" xr:uid="{F1AEEF22-8CDF-4096-8DC5-1DDF7F17A46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U72" authorId="0" shapeId="0" xr:uid="{AAB5E091-8F0C-4F10-9A94-6CCC9DE1859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V72" authorId="0" shapeId="0" xr:uid="{9E12211B-6D3B-4E8D-A2C0-1B4E010E7C2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AA72" authorId="0" shapeId="0" xr:uid="{8BB30166-BFB8-488E-B9B9-9960A7E4476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AB72" authorId="0" shapeId="0" xr:uid="{498AC7DC-428E-41B9-9E92-912A99A5EE2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C79" authorId="3" shapeId="0" xr:uid="{C31A3389-AD88-4F0C-A70F-4DD9B524852C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D79" authorId="3" shapeId="0" xr:uid="{7CB256C9-C2DB-4E86-8A14-37EECA278A7C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E79" authorId="3" shapeId="0" xr:uid="{BA8B8333-9FF3-4D41-A54E-AAE58F566277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H79" authorId="3" shapeId="0" xr:uid="{CDA5CEBB-2847-48D1-B970-700B1320642B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I79" authorId="3" shapeId="0" xr:uid="{4A142F71-C0D3-49F3-8B56-9BE9D08FEAA9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J79" authorId="3" shapeId="0" xr:uid="{6C89105C-EB07-4CF1-9162-3E0ACD596A75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P79" authorId="3" shapeId="0" xr:uid="{C191C6B4-5E2A-4647-B671-99E27825AEA9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Q79" authorId="3" shapeId="0" xr:uid="{7EC28DD2-F96D-423F-9116-E2CA0699AC12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R79" authorId="3" shapeId="0" xr:uid="{ED4B4804-4208-48FF-A427-3E2F85939464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S79" authorId="3" shapeId="0" xr:uid="{7E4A02FE-A299-4905-889F-BE910FD939F3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V79" authorId="3" shapeId="0" xr:uid="{B50B289F-7B3D-4E12-B006-3307DF0C41B9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W79" authorId="3" shapeId="0" xr:uid="{4874AC2A-595B-4682-AE67-2224DB151FD1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X79" authorId="3" shapeId="0" xr:uid="{C5A58E55-E446-4D6F-A14F-0805FCBD518B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Y79" authorId="3" shapeId="0" xr:uid="{AF2BBA07-BEC1-48B6-9046-05692EB24594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Z79" authorId="3" shapeId="0" xr:uid="{CAC73B52-7ECD-4263-AEF5-A81867B75117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AC79" authorId="3" shapeId="0" xr:uid="{B4C9E256-0E40-47CB-A521-81618F407C0C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AD79" authorId="3" shapeId="0" xr:uid="{CDC8DCFD-B01B-4DA8-A7FB-034990C6583A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AE79" authorId="3" shapeId="0" xr:uid="{E881F760-53F8-43F9-8775-05E7448C25CD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AF79" authorId="3" shapeId="0" xr:uid="{272DCD05-E814-495D-8C4F-7B652E75508F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E80" authorId="0" shapeId="0" xr:uid="{E5EA32F5-0F0A-4E54-B231-F1E6F9B0FA9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F80" authorId="0" shapeId="0" xr:uid="{2B9F9503-1F12-40F0-9B01-B0D739E86A7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G80" authorId="0" shapeId="0" xr:uid="{4CCCCD04-0C5E-4342-9766-84E4069FDDA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D86" authorId="3" shapeId="0" xr:uid="{2429F619-7226-4F13-A39E-A38C392AE4C9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Posten 07.30</t>
        </r>
      </text>
    </comment>
    <comment ref="U100" authorId="0" shapeId="0" xr:uid="{2DBCF8C2-9C3F-425B-AB5E-2A61FDA9E75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V100" authorId="0" shapeId="0" xr:uid="{E7D96F9B-2429-4123-B0C5-ECC840AE008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W100" authorId="0" shapeId="0" xr:uid="{01094600-6882-41EE-8F73-10940A77686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AC100" authorId="0" shapeId="0" xr:uid="{AFBA035B-D7C0-4BBB-9532-03FB8E36A9C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AE100" authorId="0" shapeId="0" xr:uid="{3810ACF4-557F-4C08-AD3F-053B29514E8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AF101" authorId="0" shapeId="0" xr:uid="{F4AEFDCA-0A2C-4548-9BC9-4459BF6B67A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V108" authorId="0" shapeId="0" xr:uid="{B5F9C240-0AB2-494F-8B21-BBECE1F8A38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Deler med Oliver</t>
        </r>
      </text>
    </comment>
    <comment ref="V121" authorId="0" shapeId="0" xr:uid="{E1B91D82-A250-4B31-BE65-90FBB86D068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W121" authorId="0" shapeId="0" xr:uid="{B2734837-033C-43C4-9CB0-2E67CD8DBE5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AC123" authorId="0" shapeId="0" xr:uid="{A02612C6-655C-48A4-A216-564501360A0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07.30 - 16.30 Hans Tavsens Park</t>
        </r>
      </text>
    </comment>
    <comment ref="AD123" authorId="0" shapeId="0" xr:uid="{9FD9CE26-4BED-4E2C-8A8A-ED911CA901E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07.30 - 16.30 Hans Tavsens Park</t>
        </r>
      </text>
    </comment>
    <comment ref="AE123" authorId="0" shapeId="0" xr:uid="{E5D3A73B-181E-4895-BBC2-F4FFF6C2555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07.30 - 16.30 Hans Tavsens Park</t>
        </r>
      </text>
    </comment>
    <comment ref="S174" authorId="4" shapeId="0" xr:uid="{36ACA6D4-7589-4604-A10F-DC3EDBE2406F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intern flexdage</t>
        </r>
      </text>
    </comment>
    <comment ref="AC174" authorId="4" shapeId="0" xr:uid="{2123AE20-869B-49F9-8641-6F31DFF2E1D3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intern flexdage</t>
        </r>
      </text>
    </comment>
    <comment ref="N176" authorId="0" shapeId="0" xr:uid="{ED53CEEC-6DA1-4B22-B8E8-CC2614F0383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C179" authorId="0" shapeId="0" xr:uid="{F6A6BC35-3669-4328-8EC9-0C106C30912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Lukket ned</t>
        </r>
      </text>
    </comment>
    <comment ref="D179" authorId="0" shapeId="0" xr:uid="{F46AD143-1C01-4741-93D5-9D2600F8B60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Lukket ned</t>
        </r>
      </text>
    </comment>
    <comment ref="E179" authorId="0" shapeId="0" xr:uid="{B4053CB2-7AD6-4AEC-82C4-A4EDC0C0959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07-19</t>
        </r>
      </text>
    </comment>
    <comment ref="C180" authorId="0" shapeId="0" xr:uid="{13CB8744-9B77-41AB-9BA6-EBA24D5A924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Lukke håndværkere ind Valdemarsgade</t>
        </r>
      </text>
    </comment>
    <comment ref="P180" authorId="0" shapeId="0" xr:uid="{61631E45-B35A-409F-B60C-340D438931F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Lukke håndværkere ind Valdemarsgade</t>
        </r>
      </text>
    </comment>
    <comment ref="Q180" authorId="0" shapeId="0" xr:uid="{84E941DA-2760-441E-8EAD-EA1D111FACB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Lukke håndværkere ind Valdemarsgade</t>
        </r>
      </text>
    </comment>
    <comment ref="R180" authorId="0" shapeId="0" xr:uid="{599E3B86-B1E6-4866-8B8E-40AF3B62E73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Lukke håndværkere ind Valdemarsgade</t>
        </r>
      </text>
    </comment>
    <comment ref="S180" authorId="0" shapeId="0" xr:uid="{05769BC2-C1B2-4B7A-8E6B-DBDA0B7DC64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Lukke håndværkere ind Valdemarsgade</t>
        </r>
      </text>
    </comment>
    <comment ref="V180" authorId="0" shapeId="0" xr:uid="{EA703DB1-3466-40B4-9F84-6C97801455E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Lukke håndværkere ind Valdemarsgade</t>
        </r>
      </text>
    </comment>
    <comment ref="W180" authorId="0" shapeId="0" xr:uid="{B1D55D5C-5E53-4FCE-9D05-BF2105DF9BA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Lukke håndværkere ind Valdemarsgade</t>
        </r>
      </text>
    </comment>
    <comment ref="AE180" authorId="0" shapeId="0" xr:uid="{B7110FF3-FE33-46FF-BAFF-1BD72F8DB05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Arbejde</t>
        </r>
      </text>
    </comment>
    <comment ref="C182" authorId="3" shapeId="0" xr:uid="{9516EAD4-DE59-4F32-9F10-C705FE723C14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Hjemløseenheden</t>
        </r>
      </text>
    </comment>
    <comment ref="C183" authorId="0" shapeId="0" xr:uid="{E49C2282-8185-4F93-86CE-F1D2786DDD1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arbejde</t>
        </r>
      </text>
    </comment>
    <comment ref="D183" authorId="0" shapeId="0" xr:uid="{9B46C18A-7FD0-40C9-9BFC-581D8638607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arbejde</t>
        </r>
      </text>
    </comment>
    <comment ref="X186" authorId="0" shapeId="0" xr:uid="{8B6C6B94-838A-428A-B15E-0EEECAA63C6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Y186" authorId="0" shapeId="0" xr:uid="{E6BB16C6-A0F6-4597-926A-BD180EAB343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Z186" authorId="0" shapeId="0" xr:uid="{A9EEDF0C-D220-41DC-BBAF-D7592B2681D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AD186" authorId="0" shapeId="0" xr:uid="{29A961C1-0DB4-4256-A158-7CEDB14F23F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C187" authorId="0" shapeId="0" xr:uid="{269F3445-F3EC-4814-B810-BFDE3C11E5A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Lukket ned</t>
        </r>
      </text>
    </comment>
    <comment ref="D187" authorId="0" shapeId="0" xr:uid="{4C832D6B-0198-4302-BC1B-FA0EECD58A1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Lukket ned</t>
        </r>
      </text>
    </comment>
    <comment ref="E187" authorId="0" shapeId="0" xr:uid="{679B1B67-4863-4F19-B368-4ECFBDBB7F8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Lukket ned</t>
        </r>
      </text>
    </comment>
    <comment ref="P187" authorId="0" shapeId="0" xr:uid="{6856C5FA-C4F3-436F-97E9-AB6687658A7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Q187" authorId="0" shapeId="0" xr:uid="{E9AB5222-8598-4BAF-B4CF-7162807146D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R187" authorId="0" shapeId="0" xr:uid="{CB67EBD6-437B-4761-BC76-5698F681EB4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X187" authorId="0" shapeId="0" xr:uid="{2E1DC141-5F0D-4DE1-AAEA-2F8073565D3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Y187" authorId="0" shapeId="0" xr:uid="{486C4115-E23A-4562-A55F-215936303AA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Z187" authorId="0" shapeId="0" xr:uid="{7676D116-CE43-48F6-96C2-CEDB35C1772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AD187" authorId="0" shapeId="0" xr:uid="{EB2528CB-EAD1-4EC7-9AE9-D2880354EDD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AE187" authorId="0" shapeId="0" xr:uid="{6EB54F93-B419-4EEE-AB75-FF187EF59BE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AF187" authorId="0" shapeId="0" xr:uid="{42D0E68D-D89B-44F0-B165-8213E6A2D74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C188" authorId="0" shapeId="0" xr:uid="{3E4E3273-A080-4DA9-9CAD-A62E4FB44F6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Lukket ned</t>
        </r>
      </text>
    </comment>
    <comment ref="D188" authorId="0" shapeId="0" xr:uid="{88DF9E11-8F38-4822-A902-729F88A44C7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Lukket ned</t>
        </r>
      </text>
    </comment>
    <comment ref="E188" authorId="0" shapeId="0" xr:uid="{A5D48B3C-0B20-4259-AC96-26B1231F8BF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Lukket ned</t>
        </r>
      </text>
    </comment>
    <comment ref="H188" authorId="0" shapeId="0" xr:uid="{BB24B368-B712-4437-ADCB-6E05BA5BA3F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Lukket ned</t>
        </r>
      </text>
    </comment>
    <comment ref="I188" authorId="0" shapeId="0" xr:uid="{D5AD5B4A-B1FB-4431-BEE3-3BE92464CF4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Lukket ned</t>
        </r>
      </text>
    </comment>
    <comment ref="J188" authorId="0" shapeId="0" xr:uid="{1B1D5338-EE2D-48FF-9DE8-B4A620B2BEE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Lukket ned</t>
        </r>
      </text>
    </comment>
    <comment ref="H196" authorId="0" shapeId="0" xr:uid="{DBE251CE-3721-4A86-9540-F26A3A853B4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I196" authorId="0" shapeId="0" xr:uid="{B6870C3B-BE49-4278-9F26-B2DE61C1C69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J196" authorId="0" shapeId="0" xr:uid="{FD23FC25-BD12-44C2-9645-A7309B5A100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C239" authorId="0" shapeId="0" xr:uid="{C7D039AC-3322-41B0-8042-AB0591083E1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D239" authorId="0" shapeId="0" xr:uid="{6F613234-F4D7-4D99-BF7D-37EB8E668AA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E239" authorId="0" shapeId="0" xr:uid="{8FFB1C62-9801-47A3-A733-78FA26B1A88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  <comment ref="C241" authorId="0" shapeId="0" xr:uid="{0BF82917-6543-48D4-A30C-C367358C6B8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Nødberedskab 19-07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Steen Hertin</author>
    <author>Kim Holm Aabroe</author>
    <author>Flemming Nielsen</author>
    <author>Thomas Holm</author>
    <author>Rasmus Sørensen</author>
    <author>Nikolaj Langtin Pamhede</author>
    <author>tc={E0B1E8AC-0C5D-4B65-B67C-2DE575F3A4EF}</author>
    <author>tc={434FFB68-F518-488F-BC6A-BA05B2958B59}</author>
    <author>Michael Bo Pedersen</author>
    <author>marasm</author>
  </authors>
  <commentList>
    <comment ref="W14" authorId="0" shapeId="0" xr:uid="{29732C57-16E0-4FFA-86D6-8CE45DB8101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89-vagt mangler</t>
        </r>
      </text>
    </comment>
    <comment ref="L15" authorId="1" shapeId="0" xr:uid="{F85465D1-A6CA-4809-B375-A8EDB2D0FF61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mus+grus</t>
        </r>
      </text>
    </comment>
    <comment ref="S17" authorId="0" shapeId="0" xr:uid="{841013EB-AC91-42B0-A038-5EFBD926FDD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2-vagt
</t>
        </r>
      </text>
    </comment>
    <comment ref="D21" authorId="2" shapeId="0" xr:uid="{A95D4D2D-8680-4797-9BDB-6E91C7F51A5E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Regninger med Per</t>
        </r>
      </text>
    </comment>
    <comment ref="E21" authorId="2" shapeId="0" xr:uid="{425834CE-4A37-4967-ACE6-545177ADBAFE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Regninger med Per</t>
        </r>
      </text>
    </comment>
    <comment ref="G21" authorId="0" shapeId="0" xr:uid="{702BE9AD-D107-42B9-9A73-5763356278C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Sundby irætspark 07-15</t>
        </r>
      </text>
    </comment>
    <comment ref="N21" authorId="0" shapeId="0" xr:uid="{348A9B03-CE1C-47B7-9951-873F2F81F13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Vanløsehallen 15.30-23.30</t>
        </r>
      </text>
    </comment>
    <comment ref="S21" authorId="0" shapeId="0" xr:uid="{E71DDC72-7D3B-4924-B347-DDC4F0369E5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Nørrebrohallen OA</t>
        </r>
      </text>
    </comment>
    <comment ref="V21" authorId="0" shapeId="0" xr:uid="{027740D5-E187-44F6-8C4E-AD3D3204CB5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X21" authorId="0" shapeId="0" xr:uid="{C7AE726F-69AF-4DCB-B8DA-3B8A512F3C6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Y21" authorId="0" shapeId="0" xr:uid="{7363BA48-4295-469F-9838-E5EAC063277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Z21" authorId="0" shapeId="0" xr:uid="{4F73A677-1899-4CA0-9ACE-A36D758FD12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AC21" authorId="0" shapeId="0" xr:uid="{FF5B71A2-5D8B-44A7-856E-85F09F13ED8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Griffen</t>
        </r>
      </text>
    </comment>
    <comment ref="H22" authorId="0" shapeId="0" xr:uid="{B3241119-2D26-4629-A2E2-F6490086EEC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I22" authorId="0" shapeId="0" xr:uid="{025D998D-BFD8-4C9A-B524-C1E400BCC49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J22" authorId="0" shapeId="0" xr:uid="{6AB57EBE-E77E-4104-96F0-6A9FCD9910A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K22" authorId="0" shapeId="0" xr:uid="{2C6F6884-CE93-4224-A68A-332D37E15A6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O22" authorId="0" shapeId="0" xr:uid="{ED2395C6-E474-4EB7-A1CD-7693DA2CFF0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P22" authorId="0" shapeId="0" xr:uid="{0C0394C7-6559-402C-B31E-CBB7B9E9AE2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Q22" authorId="0" shapeId="0" xr:uid="{70BBA26C-E558-4A78-8FB8-3E77D7A44C3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R22" authorId="0" shapeId="0" xr:uid="{0BCEDDDE-A25C-4FB3-9A38-4DE662BFCE2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S22" authorId="0" shapeId="0" xr:uid="{119200AF-5CEB-41BB-9AB4-D85A3C6B37C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V22" authorId="0" shapeId="0" xr:uid="{DDB8046E-E3E1-49A7-9AD6-6487C78D728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W22" authorId="0" shapeId="0" xr:uid="{04071AF3-12EA-41F3-BCE9-DC993760C20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X22" authorId="0" shapeId="0" xr:uid="{953F0147-A332-47C4-B567-5C10665DE76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Y22" authorId="0" shapeId="0" xr:uid="{E50BE73E-1841-4BDD-9521-7EE8279248F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Z22" authorId="0" shapeId="0" xr:uid="{6C49C127-AE48-42BE-B566-9CFF1C248C4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AC22" authorId="0" shapeId="0" xr:uid="{250AD413-B1B2-45B3-A933-EC0069385B6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AD22" authorId="0" shapeId="0" xr:uid="{D1072259-C637-4462-A269-80ED7C99E4F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 99-vagt sammen med Nikolaj fra kl. 09.00 og til Peter kommer tilbage.</t>
        </r>
      </text>
    </comment>
    <comment ref="AE22" authorId="0" shapeId="0" xr:uid="{64495B46-4E41-4D5F-AA15-2481B3D2125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AF22" authorId="0" shapeId="0" xr:uid="{F9BD91A3-F179-4416-B871-F07C3229C3B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AG22" authorId="0" shapeId="0" xr:uid="{187E339A-3695-4A6D-AE22-485BDD4493E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D23" authorId="0" shapeId="0" xr:uid="{67D825A2-C053-40F9-814A-4E46DC18203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E23" authorId="0" shapeId="0" xr:uid="{21F3B132-1F03-4A52-9EDF-3EF0D6EFEBA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H23" authorId="0" shapeId="0" xr:uid="{29C05E06-84DA-4FD0-9EA0-C8D239A8FC0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I23" authorId="0" shapeId="0" xr:uid="{990D6FAD-99CC-43AF-B48E-DE05EE3C5AF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J23" authorId="0" shapeId="0" xr:uid="{8D990365-4BA7-43C2-AD4D-B9DBCFCE5BB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K23" authorId="0" shapeId="0" xr:uid="{72BE1D12-26EC-4E18-AC40-97E9B2A3FA6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O23" authorId="0" shapeId="0" xr:uid="{6048FAFC-E385-43E5-A93B-AA6035B8EB0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P23" authorId="0" shapeId="0" xr:uid="{180AEF49-0CDF-47B7-938E-9C9AF0AB739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Q23" authorId="0" shapeId="0" xr:uid="{022D15FB-B02D-4E74-885C-527BF5B996B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R23" authorId="0" shapeId="0" xr:uid="{CCF58D33-CD05-48E4-B2BB-0E2AA9EF485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S23" authorId="0" shapeId="0" xr:uid="{BCDC561F-960A-4C3A-AD6C-AE280D7435A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AC23" authorId="0" shapeId="0" xr:uid="{D4A656AC-99DF-4C35-91D8-59E996159F8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AD23" authorId="0" shapeId="0" xr:uid="{AC8FFF59-8C68-412D-9B34-E48AF736F56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AE23" authorId="0" shapeId="0" xr:uid="{DAC78298-542F-47FD-A779-0554A04DAA5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AF23" authorId="0" shapeId="0" xr:uid="{89006C56-A5F3-4117-B636-0E2D3EB264C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AG23" authorId="0" shapeId="0" xr:uid="{3ABAEA35-E748-40C1-A4CB-B621F786F60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AB25" authorId="0" shapeId="0" xr:uid="{F91951AA-A4CA-42BB-BF93-B0DEB84F805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Nørrebro bibl.</t>
        </r>
      </text>
    </comment>
    <comment ref="I37" authorId="0" shapeId="0" xr:uid="{5493793B-BBC0-4582-AAC1-E05DB4E3397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Hjemløseenheden kl. 12.00</t>
        </r>
      </text>
    </comment>
    <comment ref="L37" authorId="1" shapeId="0" xr:uid="{66309488-5F27-4B20-96DF-4E98DF2CDAE5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mus+grus</t>
        </r>
      </text>
    </comment>
    <comment ref="N37" authorId="0" shapeId="0" xr:uid="{7DF3DAA4-DEA5-4E44-9B55-D5E4923AB77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Nørrebro bibliotek</t>
        </r>
      </text>
    </comment>
    <comment ref="Q37" authorId="0" shapeId="0" xr:uid="{4E803B38-6031-4C0E-BC0B-E1C103A7688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 på OA</t>
        </r>
      </text>
    </comment>
    <comment ref="Y37" authorId="3" shapeId="0" xr:uid="{5A078578-FBF2-46D7-966C-869DF4CB21CB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H-vagt 13.00-17.00</t>
        </r>
      </text>
    </comment>
    <comment ref="AE37" authorId="0" shapeId="0" xr:uid="{4FA2C6E3-7F59-489A-A85B-4E6AA54960F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38" authorId="1" shapeId="0" xr:uid="{5A6867BF-4D7D-4D7D-AAA8-741C1031E502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mus+grus</t>
        </r>
      </text>
    </comment>
    <comment ref="L39" authorId="1" shapeId="0" xr:uid="{36ADAE67-6E15-4533-A69D-7ABED1D2648B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mus+grus</t>
        </r>
      </text>
    </comment>
    <comment ref="M39" authorId="0" shapeId="0" xr:uid="{02C77AD2-80F6-4DE5-9CA4-D7DF4A5927C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Vanløsehallen 15.30-23.30</t>
        </r>
      </text>
    </comment>
    <comment ref="W42" authorId="3" shapeId="0" xr:uid="{D82E0579-D4EF-4F83-B3F4-499D09172630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89-vagt</t>
        </r>
      </text>
    </comment>
    <comment ref="AE45" authorId="0" shapeId="0" xr:uid="{F2B356E5-45D0-4F2B-BEB9-C992517835A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Tager o-vagt</t>
        </r>
      </text>
    </comment>
    <comment ref="AG45" authorId="2" shapeId="0" xr:uid="{48C71DA2-117D-41D0-87B8-4F23BFE19F53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 GL. Køge landevej BBU</t>
        </r>
      </text>
    </comment>
    <comment ref="Z62" authorId="3" shapeId="0" xr:uid="{FFFE4C06-ABC4-48BC-B11A-00B3690B6CB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OA Matthæusgade</t>
        </r>
      </text>
    </comment>
    <comment ref="T63" authorId="0" shapeId="0" xr:uid="{44DEE977-23EE-4A6A-8678-FE0A5E3FA64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26-vagt på OA</t>
        </r>
      </text>
    </comment>
    <comment ref="L64" authorId="1" shapeId="0" xr:uid="{7217D223-6B86-4983-B72E-DED54034A965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mus+grus</t>
        </r>
      </text>
    </comment>
    <comment ref="W65" authorId="0" shapeId="0" xr:uid="{79E75785-E8AD-4EA4-857E-BA4AA0F1211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Bellahøjhallen 15.00-23.30</t>
        </r>
      </text>
    </comment>
    <comment ref="X65" authorId="0" shapeId="0" xr:uid="{BC978CD5-82AF-41A8-B3BF-C19DDE49FA9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10.00</t>
        </r>
      </text>
    </comment>
    <comment ref="Z65" authorId="0" shapeId="0" xr:uid="{F447C5CB-05CA-4BAE-B62D-414E22C7AFA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Bellahøjhallen 15.00-23.30</t>
        </r>
      </text>
    </comment>
    <comment ref="S66" authorId="0" shapeId="0" xr:uid="{FE7D9DE0-8E1B-4502-AD83-AEE8D3FAC95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H-vagt på OA.</t>
        </r>
      </text>
    </comment>
    <comment ref="AG66" authorId="0" shapeId="0" xr:uid="{60D3764E-5B16-4DB8-94F8-A2AFEB36BD0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+ M-vagt oa.</t>
        </r>
      </text>
    </comment>
    <comment ref="D67" authorId="0" shapeId="0" xr:uid="{EF6CE3B8-D652-4A51-ADF6-FA25800F98F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hjemløse
</t>
        </r>
      </text>
    </comment>
    <comment ref="E67" authorId="0" shapeId="0" xr:uid="{98458216-269F-4941-9C80-758F0C6EDF6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hjemløse
</t>
        </r>
      </text>
    </comment>
    <comment ref="L67" authorId="0" shapeId="0" xr:uid="{79F745FC-800D-491E-AF93-D4F252D54EA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GLK på OA</t>
        </r>
      </text>
    </comment>
    <comment ref="S67" authorId="0" shapeId="0" xr:uid="{AD743F29-9DE8-40E3-802C-54D8F89DDE9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Sydbanestien</t>
        </r>
      </text>
    </comment>
    <comment ref="W67" authorId="0" shapeId="0" xr:uid="{FABF02D1-FB34-46B0-9FA9-D03FD3B239E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Fuglebakken</t>
        </r>
      </text>
    </comment>
    <comment ref="X67" authorId="0" shapeId="0" xr:uid="{78013B31-ECD2-4BEF-B264-023F9D775EA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Fuglebakken</t>
        </r>
      </text>
    </comment>
    <comment ref="Y67" authorId="0" shapeId="0" xr:uid="{82DCE13D-8CC8-4C1E-A614-7B5C5F063A0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Fuglebakken</t>
        </r>
      </text>
    </comment>
    <comment ref="AA67" authorId="0" shapeId="0" xr:uid="{3B3D375B-CB41-4F65-8B57-D7687C35553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Bellahøj 15.00-23-30</t>
        </r>
      </text>
    </comment>
    <comment ref="AC67" authorId="1" shapeId="0" xr:uid="{3A283F8A-97F4-4200-A203-689799812748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mjølnerparken</t>
        </r>
      </text>
    </comment>
    <comment ref="AD67" authorId="0" shapeId="0" xr:uid="{C8FB22C2-83E4-4009-849B-2E7609E56E4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AG67" authorId="0" shapeId="0" xr:uid="{3C9043DF-3BD8-409B-BEDD-CFB949C65FF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Bellahøj 15.00-23.30</t>
        </r>
      </text>
    </comment>
    <comment ref="K68" authorId="4" shapeId="0" xr:uid="{1F70FEB2-FE50-4687-A175-4E4C9708FD7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Trio på griffen kl. 13:30</t>
        </r>
      </text>
    </comment>
    <comment ref="F70" authorId="0" shapeId="0" xr:uid="{52E17709-5DAC-4730-9183-5B86FC482C9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Vanløsehallen 15.30-23.30</t>
        </r>
      </text>
    </comment>
    <comment ref="G70" authorId="0" shapeId="0" xr:uid="{66171662-65A7-47F9-A52E-09A263342FB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Vanløsehallen 15.30-23.30</t>
        </r>
      </text>
    </comment>
    <comment ref="I70" authorId="0" shapeId="0" xr:uid="{A8CE62D0-038D-4D0E-8344-6954CF0C9C1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J70" authorId="0" shapeId="0" xr:uid="{D33ACE1E-6339-4503-8C94-38CC1814364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K70" authorId="0" shapeId="0" xr:uid="{8E4395DD-83BE-48A9-9CF9-BDDFA16A44F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L70" authorId="0" shapeId="0" xr:uid="{BF71D878-1BB2-4C44-B30A-94CDD707365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T70" authorId="0" shapeId="0" xr:uid="{B0F77621-0060-41DF-8536-B3A24A30593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Bellahøj 15.00.23.30</t>
        </r>
      </text>
    </comment>
    <comment ref="U70" authorId="0" shapeId="0" xr:uid="{457B242C-2C3B-444F-9918-01B3718946C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Bellahøj 15.00.23.30</t>
        </r>
      </text>
    </comment>
    <comment ref="AE70" authorId="5" shapeId="0" xr:uid="{5F329F8C-685D-4466-B62E-BE69F490D6EB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89 på oa</t>
        </r>
      </text>
    </comment>
    <comment ref="AF70" authorId="5" shapeId="0" xr:uid="{7C120444-9AFB-4660-B12E-E0751B2D04AB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89 på oa</t>
        </r>
      </text>
    </comment>
    <comment ref="E71" authorId="0" shapeId="0" xr:uid="{67160A33-1EB7-4DD4-8892-EB372D96538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Sundby idrætspark. 15..00-23.30</t>
        </r>
      </text>
    </comment>
    <comment ref="F71" authorId="0" shapeId="0" xr:uid="{408DF1B6-4F47-4AE2-A73B-D157A677263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Sundby irætspark 07-15.00</t>
        </r>
      </text>
    </comment>
    <comment ref="S71" authorId="0" shapeId="0" xr:uid="{32710F82-F2BD-4DFF-B813-ED289D8A5BC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Ryparken 15.00-23.30</t>
        </r>
      </text>
    </comment>
    <comment ref="AC71" authorId="2" shapeId="0" xr:uid="{8FB430C9-46F6-4022-8AF8-1BF1D9BC60AD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26 Vagt OA</t>
        </r>
      </text>
    </comment>
    <comment ref="AE71" authorId="4" shapeId="0" xr:uid="{6736A9DD-3DAA-484F-9F96-FECEBF241FC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26-vagt oa</t>
        </r>
      </text>
    </comment>
    <comment ref="D72" authorId="0" shapeId="0" xr:uid="{A2DD6701-8559-4972-81F5-5759535DA83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E72" authorId="0" shapeId="0" xr:uid="{E3BF6D46-79CC-4144-9A1A-A4454592EA8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H72" authorId="0" shapeId="0" xr:uid="{510EF073-7563-44F4-A99B-5D4C66D4C78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I72" authorId="0" shapeId="0" xr:uid="{4AAC8490-A4E0-485D-83DB-B188AF7E63D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J72" authorId="0" shapeId="0" xr:uid="{87E0B32C-D8AB-4777-A6BF-1BFAB541778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K72" authorId="0" shapeId="0" xr:uid="{CB454662-33DF-4FFD-86F9-048FDE83935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L72" authorId="0" shapeId="0" xr:uid="{DD7AC9F8-D3A2-48B6-BD3A-30C0B40B5C3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O72" authorId="0" shapeId="0" xr:uid="{AEC2CAD2-F497-4986-968C-9C7B08EBBC0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P72" authorId="0" shapeId="0" xr:uid="{53C0C5CE-C903-4BF9-8155-D2E5B35D3EF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Q72" authorId="0" shapeId="0" xr:uid="{7F44828D-3407-4AF7-B29E-08E0CE00304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R72" authorId="0" shapeId="0" xr:uid="{F20C043A-5464-4033-BB18-32E23DB5A2C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S72" authorId="0" shapeId="0" xr:uid="{A747EC01-C98E-4157-A6BF-95AD8C2EA25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V72" authorId="0" shapeId="0" xr:uid="{64896315-62F6-4CB8-A462-29A6957B9FA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W72" authorId="0" shapeId="0" xr:uid="{51D6513E-D8E3-41DB-806B-7FE054E7064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X72" authorId="0" shapeId="0" xr:uid="{3A0BFA28-418A-441C-B02D-D522DCAC475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Y72" authorId="0" shapeId="0" xr:uid="{8E8A30D3-D2BE-4D1A-AB92-39A66897950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Z72" authorId="0" shapeId="0" xr:uid="{55CEA5E4-7AF8-49A3-87E1-B61C38EA20F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AC72" authorId="0" shapeId="0" xr:uid="{4118AB18-1C56-4E1F-8ABC-8481B8902ED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AD72" authorId="0" shapeId="0" xr:uid="{0857A561-E9DF-4073-80A4-685B1872A28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AE72" authorId="0" shapeId="0" xr:uid="{D010A451-8C79-460E-9587-DDA705FDB81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AF72" authorId="0" shapeId="0" xr:uid="{BD17E1F1-7FD8-493B-9379-AEFCE2BE07A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AG72" authorId="0" shapeId="0" xr:uid="{B4B91833-A6A8-4FCB-AE9A-1770767D55A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D74" authorId="0" shapeId="0" xr:uid="{F58F31A7-F68D-42FE-BD19-3F7708F3E48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E74" authorId="0" shapeId="0" xr:uid="{8FE9BD79-9772-4D38-B445-54F17CA7DDA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H74" authorId="1" shapeId="0" xr:uid="{F82F1A01-8096-4E3B-99AE-8F3CD74200A8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mjølnerparken</t>
        </r>
      </text>
    </comment>
    <comment ref="K74" authorId="0" shapeId="0" xr:uid="{BA93D7C2-F42C-4204-8918-D769BFFBCBF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Vasbygade</t>
        </r>
      </text>
    </comment>
    <comment ref="L74" authorId="0" shapeId="0" xr:uid="{5C850859-EE00-4E5D-9704-E6A86A07755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Vasbygade</t>
        </r>
      </text>
    </comment>
    <comment ref="O74" authorId="1" shapeId="0" xr:uid="{1488B5DF-ECA9-4AD3-A9E5-C59EFA2AAC17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mjølnerparken</t>
        </r>
      </text>
    </comment>
    <comment ref="T74" authorId="0" shapeId="0" xr:uid="{ACFE3DDD-3713-4F00-90A0-962A32B17D9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Vanløsehallen 15.30-23.30</t>
        </r>
      </text>
    </comment>
    <comment ref="U74" authorId="0" shapeId="0" xr:uid="{BF8A2BF9-5036-46EB-B872-49FB0596F40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Vanløsehallen 15.30-23.30</t>
        </r>
      </text>
    </comment>
    <comment ref="V74" authorId="1" shapeId="0" xr:uid="{C27E4DCF-AD25-4F62-9F76-7B03C17EE74B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mjølnerparken</t>
        </r>
      </text>
    </comment>
    <comment ref="AE74" authorId="6" shapeId="0" xr:uid="{E0B1E8AC-0C5D-4B65-B67C-2DE575F3A4EF}">
      <text>
        <t>[Threaded comment]
Your version of Excel allows you to read this threaded comment; however, any edits to it will get removed if the file is opened in a newer version of Excel. Learn more: https://go.microsoft.com/fwlink/?linkid=870924
Comment:
    3-vagt på o/a</t>
      </text>
    </comment>
    <comment ref="AF74" authorId="5" shapeId="0" xr:uid="{D4536572-3312-46D9-B664-8181EDBED47C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99 på oa</t>
        </r>
      </text>
    </comment>
    <comment ref="AG74" authorId="0" shapeId="0" xr:uid="{0C03EC44-3B4F-4D8C-BB58-6821CC65E91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89-vagt på OA</t>
        </r>
      </text>
    </comment>
    <comment ref="AA78" authorId="0" shapeId="0" xr:uid="{FA9605AF-5B7B-482F-9C50-0B93919BE32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Vanløsehallen 15.30-23.30</t>
        </r>
      </text>
    </comment>
    <comment ref="AB78" authorId="0" shapeId="0" xr:uid="{BC2E7611-78E2-4AFC-B39A-192BFED9FAD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Vanløsehallen 15.30-23.30</t>
        </r>
      </text>
    </comment>
    <comment ref="AD79" authorId="7" shapeId="0" xr:uid="{434FFB68-F518-488F-BC6A-BA05B2958B59}">
      <text>
        <t>[Threaded comment]
Your version of Excel allows you to read this threaded comment; however, any edits to it will get removed if the file is opened in a newer version of Excel. Learn more: https://go.microsoft.com/fwlink/?linkid=870924
Comment:
    Møde i retten kl. 0900-?? møder bagefter.</t>
      </text>
    </comment>
    <comment ref="L82" authorId="1" shapeId="0" xr:uid="{65059663-6934-476C-93EC-4A27DCD8E75E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mus+grus</t>
        </r>
      </text>
    </comment>
    <comment ref="AF88" authorId="2" shapeId="0" xr:uid="{C809C386-CCBF-4AE6-894F-D28A198C262A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AG88" authorId="2" shapeId="0" xr:uid="{1F086648-5446-4A24-A4B1-D0F1C87C14A2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Fejemand</t>
        </r>
      </text>
    </comment>
    <comment ref="T100" authorId="0" shapeId="0" xr:uid="{FF86FDE1-78A5-4FEE-90C5-D5586CBACBE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OA rådhuset 07.00-13.30</t>
        </r>
      </text>
    </comment>
    <comment ref="AF100" authorId="0" shapeId="0" xr:uid="{089C4D3D-D688-4AF6-B953-CBB6B8FBB32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BBU Gl. køge landevej
09.00-18.00 på OA</t>
        </r>
      </text>
    </comment>
    <comment ref="H101" authorId="0" shapeId="0" xr:uid="{226E227C-1D8B-48B9-979A-1F0FA7943C2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Til læge. Møder kl. 11.00</t>
        </r>
      </text>
    </comment>
    <comment ref="M101" authorId="8" shapeId="0" xr:uid="{B42CEA83-4149-44C4-8532-DFDB6DA26FF7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Ryparken 15.30-23.30</t>
        </r>
      </text>
    </comment>
    <comment ref="O101" authorId="3" shapeId="0" xr:uid="{F3FA291E-F1C8-40DF-88A1-03BA1A73855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G-vagt OA</t>
        </r>
      </text>
    </comment>
    <comment ref="P101" authorId="3" shapeId="0" xr:uid="{78E5D4C4-F2B9-4585-A3D1-E31541374E2E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G-vagt OA</t>
        </r>
      </text>
    </comment>
    <comment ref="AC101" authorId="2" shapeId="0" xr:uid="{CA875A22-CF37-4F32-A44F-EB9A73F16A95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Svanevej</t>
        </r>
      </text>
    </comment>
    <comment ref="AD101" authorId="2" shapeId="0" xr:uid="{2CE81201-D581-4787-A9BA-A9B2C662955A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Svanevej</t>
        </r>
      </text>
    </comment>
    <comment ref="AE101" authorId="0" shapeId="0" xr:uid="{BF46F7BE-71AC-4CCE-9BB6-3FBE69EFE72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Griffen 08.15-14.45</t>
        </r>
      </text>
    </comment>
    <comment ref="AG101" authorId="0" shapeId="0" xr:uid="{3036077E-92FF-450A-A76D-E97389289DA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Nørrebro bibliotek 15.00-21.00</t>
        </r>
      </text>
    </comment>
    <comment ref="P108" authorId="0" shapeId="0" xr:uid="{1F548E9F-3934-42FB-80E4-C5A39C1C689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Flemming dam møder kl. 07.</t>
        </r>
      </text>
    </comment>
    <comment ref="T120" authorId="0" shapeId="0" xr:uid="{AC944341-C220-4700-A862-1FE41AC952A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Nørrebro bibliotek
15.00-21.00</t>
        </r>
      </text>
    </comment>
    <comment ref="Q121" authorId="0" shapeId="0" xr:uid="{69D258E9-BA92-499C-8D9A-4EE396F679E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Går kl. 13.30</t>
        </r>
      </text>
    </comment>
    <comment ref="Y121" authorId="0" shapeId="0" xr:uid="{54328C64-EDE3-4BF4-9535-712F6DEE6DC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Z121" authorId="0" shapeId="0" xr:uid="{09DFDAE6-CE11-4B97-B767-CB420F4A77E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</t>
        </r>
      </text>
    </comment>
    <comment ref="AD121" authorId="0" shapeId="0" xr:uid="{B9EA2D88-AB82-489B-B6EF-68C26A7F509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AE121" authorId="0" shapeId="0" xr:uid="{A3661A94-CD07-4E5D-B2CB-6915FA00C5C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AF121" authorId="0" shapeId="0" xr:uid="{F9ECD32B-6A2E-4FA5-8C7C-3BBD9A81045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D123" authorId="0" shapeId="0" xr:uid="{AF8DED91-C46F-41CC-82EE-5CF995A4112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Bellahøjhallen 15..00-23.30</t>
        </r>
      </text>
    </comment>
    <comment ref="M123" authorId="0" shapeId="0" xr:uid="{CA022EA7-E723-4334-9F1D-246AA7A03A9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Bellahøjhallen 07.00.23.30</t>
        </r>
      </text>
    </comment>
    <comment ref="N123" authorId="0" shapeId="0" xr:uid="{CCCD2805-FD91-4339-B78D-4C12B1FDB5E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Bellahøjhallen 07.00.23.30</t>
        </r>
      </text>
    </comment>
    <comment ref="Y150" authorId="9" shapeId="0" xr:uid="{E0ED72AA-0F5C-4B67-A53E-87706EF31FD7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Går kl 12,30</t>
        </r>
      </text>
    </comment>
    <comment ref="Q151" authorId="2" shapeId="0" xr:uid="{8A2C002D-4489-4064-A2F7-000160C98142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Kristoffer møder
10.45.-18.45
</t>
        </r>
      </text>
    </comment>
    <comment ref="K152" authorId="2" shapeId="0" xr:uid="{738753EA-EE1B-4125-9F93-3AC85E4D917E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martin møder 
10.45 18.45</t>
        </r>
      </text>
    </comment>
    <comment ref="K175" authorId="4" shapeId="0" xr:uid="{761022FE-B704-4EB0-8CC2-1B5689EA381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Trio på griffen kl. 13:30</t>
        </r>
      </text>
    </comment>
    <comment ref="Z175" authorId="0" shapeId="0" xr:uid="{E7E4CA0C-5F23-4650-9E03-1C7F5D2385A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Nørrrebro bibl.</t>
        </r>
      </text>
    </comment>
    <comment ref="AA175" authorId="0" shapeId="0" xr:uid="{DC75B36C-5BBA-41BF-98C4-202F08535CB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Nørrrebro bibl.</t>
        </r>
      </text>
    </comment>
    <comment ref="AE175" authorId="0" shapeId="0" xr:uid="{F962720D-AD30-4672-B8E2-C35FEEF1FEC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AF175" authorId="0" shapeId="0" xr:uid="{CDCA68D4-7B2A-4233-A4CD-5C6A803B551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U177" authorId="0" shapeId="0" xr:uid="{EDCF8F48-3E8D-457B-8D0D-BC48DEA8B94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Nørrebrohallen 15.00-21.00</t>
        </r>
      </text>
    </comment>
    <comment ref="AD184" authorId="5" shapeId="0" xr:uid="{A78CE24E-2722-4ADB-B09D-90D640ADE6DF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Læge 14-15
</t>
        </r>
      </text>
    </comment>
    <comment ref="X185" authorId="0" shapeId="0" xr:uid="{5B9FC6A7-ACEF-407A-9BE1-5BE88F9245F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Til læge kl. 13.15</t>
        </r>
      </text>
    </comment>
    <comment ref="AE185" authorId="4" shapeId="0" xr:uid="{64E0918F-FE58-41FB-B349-4CBBE7D4F1D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hosp.</t>
        </r>
      </text>
    </comment>
    <comment ref="X217" authorId="9" shapeId="0" xr:uid="{CF1927F6-2AB0-4107-9941-722CB97C2CE5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- 2 timer i afs.</t>
        </r>
      </text>
    </comment>
    <comment ref="AD217" authorId="9" shapeId="0" xr:uid="{714D95C4-2CB7-406B-BFD3-40740B16EC75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- 2 timer afs.</t>
        </r>
      </text>
    </comment>
    <comment ref="Z284" authorId="9" shapeId="0" xr:uid="{7A35FA4A-EAE9-4DA7-A217-E61DF9996F2D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- 2 timer afs.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Marianne Rasmussen</author>
  </authors>
  <commentList>
    <comment ref="W3" authorId="0" shapeId="0" xr:uid="{7C0EDFB7-CBA3-4B6E-9248-656BE8A80892}">
      <text>
        <r>
          <rPr>
            <b/>
            <sz val="9"/>
            <color indexed="81"/>
            <rFont val="Tahoma"/>
            <charset val="1"/>
          </rPr>
          <t>Marianne Rasmussen:</t>
        </r>
        <r>
          <rPr>
            <sz val="9"/>
            <color indexed="81"/>
            <rFont val="Tahoma"/>
            <charset val="1"/>
          </rPr>
          <t xml:space="preserve">
AHF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Steen Hertin</author>
    <author>Dennis Rise</author>
    <author>Rasmus Sørensen</author>
    <author>marasm</author>
    <author>Thomas Holm</author>
    <author>Flemming Nielsen</author>
    <author>Michael Bo Pedersen</author>
  </authors>
  <commentList>
    <comment ref="G14" authorId="0" shapeId="0" xr:uid="{924EF060-39BE-4A34-A536-F4C936AC2F8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H14" authorId="0" shapeId="0" xr:uid="{FEC55C9A-57D5-4F5A-A1E3-69F1F24BF99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AB14" authorId="1" shapeId="0" xr:uid="{58FE09A6-18D5-4258-88C6-449916883CFA}">
      <text>
        <r>
          <rPr>
            <b/>
            <sz val="9"/>
            <color indexed="81"/>
            <rFont val="Tahoma"/>
            <family val="2"/>
          </rPr>
          <t>Dennis Rise:</t>
        </r>
        <r>
          <rPr>
            <sz val="9"/>
            <color indexed="81"/>
            <rFont val="Tahoma"/>
            <family val="2"/>
          </rPr>
          <t xml:space="preserve">
I2 fra 1130</t>
        </r>
      </text>
    </comment>
    <comment ref="P17" authorId="0" shapeId="0" xr:uid="{0A74FEA2-DAF0-403C-96F7-9AADAA6C563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ERFA</t>
        </r>
      </text>
    </comment>
    <comment ref="F20" authorId="0" shapeId="0" xr:uid="{686F7711-D67B-497C-B0F3-F51135AD825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G20" authorId="0" shapeId="0" xr:uid="{CB884DBD-BD33-4510-97A7-DEA10D4B1E4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H20" authorId="0" shapeId="0" xr:uid="{7C9D75F7-C7BC-4C34-B3CB-72A03B4C315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P20" authorId="0" shapeId="0" xr:uid="{9FE352C2-62A5-4796-8621-ACAB4372D44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Erfa</t>
        </r>
      </text>
    </comment>
    <comment ref="E21" authorId="0" shapeId="0" xr:uid="{EF7AA49B-63F1-49C5-8DF1-B25C992CD63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mjølnerpaerkwen</t>
        </r>
      </text>
    </comment>
    <comment ref="G21" authorId="0" shapeId="0" xr:uid="{146B0C4C-ECE2-4A7E-9953-4C2C8ADBF64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Svanemøllehallen 12.00-20.00</t>
        </r>
      </text>
    </comment>
    <comment ref="H21" authorId="0" shapeId="0" xr:uid="{BAB63405-B393-4EFD-84F9-B94031C2D5B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I21" authorId="0" shapeId="0" xr:uid="{51A0081D-6D3B-49CC-9FEE-EAB5E167085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Matthæusgade kl. 12.00</t>
        </r>
      </text>
    </comment>
    <comment ref="P21" authorId="0" shapeId="0" xr:uid="{A4A4BB82-237F-467A-8A79-F83090D11DC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ERFA</t>
        </r>
      </text>
    </comment>
    <comment ref="Z21" authorId="0" shapeId="0" xr:uid="{10CB9543-859E-476A-ADEC-B02A0309E27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Mjølnerparken</t>
        </r>
      </text>
    </comment>
    <comment ref="AA21" authorId="0" shapeId="0" xr:uid="{CECAF7C6-32F1-41FB-BDC6-D57DA28FEB5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Amagerbrogade 12.30</t>
        </r>
      </text>
    </comment>
    <comment ref="AB21" authorId="0" shapeId="0" xr:uid="{674EFCED-F24E-485B-A3BF-D0FCAA087D9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Rentemestervej</t>
        </r>
      </text>
    </comment>
    <comment ref="F22" authorId="0" shapeId="0" xr:uid="{5359EE1A-CE7D-4C7E-8B7C-3DD2EDC2124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Griffen 9:30-14</t>
        </r>
      </text>
    </comment>
    <comment ref="G22" authorId="0" shapeId="0" xr:uid="{E5BB0B10-0D76-439B-B303-B5B3F2EC277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H22" authorId="0" shapeId="0" xr:uid="{9CFF6392-1DD9-4CBF-A816-EF9B2E12327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P22" authorId="0" shapeId="0" xr:uid="{864E3537-6C06-4421-9C02-D501E97552B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Erfa</t>
        </r>
      </text>
    </comment>
    <comment ref="U22" authorId="2" shapeId="0" xr:uid="{154D7E02-4E34-415F-B38F-55B9CDEA01D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trivsel</t>
        </r>
      </text>
    </comment>
    <comment ref="V22" authorId="0" shapeId="0" xr:uid="{405FF256-11ED-4098-B528-52F302E7520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Gerbrandskolen + Amegerbrogade 262</t>
        </r>
      </text>
    </comment>
    <comment ref="W22" authorId="0" shapeId="0" xr:uid="{0016A992-0349-4F4F-B956-6884DCAB8FD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Gerbrandskolen + Amegerbrogade 262</t>
        </r>
      </text>
    </comment>
    <comment ref="AB22" authorId="2" shapeId="0" xr:uid="{7328A110-D64A-4A06-ACDB-0F77B767794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trivsel</t>
        </r>
      </text>
    </comment>
    <comment ref="H37" authorId="3" shapeId="0" xr:uid="{642BC01D-9D29-4089-BD82-AE9AAF076ECA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AF39" authorId="4" shapeId="0" xr:uid="{52028165-C414-4762-89D4-6C56508B6EA8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Afsp. fra klokken 09.00</t>
        </r>
      </text>
    </comment>
    <comment ref="AD40" authorId="0" shapeId="0" xr:uid="{09EE17C1-8EFE-4E05-B73C-F547B93143B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GRUS</t>
        </r>
      </text>
    </comment>
    <comment ref="AC41" authorId="0" shapeId="0" xr:uid="{B7434799-B79B-47AB-A444-74C9A3350D7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10-vagt på OA</t>
        </r>
      </text>
    </comment>
    <comment ref="AD41" authorId="0" shapeId="0" xr:uid="{66759671-6D67-4DD7-AF15-0F58EB50C36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GRUS</t>
        </r>
      </text>
    </comment>
    <comment ref="AD42" authorId="0" shapeId="0" xr:uid="{92509819-495C-43A6-958D-F9BE7F790F1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GRUS</t>
        </r>
      </text>
    </comment>
    <comment ref="V45" authorId="0" shapeId="0" xr:uid="{B220AE98-2826-4D50-999E-F7E50B7B20F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69-vagt fra kl. 13.00</t>
        </r>
      </text>
    </comment>
    <comment ref="H48" authorId="3" shapeId="0" xr:uid="{11D8F19E-DFAE-42DD-BA90-2FFA57C297F2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Q61" authorId="0" shapeId="0" xr:uid="{FFC9BFFC-2F99-4298-8796-9CEE9AAFEF1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Bryllupper fra 09.30</t>
        </r>
      </text>
    </comment>
    <comment ref="E64" authorId="0" shapeId="0" xr:uid="{18C29319-3D62-49C7-9673-11DD4027C77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Mjølnerparken</t>
        </r>
      </text>
    </comment>
    <comment ref="H65" authorId="0" shapeId="0" xr:uid="{1DC997DE-3F1D-4111-9EFF-1DA82B1C1BC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25-vagt oa.</t>
        </r>
      </text>
    </comment>
    <comment ref="P65" authorId="0" shapeId="0" xr:uid="{1CB4761B-5147-431A-B261-066947736A1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+ i2 på OA.</t>
        </r>
      </text>
    </comment>
    <comment ref="Q65" authorId="0" shapeId="0" xr:uid="{E73E6BA6-2598-4361-8A25-DD9222E47A5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Bryllupper fra 09.30</t>
        </r>
      </text>
    </comment>
    <comment ref="AD65" authorId="1" shapeId="0" xr:uid="{5DCD3B1F-CD13-4DBF-96AD-74AD093CCABE}">
      <text>
        <r>
          <rPr>
            <b/>
            <sz val="9"/>
            <color indexed="81"/>
            <rFont val="Tahoma"/>
            <family val="2"/>
          </rPr>
          <t>Dennis Rise:</t>
        </r>
        <r>
          <rPr>
            <sz val="9"/>
            <color indexed="81"/>
            <rFont val="Tahoma"/>
            <family val="2"/>
          </rPr>
          <t xml:space="preserve">
Gået hjem kl 0900.</t>
        </r>
      </text>
    </comment>
    <comment ref="F66" authorId="5" shapeId="0" xr:uid="{3436A0DB-C1D7-4333-B1D7-F1F1029CE427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VALG</t>
        </r>
      </text>
    </comment>
    <comment ref="G66" authorId="5" shapeId="0" xr:uid="{3FE14CDA-9665-4CD0-B1E3-26152BAC999C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VALG</t>
        </r>
      </text>
    </comment>
    <comment ref="M66" authorId="0" shapeId="0" xr:uid="{1506497C-38E8-4A20-BC7F-0D1D0CB49C4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+AFSP fra kl. 10.00</t>
        </r>
      </text>
    </comment>
    <comment ref="S66" authorId="0" shapeId="0" xr:uid="{6F3798EE-EC5B-45A2-B5A7-7EC4EE159E7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Mjølnerparken</t>
        </r>
      </text>
    </comment>
    <comment ref="AB66" authorId="0" shapeId="0" xr:uid="{5351A8A1-093B-49EF-942A-086D96F3591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Rentemestervej</t>
        </r>
      </text>
    </comment>
    <comment ref="E67" authorId="0" shapeId="0" xr:uid="{4803E03F-0C08-4378-A5D3-1AD4D146F40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HNG brevstemmer
kl. 12.30 til slut.</t>
        </r>
      </text>
    </comment>
    <comment ref="F67" authorId="0" shapeId="0" xr:uid="{C09C92C2-A7F4-4B3A-9341-6866F60DE63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9-vagt</t>
        </r>
      </text>
    </comment>
    <comment ref="G67" authorId="3" shapeId="0" xr:uid="{1B604376-3697-4AFD-83F3-E0A49DEA9151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H67" authorId="3" shapeId="0" xr:uid="{B2AC3B8F-9C1E-4583-8914-062AA0D0DF1D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E68" authorId="0" shapeId="0" xr:uid="{5121B792-B260-40C3-9997-191C5F6CEEE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HNG brevstemmer 12.30 til 16.00 på OA
Dækker 25-vagt til flemming er færdig</t>
        </r>
      </text>
    </comment>
    <comment ref="AD68" authorId="0" shapeId="0" xr:uid="{02B19761-BA93-4B55-9F06-0DEB49764C1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10-vagt på OA</t>
        </r>
      </text>
    </comment>
    <comment ref="F69" authorId="0" shapeId="0" xr:uid="{F8A6765C-B55B-496E-BD41-10759205824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Lære Gl. Køgelandevej</t>
        </r>
      </text>
    </comment>
    <comment ref="G69" authorId="3" shapeId="0" xr:uid="{B3B0375D-330B-4BF9-8ACF-FF33AEE98C1E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H69" authorId="3" shapeId="0" xr:uid="{06FC8C21-8688-44B5-B7B2-FE8BEC72ECA9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H77" authorId="0" shapeId="0" xr:uid="{3B3CC4A2-9369-4CF8-ADC1-F3CB3AD61C4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G97" authorId="3" shapeId="0" xr:uid="{FF3E02C4-ECFC-4FE8-8666-30511767FC90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Kørsel KFF fra kl. 15.00
</t>
        </r>
      </text>
    </comment>
    <comment ref="H97" authorId="3" shapeId="0" xr:uid="{4AC59689-0F21-4C8C-916B-7313FDE800FC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Z97" authorId="0" shapeId="0" xr:uid="{38814219-2479-461A-8D98-57B877CDF8E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12.30 på Amagerbrogade 262</t>
        </r>
      </text>
    </comment>
    <comment ref="AB97" authorId="0" shapeId="0" xr:uid="{6ED769D7-6286-4418-9A3A-4BA9EDC08D7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12.30 på Amagerbrogade 262</t>
        </r>
      </text>
    </comment>
    <comment ref="AD97" authorId="0" shapeId="0" xr:uid="{C0181421-0471-4371-86B4-44853390FB9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12.30 på Amagerbrogade 262</t>
        </r>
      </text>
    </comment>
    <comment ref="W99" authorId="0" shapeId="0" xr:uid="{E8262141-E761-476B-9653-43DCCF01B68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Amagerbrogade kl. 12.30</t>
        </r>
      </text>
    </comment>
    <comment ref="Z99" authorId="0" shapeId="0" xr:uid="{0EA7D9EC-8B26-443E-A599-A118D880DEF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Ferie slettet</t>
        </r>
      </text>
    </comment>
    <comment ref="AC99" authorId="0" shapeId="0" xr:uid="{36A25104-F5A8-49E1-B184-D8DC5AD5216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Gerbrandskolen kl. 12.30</t>
        </r>
      </text>
    </comment>
    <comment ref="P100" authorId="6" shapeId="0" xr:uid="{28425E54-A37B-485A-8A66-079CAB005FEA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Til kl. 11.00</t>
        </r>
      </text>
    </comment>
    <comment ref="S100" authorId="0" shapeId="0" xr:uid="{DDBEC918-44E5-43AF-AC99-23938BE34474}">
      <text>
        <r>
          <rPr>
            <b/>
            <sz val="9"/>
            <color indexed="81"/>
            <rFont val="Tahoma"/>
            <family val="2"/>
          </rPr>
          <t>Steen Hertin:
Ferie flyttet til 8 Juli</t>
        </r>
      </text>
    </comment>
    <comment ref="I106" authorId="0" shapeId="0" xr:uid="{4588A2A6-00C4-48BD-B85F-DD925C9A888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W117" authorId="0" shapeId="0" xr:uid="{73B672E9-EEE6-4BB9-9710-849808751E1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Ferie rykket fra 12 august</t>
        </r>
      </text>
    </comment>
    <comment ref="H119" authorId="2" shapeId="0" xr:uid="{02533592-9D08-4EDF-89D3-F86EB0DC24C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Hosp hele dagen</t>
        </r>
      </text>
    </comment>
    <comment ref="Z119" authorId="0" shapeId="0" xr:uid="{96330F4E-3301-4273-8445-C2ED53AC1AA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Dækker Kjeld på OA</t>
        </r>
      </text>
    </comment>
    <comment ref="AA119" authorId="0" shapeId="0" xr:uid="{E42F7726-7830-40D7-81E8-A20E5AE5F84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Dækker Kjeld på OA</t>
        </r>
      </text>
    </comment>
    <comment ref="AB119" authorId="0" shapeId="0" xr:uid="{948D8512-958D-44F5-AD75-26F5306A713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Dækker Kjeld på OA</t>
        </r>
      </text>
    </comment>
    <comment ref="AC119" authorId="0" shapeId="0" xr:uid="{5AB755E3-6F18-480C-9212-5CB9BD8B878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Dækker Kjeld på OA</t>
        </r>
      </text>
    </comment>
    <comment ref="AD119" authorId="0" shapeId="0" xr:uid="{B2219E1B-9481-47D3-87E8-D82D5AEC8FF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Dækker Kjeld på OA</t>
        </r>
      </text>
    </comment>
    <comment ref="H173" authorId="3" shapeId="0" xr:uid="{17BDCA5A-399F-4953-B4BF-99562DA44DA9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Z173" authorId="0" shapeId="0" xr:uid="{54928969-94B3-4752-80F4-B66DBE5AC11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Intern Flex</t>
        </r>
      </text>
    </comment>
    <comment ref="C175" authorId="0" shapeId="0" xr:uid="{34E5892B-D0C0-49E4-BD2B-098FB226E98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ferie slettet</t>
        </r>
      </text>
    </comment>
    <comment ref="P177" authorId="6" shapeId="0" xr:uid="{9703430C-4F0D-4F8D-90D4-085230637F1D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Møder kl. 11.00</t>
        </r>
      </text>
    </comment>
    <comment ref="G206" authorId="3" shapeId="0" xr:uid="{B0B3799C-66B7-4475-8392-A185EB357E8B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H206" authorId="3" shapeId="0" xr:uid="{0187C5DB-16A3-43F4-BF10-7CE9CAA4D1C7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H208" authorId="3" shapeId="0" xr:uid="{A65A64D1-22CB-49A1-AF14-B4A84577646F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H212" authorId="3" shapeId="0" xr:uid="{7A0955E9-8FA2-4B0E-842E-C2220AFE12A5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G251" authorId="3" shapeId="0" xr:uid="{69AFBFF6-6C01-4A4C-A852-94A37F94F841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H251" authorId="3" shapeId="0" xr:uid="{6C3E3868-E92E-4994-BDF0-A91ACFEDB2AC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G253" authorId="3" shapeId="0" xr:uid="{665BBE6B-C912-4259-B91C-61D184D45BFD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H253" authorId="3" shapeId="0" xr:uid="{E8FC14B2-971A-4E16-A0E1-472E10581471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U253" authorId="3" shapeId="0" xr:uid="{F6DBB338-52F2-4884-8C5C-D585AA0D7877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Har trykket 5,45 i FE</t>
        </r>
      </text>
    </comment>
  </commentList>
</comments>
</file>

<file path=xl/sharedStrings.xml><?xml version="1.0" encoding="utf-8"?>
<sst xmlns="http://schemas.openxmlformats.org/spreadsheetml/2006/main" count="34451" uniqueCount="1062">
  <si>
    <t xml:space="preserve"> </t>
  </si>
  <si>
    <t>Farvekoder</t>
  </si>
  <si>
    <t>Afspadsering</t>
  </si>
  <si>
    <t>Syg</t>
  </si>
  <si>
    <t>Ekstravagt på overtid</t>
  </si>
  <si>
    <t>Ferie</t>
  </si>
  <si>
    <t>Feriefridag</t>
  </si>
  <si>
    <t>Omsorgsdag</t>
  </si>
  <si>
    <t>Kursus</t>
  </si>
  <si>
    <t>Senior dag</t>
  </si>
  <si>
    <r>
      <t>F</t>
    </r>
    <r>
      <rPr>
        <sz val="11"/>
        <color theme="1"/>
        <rFont val="Calibri"/>
        <family val="2"/>
        <scheme val="minor"/>
      </rPr>
      <t>: Turnusfri</t>
    </r>
  </si>
  <si>
    <r>
      <t>Orlov</t>
    </r>
    <r>
      <rPr>
        <sz val="11"/>
        <color theme="1"/>
        <rFont val="Calibri"/>
        <family val="2"/>
        <scheme val="minor"/>
      </rPr>
      <t>: Grøn m/streg</t>
    </r>
  </si>
  <si>
    <r>
      <t>Barsel</t>
    </r>
    <r>
      <rPr>
        <sz val="11"/>
        <color theme="1"/>
        <rFont val="Calibri"/>
        <family val="2"/>
        <scheme val="minor"/>
      </rPr>
      <t xml:space="preserve">: Rød m/streg </t>
    </r>
  </si>
  <si>
    <r>
      <t>l</t>
    </r>
    <r>
      <rPr>
        <sz val="11"/>
        <color theme="1"/>
        <rFont val="Calibri"/>
        <family val="2"/>
        <scheme val="minor"/>
      </rPr>
      <t>: Daglig tjeneste</t>
    </r>
  </si>
  <si>
    <t xml:space="preserve">      :Omlægning af vagt (Planafvigelse)</t>
  </si>
  <si>
    <t>Barns 1. Sygedag</t>
  </si>
  <si>
    <r>
      <t>TJ:</t>
    </r>
    <r>
      <rPr>
        <sz val="11"/>
        <color theme="1"/>
        <rFont val="Calibri"/>
        <family val="2"/>
        <scheme val="minor"/>
      </rPr>
      <t xml:space="preserve"> Tjenestefri </t>
    </r>
  </si>
  <si>
    <t>Oplæring</t>
  </si>
  <si>
    <t>Afdeling 1714 Afsnit 1702</t>
  </si>
  <si>
    <t>Vagter for turnusformænd</t>
  </si>
  <si>
    <r>
      <t>1</t>
    </r>
    <r>
      <rPr>
        <sz val="11"/>
        <color theme="1"/>
        <rFont val="Calibri"/>
        <family val="2"/>
        <scheme val="minor"/>
      </rPr>
      <t>: Vagthavende kl. 0630 - 1445</t>
    </r>
  </si>
  <si>
    <r>
      <t>2</t>
    </r>
    <r>
      <rPr>
        <sz val="11"/>
        <color theme="1"/>
        <rFont val="Calibri"/>
        <family val="2"/>
        <scheme val="minor"/>
      </rPr>
      <t>: Vagthavende kl. 1430 - 2230</t>
    </r>
  </si>
  <si>
    <r>
      <t>4</t>
    </r>
    <r>
      <rPr>
        <sz val="11"/>
        <color theme="1"/>
        <rFont val="Calibri"/>
        <family val="2"/>
        <scheme val="minor"/>
      </rPr>
      <t>: Vagthavende kl. 2230 - 0645</t>
    </r>
  </si>
  <si>
    <r>
      <t>A</t>
    </r>
    <r>
      <rPr>
        <sz val="11"/>
        <color theme="1"/>
        <rFont val="Calibri"/>
        <family val="2"/>
        <scheme val="minor"/>
      </rPr>
      <t>: Vagthavende kl. 0630 - 1845 (lør-, søndage)</t>
    </r>
  </si>
  <si>
    <r>
      <t>B</t>
    </r>
    <r>
      <rPr>
        <sz val="11"/>
        <color theme="1"/>
        <rFont val="Calibri"/>
        <family val="2"/>
        <scheme val="minor"/>
      </rPr>
      <t>: Vagthavende kl. 1830 - 0645 (lør-, søndage)</t>
    </r>
  </si>
  <si>
    <r>
      <t>l:</t>
    </r>
    <r>
      <rPr>
        <sz val="11"/>
        <color theme="1"/>
        <rFont val="Calibri"/>
        <family val="2"/>
        <scheme val="minor"/>
      </rPr>
      <t xml:space="preserve"> Man. - tor. Kl. 0815 - 1600, fre.Kl 0815 - 1415 </t>
    </r>
  </si>
  <si>
    <r>
      <t>Steen:</t>
    </r>
    <r>
      <rPr>
        <sz val="11"/>
        <color theme="1"/>
        <rFont val="Calibri"/>
        <family val="2"/>
        <scheme val="minor"/>
      </rPr>
      <t xml:space="preserve"> Man-Ons 0815-1545 Tors 0900-1830 Fre 0815-1315 </t>
    </r>
  </si>
  <si>
    <t>Nøgle uge nr.:</t>
  </si>
  <si>
    <t>Plan</t>
  </si>
  <si>
    <t>Navn</t>
  </si>
  <si>
    <t>807 Flemming Nielsen</t>
  </si>
  <si>
    <t>I</t>
  </si>
  <si>
    <t>Turnusformænd</t>
  </si>
  <si>
    <r>
      <t xml:space="preserve">IV  </t>
    </r>
    <r>
      <rPr>
        <sz val="11"/>
        <color theme="1"/>
        <rFont val="Calibri"/>
        <family val="2"/>
        <scheme val="minor"/>
      </rPr>
      <t>664 Dennis Rise</t>
    </r>
  </si>
  <si>
    <t>A</t>
  </si>
  <si>
    <t>F</t>
  </si>
  <si>
    <t>B</t>
  </si>
  <si>
    <t>442 Kim Aabroe</t>
  </si>
  <si>
    <r>
      <t xml:space="preserve">I  </t>
    </r>
    <r>
      <rPr>
        <sz val="11"/>
        <color theme="1"/>
        <rFont val="Calibri"/>
        <family val="2"/>
        <scheme val="minor"/>
      </rPr>
      <t>902 Erik Andersen</t>
    </r>
  </si>
  <si>
    <t>393 Thomas Holm</t>
  </si>
  <si>
    <r>
      <t xml:space="preserve">II </t>
    </r>
    <r>
      <rPr>
        <sz val="11"/>
        <color theme="1"/>
        <rFont val="Calibri"/>
        <family val="2"/>
        <scheme val="minor"/>
      </rPr>
      <t>890 Michael Bo Pedersen</t>
    </r>
  </si>
  <si>
    <t>Formændsafløsere</t>
  </si>
  <si>
    <t>993 Steen Hertin</t>
  </si>
  <si>
    <t>448 Rasmus Sørensen</t>
  </si>
  <si>
    <t>NØD</t>
  </si>
  <si>
    <t>%</t>
  </si>
  <si>
    <t>453 Mathias Nielsen</t>
  </si>
  <si>
    <t>i2</t>
  </si>
  <si>
    <t>26</t>
  </si>
  <si>
    <t>Vagter for turnus Rådhuset Plankode 8516</t>
  </si>
  <si>
    <r>
      <t xml:space="preserve">1  </t>
    </r>
    <r>
      <rPr>
        <sz val="11"/>
        <color theme="1"/>
        <rFont val="Calibri"/>
        <family val="2"/>
        <scheme val="minor"/>
      </rPr>
      <t>0700 - 1400 Også på helligdage</t>
    </r>
  </si>
  <si>
    <r>
      <t xml:space="preserve">3 </t>
    </r>
    <r>
      <rPr>
        <sz val="11"/>
        <color theme="1"/>
        <rFont val="Calibri"/>
        <family val="2"/>
        <scheme val="minor"/>
      </rPr>
      <t xml:space="preserve"> 0730 - 1530 Også på helligdage</t>
    </r>
  </si>
  <si>
    <r>
      <t xml:space="preserve">4 </t>
    </r>
    <r>
      <rPr>
        <sz val="11"/>
        <color theme="1"/>
        <rFont val="Calibri"/>
        <family val="2"/>
        <scheme val="minor"/>
      </rPr>
      <t xml:space="preserve"> 0930 - 1730</t>
    </r>
    <r>
      <rPr>
        <sz val="11"/>
        <color theme="1"/>
        <rFont val="Calibri"/>
        <family val="2"/>
        <scheme val="minor"/>
      </rPr>
      <t xml:space="preserve"> (8-16 på H.dage)</t>
    </r>
  </si>
  <si>
    <r>
      <t xml:space="preserve">5 </t>
    </r>
    <r>
      <rPr>
        <sz val="11"/>
        <color theme="1"/>
        <rFont val="Calibri"/>
        <family val="2"/>
        <scheme val="minor"/>
      </rPr>
      <t xml:space="preserve"> 1630 - 2330/ fredage 1400-2330 (-helligdage)</t>
    </r>
  </si>
  <si>
    <r>
      <t xml:space="preserve">6  </t>
    </r>
    <r>
      <rPr>
        <sz val="11"/>
        <color theme="1"/>
        <rFont val="Calibri"/>
        <family val="2"/>
        <scheme val="minor"/>
      </rPr>
      <t>Aften</t>
    </r>
    <r>
      <rPr>
        <b/>
        <sz val="10"/>
        <rFont val="Arial"/>
        <family val="2"/>
      </rPr>
      <t xml:space="preserve"> </t>
    </r>
    <r>
      <rPr>
        <sz val="11"/>
        <color theme="1"/>
        <rFont val="Calibri"/>
        <family val="2"/>
        <scheme val="minor"/>
      </rPr>
      <t xml:space="preserve">1600 - 2300 </t>
    </r>
  </si>
  <si>
    <r>
      <t xml:space="preserve">7 </t>
    </r>
    <r>
      <rPr>
        <sz val="11"/>
        <color theme="1"/>
        <rFont val="Calibri"/>
        <family val="2"/>
        <scheme val="minor"/>
      </rPr>
      <t xml:space="preserve"> Aften 1515 - 2315</t>
    </r>
  </si>
  <si>
    <r>
      <t xml:space="preserve">8 </t>
    </r>
    <r>
      <rPr>
        <sz val="11"/>
        <color theme="1"/>
        <rFont val="Calibri"/>
        <family val="2"/>
        <scheme val="minor"/>
      </rPr>
      <t xml:space="preserve"> Aften 1600-2300 /fredag 1600-2230</t>
    </r>
  </si>
  <si>
    <r>
      <t xml:space="preserve">9 </t>
    </r>
    <r>
      <rPr>
        <sz val="11"/>
        <color theme="1"/>
        <rFont val="Calibri"/>
        <family val="2"/>
        <scheme val="minor"/>
      </rPr>
      <t xml:space="preserve"> Nat 2300 - 0600  </t>
    </r>
  </si>
  <si>
    <r>
      <t xml:space="preserve">10 </t>
    </r>
    <r>
      <rPr>
        <sz val="11"/>
        <color theme="1"/>
        <rFont val="Calibri"/>
        <family val="2"/>
        <scheme val="minor"/>
      </rPr>
      <t xml:space="preserve"> Nat 2300 - 0700</t>
    </r>
  </si>
  <si>
    <r>
      <t xml:space="preserve">11 </t>
    </r>
    <r>
      <rPr>
        <sz val="11"/>
        <color theme="1"/>
        <rFont val="Calibri"/>
        <family val="2"/>
        <scheme val="minor"/>
      </rPr>
      <t xml:space="preserve"> Nat 2300 - 0715</t>
    </r>
  </si>
  <si>
    <r>
      <t>A1</t>
    </r>
    <r>
      <rPr>
        <sz val="11"/>
        <color theme="1"/>
        <rFont val="Calibri"/>
        <family val="2"/>
        <scheme val="minor"/>
      </rPr>
      <t xml:space="preserve"> Dag 0845 - 1745 Lørdag </t>
    </r>
  </si>
  <si>
    <r>
      <t>A2</t>
    </r>
    <r>
      <rPr>
        <sz val="11"/>
        <color theme="1"/>
        <rFont val="Calibri"/>
        <family val="2"/>
        <scheme val="minor"/>
      </rPr>
      <t xml:space="preserve"> Dag 0700 - 1900 Lørdag &amp; søndag</t>
    </r>
  </si>
  <si>
    <r>
      <t>A3</t>
    </r>
    <r>
      <rPr>
        <sz val="11"/>
        <color theme="1"/>
        <rFont val="Calibri"/>
        <family val="2"/>
        <scheme val="minor"/>
      </rPr>
      <t xml:space="preserve"> Dag 0700 - 1915 Lørdag &amp; søndag</t>
    </r>
  </si>
  <si>
    <r>
      <t>B1</t>
    </r>
    <r>
      <rPr>
        <sz val="11"/>
        <color theme="1"/>
        <rFont val="Calibri"/>
        <family val="2"/>
        <scheme val="minor"/>
      </rPr>
      <t xml:space="preserve"> Nat 1900 - 0600  Lørdag &amp; søndag</t>
    </r>
  </si>
  <si>
    <r>
      <t>B2</t>
    </r>
    <r>
      <rPr>
        <sz val="11"/>
        <color theme="1"/>
        <rFont val="Calibri"/>
        <family val="2"/>
        <scheme val="minor"/>
      </rPr>
      <t xml:space="preserve"> Nat 1900 - 0700  Lørdag &amp; søndag </t>
    </r>
  </si>
  <si>
    <r>
      <t>B3</t>
    </r>
    <r>
      <rPr>
        <sz val="11"/>
        <color theme="1"/>
        <rFont val="Calibri"/>
        <family val="2"/>
        <scheme val="minor"/>
      </rPr>
      <t xml:space="preserve"> Nat 1900 - 0715  Lørdag &amp; søndag</t>
    </r>
  </si>
  <si>
    <t>969 Anders Hintze</t>
  </si>
  <si>
    <t>A3</t>
  </si>
  <si>
    <t>B3</t>
  </si>
  <si>
    <t>A2</t>
  </si>
  <si>
    <t>B1</t>
  </si>
  <si>
    <t>420 Carsten Dahl</t>
  </si>
  <si>
    <t>B2</t>
  </si>
  <si>
    <t>402 Ole Albertsen</t>
  </si>
  <si>
    <t>308 Kim B. T. Pedersen</t>
  </si>
  <si>
    <t>A1</t>
  </si>
  <si>
    <t>444 Lara Andersen</t>
  </si>
  <si>
    <t>414 Steffen Grube</t>
  </si>
  <si>
    <t>A2)</t>
  </si>
  <si>
    <t>961 Sonny Ingerslev</t>
  </si>
  <si>
    <t>424 Martin Hvorslev</t>
  </si>
  <si>
    <t>411  Niels C. Frederiksen</t>
  </si>
  <si>
    <t>387 Bo Iversen</t>
  </si>
  <si>
    <t>421 Niels Bo Jensen</t>
  </si>
  <si>
    <t xml:space="preserve"> 394 Gorm Wilhjelm</t>
  </si>
  <si>
    <t>313 Erik M. Nielsen</t>
  </si>
  <si>
    <t>Buffer gruppen</t>
  </si>
  <si>
    <t>Mandag</t>
  </si>
  <si>
    <t>Tirsdag</t>
  </si>
  <si>
    <t>Onsdag</t>
  </si>
  <si>
    <t>Torsdag</t>
  </si>
  <si>
    <t>Fredag</t>
  </si>
  <si>
    <t>Lørdag</t>
  </si>
  <si>
    <t>Søndag</t>
  </si>
  <si>
    <t>Bemærkninger</t>
  </si>
  <si>
    <t xml:space="preserve">26-vagt </t>
  </si>
  <si>
    <t>1700-2400</t>
  </si>
  <si>
    <t>1400-2400</t>
  </si>
  <si>
    <t>Normal daglig tjeneste</t>
  </si>
  <si>
    <t>0815-1600</t>
  </si>
  <si>
    <t>0815-1415</t>
  </si>
  <si>
    <t>25-vagt (Patruljeleder)</t>
  </si>
  <si>
    <t>1500-2345</t>
  </si>
  <si>
    <t>1630-2345</t>
  </si>
  <si>
    <t xml:space="preserve">RÅ-vagt=Rådhuskælderen </t>
  </si>
  <si>
    <t>16.30-22.00</t>
  </si>
  <si>
    <t>467 Nicolaj Beck Thilesen</t>
  </si>
  <si>
    <t>l</t>
  </si>
  <si>
    <t>KA</t>
  </si>
  <si>
    <t>)</t>
  </si>
  <si>
    <t>K2</t>
  </si>
  <si>
    <t xml:space="preserve"> 463 John Stengaard</t>
  </si>
  <si>
    <t>S</t>
  </si>
  <si>
    <t>462 Flemming Grambo</t>
  </si>
  <si>
    <t>R2</t>
  </si>
  <si>
    <t>R3</t>
  </si>
  <si>
    <t>470 Asawin Chinwithee</t>
  </si>
  <si>
    <t>%)</t>
  </si>
  <si>
    <t>i1</t>
  </si>
  <si>
    <t>k2</t>
  </si>
  <si>
    <t>5</t>
  </si>
  <si>
    <t>G</t>
  </si>
  <si>
    <t>476 Jesper Larsen</t>
  </si>
  <si>
    <t>O</t>
  </si>
  <si>
    <t>478 Kemal Türkmen</t>
  </si>
  <si>
    <t xml:space="preserve"> F)</t>
  </si>
  <si>
    <t>479 Nick Lorentzen</t>
  </si>
  <si>
    <t>T</t>
  </si>
  <si>
    <t>K</t>
  </si>
  <si>
    <t>482 Lars Nordhøj</t>
  </si>
  <si>
    <t>484 Stig Busander</t>
  </si>
  <si>
    <t xml:space="preserve"> K2</t>
  </si>
  <si>
    <t>486 Anne-Mette</t>
  </si>
  <si>
    <t>487 Brian Glob</t>
  </si>
  <si>
    <t>25)</t>
  </si>
  <si>
    <t>Frederik Jensen</t>
  </si>
  <si>
    <t>R</t>
  </si>
  <si>
    <t>Henrik W Hansen</t>
  </si>
  <si>
    <t>Vikarer</t>
  </si>
  <si>
    <t xml:space="preserve">Thomas Bay </t>
  </si>
  <si>
    <t>9)</t>
  </si>
  <si>
    <t>Peter Johansen</t>
  </si>
  <si>
    <t>Martin Ravn</t>
  </si>
  <si>
    <t>&lt;</t>
  </si>
  <si>
    <t>Ditte Sommer</t>
  </si>
  <si>
    <t>Bjarne Bedsted</t>
  </si>
  <si>
    <t>P</t>
  </si>
  <si>
    <t>Elev</t>
  </si>
  <si>
    <t>Anders Petersen</t>
  </si>
  <si>
    <t>Pratik og vikarer</t>
  </si>
  <si>
    <t>Praktikanter</t>
  </si>
  <si>
    <t>Jeanette Olesen</t>
  </si>
  <si>
    <t>P2</t>
  </si>
  <si>
    <t>Mathias Emil Kruse</t>
  </si>
  <si>
    <t>Kredse</t>
  </si>
  <si>
    <t>Plankode 8513</t>
  </si>
  <si>
    <r>
      <t>K2</t>
    </r>
    <r>
      <rPr>
        <sz val="11"/>
        <color theme="1"/>
        <rFont val="Calibri"/>
        <family val="2"/>
        <scheme val="minor"/>
      </rPr>
      <t xml:space="preserve"> 1545 – 0030</t>
    </r>
  </si>
  <si>
    <t>1330-0030</t>
  </si>
  <si>
    <t>Timer ugentligt</t>
  </si>
  <si>
    <t>Uge 1</t>
  </si>
  <si>
    <r>
      <t>K1</t>
    </r>
    <r>
      <rPr>
        <sz val="11"/>
        <color theme="1"/>
        <rFont val="Calibri"/>
        <family val="2"/>
        <scheme val="minor"/>
      </rPr>
      <t xml:space="preserve"> 0815 – 1530</t>
    </r>
  </si>
  <si>
    <r>
      <t>K1</t>
    </r>
    <r>
      <rPr>
        <sz val="11"/>
        <color theme="1"/>
        <rFont val="Calibri"/>
        <family val="2"/>
        <scheme val="minor"/>
      </rPr>
      <t xml:space="preserve"> 09.00 – 1815</t>
    </r>
  </si>
  <si>
    <r>
      <t>K1</t>
    </r>
    <r>
      <rPr>
        <sz val="11"/>
        <color theme="1"/>
        <rFont val="Calibri"/>
        <family val="2"/>
        <scheme val="minor"/>
      </rPr>
      <t xml:space="preserve"> 0815 – 1415</t>
    </r>
  </si>
  <si>
    <t>Uge 2</t>
  </si>
  <si>
    <r>
      <t>K2</t>
    </r>
    <r>
      <rPr>
        <sz val="11"/>
        <color theme="1"/>
        <rFont val="Calibri"/>
        <family val="2"/>
        <scheme val="minor"/>
      </rPr>
      <t xml:space="preserve"> 1400 – 0030</t>
    </r>
  </si>
  <si>
    <t xml:space="preserve">K2 </t>
  </si>
  <si>
    <t>1545 – 0030</t>
  </si>
  <si>
    <r>
      <t>K2</t>
    </r>
    <r>
      <rPr>
        <sz val="11"/>
        <color theme="1"/>
        <rFont val="Calibri"/>
        <family val="2"/>
        <scheme val="minor"/>
      </rPr>
      <t xml:space="preserve"> 1545 -0030</t>
    </r>
  </si>
  <si>
    <r>
      <t xml:space="preserve">KA </t>
    </r>
    <r>
      <rPr>
        <sz val="11"/>
        <color theme="1"/>
        <rFont val="Calibri"/>
        <family val="2"/>
        <scheme val="minor"/>
      </rPr>
      <t>1015-2030</t>
    </r>
  </si>
  <si>
    <r>
      <t xml:space="preserve">KA </t>
    </r>
    <r>
      <rPr>
        <sz val="11"/>
        <color theme="1"/>
        <rFont val="Calibri"/>
        <family val="2"/>
        <scheme val="minor"/>
      </rPr>
      <t>1330-0030</t>
    </r>
  </si>
  <si>
    <r>
      <t>KA</t>
    </r>
    <r>
      <rPr>
        <sz val="11"/>
        <color theme="1"/>
        <rFont val="Calibri"/>
        <family val="2"/>
        <scheme val="minor"/>
      </rPr>
      <t xml:space="preserve"> 1100 – 2130</t>
    </r>
  </si>
  <si>
    <t>Uge 3</t>
  </si>
  <si>
    <t>FRI</t>
  </si>
  <si>
    <t>Uge 4</t>
  </si>
  <si>
    <t>T 17.15-00,00</t>
  </si>
  <si>
    <t>T 16.15-00,00</t>
  </si>
  <si>
    <t>K1</t>
  </si>
  <si>
    <t>447 Dimitrios Kostis</t>
  </si>
  <si>
    <t>380 Ali Capcan</t>
  </si>
  <si>
    <t>Informationen</t>
  </si>
  <si>
    <t>i1 Plankode 8520</t>
  </si>
  <si>
    <t>0700 - 1445</t>
  </si>
  <si>
    <t>0700 - 1300</t>
  </si>
  <si>
    <t>824 Anders Villadsen</t>
  </si>
  <si>
    <t>i1)</t>
  </si>
  <si>
    <t>Sikring</t>
  </si>
  <si>
    <t>Plankode 8506</t>
  </si>
  <si>
    <t>0900-1600</t>
  </si>
  <si>
    <t>0800-1600</t>
  </si>
  <si>
    <t>0830-1600</t>
  </si>
  <si>
    <t>0830-1630</t>
  </si>
  <si>
    <t>0900-1430</t>
  </si>
  <si>
    <t>0900-1630</t>
  </si>
  <si>
    <t>Uge 5</t>
  </si>
  <si>
    <t>0745 - 1530</t>
  </si>
  <si>
    <t>0800-1400</t>
  </si>
  <si>
    <t>456 Oliver Villadsen</t>
  </si>
  <si>
    <t>473 Tarik Saji</t>
  </si>
  <si>
    <t>469 Nikolaj Pamhede</t>
  </si>
  <si>
    <t>I2</t>
  </si>
  <si>
    <t>480 Johnny Larsen</t>
  </si>
  <si>
    <t>E</t>
  </si>
  <si>
    <t>Kødbyen</t>
  </si>
  <si>
    <t>Uge 1- 21-vagt</t>
  </si>
  <si>
    <t>21.00-07.00</t>
  </si>
  <si>
    <t>21.30-07.00</t>
  </si>
  <si>
    <t>Uge 3- 22-vagt</t>
  </si>
  <si>
    <t>Uge 5-23-vagt</t>
  </si>
  <si>
    <t>21.30-05.30</t>
  </si>
  <si>
    <t>Uge 6</t>
  </si>
  <si>
    <t>fln</t>
  </si>
  <si>
    <t xml:space="preserve">485 Daniel Tuveri                </t>
  </si>
  <si>
    <t>450 Thomas Lindenskov</t>
  </si>
  <si>
    <t>474 Atle Johansen</t>
  </si>
  <si>
    <t>468 Kenneth Kejlstrup</t>
  </si>
  <si>
    <t>21)</t>
  </si>
  <si>
    <t>465 Peter Tysygaard</t>
  </si>
  <si>
    <t>457 Michael Schou</t>
  </si>
  <si>
    <t>Rundviser</t>
  </si>
  <si>
    <t>1000-1600</t>
  </si>
  <si>
    <t>0900-1700</t>
  </si>
  <si>
    <t>0900-1400</t>
  </si>
  <si>
    <t>MARTS</t>
  </si>
  <si>
    <t>316 Marianne Rasmussen</t>
  </si>
  <si>
    <t>370 Kristoffer Sahlholdt</t>
  </si>
  <si>
    <t>R1</t>
  </si>
  <si>
    <t>Martin/Flemming</t>
  </si>
  <si>
    <t>Claudia Frers</t>
  </si>
  <si>
    <t>Ritha Ayerkai</t>
  </si>
  <si>
    <t>886 Per Larsen</t>
  </si>
  <si>
    <t>Socialcenter København</t>
  </si>
  <si>
    <t>Plankode</t>
  </si>
  <si>
    <t>Griffen</t>
  </si>
  <si>
    <t>C</t>
  </si>
  <si>
    <t>815-1545</t>
  </si>
  <si>
    <t>915-1845</t>
  </si>
  <si>
    <t>815-1315</t>
  </si>
  <si>
    <t>D</t>
  </si>
  <si>
    <t>Brønshøjvej</t>
  </si>
  <si>
    <t>Lyongade</t>
  </si>
  <si>
    <t>830-1545</t>
  </si>
  <si>
    <t>830-1830</t>
  </si>
  <si>
    <t>815-1415</t>
  </si>
  <si>
    <t>Spaniensgade</t>
  </si>
  <si>
    <t>H</t>
  </si>
  <si>
    <t>815-1515</t>
  </si>
  <si>
    <t>0745-1600</t>
  </si>
  <si>
    <t>745-1700</t>
  </si>
  <si>
    <t>Valdemarsgade</t>
  </si>
  <si>
    <t>Matthæusgade</t>
  </si>
  <si>
    <t>L</t>
  </si>
  <si>
    <t>M</t>
  </si>
  <si>
    <t>Svanevej</t>
  </si>
  <si>
    <t>N</t>
  </si>
  <si>
    <t>830-1700</t>
  </si>
  <si>
    <t>Gl. Køge landevej</t>
  </si>
  <si>
    <t>Svendborggade</t>
  </si>
  <si>
    <t>Gammel Vasbygade</t>
  </si>
  <si>
    <t>815-1600</t>
  </si>
  <si>
    <t>Sydbanestien</t>
  </si>
  <si>
    <t>Hjemløseenheden</t>
  </si>
  <si>
    <t>U</t>
  </si>
  <si>
    <t>439 Erik H. Hansen</t>
  </si>
  <si>
    <t>691 Flemming Dam</t>
  </si>
  <si>
    <t>FOA</t>
  </si>
  <si>
    <t>Thomas Hartmann</t>
  </si>
  <si>
    <t xml:space="preserve">395 Lars Lionette </t>
  </si>
  <si>
    <t>433 Simon Botfeldt</t>
  </si>
  <si>
    <t>Emil Veitner</t>
  </si>
  <si>
    <t xml:space="preserve">839 Johnny Karlsson </t>
  </si>
  <si>
    <t>K)</t>
  </si>
  <si>
    <t>Harfún Simonardottir</t>
  </si>
  <si>
    <t>L)</t>
  </si>
  <si>
    <t>Michael Thomsen</t>
  </si>
  <si>
    <t>682 Carl-Erik Holm</t>
  </si>
  <si>
    <t>396 Wojciech Jagielski</t>
  </si>
  <si>
    <t>982 Frank Falkenskov</t>
  </si>
  <si>
    <t>Lars Martin Hansen</t>
  </si>
  <si>
    <t>Michael Dyhr</t>
  </si>
  <si>
    <t>Henning Larsen</t>
  </si>
  <si>
    <t>Administrations og Arrangementsafdelingen</t>
  </si>
  <si>
    <t xml:space="preserve">Plankoder </t>
  </si>
  <si>
    <t>0600 - 1115</t>
  </si>
  <si>
    <t>0600 - 1345</t>
  </si>
  <si>
    <t>0600 - 1200</t>
  </si>
  <si>
    <t>0600  - 1200</t>
  </si>
  <si>
    <t>0800 - 1545</t>
  </si>
  <si>
    <t>0800 - 1400</t>
  </si>
  <si>
    <t>Forskudt vagt</t>
  </si>
  <si>
    <r>
      <t xml:space="preserve">19: </t>
    </r>
    <r>
      <rPr>
        <sz val="11"/>
        <color theme="1"/>
        <rFont val="Calibri"/>
        <family val="2"/>
        <scheme val="minor"/>
      </rPr>
      <t>kl. 11 - 1845</t>
    </r>
  </si>
  <si>
    <r>
      <t xml:space="preserve">19: </t>
    </r>
    <r>
      <rPr>
        <sz val="11"/>
        <color theme="1"/>
        <rFont val="Calibri"/>
        <family val="2"/>
        <scheme val="minor"/>
      </rPr>
      <t>kl. 11 - 17</t>
    </r>
  </si>
  <si>
    <t>Afdeling 1722 afsnit 1701</t>
  </si>
  <si>
    <t>Michael Riis-Jensen</t>
  </si>
  <si>
    <t>Charlotte Dalsgaard</t>
  </si>
  <si>
    <t>416 Dorte Rammasi</t>
  </si>
  <si>
    <t>320 Mikael M. Andersen</t>
  </si>
  <si>
    <t>445 Jeanett Røjbæk</t>
  </si>
  <si>
    <t xml:space="preserve">323 Inge Hansen </t>
  </si>
  <si>
    <t>364 Henning Haaning</t>
  </si>
  <si>
    <t>908 Kenny  Hautop</t>
  </si>
  <si>
    <t>410 Karina Schiöpffe</t>
  </si>
  <si>
    <t>327 Johnny Hansen</t>
  </si>
  <si>
    <t>504 Maya Villadsen</t>
  </si>
  <si>
    <t>Ludmilla Stidl</t>
  </si>
  <si>
    <t>I)</t>
  </si>
  <si>
    <t>309 Birthe Pedersen</t>
  </si>
  <si>
    <t>Michael Hansen</t>
  </si>
  <si>
    <t>Rikke EngHolm</t>
  </si>
  <si>
    <t>Nina Selma Sommer</t>
  </si>
  <si>
    <t>Katrine Muir</t>
  </si>
  <si>
    <t>Vikar</t>
  </si>
  <si>
    <t>Postservice</t>
  </si>
  <si>
    <t>0600 - 1330</t>
  </si>
  <si>
    <t>0600 - 1300</t>
  </si>
  <si>
    <r>
      <t>P1</t>
    </r>
    <r>
      <rPr>
        <sz val="11"/>
        <color theme="1"/>
        <rFont val="Calibri"/>
        <family val="2"/>
        <scheme val="minor"/>
      </rPr>
      <t xml:space="preserve"> 0700 - 1445</t>
    </r>
  </si>
  <si>
    <r>
      <t>PF1</t>
    </r>
    <r>
      <rPr>
        <sz val="11"/>
        <color theme="1"/>
        <rFont val="Calibri"/>
        <family val="2"/>
        <scheme val="minor"/>
      </rPr>
      <t xml:space="preserve"> 0700 - 1300</t>
    </r>
  </si>
  <si>
    <r>
      <t>P2</t>
    </r>
    <r>
      <rPr>
        <sz val="11"/>
        <color theme="1"/>
        <rFont val="Calibri"/>
        <family val="2"/>
        <scheme val="minor"/>
      </rPr>
      <t xml:space="preserve"> 0730 - 1500</t>
    </r>
  </si>
  <si>
    <r>
      <t>PF2</t>
    </r>
    <r>
      <rPr>
        <sz val="11"/>
        <color theme="1"/>
        <rFont val="Calibri"/>
        <family val="2"/>
        <scheme val="minor"/>
      </rPr>
      <t xml:space="preserve"> 0730 - 1430</t>
    </r>
  </si>
  <si>
    <r>
      <t xml:space="preserve">P3 </t>
    </r>
    <r>
      <rPr>
        <sz val="11"/>
        <color theme="1"/>
        <rFont val="Calibri"/>
        <family val="2"/>
        <scheme val="minor"/>
      </rPr>
      <t>0845-1615</t>
    </r>
  </si>
  <si>
    <r>
      <t>PF3</t>
    </r>
    <r>
      <rPr>
        <sz val="10"/>
        <rFont val="Arial"/>
        <family val="2"/>
      </rPr>
      <t xml:space="preserve"> 0815-1545</t>
    </r>
  </si>
  <si>
    <t>Afdeling 1721 afsnit 1701</t>
  </si>
  <si>
    <t>401 Karsten Nielsen</t>
  </si>
  <si>
    <t>Postruter</t>
  </si>
  <si>
    <t>434 Marco Minerba</t>
  </si>
  <si>
    <t>P2)</t>
  </si>
  <si>
    <t>984 Jannie M.-Andersen</t>
  </si>
  <si>
    <t>P1</t>
  </si>
  <si>
    <t>409 Martin Holse</t>
  </si>
  <si>
    <t>P3</t>
  </si>
  <si>
    <t>Skanning</t>
  </si>
  <si>
    <t>0815 - 1600</t>
  </si>
  <si>
    <t>0815 - 1415</t>
  </si>
  <si>
    <t>Afdeling/afsnit 4410/4411</t>
  </si>
  <si>
    <t>404 Claus Lahn</t>
  </si>
  <si>
    <t xml:space="preserve">419 Karina Petersen </t>
  </si>
  <si>
    <t>429 Ann Rudolf Nielsen</t>
  </si>
  <si>
    <t>l)</t>
  </si>
  <si>
    <t>Afdeling/afsnit 4420/4420</t>
  </si>
  <si>
    <t>Afdeling/afsnit 4250/4210</t>
  </si>
  <si>
    <t>Karsten Hallander</t>
  </si>
  <si>
    <t>Søren Christensen</t>
  </si>
  <si>
    <t>Frank Hansen</t>
  </si>
  <si>
    <t>Michael  Skytte</t>
  </si>
  <si>
    <t>Per Rasmussen</t>
  </si>
  <si>
    <t>Dagny Torres</t>
  </si>
  <si>
    <t>Rene  Svenning Johansen</t>
  </si>
  <si>
    <t>Martin Hansen</t>
  </si>
  <si>
    <t>Jan Tranberg</t>
  </si>
  <si>
    <t>Henrik Olsen</t>
  </si>
  <si>
    <t>Nicolai Schrøder</t>
  </si>
  <si>
    <r>
      <t>III</t>
    </r>
    <r>
      <rPr>
        <sz val="11"/>
        <color theme="1"/>
        <rFont val="Calibri"/>
        <family val="2"/>
        <scheme val="minor"/>
      </rPr>
      <t xml:space="preserve"> 654 Bo Volfing Jacobsen</t>
    </r>
  </si>
  <si>
    <t>F)</t>
  </si>
  <si>
    <t>i</t>
  </si>
  <si>
    <t>383 Kjeld Julius Jespersen</t>
  </si>
  <si>
    <t>3</t>
  </si>
  <si>
    <t>322 Henning Larsen</t>
  </si>
  <si>
    <t>TJ</t>
  </si>
  <si>
    <t>7)</t>
  </si>
  <si>
    <t>386 Birthe Andersen Nexø</t>
  </si>
  <si>
    <t>2</t>
  </si>
  <si>
    <t>405 Camilla Benvil</t>
  </si>
  <si>
    <t>Johnny Larsen</t>
  </si>
  <si>
    <t>89)</t>
  </si>
  <si>
    <t>449 Michael Christensen</t>
  </si>
  <si>
    <t>23)</t>
  </si>
  <si>
    <t>Atle Johansen</t>
  </si>
  <si>
    <t>Kenneth Kejlstrup</t>
  </si>
  <si>
    <t>466 Peter Tystgaard Poulsen</t>
  </si>
  <si>
    <t>0800-1500</t>
  </si>
  <si>
    <t>815-1540</t>
  </si>
  <si>
    <t>900-1845</t>
  </si>
  <si>
    <t>Ørnevej</t>
  </si>
  <si>
    <t>900-1745</t>
  </si>
  <si>
    <t>Thomas Jacobsen</t>
  </si>
  <si>
    <t>427 Allan Pedersen</t>
  </si>
  <si>
    <t>Michael Dyhr-Nielsen</t>
  </si>
  <si>
    <t>25</t>
  </si>
  <si>
    <t>464 Eva Hansen</t>
  </si>
  <si>
    <t>R3)</t>
  </si>
  <si>
    <t>Nick Lorentzen</t>
  </si>
  <si>
    <t>Lars Nordhøj</t>
  </si>
  <si>
    <t>Kemal Türkmen</t>
  </si>
  <si>
    <t xml:space="preserve">Shahed  Yaqoob </t>
  </si>
  <si>
    <t>11I</t>
  </si>
  <si>
    <t>Tilkaldevikar</t>
  </si>
  <si>
    <t>Stig Busander</t>
  </si>
  <si>
    <t xml:space="preserve">Daniel Tuveri                </t>
  </si>
  <si>
    <t>John B. Sabit</t>
  </si>
  <si>
    <t>James Toran</t>
  </si>
  <si>
    <t>Sean W. Langtoft</t>
  </si>
  <si>
    <t>Lisa Blaabjerg</t>
  </si>
  <si>
    <t>Emma Gravesen</t>
  </si>
  <si>
    <t>Tina Kirkegaard</t>
  </si>
  <si>
    <t>416 Dorte Ramassi</t>
  </si>
  <si>
    <t>371 Henrik Dencker</t>
  </si>
  <si>
    <t>P1)</t>
  </si>
  <si>
    <t>D)</t>
  </si>
  <si>
    <t>Mangler dækning</t>
  </si>
  <si>
    <t>1)</t>
  </si>
  <si>
    <t>A1)</t>
  </si>
  <si>
    <t>5)</t>
  </si>
  <si>
    <t xml:space="preserve"> F</t>
  </si>
  <si>
    <t>LARS Hansen</t>
  </si>
  <si>
    <t xml:space="preserve">Sebastian Bagge </t>
  </si>
  <si>
    <t xml:space="preserve"> Anne-Mette</t>
  </si>
  <si>
    <t>Brian Glob</t>
  </si>
  <si>
    <t xml:space="preserve">F </t>
  </si>
  <si>
    <t>99</t>
  </si>
  <si>
    <t>69</t>
  </si>
  <si>
    <t>Thomas Jakobsen</t>
  </si>
  <si>
    <t>N)</t>
  </si>
  <si>
    <t>P3)</t>
  </si>
  <si>
    <t>4)</t>
  </si>
  <si>
    <t>Lars Hansen</t>
  </si>
  <si>
    <t>Sean</t>
  </si>
  <si>
    <t>Anne-Mette</t>
  </si>
  <si>
    <t>Martin Geuken</t>
  </si>
  <si>
    <t>p2</t>
  </si>
  <si>
    <t>Thomas Bay</t>
  </si>
  <si>
    <r>
      <rPr>
        <b/>
        <sz val="9"/>
        <rFont val="Arial"/>
        <family val="2"/>
      </rPr>
      <t xml:space="preserve">T </t>
    </r>
    <r>
      <rPr>
        <sz val="11"/>
        <color theme="1"/>
        <rFont val="Calibri"/>
        <family val="2"/>
        <scheme val="minor"/>
      </rPr>
      <t>17.15-00,00</t>
    </r>
  </si>
  <si>
    <t>Peter Tysygaard</t>
  </si>
  <si>
    <t>G)</t>
  </si>
  <si>
    <t>P)</t>
  </si>
  <si>
    <t>(I</t>
  </si>
  <si>
    <t>Ryparken Idrætsanlæg.</t>
  </si>
  <si>
    <t>Allan Pedersen</t>
  </si>
  <si>
    <t>Frederik</t>
  </si>
  <si>
    <t>Thomas</t>
  </si>
  <si>
    <t>Bent Hundahl</t>
  </si>
  <si>
    <t> </t>
  </si>
  <si>
    <t>FEBRUAR</t>
  </si>
  <si>
    <t>R2)</t>
  </si>
  <si>
    <t>Kjeld J. Jespersen</t>
  </si>
  <si>
    <t>U)</t>
  </si>
  <si>
    <t>4</t>
  </si>
  <si>
    <t>k94c</t>
  </si>
  <si>
    <t>10)</t>
  </si>
  <si>
    <t>3)</t>
  </si>
  <si>
    <t>79</t>
  </si>
  <si>
    <t xml:space="preserve"> Sebastian  Bagge</t>
  </si>
  <si>
    <t>i2)</t>
  </si>
  <si>
    <t>477 Emil Veitner</t>
  </si>
  <si>
    <t>485 Daniel Tuveri</t>
  </si>
  <si>
    <t>OKTOBER</t>
  </si>
  <si>
    <t>Martin</t>
  </si>
  <si>
    <t>Løntilskud</t>
  </si>
  <si>
    <t>Aksah</t>
  </si>
  <si>
    <t>2)</t>
  </si>
  <si>
    <t>486 Anne-Mette Jensen</t>
  </si>
  <si>
    <t xml:space="preserve"> %</t>
  </si>
  <si>
    <t>11)</t>
  </si>
  <si>
    <t>Patrick Mogensen</t>
  </si>
  <si>
    <t>1</t>
  </si>
  <si>
    <t>NOVEMBER</t>
  </si>
  <si>
    <t>M)</t>
  </si>
  <si>
    <t>21</t>
  </si>
  <si>
    <t>26)</t>
  </si>
  <si>
    <t>89</t>
  </si>
  <si>
    <t>69)</t>
  </si>
  <si>
    <t>22</t>
  </si>
  <si>
    <t>DECEMBER</t>
  </si>
  <si>
    <t>R1)</t>
  </si>
  <si>
    <t>Michael Dhyhr</t>
  </si>
  <si>
    <t>S)</t>
  </si>
  <si>
    <t>VIKAR</t>
  </si>
  <si>
    <t>7</t>
  </si>
  <si>
    <t>11</t>
  </si>
  <si>
    <t xml:space="preserve">  </t>
  </si>
  <si>
    <t>Rentemestervej</t>
  </si>
  <si>
    <t>17:30-22:30</t>
  </si>
  <si>
    <t>Michael Dhyr</t>
  </si>
  <si>
    <t>B3)</t>
  </si>
  <si>
    <t>APRIL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</si>
  <si>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</si>
  <si>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O)</t>
  </si>
  <si>
    <t>Jens Erik Mathiesen</t>
  </si>
  <si>
    <t>Timepriser i Rådhusservice 2019</t>
  </si>
  <si>
    <t>Timepris</t>
  </si>
  <si>
    <t>Teknisk
 service</t>
  </si>
  <si>
    <t>Servering</t>
  </si>
  <si>
    <r>
      <t>Timepris: A</t>
    </r>
    <r>
      <rPr>
        <sz val="14"/>
        <rFont val="Arial"/>
        <family val="2"/>
      </rPr>
      <t>rrangementer mv. (6 til 17 på hverdage)</t>
    </r>
  </si>
  <si>
    <r>
      <rPr>
        <b/>
        <sz val="14"/>
        <rFont val="Arial"/>
        <family val="2"/>
      </rPr>
      <t>Overarbejde</t>
    </r>
    <r>
      <rPr>
        <sz val="14"/>
        <rFont val="Arial"/>
        <family val="2"/>
      </rPr>
      <t xml:space="preserve"> 50 % timer ved arrangementer mv. (17 til 20 på hverdage)</t>
    </r>
  </si>
  <si>
    <r>
      <rPr>
        <b/>
        <sz val="14"/>
        <rFont val="Arial"/>
        <family val="2"/>
      </rPr>
      <t>Overarbejde</t>
    </r>
    <r>
      <rPr>
        <sz val="14"/>
        <rFont val="Arial"/>
        <family val="2"/>
      </rPr>
      <t xml:space="preserve"> 100 % timer ved arrangementer mv. (20 til 6 på hverdage)</t>
    </r>
  </si>
  <si>
    <r>
      <rPr>
        <b/>
        <sz val="14"/>
        <rFont val="Arial"/>
        <family val="2"/>
      </rPr>
      <t>Udlejning af Betjente:</t>
    </r>
    <r>
      <rPr>
        <sz val="14"/>
        <rFont val="Arial"/>
        <family val="2"/>
      </rPr>
      <t xml:space="preserve"> Socialcentre, Borgerservice </t>
    </r>
  </si>
  <si>
    <t>Borgmestre chauffør, omvisninger og ved ad hoc opgaver.</t>
  </si>
  <si>
    <r>
      <t xml:space="preserve">Rundering: </t>
    </r>
    <r>
      <rPr>
        <sz val="14"/>
        <rFont val="Arial"/>
        <family val="2"/>
      </rPr>
      <t xml:space="preserve"> </t>
    </r>
  </si>
  <si>
    <r>
      <rPr>
        <b/>
        <sz val="14"/>
        <rFont val="Arial"/>
        <family val="2"/>
      </rPr>
      <t>Rundering</t>
    </r>
    <r>
      <rPr>
        <sz val="14"/>
        <rFont val="Arial"/>
        <family val="2"/>
      </rPr>
      <t xml:space="preserve">: Årsværk med alt inklusivt </t>
    </r>
  </si>
  <si>
    <t>Skolesupport</t>
  </si>
  <si>
    <t>Skolessupport Rundvisning</t>
  </si>
  <si>
    <t>Udlejning af personale til kantinen</t>
  </si>
  <si>
    <t>Postopgaver</t>
  </si>
  <si>
    <t>Postkørsel: Ad hoc opgaver</t>
  </si>
  <si>
    <t>Frankering: Tillæg pr. brev + portoen</t>
  </si>
  <si>
    <t>Leje af helt Dueslag pr. dag. (Inklusiv 1 daglig levering af post)</t>
  </si>
  <si>
    <t>Årligt 63.000</t>
  </si>
  <si>
    <t>Leje af halvt Dueslag pr. dag. (Inklusiv 1 daglig levering af post)</t>
  </si>
  <si>
    <t>Årligt 31.500</t>
  </si>
  <si>
    <t>Leje af kvart Dueslag pr. dag. (Kunden skal selv tømme for post)</t>
  </si>
  <si>
    <t>Årligt 15.750</t>
  </si>
  <si>
    <t>Skanning pr. time</t>
  </si>
  <si>
    <r>
      <rPr>
        <b/>
        <sz val="14"/>
        <rFont val="Arial"/>
        <family val="2"/>
      </rPr>
      <t>Rådhusnøgler</t>
    </r>
    <r>
      <rPr>
        <sz val="14"/>
        <rFont val="Arial"/>
        <family val="2"/>
      </rPr>
      <t xml:space="preserve"> pr. stk. </t>
    </r>
  </si>
  <si>
    <t>ID kort + adgangsbrikker</t>
  </si>
  <si>
    <t>Yoyo</t>
  </si>
  <si>
    <t>Kortholder</t>
  </si>
  <si>
    <r>
      <t>F</t>
    </r>
    <r>
      <rPr>
        <sz val="9"/>
        <color theme="1"/>
        <rFont val="Calibri"/>
        <family val="2"/>
        <scheme val="minor"/>
      </rPr>
      <t>: Turnusfri</t>
    </r>
  </si>
  <si>
    <r>
      <t>Orlov</t>
    </r>
    <r>
      <rPr>
        <sz val="9"/>
        <color theme="1"/>
        <rFont val="Calibri"/>
        <family val="2"/>
        <scheme val="minor"/>
      </rPr>
      <t>: Grøn m/streg</t>
    </r>
  </si>
  <si>
    <r>
      <t>Barsel</t>
    </r>
    <r>
      <rPr>
        <sz val="9"/>
        <color theme="1"/>
        <rFont val="Calibri"/>
        <family val="2"/>
        <scheme val="minor"/>
      </rPr>
      <t xml:space="preserve">: Rød m/streg </t>
    </r>
  </si>
  <si>
    <r>
      <t>l</t>
    </r>
    <r>
      <rPr>
        <sz val="9"/>
        <color theme="1"/>
        <rFont val="Calibri"/>
        <family val="2"/>
        <scheme val="minor"/>
      </rPr>
      <t>: Daglig tjeneste</t>
    </r>
  </si>
  <si>
    <r>
      <t>TJ:</t>
    </r>
    <r>
      <rPr>
        <sz val="9"/>
        <color theme="1"/>
        <rFont val="Calibri"/>
        <family val="2"/>
        <scheme val="minor"/>
      </rPr>
      <t xml:space="preserve"> Tjenestefri </t>
    </r>
  </si>
  <si>
    <r>
      <t>1</t>
    </r>
    <r>
      <rPr>
        <sz val="9"/>
        <color theme="1"/>
        <rFont val="Calibri"/>
        <family val="2"/>
        <scheme val="minor"/>
      </rPr>
      <t>: Vagthavende kl. 0630 - 1445</t>
    </r>
  </si>
  <si>
    <r>
      <t>2</t>
    </r>
    <r>
      <rPr>
        <sz val="9"/>
        <color theme="1"/>
        <rFont val="Calibri"/>
        <family val="2"/>
        <scheme val="minor"/>
      </rPr>
      <t>: Vagthavende kl. 1430 - 2230</t>
    </r>
  </si>
  <si>
    <r>
      <t>4</t>
    </r>
    <r>
      <rPr>
        <sz val="9"/>
        <color theme="1"/>
        <rFont val="Calibri"/>
        <family val="2"/>
        <scheme val="minor"/>
      </rPr>
      <t>: Vagthavende kl. 2230 - 0645</t>
    </r>
  </si>
  <si>
    <r>
      <t>A</t>
    </r>
    <r>
      <rPr>
        <sz val="9"/>
        <color theme="1"/>
        <rFont val="Calibri"/>
        <family val="2"/>
        <scheme val="minor"/>
      </rPr>
      <t>: Vagthavende kl. 0630 - 1845 (lør-, søndage)</t>
    </r>
  </si>
  <si>
    <r>
      <t>B</t>
    </r>
    <r>
      <rPr>
        <sz val="9"/>
        <color theme="1"/>
        <rFont val="Calibri"/>
        <family val="2"/>
        <scheme val="minor"/>
      </rPr>
      <t>: Vagthavende kl. 1830 - 0645 (lør-, søndage)</t>
    </r>
  </si>
  <si>
    <r>
      <t>l:</t>
    </r>
    <r>
      <rPr>
        <sz val="9"/>
        <color theme="1"/>
        <rFont val="Calibri"/>
        <family val="2"/>
        <scheme val="minor"/>
      </rPr>
      <t xml:space="preserve"> Man. - tor. Kl. 0815 - 1600, fre.Kl 0815 - 1415 </t>
    </r>
  </si>
  <si>
    <r>
      <t>Steen:</t>
    </r>
    <r>
      <rPr>
        <sz val="9"/>
        <color theme="1"/>
        <rFont val="Calibri"/>
        <family val="2"/>
        <scheme val="minor"/>
      </rPr>
      <t xml:space="preserve"> Man-Ons 0815-1545 Tors 0900-1830 Fre 0815-1315 </t>
    </r>
  </si>
  <si>
    <r>
      <t xml:space="preserve">IV  </t>
    </r>
    <r>
      <rPr>
        <sz val="9"/>
        <color theme="1"/>
        <rFont val="Calibri"/>
        <family val="2"/>
        <scheme val="minor"/>
      </rPr>
      <t>664 Dennis Rise</t>
    </r>
  </si>
  <si>
    <r>
      <t xml:space="preserve">I  </t>
    </r>
    <r>
      <rPr>
        <sz val="9"/>
        <color theme="1"/>
        <rFont val="Calibri"/>
        <family val="2"/>
        <scheme val="minor"/>
      </rPr>
      <t>902 Erik Andersen</t>
    </r>
  </si>
  <si>
    <r>
      <t xml:space="preserve">II </t>
    </r>
    <r>
      <rPr>
        <sz val="9"/>
        <color theme="1"/>
        <rFont val="Calibri"/>
        <family val="2"/>
        <scheme val="minor"/>
      </rPr>
      <t>890 Michael Bo Pedersen</t>
    </r>
  </si>
  <si>
    <r>
      <t xml:space="preserve">1  </t>
    </r>
    <r>
      <rPr>
        <sz val="9"/>
        <color theme="1"/>
        <rFont val="Calibri"/>
        <family val="2"/>
        <scheme val="minor"/>
      </rPr>
      <t>0700 - 1400 Også på helligdage</t>
    </r>
  </si>
  <si>
    <r>
      <t xml:space="preserve">3 </t>
    </r>
    <r>
      <rPr>
        <sz val="9"/>
        <color theme="1"/>
        <rFont val="Calibri"/>
        <family val="2"/>
        <scheme val="minor"/>
      </rPr>
      <t xml:space="preserve"> 0730 - 1530 Også på helligdage</t>
    </r>
  </si>
  <si>
    <r>
      <t xml:space="preserve">4 </t>
    </r>
    <r>
      <rPr>
        <sz val="9"/>
        <color theme="1"/>
        <rFont val="Calibri"/>
        <family val="2"/>
        <scheme val="minor"/>
      </rPr>
      <t xml:space="preserve"> 0930 - 1730 (8-16 på H.dage)</t>
    </r>
  </si>
  <si>
    <r>
      <t xml:space="preserve">5 </t>
    </r>
    <r>
      <rPr>
        <sz val="9"/>
        <color theme="1"/>
        <rFont val="Calibri"/>
        <family val="2"/>
        <scheme val="minor"/>
      </rPr>
      <t xml:space="preserve"> 1630 - 2330/ fredage 1400-2330 (-helligdage)</t>
    </r>
  </si>
  <si>
    <r>
      <t xml:space="preserve">6  </t>
    </r>
    <r>
      <rPr>
        <sz val="9"/>
        <color theme="1"/>
        <rFont val="Calibri"/>
        <family val="2"/>
        <scheme val="minor"/>
      </rPr>
      <t>Aften</t>
    </r>
    <r>
      <rPr>
        <b/>
        <sz val="9"/>
        <rFont val="Arial"/>
        <family val="2"/>
      </rPr>
      <t xml:space="preserve"> </t>
    </r>
    <r>
      <rPr>
        <sz val="9"/>
        <color theme="1"/>
        <rFont val="Calibri"/>
        <family val="2"/>
        <scheme val="minor"/>
      </rPr>
      <t xml:space="preserve">1600 - 2300 </t>
    </r>
  </si>
  <si>
    <r>
      <t xml:space="preserve">7 </t>
    </r>
    <r>
      <rPr>
        <sz val="9"/>
        <color theme="1"/>
        <rFont val="Calibri"/>
        <family val="2"/>
        <scheme val="minor"/>
      </rPr>
      <t xml:space="preserve"> Aften 1515 - 2315</t>
    </r>
  </si>
  <si>
    <r>
      <t xml:space="preserve">8 </t>
    </r>
    <r>
      <rPr>
        <sz val="9"/>
        <color theme="1"/>
        <rFont val="Calibri"/>
        <family val="2"/>
        <scheme val="minor"/>
      </rPr>
      <t xml:space="preserve"> Aften 1600-2300 /fredag 1600-2230</t>
    </r>
  </si>
  <si>
    <r>
      <t xml:space="preserve">9 </t>
    </r>
    <r>
      <rPr>
        <sz val="9"/>
        <color theme="1"/>
        <rFont val="Calibri"/>
        <family val="2"/>
        <scheme val="minor"/>
      </rPr>
      <t xml:space="preserve"> Nat 2300 - 0600  </t>
    </r>
  </si>
  <si>
    <r>
      <t xml:space="preserve">10 </t>
    </r>
    <r>
      <rPr>
        <sz val="9"/>
        <color theme="1"/>
        <rFont val="Calibri"/>
        <family val="2"/>
        <scheme val="minor"/>
      </rPr>
      <t xml:space="preserve"> Nat 2300 - 0700</t>
    </r>
  </si>
  <si>
    <r>
      <t xml:space="preserve">11 </t>
    </r>
    <r>
      <rPr>
        <sz val="9"/>
        <color theme="1"/>
        <rFont val="Calibri"/>
        <family val="2"/>
        <scheme val="minor"/>
      </rPr>
      <t xml:space="preserve"> Nat 2300 - 0715</t>
    </r>
  </si>
  <si>
    <r>
      <t>A1</t>
    </r>
    <r>
      <rPr>
        <sz val="9"/>
        <color theme="1"/>
        <rFont val="Calibri"/>
        <family val="2"/>
        <scheme val="minor"/>
      </rPr>
      <t xml:space="preserve"> Dag 0845 - 1745 Lørdag </t>
    </r>
  </si>
  <si>
    <r>
      <t>A2</t>
    </r>
    <r>
      <rPr>
        <sz val="9"/>
        <color theme="1"/>
        <rFont val="Calibri"/>
        <family val="2"/>
        <scheme val="minor"/>
      </rPr>
      <t xml:space="preserve"> Dag 0700 - 1900 Lørdag &amp; søndag</t>
    </r>
  </si>
  <si>
    <r>
      <t>A3</t>
    </r>
    <r>
      <rPr>
        <sz val="9"/>
        <color theme="1"/>
        <rFont val="Calibri"/>
        <family val="2"/>
        <scheme val="minor"/>
      </rPr>
      <t xml:space="preserve"> Dag 0700 - 1915 Lørdag &amp; søndag</t>
    </r>
  </si>
  <si>
    <r>
      <t>B1</t>
    </r>
    <r>
      <rPr>
        <sz val="9"/>
        <color theme="1"/>
        <rFont val="Calibri"/>
        <family val="2"/>
        <scheme val="minor"/>
      </rPr>
      <t xml:space="preserve"> Nat 1900 - 0600  Lørdag &amp; søndag</t>
    </r>
  </si>
  <si>
    <r>
      <t>B2</t>
    </r>
    <r>
      <rPr>
        <sz val="9"/>
        <color theme="1"/>
        <rFont val="Calibri"/>
        <family val="2"/>
        <scheme val="minor"/>
      </rPr>
      <t xml:space="preserve"> Nat 1900 - 0700  Lørdag &amp; søndag </t>
    </r>
  </si>
  <si>
    <r>
      <t>B3</t>
    </r>
    <r>
      <rPr>
        <sz val="9"/>
        <color theme="1"/>
        <rFont val="Calibri"/>
        <family val="2"/>
        <scheme val="minor"/>
      </rPr>
      <t xml:space="preserve"> Nat 1900 - 0715  Lørdag &amp; søndag</t>
    </r>
  </si>
  <si>
    <t xml:space="preserve">K </t>
  </si>
  <si>
    <t>Allaan Pedersen</t>
  </si>
  <si>
    <t>p3</t>
  </si>
  <si>
    <r>
      <t>K2</t>
    </r>
    <r>
      <rPr>
        <sz val="9"/>
        <color theme="1"/>
        <rFont val="Calibri"/>
        <family val="2"/>
        <scheme val="minor"/>
      </rPr>
      <t xml:space="preserve"> 1545 – 0030</t>
    </r>
  </si>
  <si>
    <r>
      <t>K1</t>
    </r>
    <r>
      <rPr>
        <sz val="9"/>
        <color theme="1"/>
        <rFont val="Calibri"/>
        <family val="2"/>
        <scheme val="minor"/>
      </rPr>
      <t xml:space="preserve"> 0815 – 1530</t>
    </r>
  </si>
  <si>
    <r>
      <t>K1</t>
    </r>
    <r>
      <rPr>
        <sz val="9"/>
        <color theme="1"/>
        <rFont val="Calibri"/>
        <family val="2"/>
        <scheme val="minor"/>
      </rPr>
      <t xml:space="preserve"> 09.00 – 1815</t>
    </r>
  </si>
  <si>
    <r>
      <t>K1</t>
    </r>
    <r>
      <rPr>
        <sz val="9"/>
        <color theme="1"/>
        <rFont val="Calibri"/>
        <family val="2"/>
        <scheme val="minor"/>
      </rPr>
      <t xml:space="preserve"> 0815 – 1415</t>
    </r>
  </si>
  <si>
    <r>
      <t>K2</t>
    </r>
    <r>
      <rPr>
        <sz val="9"/>
        <color theme="1"/>
        <rFont val="Calibri"/>
        <family val="2"/>
        <scheme val="minor"/>
      </rPr>
      <t xml:space="preserve"> 1400 – 0030</t>
    </r>
  </si>
  <si>
    <r>
      <t>K2</t>
    </r>
    <r>
      <rPr>
        <sz val="9"/>
        <color theme="1"/>
        <rFont val="Calibri"/>
        <family val="2"/>
        <scheme val="minor"/>
      </rPr>
      <t xml:space="preserve"> 1545 -0030</t>
    </r>
  </si>
  <si>
    <r>
      <t xml:space="preserve">KA </t>
    </r>
    <r>
      <rPr>
        <sz val="9"/>
        <color theme="1"/>
        <rFont val="Calibri"/>
        <family val="2"/>
        <scheme val="minor"/>
      </rPr>
      <t>1015-2030</t>
    </r>
  </si>
  <si>
    <r>
      <t xml:space="preserve">KA </t>
    </r>
    <r>
      <rPr>
        <sz val="9"/>
        <color theme="1"/>
        <rFont val="Calibri"/>
        <family val="2"/>
        <scheme val="minor"/>
      </rPr>
      <t>1330-0030</t>
    </r>
  </si>
  <si>
    <r>
      <t>KA</t>
    </r>
    <r>
      <rPr>
        <sz val="9"/>
        <color theme="1"/>
        <rFont val="Calibri"/>
        <family val="2"/>
        <scheme val="minor"/>
      </rPr>
      <t xml:space="preserve"> 1100 – 2130</t>
    </r>
  </si>
  <si>
    <t>79)</t>
  </si>
  <si>
    <t>JANUAR</t>
  </si>
  <si>
    <t>Kjeld Jespersen</t>
  </si>
  <si>
    <t>19: kl. 11 - 1845</t>
  </si>
  <si>
    <t>19: kl. 11 - 17</t>
  </si>
  <si>
    <t>i)</t>
  </si>
  <si>
    <r>
      <t>P1</t>
    </r>
    <r>
      <rPr>
        <sz val="9"/>
        <color theme="1"/>
        <rFont val="Calibri"/>
        <family val="2"/>
        <scheme val="minor"/>
      </rPr>
      <t xml:space="preserve"> 0700 - 1445</t>
    </r>
  </si>
  <si>
    <r>
      <t>PF1</t>
    </r>
    <r>
      <rPr>
        <sz val="9"/>
        <color theme="1"/>
        <rFont val="Calibri"/>
        <family val="2"/>
        <scheme val="minor"/>
      </rPr>
      <t xml:space="preserve"> 0700 - 1300</t>
    </r>
  </si>
  <si>
    <r>
      <t>P2</t>
    </r>
    <r>
      <rPr>
        <sz val="9"/>
        <color theme="1"/>
        <rFont val="Calibri"/>
        <family val="2"/>
        <scheme val="minor"/>
      </rPr>
      <t xml:space="preserve"> 0730 - 1500</t>
    </r>
  </si>
  <si>
    <r>
      <t>PF2</t>
    </r>
    <r>
      <rPr>
        <sz val="9"/>
        <color theme="1"/>
        <rFont val="Calibri"/>
        <family val="2"/>
        <scheme val="minor"/>
      </rPr>
      <t xml:space="preserve"> 0730 - 1430</t>
    </r>
  </si>
  <si>
    <r>
      <t xml:space="preserve">P3 </t>
    </r>
    <r>
      <rPr>
        <sz val="9"/>
        <color theme="1"/>
        <rFont val="Calibri"/>
        <family val="2"/>
        <scheme val="minor"/>
      </rPr>
      <t>0845-1615</t>
    </r>
  </si>
  <si>
    <r>
      <t>PF3</t>
    </r>
    <r>
      <rPr>
        <sz val="9"/>
        <rFont val="Arial"/>
        <family val="2"/>
      </rPr>
      <t xml:space="preserve"> 0815-1545</t>
    </r>
  </si>
  <si>
    <t>August</t>
  </si>
  <si>
    <t>Lør</t>
  </si>
  <si>
    <t>Søn</t>
  </si>
  <si>
    <t>Man</t>
  </si>
  <si>
    <t>Tirs</t>
  </si>
  <si>
    <t>Ons</t>
  </si>
  <si>
    <t>Tors</t>
  </si>
  <si>
    <t>Fre</t>
  </si>
  <si>
    <t>September</t>
  </si>
  <si>
    <t>Oktober</t>
  </si>
  <si>
    <t>November</t>
  </si>
  <si>
    <t>December</t>
  </si>
  <si>
    <t>Vagterleder</t>
  </si>
  <si>
    <t>Plankode 8502</t>
  </si>
  <si>
    <t>Jørgen Pyrmer</t>
  </si>
  <si>
    <t>Plankode 8546</t>
  </si>
  <si>
    <t>Fri</t>
  </si>
  <si>
    <t>0815 - 1615</t>
  </si>
  <si>
    <t>2300 - 0700</t>
  </si>
  <si>
    <t>1900 - 0700</t>
  </si>
  <si>
    <t>Erik S. Andersen</t>
  </si>
  <si>
    <t>Jørgen M. Rasmussen</t>
  </si>
  <si>
    <t>0700 - 1500</t>
  </si>
  <si>
    <t>Dennis H. Rise</t>
  </si>
  <si>
    <t>1500 - 2300</t>
  </si>
  <si>
    <t>0700 - 1900</t>
  </si>
  <si>
    <t>Flemming Nielsen</t>
  </si>
  <si>
    <t>Bjarne Wagner-Larsen</t>
  </si>
  <si>
    <t>Bo V. Jacobsen</t>
  </si>
  <si>
    <t>Timer i alt</t>
  </si>
  <si>
    <t>Formændsafløserne</t>
  </si>
  <si>
    <t>Plankode 8500</t>
  </si>
  <si>
    <t>Jesper Simonsen</t>
  </si>
  <si>
    <t>Michael B. Pedersen</t>
  </si>
  <si>
    <t>Per Larsen</t>
  </si>
  <si>
    <t xml:space="preserve">Vagter for turnus Rådhuset  </t>
  </si>
  <si>
    <t>Plankode 8516</t>
  </si>
  <si>
    <t>Hold 1</t>
  </si>
  <si>
    <t>0900 - 1715</t>
  </si>
  <si>
    <t>PA 0815 - 1615</t>
  </si>
  <si>
    <r>
      <t>1</t>
    </r>
    <r>
      <rPr>
        <sz val="11"/>
        <color theme="1"/>
        <rFont val="Calibri"/>
        <family val="2"/>
        <scheme val="minor"/>
      </rPr>
      <t xml:space="preserve">                   Anders B. Hintze</t>
    </r>
  </si>
  <si>
    <t>PB 0815 - 1615</t>
  </si>
  <si>
    <t>2300 - 0600</t>
  </si>
  <si>
    <t>1900 - 0600</t>
  </si>
  <si>
    <t>PC 0900 - 1715</t>
  </si>
  <si>
    <r>
      <t xml:space="preserve">6 </t>
    </r>
    <r>
      <rPr>
        <sz val="11"/>
        <color theme="1"/>
        <rFont val="Calibri"/>
        <family val="2"/>
        <scheme val="minor"/>
      </rPr>
      <t xml:space="preserve">                 Betina Knøsgaard</t>
    </r>
  </si>
  <si>
    <t>Dagvagt</t>
  </si>
  <si>
    <t>(Disp)</t>
  </si>
  <si>
    <r>
      <t>11</t>
    </r>
    <r>
      <rPr>
        <sz val="11"/>
        <color theme="1"/>
        <rFont val="Calibri"/>
        <family val="2"/>
        <scheme val="minor"/>
      </rPr>
      <t xml:space="preserve">        Mariane E. Mortensen</t>
    </r>
  </si>
  <si>
    <t>Hold 2</t>
  </si>
  <si>
    <r>
      <t xml:space="preserve">2  </t>
    </r>
    <r>
      <rPr>
        <sz val="11"/>
        <color theme="1"/>
        <rFont val="Calibri"/>
        <family val="2"/>
        <scheme val="minor"/>
      </rPr>
      <t xml:space="preserve">                      Henrik Dencker</t>
    </r>
  </si>
  <si>
    <r>
      <t>7</t>
    </r>
    <r>
      <rPr>
        <sz val="11"/>
        <color theme="1"/>
        <rFont val="Calibri"/>
        <family val="2"/>
        <scheme val="minor"/>
      </rPr>
      <t xml:space="preserve">                              Jim Hansen</t>
    </r>
  </si>
  <si>
    <t>Aften 1600-2300 ( 0700-1900)</t>
  </si>
  <si>
    <t>Aften 1500-2300 ( 0830-1530)</t>
  </si>
  <si>
    <r>
      <t xml:space="preserve">12   </t>
    </r>
    <r>
      <rPr>
        <sz val="11"/>
        <color theme="1"/>
        <rFont val="Calibri"/>
        <family val="2"/>
        <scheme val="minor"/>
      </rPr>
      <t xml:space="preserve">                Kim B.T Hansen</t>
    </r>
  </si>
  <si>
    <t>Nat 2300 - 0600 (1900 - 0600</t>
  </si>
  <si>
    <t>Hold 3</t>
  </si>
  <si>
    <t>Nat 2300 - 0700 (1900 - 0700)</t>
  </si>
  <si>
    <r>
      <t>3</t>
    </r>
    <r>
      <rPr>
        <sz val="11"/>
        <color theme="1"/>
        <rFont val="Calibri"/>
        <family val="2"/>
        <scheme val="minor"/>
      </rPr>
      <t xml:space="preserve">          Mikael M. Martensen</t>
    </r>
  </si>
  <si>
    <r>
      <t xml:space="preserve">8                    </t>
    </r>
    <r>
      <rPr>
        <sz val="11"/>
        <color theme="1"/>
        <rFont val="Calibri"/>
        <family val="2"/>
        <scheme val="minor"/>
      </rPr>
      <t>Steen Hertin</t>
    </r>
  </si>
  <si>
    <r>
      <t xml:space="preserve">13       </t>
    </r>
    <r>
      <rPr>
        <sz val="11"/>
        <color theme="1"/>
        <rFont val="Calibri"/>
        <family val="2"/>
        <scheme val="minor"/>
      </rPr>
      <t>Anders C. Henriksen</t>
    </r>
  </si>
  <si>
    <t>Hold 4</t>
  </si>
  <si>
    <t>1600 - 2300</t>
  </si>
  <si>
    <r>
      <t xml:space="preserve">4                  </t>
    </r>
    <r>
      <rPr>
        <sz val="11"/>
        <color theme="1"/>
        <rFont val="Calibri"/>
        <family val="2"/>
        <scheme val="minor"/>
      </rPr>
      <t>Kurt Foldberg</t>
    </r>
  </si>
  <si>
    <t>0830 - 1530</t>
  </si>
  <si>
    <r>
      <t>9</t>
    </r>
    <r>
      <rPr>
        <sz val="11"/>
        <color theme="1"/>
        <rFont val="Calibri"/>
        <family val="2"/>
        <scheme val="minor"/>
      </rPr>
      <t xml:space="preserve">                            Per A. Olsen</t>
    </r>
  </si>
  <si>
    <r>
      <t xml:space="preserve">14 </t>
    </r>
    <r>
      <rPr>
        <sz val="11"/>
        <color theme="1"/>
        <rFont val="Calibri"/>
        <family val="2"/>
        <scheme val="minor"/>
      </rPr>
      <t xml:space="preserve">               Henning Haaning</t>
    </r>
  </si>
  <si>
    <t>Hold 5</t>
  </si>
  <si>
    <r>
      <t>5</t>
    </r>
    <r>
      <rPr>
        <sz val="11"/>
        <color theme="1"/>
        <rFont val="Calibri"/>
        <family val="2"/>
        <scheme val="minor"/>
      </rPr>
      <t xml:space="preserve">               Jannie M-Andersen</t>
    </r>
  </si>
  <si>
    <r>
      <t>10</t>
    </r>
    <r>
      <rPr>
        <sz val="11"/>
        <color theme="1"/>
        <rFont val="Calibri"/>
        <family val="2"/>
        <scheme val="minor"/>
      </rPr>
      <t xml:space="preserve">                       Jim H. Larsen</t>
    </r>
  </si>
  <si>
    <r>
      <t xml:space="preserve">15              </t>
    </r>
    <r>
      <rPr>
        <sz val="11"/>
        <color theme="1"/>
        <rFont val="Calibri"/>
        <family val="2"/>
        <scheme val="minor"/>
      </rPr>
      <t>Erik M. Nielsen</t>
    </r>
  </si>
  <si>
    <t xml:space="preserve">Vagter for Bernstoffsgade &amp; H.N.G.  </t>
  </si>
  <si>
    <t>Plankode 8511</t>
  </si>
  <si>
    <t xml:space="preserve">H  vagt </t>
  </si>
  <si>
    <t>I   vagt</t>
  </si>
  <si>
    <t>1300 - 2000</t>
  </si>
  <si>
    <t>1300 - 1900</t>
  </si>
  <si>
    <t>K  vagt</t>
  </si>
  <si>
    <t>0850 - 1520</t>
  </si>
  <si>
    <t>0850 - 1420</t>
  </si>
  <si>
    <t>0600 - 1315</t>
  </si>
  <si>
    <t xml:space="preserve">Vagter for Njalsgade og Bryggens Gård  </t>
  </si>
  <si>
    <t>Plankode 8512</t>
  </si>
  <si>
    <t>L  vagt Bryggen</t>
  </si>
  <si>
    <t>0600 - 1430</t>
  </si>
  <si>
    <t>Med pause</t>
  </si>
  <si>
    <t>M vagt Bryggen</t>
  </si>
  <si>
    <t>1430 - 2100</t>
  </si>
  <si>
    <t>1330 - 2030</t>
  </si>
  <si>
    <t>N vagt (Bibliotek)</t>
  </si>
  <si>
    <t>1200 - 1930</t>
  </si>
  <si>
    <t>1200 - 1630</t>
  </si>
  <si>
    <t>0830 - 1515</t>
  </si>
  <si>
    <t>0930 - 1600</t>
  </si>
  <si>
    <t>Med pause u/afløsning</t>
  </si>
  <si>
    <t>O vagt Njalsgade</t>
  </si>
  <si>
    <t>P vagt Njalsgade</t>
  </si>
  <si>
    <t>R vagt Afløse mm.</t>
  </si>
  <si>
    <t xml:space="preserve">Vagter for Ottiliahus  </t>
  </si>
  <si>
    <t>Plankode 8552</t>
  </si>
  <si>
    <t xml:space="preserve">S  vagt </t>
  </si>
  <si>
    <t>T   vagt</t>
  </si>
  <si>
    <t>1330 - 2100</t>
  </si>
  <si>
    <t>U  vagt</t>
  </si>
  <si>
    <t>0800 - 1530</t>
  </si>
  <si>
    <t>0800 - 1500</t>
  </si>
  <si>
    <t>Fast portner A</t>
  </si>
  <si>
    <t>Arne Berthold</t>
  </si>
  <si>
    <t>Fast portner B</t>
  </si>
  <si>
    <t>Plankode 8519</t>
  </si>
  <si>
    <t>0700 - 1430</t>
  </si>
  <si>
    <t>Anders Villadsen</t>
  </si>
  <si>
    <t>Kontoret + fester</t>
  </si>
  <si>
    <t>Marianne Rasmussen</t>
  </si>
  <si>
    <t>Ulla B. Olsen</t>
  </si>
  <si>
    <t>Bent Zumbach</t>
  </si>
  <si>
    <t>Stuen</t>
  </si>
  <si>
    <t>Plankode 8515</t>
  </si>
  <si>
    <t>Knud O. Jørgensen</t>
  </si>
  <si>
    <t>Afløserne</t>
  </si>
  <si>
    <t>Plankode 8517</t>
  </si>
  <si>
    <t>0600 - 1400</t>
  </si>
  <si>
    <t>Kristoffer Ruth</t>
  </si>
  <si>
    <t>Ferie Afløserne</t>
  </si>
  <si>
    <t>Karl Weidich</t>
  </si>
  <si>
    <t>Dean Poulsen</t>
  </si>
  <si>
    <t>Maria Christensen</t>
  </si>
  <si>
    <t>Christian Bjørkved</t>
  </si>
  <si>
    <t>Maria S. Kjarval</t>
  </si>
  <si>
    <t>I alt</t>
  </si>
  <si>
    <t>Timer på hverdage</t>
  </si>
  <si>
    <t>Timer på helligdage</t>
  </si>
  <si>
    <t>Timer pr. år</t>
  </si>
  <si>
    <t>BR møder på et år</t>
  </si>
  <si>
    <t>Arrangementer på et år</t>
  </si>
  <si>
    <t>Ekstra p.g.a. trusler m.v. ca. 3 mand i tolv timer pr. gang.</t>
  </si>
  <si>
    <t>Grand total</t>
  </si>
  <si>
    <t>svarer til ca. 63 medarbejdere</t>
  </si>
  <si>
    <t>Plankode 8521</t>
  </si>
  <si>
    <t>0745- 1345</t>
  </si>
  <si>
    <t>372 Jørgen Pyrmer</t>
  </si>
  <si>
    <t>Stedfortræder</t>
  </si>
  <si>
    <t>Ugentligt</t>
  </si>
  <si>
    <t>Månedligt</t>
  </si>
  <si>
    <t>Årligt</t>
  </si>
  <si>
    <r>
      <t>4:</t>
    </r>
    <r>
      <rPr>
        <sz val="11"/>
        <color theme="1"/>
        <rFont val="Calibri"/>
        <family val="2"/>
        <scheme val="minor"/>
      </rPr>
      <t xml:space="preserve"> 2230- 0645</t>
    </r>
  </si>
  <si>
    <r>
      <t>B:</t>
    </r>
    <r>
      <rPr>
        <sz val="11"/>
        <color theme="1"/>
        <rFont val="Calibri"/>
        <family val="2"/>
        <scheme val="minor"/>
      </rPr>
      <t xml:space="preserve"> 1830 - 0645</t>
    </r>
  </si>
  <si>
    <r>
      <t>1:</t>
    </r>
    <r>
      <rPr>
        <sz val="11"/>
        <color theme="1"/>
        <rFont val="Calibri"/>
        <family val="2"/>
        <scheme val="minor"/>
      </rPr>
      <t xml:space="preserve"> Vagthavende kl. 0630 - 1445</t>
    </r>
  </si>
  <si>
    <t>Timeopgørelse</t>
  </si>
  <si>
    <r>
      <t>2:</t>
    </r>
    <r>
      <rPr>
        <sz val="11"/>
        <color theme="1"/>
        <rFont val="Calibri"/>
        <family val="2"/>
        <scheme val="minor"/>
      </rPr>
      <t xml:space="preserve"> Vagthavende kl. 1430 - 2230</t>
    </r>
  </si>
  <si>
    <t>Timer i 2./3. skift</t>
  </si>
  <si>
    <r>
      <t>3:</t>
    </r>
    <r>
      <rPr>
        <sz val="11"/>
        <color theme="1"/>
        <rFont val="Calibri"/>
        <family val="2"/>
        <scheme val="minor"/>
      </rPr>
      <t xml:space="preserve"> Patruljeleder kl. 1630 - 2345</t>
    </r>
  </si>
  <si>
    <r>
      <t xml:space="preserve">II </t>
    </r>
    <r>
      <rPr>
        <sz val="11"/>
        <color theme="1"/>
        <rFont val="Calibri"/>
        <family val="2"/>
        <scheme val="minor"/>
      </rPr>
      <t>886 Per Larsen</t>
    </r>
  </si>
  <si>
    <r>
      <t>1:</t>
    </r>
    <r>
      <rPr>
        <sz val="11"/>
        <color theme="1"/>
        <rFont val="Calibri"/>
        <family val="2"/>
        <scheme val="minor"/>
      </rPr>
      <t xml:space="preserve"> 0630 - 1445</t>
    </r>
  </si>
  <si>
    <r>
      <t>A</t>
    </r>
    <r>
      <rPr>
        <sz val="11"/>
        <color theme="1"/>
        <rFont val="Calibri"/>
        <family val="2"/>
        <scheme val="minor"/>
      </rPr>
      <t xml:space="preserve">: Vagthavende kl. 0630 - 1845  </t>
    </r>
  </si>
  <si>
    <r>
      <t>B:</t>
    </r>
    <r>
      <rPr>
        <sz val="11"/>
        <color theme="1"/>
        <rFont val="Calibri"/>
        <family val="2"/>
        <scheme val="minor"/>
      </rPr>
      <t xml:space="preserve"> Vagthavende kl. 1830 - 0645 </t>
    </r>
  </si>
  <si>
    <r>
      <t>2:</t>
    </r>
    <r>
      <rPr>
        <sz val="11"/>
        <color theme="1"/>
        <rFont val="Calibri"/>
        <family val="2"/>
        <scheme val="minor"/>
      </rPr>
      <t xml:space="preserve"> 1430 - 2230</t>
    </r>
  </si>
  <si>
    <r>
      <t>A:</t>
    </r>
    <r>
      <rPr>
        <sz val="11"/>
        <color theme="1"/>
        <rFont val="Calibri"/>
        <family val="2"/>
        <scheme val="minor"/>
      </rPr>
      <t xml:space="preserve"> 0630 - 1845</t>
    </r>
  </si>
  <si>
    <t>Total</t>
  </si>
  <si>
    <r>
      <t>V</t>
    </r>
    <r>
      <rPr>
        <sz val="11"/>
        <color theme="1"/>
        <rFont val="Calibri"/>
        <family val="2"/>
        <scheme val="minor"/>
      </rPr>
      <t xml:space="preserve">  669 Jørgen Rasmussen.</t>
    </r>
  </si>
  <si>
    <r>
      <t>3:</t>
    </r>
    <r>
      <rPr>
        <sz val="11"/>
        <color theme="1"/>
        <rFont val="Calibri"/>
        <family val="2"/>
        <scheme val="minor"/>
      </rPr>
      <t xml:space="preserve"> 1630 - 2345</t>
    </r>
  </si>
  <si>
    <t>Rondering / alarmudrykning</t>
  </si>
  <si>
    <t>Normtid</t>
  </si>
  <si>
    <t>37 timer x 4 uger =</t>
  </si>
  <si>
    <t>timer</t>
  </si>
  <si>
    <r>
      <t xml:space="preserve">VI </t>
    </r>
    <r>
      <rPr>
        <sz val="11"/>
        <color theme="1"/>
        <rFont val="Calibri"/>
        <family val="2"/>
        <scheme val="minor"/>
      </rPr>
      <t>890 Michael Bo Pedersen</t>
    </r>
  </si>
  <si>
    <t xml:space="preserve">2. / 3. Skifts timer =  </t>
  </si>
  <si>
    <t>:37 timer</t>
  </si>
  <si>
    <t>357 Jesper Simonsen</t>
  </si>
  <si>
    <t xml:space="preserve">timer x 3 (grundet 37/3 reglen) = </t>
  </si>
  <si>
    <t>358 Per Olsen</t>
  </si>
  <si>
    <t>timer - godtskrivelse på</t>
  </si>
  <si>
    <t>timer =</t>
  </si>
  <si>
    <t>(Skal arbejde)</t>
  </si>
  <si>
    <t>reel tid - normtid</t>
  </si>
  <si>
    <t xml:space="preserve">Turnusvagter Rådhuset  </t>
  </si>
  <si>
    <t>Uge      Plankode 8516</t>
  </si>
  <si>
    <t>Dag tjeneste</t>
  </si>
  <si>
    <r>
      <t>11</t>
    </r>
    <r>
      <rPr>
        <sz val="11"/>
        <color theme="1"/>
        <rFont val="Calibri"/>
        <family val="2"/>
        <scheme val="minor"/>
      </rPr>
      <t xml:space="preserve"> 2300 - 0715</t>
    </r>
  </si>
  <si>
    <r>
      <t>B3</t>
    </r>
    <r>
      <rPr>
        <sz val="10"/>
        <color indexed="9"/>
        <rFont val="Arial"/>
        <family val="2"/>
      </rPr>
      <t xml:space="preserve"> 1900 - 0715</t>
    </r>
  </si>
  <si>
    <t>Timer i 2./3. Skift</t>
  </si>
  <si>
    <r>
      <t xml:space="preserve">1 </t>
    </r>
    <r>
      <rPr>
        <sz val="11"/>
        <color theme="1"/>
        <rFont val="Calibri"/>
        <family val="2"/>
        <scheme val="minor"/>
      </rPr>
      <t>0700 - 1400 + helligdage kl. 0700-1400</t>
    </r>
  </si>
  <si>
    <r>
      <t>Uge 1</t>
    </r>
    <r>
      <rPr>
        <sz val="11"/>
        <color theme="1"/>
        <rFont val="Calibri"/>
        <family val="2"/>
        <scheme val="minor"/>
      </rPr>
      <t xml:space="preserve"> </t>
    </r>
  </si>
  <si>
    <r>
      <t>2</t>
    </r>
    <r>
      <rPr>
        <sz val="11"/>
        <color theme="1"/>
        <rFont val="Calibri"/>
        <family val="2"/>
        <scheme val="minor"/>
      </rPr>
      <t>udgået</t>
    </r>
  </si>
  <si>
    <r>
      <t>9</t>
    </r>
    <r>
      <rPr>
        <sz val="11"/>
        <color theme="1"/>
        <rFont val="Calibri"/>
        <family val="2"/>
        <scheme val="minor"/>
      </rPr>
      <t xml:space="preserve"> 2300 - 0600</t>
    </r>
  </si>
  <si>
    <r>
      <t>B1</t>
    </r>
    <r>
      <rPr>
        <sz val="10"/>
        <color indexed="9"/>
        <rFont val="Arial"/>
        <family val="2"/>
      </rPr>
      <t>1900 - 0600</t>
    </r>
  </si>
  <si>
    <r>
      <t>3</t>
    </r>
    <r>
      <rPr>
        <sz val="11"/>
        <color theme="1"/>
        <rFont val="Calibri"/>
        <family val="2"/>
        <scheme val="minor"/>
      </rPr>
      <t xml:space="preserve"> 0730 - 1530 + helligdage kl. 0730-1530</t>
    </r>
  </si>
  <si>
    <r>
      <t xml:space="preserve">6 </t>
    </r>
    <r>
      <rPr>
        <sz val="11"/>
        <color theme="1"/>
        <rFont val="Calibri"/>
        <family val="2"/>
        <scheme val="minor"/>
      </rPr>
      <t xml:space="preserve">                Betina Knøsgaard</t>
    </r>
  </si>
  <si>
    <t xml:space="preserve">Uge 6 </t>
  </si>
  <si>
    <r>
      <t>4</t>
    </r>
    <r>
      <rPr>
        <sz val="11"/>
        <color theme="1"/>
        <rFont val="Calibri"/>
        <family val="2"/>
        <scheme val="minor"/>
      </rPr>
      <t xml:space="preserve"> 0930 - 1730</t>
    </r>
  </si>
  <si>
    <r>
      <t>10</t>
    </r>
    <r>
      <rPr>
        <sz val="11"/>
        <color theme="1"/>
        <rFont val="Calibri"/>
        <family val="2"/>
        <scheme val="minor"/>
      </rPr>
      <t xml:space="preserve"> 2300 - 0700</t>
    </r>
  </si>
  <si>
    <r>
      <t>B2</t>
    </r>
    <r>
      <rPr>
        <sz val="10"/>
        <color indexed="9"/>
        <rFont val="Arial"/>
        <family val="2"/>
      </rPr>
      <t>1900 - 0700</t>
    </r>
  </si>
  <si>
    <r>
      <t>11</t>
    </r>
    <r>
      <rPr>
        <sz val="11"/>
        <color theme="1"/>
        <rFont val="Calibri"/>
        <family val="2"/>
        <scheme val="minor"/>
      </rPr>
      <t xml:space="preserve">            Mariane Hillebrand</t>
    </r>
  </si>
  <si>
    <r>
      <t>Uge 11</t>
    </r>
    <r>
      <rPr>
        <sz val="11"/>
        <color theme="1"/>
        <rFont val="Calibri"/>
        <family val="2"/>
        <scheme val="minor"/>
      </rPr>
      <t xml:space="preserve">            </t>
    </r>
  </si>
  <si>
    <r>
      <t>A1</t>
    </r>
    <r>
      <rPr>
        <sz val="11"/>
        <color theme="1"/>
        <rFont val="Calibri"/>
        <family val="2"/>
        <scheme val="minor"/>
      </rPr>
      <t xml:space="preserve"> 0845 - 1745 Lørdag (Hovedporten), Niels Hemmingsens Gade</t>
    </r>
  </si>
  <si>
    <r>
      <t>2</t>
    </r>
    <r>
      <rPr>
        <sz val="11"/>
        <color theme="1"/>
        <rFont val="Calibri"/>
        <family val="2"/>
        <scheme val="minor"/>
      </rPr>
      <t xml:space="preserve">                     Jørn Rasmussen</t>
    </r>
  </si>
  <si>
    <r>
      <t>Uge 2</t>
    </r>
    <r>
      <rPr>
        <sz val="11"/>
        <color theme="1"/>
        <rFont val="Calibri"/>
        <family val="2"/>
        <scheme val="minor"/>
      </rPr>
      <t xml:space="preserve">                             </t>
    </r>
  </si>
  <si>
    <t>Uge 7</t>
  </si>
  <si>
    <t>Uge 8</t>
  </si>
  <si>
    <r>
      <t>A2</t>
    </r>
    <r>
      <rPr>
        <sz val="11"/>
        <color theme="1"/>
        <rFont val="Calibri"/>
        <family val="2"/>
        <scheme val="minor"/>
      </rPr>
      <t xml:space="preserve"> 0700 - 1900 Lør-, søndage</t>
    </r>
  </si>
  <si>
    <r>
      <t xml:space="preserve">7 </t>
    </r>
    <r>
      <rPr>
        <sz val="11"/>
        <color theme="1"/>
        <rFont val="Calibri"/>
        <family val="2"/>
        <scheme val="minor"/>
      </rPr>
      <t xml:space="preserve">             Kim B.T. Pedersen</t>
    </r>
  </si>
  <si>
    <t>Uge 9</t>
  </si>
  <si>
    <r>
      <t>A3</t>
    </r>
    <r>
      <rPr>
        <sz val="11"/>
        <color theme="1"/>
        <rFont val="Calibri"/>
        <family val="2"/>
        <scheme val="minor"/>
      </rPr>
      <t xml:space="preserve"> 0700 - 1915</t>
    </r>
  </si>
  <si>
    <r>
      <t xml:space="preserve">A3 </t>
    </r>
    <r>
      <rPr>
        <sz val="11"/>
        <color theme="1"/>
        <rFont val="Calibri"/>
        <family val="2"/>
        <scheme val="minor"/>
      </rPr>
      <t>0700 - 1915</t>
    </r>
  </si>
  <si>
    <t>Uge 10</t>
  </si>
  <si>
    <r>
      <t>A3</t>
    </r>
    <r>
      <rPr>
        <sz val="11"/>
        <color theme="1"/>
        <rFont val="Calibri"/>
        <family val="2"/>
        <scheme val="minor"/>
      </rPr>
      <t xml:space="preserve"> 0700 - 1915 Lør-, søndage</t>
    </r>
  </si>
  <si>
    <r>
      <t>12</t>
    </r>
    <r>
      <rPr>
        <sz val="11"/>
        <color theme="1"/>
        <rFont val="Calibri"/>
        <family val="2"/>
        <scheme val="minor"/>
      </rPr>
      <t xml:space="preserve">                  Kristoffer Ruth</t>
    </r>
  </si>
  <si>
    <r>
      <t>Uge 12</t>
    </r>
    <r>
      <rPr>
        <sz val="11"/>
        <color theme="1"/>
        <rFont val="Calibri"/>
        <family val="2"/>
        <scheme val="minor"/>
      </rPr>
      <t xml:space="preserve">                  </t>
    </r>
  </si>
  <si>
    <t>Uge 11</t>
  </si>
  <si>
    <r>
      <t>8</t>
    </r>
    <r>
      <rPr>
        <sz val="11"/>
        <color theme="1"/>
        <rFont val="Calibri"/>
        <family val="2"/>
        <scheme val="minor"/>
      </rPr>
      <t xml:space="preserve"> 1600 - 2300</t>
    </r>
  </si>
  <si>
    <r>
      <t>8</t>
    </r>
    <r>
      <rPr>
        <sz val="11"/>
        <color theme="1"/>
        <rFont val="Calibri"/>
        <family val="2"/>
        <scheme val="minor"/>
      </rPr>
      <t xml:space="preserve"> 1600 - 2230</t>
    </r>
  </si>
  <si>
    <r>
      <t xml:space="preserve">A2 </t>
    </r>
    <r>
      <rPr>
        <sz val="11"/>
        <color theme="1"/>
        <rFont val="Calibri"/>
        <family val="2"/>
        <scheme val="minor"/>
      </rPr>
      <t>0700 - 1900</t>
    </r>
  </si>
  <si>
    <t>Uge 12</t>
  </si>
  <si>
    <t>Aften tjeneste</t>
  </si>
  <si>
    <r>
      <t>Uge 3</t>
    </r>
    <r>
      <rPr>
        <sz val="11"/>
        <color theme="1"/>
        <rFont val="Calibri"/>
        <family val="2"/>
        <scheme val="minor"/>
      </rPr>
      <t xml:space="preserve"> </t>
    </r>
  </si>
  <si>
    <t>Uge 13</t>
  </si>
  <si>
    <r>
      <t xml:space="preserve">5 </t>
    </r>
    <r>
      <rPr>
        <sz val="11"/>
        <color theme="1"/>
        <rFont val="Calibri"/>
        <family val="2"/>
        <scheme val="minor"/>
      </rPr>
      <t>1600 - 2330</t>
    </r>
  </si>
  <si>
    <r>
      <t>6</t>
    </r>
    <r>
      <rPr>
        <sz val="11"/>
        <color theme="1"/>
        <rFont val="Calibri"/>
        <family val="2"/>
        <scheme val="minor"/>
      </rPr>
      <t xml:space="preserve"> 1600 - 2300</t>
    </r>
  </si>
  <si>
    <r>
      <t>A1</t>
    </r>
    <r>
      <rPr>
        <sz val="11"/>
        <color theme="1"/>
        <rFont val="Calibri"/>
        <family val="2"/>
        <scheme val="minor"/>
      </rPr>
      <t xml:space="preserve"> 0845 - 1745</t>
    </r>
  </si>
  <si>
    <t>Uge 14</t>
  </si>
  <si>
    <r>
      <t>6</t>
    </r>
    <r>
      <rPr>
        <sz val="11"/>
        <color theme="1"/>
        <rFont val="Calibri"/>
        <family val="2"/>
        <scheme val="minor"/>
      </rPr>
      <t xml:space="preserve"> Aften 1600-2300 </t>
    </r>
  </si>
  <si>
    <r>
      <t xml:space="preserve">8                   </t>
    </r>
    <r>
      <rPr>
        <sz val="11"/>
        <color theme="1"/>
        <rFont val="Calibri"/>
        <family val="2"/>
        <scheme val="minor"/>
      </rPr>
      <t>Steen Hertin</t>
    </r>
  </si>
  <si>
    <t>Uge 15</t>
  </si>
  <si>
    <r>
      <t>7</t>
    </r>
    <r>
      <rPr>
        <sz val="10"/>
        <color indexed="9"/>
        <rFont val="Arial"/>
        <family val="2"/>
      </rPr>
      <t xml:space="preserve"> Aften 1515 -2315</t>
    </r>
  </si>
  <si>
    <r>
      <t>7</t>
    </r>
    <r>
      <rPr>
        <sz val="10"/>
        <color indexed="9"/>
        <rFont val="Arial"/>
        <family val="2"/>
      </rPr>
      <t xml:space="preserve"> 1515 - 2315</t>
    </r>
  </si>
  <si>
    <r>
      <t>8</t>
    </r>
    <r>
      <rPr>
        <sz val="11"/>
        <color theme="1"/>
        <rFont val="Calibri"/>
        <family val="2"/>
        <scheme val="minor"/>
      </rPr>
      <t xml:space="preserve"> Aften 1600-2300 / fre. 1600 - 2230</t>
    </r>
  </si>
  <si>
    <r>
      <t xml:space="preserve">13 </t>
    </r>
    <r>
      <rPr>
        <sz val="11"/>
        <color theme="1"/>
        <rFont val="Calibri"/>
        <family val="2"/>
        <scheme val="minor"/>
      </rPr>
      <t xml:space="preserve">      Maria Christensen</t>
    </r>
  </si>
  <si>
    <t>37 timer x 15 uger =</t>
  </si>
  <si>
    <t>Nat tjeneste</t>
  </si>
  <si>
    <r>
      <t xml:space="preserve">4                  </t>
    </r>
    <r>
      <rPr>
        <sz val="11"/>
        <color theme="1"/>
        <rFont val="Calibri"/>
        <family val="2"/>
        <scheme val="minor"/>
      </rPr>
      <t>Bo Lundvall</t>
    </r>
  </si>
  <si>
    <r>
      <t>9</t>
    </r>
    <r>
      <rPr>
        <sz val="11"/>
        <color theme="1"/>
        <rFont val="Calibri"/>
        <family val="2"/>
        <scheme val="minor"/>
      </rPr>
      <t xml:space="preserve"> Nat 2300 - 0600 </t>
    </r>
  </si>
  <si>
    <r>
      <t>10</t>
    </r>
    <r>
      <rPr>
        <sz val="11"/>
        <color theme="1"/>
        <rFont val="Calibri"/>
        <family val="2"/>
        <scheme val="minor"/>
      </rPr>
      <t xml:space="preserve"> Nat 2300 - 0700 </t>
    </r>
  </si>
  <si>
    <r>
      <t>9</t>
    </r>
    <r>
      <rPr>
        <sz val="11"/>
        <color theme="1"/>
        <rFont val="Calibri"/>
        <family val="2"/>
        <scheme val="minor"/>
      </rPr>
      <t xml:space="preserve">                   Daniel Ben jakler</t>
    </r>
  </si>
  <si>
    <r>
      <t>11</t>
    </r>
    <r>
      <rPr>
        <sz val="11"/>
        <color theme="1"/>
        <rFont val="Calibri"/>
        <family val="2"/>
        <scheme val="minor"/>
      </rPr>
      <t xml:space="preserve"> Nat 2300 - 0715</t>
    </r>
  </si>
  <si>
    <r>
      <t>14</t>
    </r>
    <r>
      <rPr>
        <sz val="11"/>
        <color theme="1"/>
        <rFont val="Calibri"/>
        <family val="2"/>
        <scheme val="minor"/>
      </rPr>
      <t xml:space="preserve">               Sonny Thomsen</t>
    </r>
  </si>
  <si>
    <r>
      <t>Uge 14</t>
    </r>
    <r>
      <rPr>
        <sz val="11"/>
        <color theme="1"/>
        <rFont val="Calibri"/>
        <family val="2"/>
        <scheme val="minor"/>
      </rPr>
      <t xml:space="preserve"> </t>
    </r>
  </si>
  <si>
    <r>
      <t>B1</t>
    </r>
    <r>
      <rPr>
        <sz val="11"/>
        <color theme="1"/>
        <rFont val="Calibri"/>
        <family val="2"/>
        <scheme val="minor"/>
      </rPr>
      <t xml:space="preserve"> Nat 1900 - 0600  Lør-, søndage</t>
    </r>
  </si>
  <si>
    <r>
      <t>1</t>
    </r>
    <r>
      <rPr>
        <sz val="11"/>
        <color theme="1"/>
        <rFont val="Calibri"/>
        <family val="2"/>
        <scheme val="minor"/>
      </rPr>
      <t xml:space="preserve"> 0700 - 1400</t>
    </r>
  </si>
  <si>
    <r>
      <t>Uge 5</t>
    </r>
    <r>
      <rPr>
        <sz val="11"/>
        <color theme="1"/>
        <rFont val="Calibri"/>
        <family val="2"/>
        <scheme val="minor"/>
      </rPr>
      <t xml:space="preserve">               </t>
    </r>
  </si>
  <si>
    <r>
      <t>B2</t>
    </r>
    <r>
      <rPr>
        <sz val="11"/>
        <color theme="1"/>
        <rFont val="Calibri"/>
        <family val="2"/>
        <scheme val="minor"/>
      </rPr>
      <t xml:space="preserve"> Nat 1900 - 0700  Lør-, søndage </t>
    </r>
  </si>
  <si>
    <r>
      <t>5</t>
    </r>
    <r>
      <rPr>
        <sz val="11"/>
        <color theme="1"/>
        <rFont val="Calibri"/>
        <family val="2"/>
        <scheme val="minor"/>
      </rPr>
      <t xml:space="preserve"> 1600 - 2330</t>
    </r>
  </si>
  <si>
    <r>
      <t>Uge 10</t>
    </r>
    <r>
      <rPr>
        <sz val="11"/>
        <color theme="1"/>
        <rFont val="Calibri"/>
        <family val="2"/>
        <scheme val="minor"/>
      </rPr>
      <t xml:space="preserve"> </t>
    </r>
  </si>
  <si>
    <r>
      <t>B3</t>
    </r>
    <r>
      <rPr>
        <sz val="11"/>
        <color theme="1"/>
        <rFont val="Calibri"/>
        <family val="2"/>
        <scheme val="minor"/>
      </rPr>
      <t xml:space="preserve"> Nat 1900 - 0715  Lør-, søndage</t>
    </r>
  </si>
  <si>
    <r>
      <t>3</t>
    </r>
    <r>
      <rPr>
        <sz val="11"/>
        <color theme="1"/>
        <rFont val="Calibri"/>
        <family val="2"/>
        <scheme val="minor"/>
      </rPr>
      <t xml:space="preserve"> 0730 - 1530</t>
    </r>
  </si>
  <si>
    <t xml:space="preserve">Uge 15 </t>
  </si>
  <si>
    <t xml:space="preserve">Turnusvagter Rådhuset i ugerækkefølge </t>
  </si>
  <si>
    <r>
      <t>2</t>
    </r>
    <r>
      <rPr>
        <sz val="11"/>
        <color theme="1"/>
        <rFont val="Calibri"/>
        <family val="2"/>
        <scheme val="minor"/>
      </rPr>
      <t xml:space="preserve">                    Jørn Rasmussen</t>
    </r>
  </si>
  <si>
    <r>
      <t xml:space="preserve">9  </t>
    </r>
    <r>
      <rPr>
        <sz val="11"/>
        <color theme="1"/>
        <rFont val="Calibri"/>
        <family val="2"/>
        <scheme val="minor"/>
      </rPr>
      <t xml:space="preserve">                Daniel Ben Jakler</t>
    </r>
  </si>
  <si>
    <t>Fast I-vagt (Informationen)</t>
  </si>
  <si>
    <t>Plankode 8520</t>
  </si>
  <si>
    <t>0700-1445</t>
  </si>
  <si>
    <t>0700-1300</t>
  </si>
  <si>
    <t>Afl. Fast A-portner, P-plads</t>
  </si>
  <si>
    <t>B &amp; U.</t>
  </si>
  <si>
    <t>0745-1530</t>
  </si>
  <si>
    <t>0745-1345</t>
  </si>
  <si>
    <t>Ulla Belsager Olsen</t>
  </si>
  <si>
    <t>Fast Buffer</t>
  </si>
  <si>
    <t>Plankode 8514</t>
  </si>
  <si>
    <t>0800 - 1600</t>
  </si>
  <si>
    <t>0800 - 1300</t>
  </si>
  <si>
    <t>Vagter for Bryggens Gård  (Nedlagt 31/3 - 2005)</t>
  </si>
  <si>
    <t>timer *</t>
  </si>
  <si>
    <t>uger =</t>
  </si>
  <si>
    <t>Timer</t>
  </si>
  <si>
    <t xml:space="preserve"> 0600 - 1400</t>
  </si>
  <si>
    <r>
      <t xml:space="preserve"> </t>
    </r>
    <r>
      <rPr>
        <sz val="11"/>
        <color theme="1"/>
        <rFont val="Calibri"/>
        <family val="2"/>
        <scheme val="minor"/>
      </rPr>
      <t>0600 - 1300</t>
    </r>
  </si>
  <si>
    <t>Åbne Njalsgade kl. 600 - 630</t>
  </si>
  <si>
    <t>2. / 3. Skifts timer:</t>
  </si>
  <si>
    <t xml:space="preserve"> 1400 - 2030</t>
  </si>
  <si>
    <t xml:space="preserve"> 1300 - 1915</t>
  </si>
  <si>
    <t>Lukke Bryggen &amp; Njalsgade</t>
  </si>
  <si>
    <t>: 37 =</t>
  </si>
  <si>
    <t>0,88 x 3 (grundet 37/3 reglen) = 2,64 timer</t>
  </si>
  <si>
    <t>74 timer - 2,64 = 71,36 (skal arbejde)</t>
  </si>
  <si>
    <t>71,25 timer - 71,36 timer = - ,11</t>
  </si>
  <si>
    <t>37 timer x 3 uger = 111 timer</t>
  </si>
  <si>
    <t>2. / 3. Skifts timer = 34</t>
  </si>
  <si>
    <t>1200 - 1900</t>
  </si>
  <si>
    <t>1200 - 1800</t>
  </si>
  <si>
    <t>34 : 37 timer = 0,92  timer</t>
  </si>
  <si>
    <t>Udgået</t>
  </si>
  <si>
    <t>0,92 timer x 3 (grundet 37/3 reglen) = 2,76 timer</t>
  </si>
  <si>
    <t>111 timer - godtskrivelse på 2,76 timer = 108,24 timer</t>
  </si>
  <si>
    <r>
      <t>108 timer - 108,24 timer = -0,24</t>
    </r>
    <r>
      <rPr>
        <u/>
        <sz val="10"/>
        <rFont val="Arial"/>
        <family val="2"/>
      </rPr>
      <t xml:space="preserve"> time</t>
    </r>
  </si>
  <si>
    <t>Buffergruppen</t>
  </si>
  <si>
    <t>Vagter for Kredse</t>
  </si>
  <si>
    <t>Uge      Plankode 8513</t>
  </si>
  <si>
    <r>
      <t>K1 0815</t>
    </r>
    <r>
      <rPr>
        <sz val="11"/>
        <color theme="1"/>
        <rFont val="Calibri"/>
        <family val="2"/>
        <scheme val="minor"/>
      </rPr>
      <t xml:space="preserve"> - 1545</t>
    </r>
  </si>
  <si>
    <t>K1 0815 - 1545</t>
  </si>
  <si>
    <t>K1 0900 - 1830</t>
  </si>
  <si>
    <t>K1 0815-1315</t>
  </si>
  <si>
    <t>K2 1500 – 0015</t>
  </si>
  <si>
    <t>K2 1400 – 0015</t>
  </si>
  <si>
    <r>
      <t>KA</t>
    </r>
    <r>
      <rPr>
        <sz val="11"/>
        <color theme="1"/>
        <rFont val="Calibri"/>
        <family val="2"/>
        <scheme val="minor"/>
      </rPr>
      <t xml:space="preserve"> 1100 - 2130</t>
    </r>
  </si>
  <si>
    <t>x 3 (grundet 37/3 reglen) =</t>
  </si>
  <si>
    <t>time (godtskrivelse)</t>
  </si>
  <si>
    <t>Godtskrivelse =</t>
  </si>
  <si>
    <t xml:space="preserve"> (Skal arbejde)</t>
  </si>
  <si>
    <t>Vagtplanstimer</t>
  </si>
  <si>
    <t>Minus godtskrivelse</t>
  </si>
  <si>
    <t>=</t>
  </si>
  <si>
    <t>Vagter for Den Hvide Kødby</t>
  </si>
  <si>
    <r>
      <t>H1</t>
    </r>
    <r>
      <rPr>
        <sz val="11"/>
        <color theme="1"/>
        <rFont val="Calibri"/>
        <family val="2"/>
        <scheme val="minor"/>
      </rPr>
      <t xml:space="preserve"> 1800 - 0600</t>
    </r>
  </si>
  <si>
    <r>
      <t>HB</t>
    </r>
    <r>
      <rPr>
        <sz val="11"/>
        <color theme="1"/>
        <rFont val="Calibri"/>
        <family val="2"/>
        <scheme val="minor"/>
      </rPr>
      <t xml:space="preserve"> 2400 - 1200</t>
    </r>
  </si>
  <si>
    <r>
      <t>HD</t>
    </r>
    <r>
      <rPr>
        <sz val="11"/>
        <color theme="1"/>
        <rFont val="Calibri"/>
        <family val="2"/>
        <scheme val="minor"/>
      </rPr>
      <t xml:space="preserve"> 2200 - 0600</t>
    </r>
  </si>
  <si>
    <t>1      Uge 1</t>
  </si>
  <si>
    <t>2      Uge 2</t>
  </si>
  <si>
    <r>
      <t>HA</t>
    </r>
    <r>
      <rPr>
        <sz val="11"/>
        <color theme="1"/>
        <rFont val="Calibri"/>
        <family val="2"/>
        <scheme val="minor"/>
      </rPr>
      <t xml:space="preserve"> 1200 - 2400</t>
    </r>
  </si>
  <si>
    <r>
      <t>HC</t>
    </r>
    <r>
      <rPr>
        <sz val="11"/>
        <color theme="1"/>
        <rFont val="Calibri"/>
        <family val="2"/>
        <scheme val="minor"/>
      </rPr>
      <t xml:space="preserve"> 1200 - 2200</t>
    </r>
  </si>
  <si>
    <t>3      Uge 3</t>
  </si>
  <si>
    <r>
      <t>H2</t>
    </r>
    <r>
      <rPr>
        <sz val="11"/>
        <color theme="1"/>
        <rFont val="Calibri"/>
        <family val="2"/>
        <scheme val="minor"/>
      </rPr>
      <t xml:space="preserve"> 0900 - 1545</t>
    </r>
  </si>
  <si>
    <r>
      <t>H3</t>
    </r>
    <r>
      <rPr>
        <sz val="11"/>
        <color theme="1"/>
        <rFont val="Calibri"/>
        <family val="2"/>
        <scheme val="minor"/>
      </rPr>
      <t xml:space="preserve"> 0800 - 1545</t>
    </r>
  </si>
  <si>
    <r>
      <t>H4</t>
    </r>
    <r>
      <rPr>
        <sz val="11"/>
        <color theme="1"/>
        <rFont val="Calibri"/>
        <family val="2"/>
        <scheme val="minor"/>
      </rPr>
      <t xml:space="preserve"> 0800 - 1530</t>
    </r>
  </si>
  <si>
    <t>4      Uge 4</t>
  </si>
  <si>
    <t>Bollevagter til helligdage</t>
  </si>
  <si>
    <t>Snit pr. måned</t>
  </si>
  <si>
    <t>BR møder på år</t>
  </si>
  <si>
    <t>AR på år</t>
  </si>
  <si>
    <t>svarer til ca. 47 medarbejdere</t>
  </si>
  <si>
    <t>Rådhusservice</t>
  </si>
  <si>
    <t xml:space="preserve">Plankode  </t>
  </si>
  <si>
    <t>0730 - 1515</t>
  </si>
  <si>
    <t>0730 - 1330</t>
  </si>
  <si>
    <t>168 Kurt N. V. Hansen</t>
  </si>
  <si>
    <t>643 Bjarne Wagner-Larsen</t>
  </si>
  <si>
    <t>360 Anders Henriksen</t>
  </si>
  <si>
    <t>614 Arne Berthold</t>
  </si>
  <si>
    <t>Birgith Melsted Jensen</t>
  </si>
  <si>
    <t>Majbritt Jensen</t>
  </si>
  <si>
    <t>Ruth Nissen</t>
  </si>
  <si>
    <t>Vagtkode i lønsystem</t>
  </si>
  <si>
    <t>I27</t>
  </si>
  <si>
    <t>I26</t>
  </si>
  <si>
    <t>A77</t>
  </si>
  <si>
    <t>A60</t>
  </si>
  <si>
    <t>F04</t>
  </si>
  <si>
    <t>BW 1</t>
  </si>
  <si>
    <t>BW1</t>
  </si>
  <si>
    <t>Tur</t>
  </si>
  <si>
    <t>F01</t>
  </si>
  <si>
    <t>F02</t>
  </si>
  <si>
    <t>AW 1</t>
  </si>
  <si>
    <r>
      <t>3:</t>
    </r>
    <r>
      <rPr>
        <sz val="11"/>
        <color theme="1"/>
        <rFont val="Calibri"/>
        <family val="2"/>
        <scheme val="minor"/>
      </rPr>
      <t xml:space="preserve"> 1630-2345</t>
    </r>
  </si>
  <si>
    <r>
      <t>VI</t>
    </r>
    <r>
      <rPr>
        <sz val="11"/>
        <color theme="1"/>
        <rFont val="Calibri"/>
        <family val="2"/>
        <scheme val="minor"/>
      </rPr>
      <t xml:space="preserve">  890 Michael Bo Pedersen</t>
    </r>
  </si>
  <si>
    <t>F03</t>
  </si>
  <si>
    <t>Type i vagtplanssystem</t>
  </si>
  <si>
    <t>011</t>
  </si>
  <si>
    <t>B3W</t>
  </si>
  <si>
    <t>009</t>
  </si>
  <si>
    <t>B1W</t>
  </si>
  <si>
    <t>010</t>
  </si>
  <si>
    <t>B2W</t>
  </si>
  <si>
    <r>
      <t>2</t>
    </r>
    <r>
      <rPr>
        <sz val="11"/>
        <color theme="1"/>
        <rFont val="Calibri"/>
        <family val="2"/>
        <scheme val="minor"/>
      </rPr>
      <t xml:space="preserve">                             Tina Hansen</t>
    </r>
  </si>
  <si>
    <t>A3W</t>
  </si>
  <si>
    <t>008</t>
  </si>
  <si>
    <t>X08</t>
  </si>
  <si>
    <t>A2W</t>
  </si>
  <si>
    <t>006</t>
  </si>
  <si>
    <t>A1W</t>
  </si>
  <si>
    <t>007</t>
  </si>
  <si>
    <t>004</t>
  </si>
  <si>
    <t>001</t>
  </si>
  <si>
    <t>005</t>
  </si>
  <si>
    <t>003</t>
  </si>
  <si>
    <t>Sekvens rækkefølge</t>
  </si>
  <si>
    <r>
      <t>I1</t>
    </r>
    <r>
      <rPr>
        <sz val="11"/>
        <color theme="1"/>
        <rFont val="Calibri"/>
        <family val="2"/>
        <scheme val="minor"/>
      </rPr>
      <t xml:space="preserve"> 0700-1445</t>
    </r>
  </si>
  <si>
    <r>
      <t>I1</t>
    </r>
    <r>
      <rPr>
        <sz val="11"/>
        <color theme="1"/>
        <rFont val="Calibri"/>
        <family val="2"/>
        <scheme val="minor"/>
      </rPr>
      <t xml:space="preserve"> 0700-1300</t>
    </r>
  </si>
  <si>
    <t>I17</t>
  </si>
  <si>
    <t>I16</t>
  </si>
  <si>
    <r>
      <t>I2</t>
    </r>
    <r>
      <rPr>
        <sz val="11"/>
        <color theme="1"/>
        <rFont val="Calibri"/>
        <family val="2"/>
        <scheme val="minor"/>
      </rPr>
      <t xml:space="preserve"> 0745-1530</t>
    </r>
  </si>
  <si>
    <r>
      <t>I2</t>
    </r>
    <r>
      <rPr>
        <sz val="11"/>
        <color theme="1"/>
        <rFont val="Calibri"/>
        <family val="2"/>
        <scheme val="minor"/>
      </rPr>
      <t xml:space="preserve"> 0745-1345</t>
    </r>
  </si>
  <si>
    <t>TR8</t>
  </si>
  <si>
    <t>TR5</t>
  </si>
  <si>
    <t xml:space="preserve">Vagter for Bryggens Gård  </t>
  </si>
  <si>
    <t>L80</t>
  </si>
  <si>
    <t>L70</t>
  </si>
  <si>
    <t>M65</t>
  </si>
  <si>
    <t>M62</t>
  </si>
  <si>
    <t>S75</t>
  </si>
  <si>
    <t>S70</t>
  </si>
  <si>
    <t>T70</t>
  </si>
  <si>
    <t>T60</t>
  </si>
  <si>
    <t>U75</t>
  </si>
  <si>
    <t>U70</t>
  </si>
  <si>
    <t>B77</t>
  </si>
  <si>
    <t>B60</t>
  </si>
  <si>
    <t>910 John Rasmussen</t>
  </si>
  <si>
    <t>Plankode 8505</t>
  </si>
  <si>
    <t>JR 1</t>
  </si>
  <si>
    <t xml:space="preserve">JR1 </t>
  </si>
  <si>
    <t>JR 2</t>
  </si>
  <si>
    <t>0830 - 1600</t>
  </si>
  <si>
    <t>0900 - 1600</t>
  </si>
  <si>
    <t>Kreds turnus</t>
  </si>
  <si>
    <t>Uge       Plankode 8513</t>
  </si>
  <si>
    <r>
      <t>K1</t>
    </r>
    <r>
      <rPr>
        <sz val="11"/>
        <color theme="1"/>
        <rFont val="Calibri"/>
        <family val="2"/>
        <scheme val="minor"/>
      </rPr>
      <t xml:space="preserve"> 0730 - 1600 </t>
    </r>
  </si>
  <si>
    <t>1    K1 vagt</t>
  </si>
  <si>
    <t>K10</t>
  </si>
  <si>
    <r>
      <t>K2</t>
    </r>
    <r>
      <rPr>
        <sz val="11"/>
        <color theme="1"/>
        <rFont val="Calibri"/>
        <family val="2"/>
        <scheme val="minor"/>
      </rPr>
      <t xml:space="preserve"> 1700 - 2359</t>
    </r>
  </si>
  <si>
    <r>
      <t>KA</t>
    </r>
    <r>
      <rPr>
        <sz val="11"/>
        <color theme="1"/>
        <rFont val="Calibri"/>
        <family val="2"/>
        <scheme val="minor"/>
      </rPr>
      <t xml:space="preserve"> 1100 - 2300</t>
    </r>
  </si>
  <si>
    <t>Kreds, AP m.v.</t>
  </si>
  <si>
    <t>2    K2 vagt</t>
  </si>
  <si>
    <t>Også på helligdage.</t>
  </si>
  <si>
    <t>K20</t>
  </si>
  <si>
    <t>KAW</t>
  </si>
  <si>
    <t>3    K3 vagt</t>
  </si>
  <si>
    <t>tur</t>
  </si>
  <si>
    <r>
      <t>K4</t>
    </r>
    <r>
      <rPr>
        <sz val="11"/>
        <color theme="1"/>
        <rFont val="Calibri"/>
        <family val="2"/>
        <scheme val="minor"/>
      </rPr>
      <t xml:space="preserve"> 1630 - 0015 </t>
    </r>
  </si>
  <si>
    <t>4    K4 vagt</t>
  </si>
  <si>
    <t>K40</t>
  </si>
  <si>
    <t>5 Ikke iværksat</t>
  </si>
  <si>
    <t>K50</t>
  </si>
  <si>
    <t>6 Ikke iværksat</t>
  </si>
  <si>
    <t>7 Ikke iværksat</t>
  </si>
  <si>
    <t>svarer til ca. 49 medarbejdere</t>
  </si>
  <si>
    <t>Balanced Scorecard for Rådhusservice 2009</t>
  </si>
  <si>
    <t>Aktivitet</t>
  </si>
  <si>
    <t>Måling</t>
  </si>
  <si>
    <t>Succes kriterium</t>
  </si>
  <si>
    <t>Ansvarlig</t>
  </si>
  <si>
    <t xml:space="preserve">Planlagt </t>
  </si>
  <si>
    <t xml:space="preserve">Realiseret </t>
  </si>
  <si>
    <t>1. kvartal</t>
  </si>
  <si>
    <t>2. kvartal</t>
  </si>
  <si>
    <t>3. kvartal</t>
  </si>
  <si>
    <t>4 kvartal</t>
  </si>
  <si>
    <t>ARR. &amp; ADM afd.</t>
  </si>
  <si>
    <t>Svigt af leverancer</t>
  </si>
  <si>
    <t>Antal svigt af leverancer af mad mv.</t>
  </si>
  <si>
    <t>Under 5 pr. kvartal</t>
  </si>
  <si>
    <t>Kritisk aktivitet</t>
  </si>
  <si>
    <t>Kunder    OMR 0021</t>
  </si>
  <si>
    <t>Klager</t>
  </si>
  <si>
    <t>Antal skriftlige klager</t>
  </si>
  <si>
    <t>Kvartalsopgørelse       ≤ 1</t>
  </si>
  <si>
    <t>JP</t>
  </si>
  <si>
    <t>Rådhusvagten</t>
  </si>
  <si>
    <t>Kundetilfredshed</t>
  </si>
  <si>
    <t xml:space="preserve">Kundernes gennemsnitlige tilfredshed ved spørgeskemaundersøgelsen. </t>
  </si>
  <si>
    <t>Minimum 4 på en skala fra 1-5</t>
  </si>
  <si>
    <t>Kunder    OMR 0020</t>
  </si>
  <si>
    <t>Fl</t>
  </si>
  <si>
    <t>ARR &amp; ADM afd.</t>
  </si>
  <si>
    <t>FL</t>
  </si>
  <si>
    <t xml:space="preserve">Kunder    OMR 0022                 </t>
  </si>
  <si>
    <t>CL</t>
  </si>
  <si>
    <t xml:space="preserve">Kunder    OMR 0023 </t>
  </si>
  <si>
    <t>KH</t>
  </si>
  <si>
    <t>Teknisk service</t>
  </si>
  <si>
    <t>IF</t>
  </si>
  <si>
    <t>k1</t>
  </si>
  <si>
    <t>KA)</t>
  </si>
  <si>
    <t>Peter Tystgaard</t>
  </si>
  <si>
    <t>GRUS/MUS 2018/2019 i Rådhusservice</t>
  </si>
  <si>
    <t>Lederne i Rådhusvagten</t>
  </si>
  <si>
    <t>Postservice, Skanning og HNG</t>
  </si>
  <si>
    <t>Indkalder</t>
  </si>
  <si>
    <t>Samtale med</t>
  </si>
  <si>
    <t>Afholdt den</t>
  </si>
  <si>
    <t>Dennis Rise</t>
  </si>
  <si>
    <t>24/1</t>
  </si>
  <si>
    <t>Erik Andersen</t>
  </si>
  <si>
    <t>11/2</t>
  </si>
  <si>
    <t>Michael Bo Pedersen</t>
  </si>
  <si>
    <t>5/2</t>
  </si>
  <si>
    <t>44 Lara Andersen</t>
  </si>
  <si>
    <t>Thomas Holm</t>
  </si>
  <si>
    <t>22/1</t>
  </si>
  <si>
    <t>Kim Aabroe</t>
  </si>
  <si>
    <t>3/3</t>
  </si>
  <si>
    <t>Rasmus Sørensen</t>
  </si>
  <si>
    <t>4/2</t>
  </si>
  <si>
    <t>Mathias Nielsen</t>
  </si>
  <si>
    <t>10/1-19</t>
  </si>
  <si>
    <t>27/1</t>
  </si>
  <si>
    <t>Steen Hertin</t>
  </si>
  <si>
    <t>Administration og arrangements afd.</t>
  </si>
  <si>
    <t>327 Johnny V. Hansen</t>
  </si>
  <si>
    <t>Mike Riis-Jensen</t>
  </si>
  <si>
    <t>3/5-19</t>
  </si>
  <si>
    <t>445 Jeanet Røjbæk</t>
  </si>
  <si>
    <t>394 Gorm Wilhjelm</t>
  </si>
  <si>
    <t>Ludmilla Stiedl</t>
  </si>
  <si>
    <t>410Karina Holm</t>
  </si>
  <si>
    <t>Nina Selmi Sommer</t>
  </si>
  <si>
    <t>Rikke EengHolm</t>
  </si>
  <si>
    <t>473 Tarik Sajl</t>
  </si>
  <si>
    <t xml:space="preserve">Mathias Hartvig Morell Nielsen </t>
  </si>
  <si>
    <t xml:space="preserve">380 Ali Capkan </t>
  </si>
  <si>
    <t>6/3-20</t>
  </si>
  <si>
    <t>472 Jesper Rasmussen</t>
  </si>
  <si>
    <t>478 Kemal Turkmen</t>
  </si>
  <si>
    <t>Rundvisning</t>
  </si>
  <si>
    <t>370 Kristoffer Ruth Sahlholdt</t>
  </si>
  <si>
    <t>Martin Hvorslev</t>
  </si>
  <si>
    <t>Socialcentre</t>
  </si>
  <si>
    <t>Hafrun Simonardottir</t>
  </si>
  <si>
    <t>Thomas hartmann</t>
  </si>
  <si>
    <t>Daniel Tuveri</t>
  </si>
  <si>
    <t>Thomas Lindskov</t>
  </si>
  <si>
    <t>Michael Schou Schmidt</t>
  </si>
  <si>
    <t>Peter Tysgaard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</si>
</sst>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#,##0.0"/>
    <numFmt numFmtId="165" formatCode="#,##0\ &quot;kr.&quot;"/>
    <numFmt numFmtId="166" formatCode="&quot;kr.&quot;#,##0_);[Red]\(&quot;kr.&quot;#,##0\)"/>
    <numFmt numFmtId="167" formatCode="&quot;kr &quot;#,##0_);[Red]&quot;(kr &quot;#,##0\)"/>
    <numFmt numFmtId="168" formatCode="#,##0.00\ &quot;kr.&quot;"/>
    <numFmt numFmtId="169" formatCode="dd/mm/yy;@"/>
    <numFmt numFmtId="170" formatCode="mm/yy"/>
    <numFmt numFmtId="171" formatCode="0.0"/>
    <numFmt numFmtId="172" formatCode="_(* #,##0_);_(* \(#,##0\);_(* \-_);_(@_)"/>
  </numFmts>
  <fonts count="6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sz val="8"/>
      <name val="Arial"/>
      <family val="2"/>
    </font>
    <font>
      <b/>
      <i/>
      <sz val="10"/>
      <name val="Arial"/>
      <family val="2"/>
    </font>
    <font>
      <sz val="9"/>
      <color indexed="8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0"/>
      <color indexed="8"/>
      <name val="Arial"/>
      <family val="2"/>
    </font>
    <font>
      <b/>
      <sz val="12"/>
      <name val="Arial"/>
      <family val="2"/>
    </font>
    <font>
      <sz val="10"/>
      <color indexed="9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0"/>
      <name val="Times New Roman"/>
      <family val="1"/>
    </font>
    <font>
      <sz val="11"/>
      <color rgb="FF1F497D"/>
      <name val="Calibri"/>
      <family val="2"/>
    </font>
    <font>
      <sz val="12"/>
      <color theme="3"/>
      <name val="Times New Roman"/>
      <family val="1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22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1"/>
      <color rgb="FF9C6500"/>
      <name val="Calibri"/>
      <family val="2"/>
      <scheme val="minor"/>
    </font>
    <font>
      <b/>
      <sz val="16"/>
      <name val="Arial"/>
      <family val="2"/>
    </font>
    <font>
      <b/>
      <sz val="11"/>
      <name val="Times New Roman"/>
      <family val="1"/>
    </font>
    <font>
      <sz val="12"/>
      <color theme="0"/>
      <name val="Arial"/>
      <family val="2"/>
    </font>
    <font>
      <sz val="11"/>
      <name val="Times New Roman"/>
      <family val="1"/>
    </font>
    <font>
      <b/>
      <sz val="12"/>
      <name val="Times New Roman"/>
      <family val="1"/>
    </font>
    <font>
      <sz val="18"/>
      <name val="Arial"/>
      <family val="2"/>
    </font>
    <font>
      <b/>
      <sz val="10"/>
      <color rgb="FFFF0000"/>
      <name val="Arial"/>
      <family val="2"/>
    </font>
    <font>
      <b/>
      <sz val="10"/>
      <color indexed="9"/>
      <name val="Arial"/>
      <family val="2"/>
    </font>
    <font>
      <sz val="9"/>
      <color indexed="9"/>
      <name val="Arial"/>
      <family val="2"/>
    </font>
    <font>
      <u/>
      <sz val="10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10"/>
      <color indexed="13"/>
      <name val="Arial"/>
      <family val="2"/>
    </font>
    <font>
      <sz val="8"/>
      <color indexed="13"/>
      <name val="Arial"/>
      <family val="2"/>
    </font>
    <font>
      <sz val="9"/>
      <color theme="5"/>
      <name val="Arial"/>
      <family val="2"/>
    </font>
    <font>
      <sz val="9"/>
      <color theme="7"/>
      <name val="Arial"/>
      <family val="2"/>
    </font>
    <font>
      <sz val="9"/>
      <color theme="0"/>
      <name val="Arial"/>
      <family val="2"/>
    </font>
    <font>
      <sz val="11"/>
      <color theme="0" tint="-4.9989318521683403E-2"/>
      <name val="Calibri"/>
      <family val="2"/>
    </font>
    <font>
      <sz val="11"/>
      <color theme="0" tint="-0.34998626667073579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i/>
      <sz val="9"/>
      <name val="Arial"/>
      <family val="2"/>
    </font>
    <font>
      <sz val="9"/>
      <name val="Calibri"/>
      <family val="2"/>
    </font>
    <font>
      <b/>
      <sz val="9"/>
      <color theme="1"/>
      <name val="Calibri"/>
      <family val="2"/>
      <scheme val="minor"/>
    </font>
    <font>
      <b/>
      <sz val="9"/>
      <color indexed="8"/>
      <name val="Arial"/>
      <family val="2"/>
    </font>
    <font>
      <sz val="9"/>
      <name val="Times New Roman"/>
      <family val="1"/>
    </font>
    <font>
      <sz val="9"/>
      <color rgb="FF1F497D"/>
      <name val="Calibri"/>
      <family val="2"/>
    </font>
    <font>
      <sz val="9"/>
      <color theme="3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b/>
      <sz val="9"/>
      <color indexed="81"/>
      <name val="Tahoma"/>
      <charset val="1"/>
    </font>
    <font>
      <sz val="9"/>
      <color indexed="81"/>
      <name val="Tahoma"/>
      <charset val="1"/>
    </font>
  </fonts>
  <fills count="7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7" tint="0.79998168889431442"/>
        <bgColor indexed="65"/>
      </patternFill>
    </fill>
    <fill>
      <patternFill patternType="solid">
        <fgColor indexed="52"/>
        <bgColor indexed="51"/>
      </patternFill>
    </fill>
    <fill>
      <patternFill patternType="solid">
        <fgColor indexed="10"/>
        <bgColor indexed="60"/>
      </patternFill>
    </fill>
    <fill>
      <patternFill patternType="solid">
        <fgColor indexed="13"/>
        <bgColor indexed="34"/>
      </patternFill>
    </fill>
    <fill>
      <patternFill patternType="solid">
        <fgColor indexed="50"/>
        <bgColor indexed="51"/>
      </patternFill>
    </fill>
    <fill>
      <patternFill patternType="solid">
        <fgColor indexed="44"/>
        <bgColor indexed="31"/>
      </patternFill>
    </fill>
    <fill>
      <patternFill patternType="solid">
        <fgColor indexed="22"/>
        <bgColor indexed="31"/>
      </patternFill>
    </fill>
    <fill>
      <patternFill patternType="solid">
        <fgColor indexed="43"/>
        <bgColor indexed="26"/>
      </patternFill>
    </fill>
    <fill>
      <patternFill patternType="solid">
        <fgColor indexed="48"/>
        <bgColor indexed="30"/>
      </patternFill>
    </fill>
    <fill>
      <patternFill patternType="solid">
        <fgColor indexed="42"/>
        <bgColor indexed="27"/>
      </patternFill>
    </fill>
    <fill>
      <patternFill patternType="solid">
        <fgColor indexed="45"/>
        <bgColor indexed="29"/>
      </patternFill>
    </fill>
    <fill>
      <patternFill patternType="solid">
        <fgColor indexed="46"/>
        <bgColor indexed="24"/>
      </patternFill>
    </fill>
    <fill>
      <patternFill patternType="solid">
        <fgColor indexed="47"/>
        <bgColor indexed="22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51"/>
      </patternFill>
    </fill>
    <fill>
      <patternFill patternType="solid">
        <fgColor theme="0"/>
        <bgColor indexed="31"/>
      </patternFill>
    </fill>
    <fill>
      <patternFill patternType="solid">
        <fgColor indexed="9"/>
        <bgColor indexed="26"/>
      </patternFill>
    </fill>
    <fill>
      <patternFill patternType="solid">
        <fgColor rgb="FF0000FF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794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4659260841701"/>
        <bgColor indexed="23"/>
      </patternFill>
    </fill>
    <fill>
      <patternFill patternType="solid">
        <fgColor theme="0" tint="-0.24994659260841701"/>
        <bgColor indexed="31"/>
      </patternFill>
    </fill>
    <fill>
      <patternFill patternType="solid">
        <fgColor theme="0" tint="-0.14996795556505021"/>
        <bgColor indexed="26"/>
      </patternFill>
    </fill>
    <fill>
      <patternFill patternType="solid">
        <fgColor theme="0" tint="-0.14996795556505021"/>
        <bgColor indexed="41"/>
      </patternFill>
    </fill>
    <fill>
      <patternFill patternType="solid">
        <fgColor theme="0" tint="-0.14996795556505021"/>
        <bgColor auto="1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27"/>
        <bgColor indexed="41"/>
      </patternFill>
    </fill>
    <fill>
      <patternFill patternType="solid">
        <fgColor rgb="FF9966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3"/>
        <bgColor indexed="52"/>
      </patternFill>
    </fill>
    <fill>
      <patternFill patternType="solid">
        <fgColor indexed="11"/>
        <bgColor indexed="49"/>
      </patternFill>
    </fill>
    <fill>
      <patternFill patternType="solid">
        <fgColor indexed="15"/>
        <bgColor indexed="35"/>
      </patternFill>
    </fill>
    <fill>
      <patternFill patternType="solid">
        <fgColor indexed="12"/>
        <bgColor indexed="39"/>
      </patternFill>
    </fill>
    <fill>
      <patternFill patternType="solid">
        <fgColor indexed="8"/>
        <bgColor indexed="58"/>
      </patternFill>
    </fill>
    <fill>
      <patternFill patternType="solid">
        <fgColor indexed="51"/>
        <bgColor indexed="13"/>
      </patternFill>
    </fill>
    <fill>
      <patternFill patternType="solid">
        <fgColor indexed="23"/>
        <bgColor indexed="55"/>
      </patternFill>
    </fill>
    <fill>
      <patternFill patternType="solid">
        <fgColor indexed="54"/>
        <bgColor indexed="23"/>
      </patternFill>
    </fill>
    <fill>
      <patternFill patternType="solid">
        <fgColor indexed="57"/>
        <bgColor indexed="21"/>
      </patternFill>
    </fill>
    <fill>
      <patternFill patternType="solid">
        <fgColor indexed="14"/>
        <bgColor indexed="33"/>
      </patternFill>
    </fill>
    <fill>
      <patternFill patternType="solid">
        <fgColor indexed="40"/>
        <bgColor indexed="49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A5A5A5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BD92DE"/>
        <bgColor indexed="64"/>
      </patternFill>
    </fill>
    <fill>
      <patternFill patternType="solid">
        <fgColor theme="6"/>
      </patternFill>
    </fill>
    <fill>
      <patternFill patternType="solid">
        <fgColor rgb="FF00B05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485"/>
        <bgColor indexed="64"/>
      </patternFill>
    </fill>
  </fills>
  <borders count="77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8"/>
      </right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8"/>
      </right>
      <top/>
      <bottom style="thin">
        <color indexed="8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8"/>
      </bottom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/>
      <right/>
      <top/>
      <bottom style="double">
        <color indexed="8"/>
      </bottom>
      <diagonal/>
    </border>
    <border>
      <left style="thin">
        <color indexed="8"/>
      </left>
      <right style="thin">
        <color indexed="8"/>
      </right>
      <top/>
      <bottom style="double">
        <color indexed="8"/>
      </bottom>
      <diagonal/>
    </border>
    <border>
      <left style="medium">
        <color indexed="8"/>
      </left>
      <right style="thin">
        <color indexed="8"/>
      </right>
      <top/>
      <bottom/>
      <diagonal/>
    </border>
    <border>
      <left/>
      <right style="thin">
        <color indexed="64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medium">
        <color indexed="8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 style="thin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 style="medium">
        <color indexed="8"/>
      </top>
      <bottom style="thin">
        <color indexed="8"/>
      </bottom>
      <diagonal/>
    </border>
    <border>
      <left style="thin">
        <color indexed="64"/>
      </left>
      <right/>
      <top style="medium">
        <color indexed="8"/>
      </top>
      <bottom style="thin">
        <color indexed="64"/>
      </bottom>
      <diagonal/>
    </border>
    <border>
      <left/>
      <right/>
      <top style="medium">
        <color indexed="8"/>
      </top>
      <bottom style="thin">
        <color indexed="64"/>
      </bottom>
      <diagonal/>
    </border>
    <border>
      <left/>
      <right style="thin">
        <color auto="1"/>
      </right>
      <top style="medium">
        <color indexed="8"/>
      </top>
      <bottom style="thin">
        <color indexed="64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thin">
        <color indexed="64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medium">
        <color indexed="8"/>
      </top>
      <bottom style="thin">
        <color indexed="8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/>
      <top style="thin">
        <color indexed="8"/>
      </top>
      <bottom style="medium">
        <color auto="1"/>
      </bottom>
      <diagonal/>
    </border>
    <border>
      <left/>
      <right/>
      <top style="thin">
        <color indexed="8"/>
      </top>
      <bottom style="medium">
        <color auto="1"/>
      </bottom>
      <diagonal/>
    </border>
    <border>
      <left/>
      <right style="thin">
        <color indexed="8"/>
      </right>
      <top style="thin">
        <color indexed="8"/>
      </top>
      <bottom style="medium">
        <color auto="1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/>
      <top style="thin">
        <color indexed="8"/>
      </top>
      <bottom style="medium">
        <color auto="1"/>
      </bottom>
      <diagonal/>
    </border>
    <border>
      <left/>
      <right/>
      <top style="thin">
        <color indexed="8"/>
      </top>
      <bottom style="medium">
        <color auto="1"/>
      </bottom>
      <diagonal/>
    </border>
    <border>
      <left/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64"/>
      </left>
      <right style="medium">
        <color indexed="8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64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/>
      <top style="thin">
        <color indexed="8"/>
      </top>
      <bottom style="medium">
        <color indexed="8"/>
      </bottom>
      <diagonal/>
    </border>
    <border>
      <left/>
      <right style="thin">
        <color indexed="64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/>
      <top style="thin">
        <color indexed="8"/>
      </top>
      <bottom style="medium">
        <color auto="1"/>
      </bottom>
      <diagonal/>
    </border>
    <border>
      <left/>
      <right/>
      <top style="thin">
        <color indexed="8"/>
      </top>
      <bottom style="medium">
        <color auto="1"/>
      </bottom>
      <diagonal/>
    </border>
    <border>
      <left/>
      <right style="thin">
        <color indexed="8"/>
      </right>
      <top style="thin">
        <color indexed="8"/>
      </top>
      <bottom style="medium">
        <color auto="1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medium">
        <color indexed="8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64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thin">
        <color indexed="64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/>
      <top style="thin">
        <color indexed="8"/>
      </top>
      <bottom style="medium">
        <color auto="1"/>
      </bottom>
      <diagonal/>
    </border>
    <border>
      <left/>
      <right/>
      <top style="thin">
        <color indexed="8"/>
      </top>
      <bottom style="medium">
        <color auto="1"/>
      </bottom>
      <diagonal/>
    </border>
    <border>
      <left/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64"/>
      </bottom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auto="1"/>
      </left>
      <right style="thin">
        <color auto="1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8"/>
      </bottom>
      <diagonal/>
    </border>
    <border>
      <left style="thin">
        <color indexed="64"/>
      </left>
      <right/>
      <top style="thin">
        <color indexed="8"/>
      </top>
      <bottom style="medium">
        <color indexed="8"/>
      </bottom>
      <diagonal/>
    </border>
    <border>
      <left/>
      <right style="thin">
        <color indexed="64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8"/>
      </top>
      <bottom style="thin">
        <color indexed="8"/>
      </bottom>
      <diagonal/>
    </border>
    <border>
      <left style="thin">
        <color indexed="64"/>
      </left>
      <right/>
      <top style="medium">
        <color indexed="8"/>
      </top>
      <bottom style="thin">
        <color indexed="8"/>
      </bottom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auto="1"/>
      </bottom>
      <diagonal/>
    </border>
    <border>
      <left/>
      <right/>
      <top style="thin">
        <color indexed="8"/>
      </top>
      <bottom style="medium">
        <color auto="1"/>
      </bottom>
      <diagonal/>
    </border>
    <border>
      <left/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thin">
        <color indexed="8"/>
      </bottom>
      <diagonal/>
    </border>
    <border>
      <left style="thin">
        <color indexed="64"/>
      </left>
      <right/>
      <top style="medium">
        <color indexed="8"/>
      </top>
      <bottom style="thin">
        <color indexed="64"/>
      </bottom>
      <diagonal/>
    </border>
    <border>
      <left/>
      <right/>
      <top style="medium">
        <color indexed="8"/>
      </top>
      <bottom style="thin">
        <color indexed="64"/>
      </bottom>
      <diagonal/>
    </border>
    <border>
      <left/>
      <right style="thin">
        <color auto="1"/>
      </right>
      <top style="medium">
        <color indexed="8"/>
      </top>
      <bottom style="thin">
        <color indexed="64"/>
      </bottom>
      <diagonal/>
    </border>
    <border>
      <left/>
      <right/>
      <top/>
      <bottom style="medium">
        <color indexed="8"/>
      </bottom>
      <diagonal/>
    </border>
    <border>
      <left style="thin">
        <color indexed="64"/>
      </left>
      <right/>
      <top style="thin">
        <color indexed="8"/>
      </top>
      <bottom style="medium">
        <color indexed="8"/>
      </bottom>
      <diagonal/>
    </border>
    <border>
      <left/>
      <right style="thin">
        <color indexed="64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/>
      <top/>
      <bottom style="medium">
        <color indexed="8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 style="thin">
        <color indexed="64"/>
      </left>
      <right/>
      <top style="medium">
        <color indexed="8"/>
      </top>
      <bottom style="thin">
        <color indexed="8"/>
      </bottom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/>
      <top style="thin">
        <color indexed="8"/>
      </top>
      <bottom style="medium">
        <color auto="1"/>
      </bottom>
      <diagonal/>
    </border>
    <border>
      <left/>
      <right/>
      <top style="thin">
        <color indexed="8"/>
      </top>
      <bottom style="medium">
        <color auto="1"/>
      </bottom>
      <diagonal/>
    </border>
    <border>
      <left/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64"/>
      </left>
      <right style="medium">
        <color indexed="8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64"/>
      </bottom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auto="1"/>
      </left>
      <right style="thin">
        <color auto="1"/>
      </right>
      <top/>
      <bottom style="medium">
        <color indexed="8"/>
      </bottom>
      <diagonal/>
    </border>
    <border>
      <left/>
      <right style="thin">
        <color indexed="64"/>
      </right>
      <top style="thin">
        <color indexed="8"/>
      </top>
      <bottom style="medium">
        <color indexed="8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auto="1"/>
      </bottom>
      <diagonal/>
    </border>
    <border>
      <left/>
      <right/>
      <top style="thin">
        <color indexed="8"/>
      </top>
      <bottom style="medium">
        <color auto="1"/>
      </bottom>
      <diagonal/>
    </border>
    <border>
      <left/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64"/>
      </left>
      <right style="medium">
        <color indexed="8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thin">
        <color indexed="64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/>
      <top/>
      <bottom style="medium">
        <color indexed="8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/>
      <top style="thin">
        <color indexed="8"/>
      </top>
      <bottom style="medium">
        <color auto="1"/>
      </bottom>
      <diagonal/>
    </border>
    <border>
      <left/>
      <right/>
      <top style="thin">
        <color indexed="8"/>
      </top>
      <bottom style="medium">
        <color auto="1"/>
      </bottom>
      <diagonal/>
    </border>
    <border>
      <left/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64"/>
      </left>
      <right style="medium">
        <color indexed="8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 style="thin">
        <color indexed="8"/>
      </left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 style="medium">
        <color indexed="8"/>
      </top>
      <bottom style="thin">
        <color indexed="8"/>
      </bottom>
      <diagonal/>
    </border>
    <border>
      <left style="thin">
        <color indexed="64"/>
      </left>
      <right/>
      <top style="medium">
        <color indexed="8"/>
      </top>
      <bottom style="thin">
        <color indexed="64"/>
      </bottom>
      <diagonal/>
    </border>
    <border>
      <left/>
      <right/>
      <top style="medium">
        <color indexed="8"/>
      </top>
      <bottom style="thin">
        <color indexed="64"/>
      </bottom>
      <diagonal/>
    </border>
    <border>
      <left/>
      <right style="thin">
        <color auto="1"/>
      </right>
      <top style="medium">
        <color indexed="8"/>
      </top>
      <bottom style="thin">
        <color indexed="64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8"/>
      </top>
      <bottom style="medium">
        <color indexed="8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 style="thin">
        <color indexed="64"/>
      </left>
      <right/>
      <top style="medium">
        <color indexed="8"/>
      </top>
      <bottom style="thin">
        <color indexed="8"/>
      </bottom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thin">
        <color indexed="8"/>
      </bottom>
      <diagonal/>
    </border>
    <border>
      <left style="thin">
        <color indexed="64"/>
      </left>
      <right/>
      <top style="medium">
        <color indexed="8"/>
      </top>
      <bottom style="thin">
        <color indexed="64"/>
      </bottom>
      <diagonal/>
    </border>
    <border>
      <left/>
      <right/>
      <top style="medium">
        <color indexed="8"/>
      </top>
      <bottom style="thin">
        <color indexed="64"/>
      </bottom>
      <diagonal/>
    </border>
    <border>
      <left/>
      <right style="thin">
        <color auto="1"/>
      </right>
      <top style="medium">
        <color indexed="8"/>
      </top>
      <bottom style="thin">
        <color indexed="64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thin">
        <color indexed="64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/>
      <top/>
      <bottom style="medium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64"/>
      </left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medium">
        <color indexed="8"/>
      </bottom>
      <diagonal/>
    </border>
    <border>
      <left/>
      <right/>
      <top/>
      <bottom style="medium">
        <color indexed="64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/>
      <right/>
      <top style="medium">
        <color indexed="8"/>
      </top>
      <bottom style="double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 style="medium">
        <color indexed="8"/>
      </top>
      <bottom/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/>
      <right/>
      <top style="medium">
        <color auto="1"/>
      </top>
      <bottom style="medium">
        <color indexed="64"/>
      </bottom>
      <diagonal/>
    </border>
    <border>
      <left/>
      <right style="medium">
        <color indexed="64"/>
      </right>
      <top style="medium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/>
      <top style="medium">
        <color indexed="8"/>
      </top>
      <bottom style="thin">
        <color indexed="8"/>
      </bottom>
      <diagonal/>
    </border>
    <border>
      <left style="thin">
        <color indexed="64"/>
      </left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/>
      <top style="thin">
        <color indexed="8"/>
      </top>
      <bottom style="medium">
        <color auto="1"/>
      </bottom>
      <diagonal/>
    </border>
    <border>
      <left/>
      <right/>
      <top style="thin">
        <color indexed="8"/>
      </top>
      <bottom style="medium">
        <color auto="1"/>
      </bottom>
      <diagonal/>
    </border>
    <border>
      <left/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64"/>
      </left>
      <right style="medium">
        <color indexed="8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0">
    <xf numFmtId="0" fontId="0" fillId="0" borderId="0" applyBorder="0">
      <alignment horizontal="center" vertical="center"/>
    </xf>
    <xf numFmtId="0" fontId="2" fillId="2" borderId="0" applyNumberFormat="0" applyBorder="0" applyAlignment="0" applyProtection="0"/>
    <xf numFmtId="0" fontId="3" fillId="3" borderId="1" applyNumberFormat="0" applyAlignment="0" applyProtection="0"/>
    <xf numFmtId="0" fontId="1" fillId="4" borderId="2" applyNumberFormat="0" applyFont="0" applyAlignment="0" applyProtection="0"/>
    <xf numFmtId="0" fontId="1" fillId="5" borderId="0" applyNumberFormat="0" applyBorder="0" applyAlignment="0" applyProtection="0"/>
    <xf numFmtId="0" fontId="45" fillId="23" borderId="0" applyBorder="0">
      <alignment horizontal="center" vertical="center"/>
    </xf>
    <xf numFmtId="0" fontId="17" fillId="24" borderId="0" applyBorder="0">
      <alignment horizontal="center" vertical="center"/>
    </xf>
    <xf numFmtId="0" fontId="6" fillId="0" borderId="0" applyBorder="0">
      <alignment horizontal="center" vertical="center"/>
    </xf>
    <xf numFmtId="0" fontId="17" fillId="25" borderId="0" applyBorder="0">
      <alignment horizontal="center" vertical="center"/>
    </xf>
    <xf numFmtId="0" fontId="17" fillId="27" borderId="0" applyBorder="0">
      <alignment horizontal="center" vertical="center"/>
    </xf>
    <xf numFmtId="0" fontId="17" fillId="28" borderId="0" applyBorder="0">
      <alignment horizontal="center" vertical="center"/>
    </xf>
    <xf numFmtId="0" fontId="17" fillId="29" borderId="0" applyBorder="0">
      <alignment horizontal="center" vertical="center"/>
    </xf>
    <xf numFmtId="0" fontId="17" fillId="30" borderId="0" applyBorder="0">
      <alignment horizontal="center" vertical="center"/>
    </xf>
    <xf numFmtId="0" fontId="17" fillId="31" borderId="0" applyBorder="0">
      <alignment horizontal="center" vertical="center"/>
    </xf>
    <xf numFmtId="0" fontId="12" fillId="0" borderId="0"/>
    <xf numFmtId="0" fontId="6" fillId="32" borderId="0" applyBorder="0">
      <alignment horizontal="center" vertical="center"/>
    </xf>
    <xf numFmtId="0" fontId="27" fillId="2" borderId="0" applyNumberFormat="0" applyBorder="0" applyAlignment="0" applyProtection="0"/>
    <xf numFmtId="0" fontId="6" fillId="58" borderId="0" applyBorder="0">
      <alignment horizontal="center" vertical="center"/>
    </xf>
    <xf numFmtId="0" fontId="48" fillId="68" borderId="32" applyNumberFormat="0" applyAlignment="0" applyProtection="0"/>
    <xf numFmtId="0" fontId="47" fillId="71" borderId="0" applyNumberFormat="0" applyBorder="0" applyAlignment="0" applyProtection="0"/>
  </cellStyleXfs>
  <cellXfs count="5481">
    <xf numFmtId="0" fontId="0" fillId="0" borderId="0" xfId="0">
      <alignment horizontal="center" vertical="center"/>
    </xf>
    <xf numFmtId="0" fontId="4" fillId="0" borderId="0" xfId="0" applyFont="1">
      <alignment horizontal="center" vertical="center"/>
    </xf>
    <xf numFmtId="0" fontId="4" fillId="13" borderId="0" xfId="0" applyFont="1" applyFill="1" applyAlignment="1">
      <alignment horizontal="left" vertical="center"/>
    </xf>
    <xf numFmtId="0" fontId="6" fillId="15" borderId="3" xfId="0" applyFont="1" applyFill="1" applyBorder="1">
      <alignment horizontal="center" vertical="center"/>
    </xf>
    <xf numFmtId="0" fontId="6" fillId="15" borderId="4" xfId="0" applyFont="1" applyFill="1" applyBorder="1">
      <alignment horizontal="center" vertical="center"/>
    </xf>
    <xf numFmtId="0" fontId="5" fillId="0" borderId="5" xfId="0" applyFont="1" applyBorder="1" applyAlignment="1">
      <alignment horizontal="left" vertical="center"/>
    </xf>
    <xf numFmtId="0" fontId="6" fillId="0" borderId="3" xfId="0" applyFont="1" applyBorder="1">
      <alignment horizontal="center" vertical="center"/>
    </xf>
    <xf numFmtId="0" fontId="6" fillId="0" borderId="3" xfId="0" applyFont="1" applyBorder="1" applyAlignment="1">
      <alignment horizontal="left"/>
    </xf>
    <xf numFmtId="0" fontId="0" fillId="0" borderId="3" xfId="0" applyBorder="1">
      <alignment horizontal="center" vertical="center"/>
    </xf>
    <xf numFmtId="0" fontId="5" fillId="16" borderId="6" xfId="0" applyFont="1" applyFill="1" applyBorder="1" applyAlignment="1">
      <alignment horizontal="left"/>
    </xf>
    <xf numFmtId="0" fontId="5" fillId="16" borderId="3" xfId="0" applyFont="1" applyFill="1" applyBorder="1">
      <alignment horizontal="center" vertical="center"/>
    </xf>
    <xf numFmtId="0" fontId="0" fillId="16" borderId="3" xfId="0" applyFill="1" applyBorder="1">
      <alignment horizontal="center" vertical="center"/>
    </xf>
    <xf numFmtId="0" fontId="6" fillId="16" borderId="3" xfId="0" applyFont="1" applyFill="1" applyBorder="1">
      <alignment horizontal="center" vertical="center"/>
    </xf>
    <xf numFmtId="0" fontId="6" fillId="16" borderId="4" xfId="0" applyFont="1" applyFill="1" applyBorder="1">
      <alignment horizontal="center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/>
    </xf>
    <xf numFmtId="0" fontId="5" fillId="0" borderId="0" xfId="0" applyFont="1">
      <alignment horizontal="center" vertical="center"/>
    </xf>
    <xf numFmtId="0" fontId="6" fillId="0" borderId="0" xfId="0" applyFont="1">
      <alignment horizontal="center" vertical="center"/>
    </xf>
    <xf numFmtId="0" fontId="6" fillId="0" borderId="0" xfId="0" applyFont="1" applyAlignment="1">
      <alignment horizontal="left"/>
    </xf>
    <xf numFmtId="0" fontId="4" fillId="0" borderId="5" xfId="0" applyFont="1" applyBorder="1">
      <alignment horizontal="center" vertical="center"/>
    </xf>
    <xf numFmtId="0" fontId="7" fillId="0" borderId="0" xfId="0" applyFont="1">
      <alignment horizontal="center" vertical="center"/>
    </xf>
    <xf numFmtId="0" fontId="8" fillId="0" borderId="0" xfId="0" applyFont="1">
      <alignment horizontal="center" vertical="center"/>
    </xf>
    <xf numFmtId="0" fontId="0" fillId="0" borderId="0" xfId="0" applyAlignment="1">
      <alignment horizontal="left"/>
    </xf>
    <xf numFmtId="0" fontId="9" fillId="20" borderId="7" xfId="0" applyFont="1" applyFill="1" applyBorder="1" applyAlignment="1">
      <alignment horizontal="center" wrapText="1"/>
    </xf>
    <xf numFmtId="0" fontId="9" fillId="21" borderId="0" xfId="0" applyFont="1" applyFill="1" applyAlignment="1">
      <alignment horizontal="center" wrapText="1"/>
    </xf>
    <xf numFmtId="0" fontId="9" fillId="19" borderId="0" xfId="0" applyFont="1" applyFill="1">
      <alignment horizontal="center" vertical="center"/>
    </xf>
    <xf numFmtId="0" fontId="9" fillId="21" borderId="0" xfId="0" applyFont="1" applyFill="1">
      <alignment horizontal="center" vertical="center"/>
    </xf>
    <xf numFmtId="0" fontId="0" fillId="22" borderId="5" xfId="0" applyFill="1" applyBorder="1" applyAlignment="1" applyProtection="1">
      <alignment horizontal="center"/>
      <protection locked="0"/>
    </xf>
    <xf numFmtId="0" fontId="0" fillId="19" borderId="8" xfId="0" applyFill="1" applyBorder="1">
      <alignment horizontal="center" vertical="center"/>
    </xf>
    <xf numFmtId="0" fontId="0" fillId="22" borderId="0" xfId="0" applyFill="1" applyAlignment="1" applyProtection="1">
      <alignment horizontal="center"/>
      <protection locked="0"/>
    </xf>
    <xf numFmtId="0" fontId="0" fillId="19" borderId="0" xfId="0" applyFill="1" applyBorder="1">
      <alignment horizontal="center" vertical="center"/>
    </xf>
    <xf numFmtId="0" fontId="4" fillId="0" borderId="0" xfId="0" applyFont="1" applyAlignment="1">
      <alignment vertical="center"/>
    </xf>
    <xf numFmtId="0" fontId="0" fillId="0" borderId="9" xfId="0" applyBorder="1">
      <alignment horizontal="center" vertical="center"/>
    </xf>
    <xf numFmtId="0" fontId="10" fillId="0" borderId="0" xfId="0" applyFont="1" applyAlignment="1">
      <alignment horizontal="left"/>
    </xf>
    <xf numFmtId="0" fontId="9" fillId="19" borderId="7" xfId="0" applyFont="1" applyFill="1" applyBorder="1">
      <alignment horizontal="center" vertical="center"/>
    </xf>
    <xf numFmtId="0" fontId="0" fillId="0" borderId="6" xfId="0" applyBorder="1" applyAlignment="1">
      <alignment horizontal="left" vertical="center"/>
    </xf>
    <xf numFmtId="0" fontId="4" fillId="22" borderId="0" xfId="0" applyFont="1" applyFill="1" applyAlignment="1">
      <alignment horizontal="center"/>
    </xf>
    <xf numFmtId="0" fontId="4" fillId="0" borderId="0" xfId="0" applyFont="1" applyAlignment="1">
      <alignment horizontal="left"/>
    </xf>
    <xf numFmtId="49" fontId="6" fillId="0" borderId="0" xfId="0" applyNumberFormat="1" applyFont="1">
      <alignment horizontal="center" vertical="center"/>
    </xf>
    <xf numFmtId="0" fontId="6" fillId="0" borderId="10" xfId="0" applyFont="1" applyBorder="1">
      <alignment horizontal="center" vertical="center"/>
    </xf>
    <xf numFmtId="0" fontId="5" fillId="0" borderId="5" xfId="0" applyFont="1" applyBorder="1" applyAlignment="1">
      <alignment horizontal="left"/>
    </xf>
    <xf numFmtId="0" fontId="0" fillId="0" borderId="3" xfId="0" applyBorder="1" applyAlignment="1">
      <alignment horizontal="left"/>
    </xf>
    <xf numFmtId="0" fontId="4" fillId="0" borderId="0" xfId="0" applyFont="1" applyAlignment="1">
      <alignment horizontal="center"/>
    </xf>
    <xf numFmtId="0" fontId="6" fillId="0" borderId="8" xfId="7" applyBorder="1">
      <alignment horizontal="center" vertical="center"/>
    </xf>
    <xf numFmtId="0" fontId="14" fillId="0" borderId="11" xfId="0" applyFont="1" applyBorder="1" applyAlignment="1" applyProtection="1">
      <alignment horizontal="center"/>
      <protection locked="0"/>
    </xf>
    <xf numFmtId="0" fontId="15" fillId="0" borderId="11" xfId="0" applyFont="1" applyBorder="1" applyAlignment="1">
      <alignment vertical="center"/>
    </xf>
    <xf numFmtId="0" fontId="0" fillId="19" borderId="11" xfId="0" applyFill="1" applyBorder="1">
      <alignment horizontal="center" vertical="center"/>
    </xf>
    <xf numFmtId="1" fontId="0" fillId="19" borderId="11" xfId="1" applyNumberFormat="1" applyFont="1" applyFill="1" applyBorder="1" applyAlignment="1">
      <alignment horizontal="center" vertical="center"/>
    </xf>
    <xf numFmtId="0" fontId="0" fillId="19" borderId="11" xfId="10" applyFont="1" applyFill="1" applyBorder="1">
      <alignment horizontal="center" vertical="center"/>
    </xf>
    <xf numFmtId="0" fontId="0" fillId="19" borderId="11" xfId="7" applyFont="1" applyFill="1" applyBorder="1">
      <alignment horizontal="center" vertical="center"/>
    </xf>
    <xf numFmtId="0" fontId="0" fillId="19" borderId="12" xfId="0" applyFill="1" applyBorder="1">
      <alignment horizontal="center" vertical="center"/>
    </xf>
    <xf numFmtId="0" fontId="14" fillId="0" borderId="13" xfId="0" applyFont="1" applyBorder="1" applyAlignment="1" applyProtection="1">
      <alignment horizontal="center"/>
      <protection locked="0"/>
    </xf>
    <xf numFmtId="0" fontId="0" fillId="0" borderId="13" xfId="0" applyBorder="1" applyAlignment="1">
      <alignment horizontal="left" vertical="center"/>
    </xf>
    <xf numFmtId="0" fontId="0" fillId="0" borderId="14" xfId="0" applyBorder="1">
      <alignment horizontal="center" vertical="center"/>
    </xf>
    <xf numFmtId="0" fontId="4" fillId="0" borderId="0" xfId="0" applyFont="1" applyBorder="1" applyAlignment="1" applyProtection="1">
      <alignment horizontal="center"/>
      <protection locked="0"/>
    </xf>
    <xf numFmtId="0" fontId="0" fillId="0" borderId="0" xfId="0" applyBorder="1" applyAlignment="1">
      <alignment horizontal="left" vertical="center"/>
    </xf>
    <xf numFmtId="0" fontId="0" fillId="19" borderId="0" xfId="7" applyFont="1" applyFill="1" applyBorder="1">
      <alignment horizontal="center" vertical="center"/>
    </xf>
    <xf numFmtId="0" fontId="4" fillId="0" borderId="0" xfId="7" applyFont="1" applyAlignment="1">
      <alignment horizontal="left" vertical="center"/>
    </xf>
    <xf numFmtId="0" fontId="6" fillId="0" borderId="0" xfId="7">
      <alignment horizontal="center" vertical="center"/>
    </xf>
    <xf numFmtId="0" fontId="16" fillId="0" borderId="0" xfId="7" applyFont="1" applyAlignment="1" applyProtection="1">
      <alignment horizontal="left"/>
      <protection locked="0"/>
    </xf>
    <xf numFmtId="0" fontId="4" fillId="0" borderId="0" xfId="7" applyFont="1">
      <alignment horizontal="center" vertical="center"/>
    </xf>
    <xf numFmtId="0" fontId="4" fillId="0" borderId="5" xfId="7" applyFont="1" applyBorder="1" applyAlignment="1">
      <alignment horizontal="left"/>
    </xf>
    <xf numFmtId="0" fontId="4" fillId="0" borderId="3" xfId="7" applyFont="1" applyBorder="1" applyAlignment="1">
      <alignment horizontal="center"/>
    </xf>
    <xf numFmtId="0" fontId="6" fillId="0" borderId="3" xfId="7" applyBorder="1">
      <alignment horizontal="center" vertical="center"/>
    </xf>
    <xf numFmtId="0" fontId="12" fillId="0" borderId="0" xfId="14"/>
    <xf numFmtId="0" fontId="4" fillId="0" borderId="0" xfId="14" applyFont="1"/>
    <xf numFmtId="0" fontId="6" fillId="0" borderId="0" xfId="7" applyAlignment="1" applyProtection="1">
      <alignment horizontal="center"/>
      <protection locked="0"/>
    </xf>
    <xf numFmtId="0" fontId="9" fillId="20" borderId="7" xfId="7" applyFont="1" applyFill="1" applyBorder="1" applyAlignment="1">
      <alignment horizontal="center" wrapText="1"/>
    </xf>
    <xf numFmtId="0" fontId="9" fillId="21" borderId="0" xfId="7" applyFont="1" applyFill="1" applyAlignment="1">
      <alignment horizontal="center" wrapText="1"/>
    </xf>
    <xf numFmtId="0" fontId="9" fillId="19" borderId="7" xfId="7" applyFont="1" applyFill="1" applyBorder="1">
      <alignment horizontal="center" vertical="center"/>
    </xf>
    <xf numFmtId="0" fontId="9" fillId="19" borderId="0" xfId="7" applyFont="1" applyFill="1">
      <alignment horizontal="center" vertical="center"/>
    </xf>
    <xf numFmtId="0" fontId="4" fillId="22" borderId="0" xfId="7" applyFont="1" applyFill="1" applyBorder="1" applyAlignment="1">
      <alignment horizontal="center"/>
    </xf>
    <xf numFmtId="0" fontId="6" fillId="0" borderId="0" xfId="7" applyBorder="1" applyAlignment="1">
      <alignment vertical="center"/>
    </xf>
    <xf numFmtId="0" fontId="6" fillId="19" borderId="0" xfId="13" applyFont="1" applyFill="1" applyBorder="1">
      <alignment horizontal="center" vertical="center"/>
    </xf>
    <xf numFmtId="49" fontId="6" fillId="19" borderId="0" xfId="7" applyNumberFormat="1" applyFill="1" applyBorder="1">
      <alignment horizontal="center" vertical="center"/>
    </xf>
    <xf numFmtId="0" fontId="9" fillId="19" borderId="0" xfId="7" applyFont="1" applyFill="1" applyBorder="1">
      <alignment horizontal="center" vertical="center"/>
    </xf>
    <xf numFmtId="0" fontId="9" fillId="0" borderId="0" xfId="0" applyFont="1">
      <alignment horizontal="center" vertical="center"/>
    </xf>
    <xf numFmtId="0" fontId="4" fillId="0" borderId="0" xfId="0" applyFont="1" applyAlignment="1"/>
    <xf numFmtId="0" fontId="0" fillId="0" borderId="0" xfId="0" applyAlignment="1"/>
    <xf numFmtId="0" fontId="6" fillId="0" borderId="0" xfId="0" applyFont="1" applyAlignment="1"/>
    <xf numFmtId="0" fontId="16" fillId="0" borderId="0" xfId="0" applyFont="1" applyAlignment="1" applyProtection="1">
      <alignment horizontal="left"/>
      <protection locked="0"/>
    </xf>
    <xf numFmtId="0" fontId="0" fillId="0" borderId="7" xfId="0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9" fillId="0" borderId="0" xfId="0" applyFont="1" applyBorder="1">
      <alignment horizontal="center" vertical="center"/>
    </xf>
    <xf numFmtId="0" fontId="0" fillId="19" borderId="0" xfId="6" applyFont="1" applyFill="1" applyBorder="1">
      <alignment horizontal="center" vertical="center"/>
    </xf>
    <xf numFmtId="49" fontId="0" fillId="19" borderId="0" xfId="0" applyNumberFormat="1" applyFill="1">
      <alignment horizontal="center" vertical="center"/>
    </xf>
    <xf numFmtId="0" fontId="17" fillId="25" borderId="0" xfId="8">
      <alignment horizontal="center"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/>
    <xf numFmtId="0" fontId="0" fillId="0" borderId="15" xfId="0" applyBorder="1" applyAlignment="1"/>
    <xf numFmtId="49" fontId="0" fillId="19" borderId="8" xfId="0" applyNumberFormat="1" applyFill="1" applyBorder="1">
      <alignment horizontal="center" vertical="center"/>
    </xf>
    <xf numFmtId="0" fontId="0" fillId="19" borderId="0" xfId="0" applyFill="1">
      <alignment horizontal="center" vertical="center"/>
    </xf>
    <xf numFmtId="0" fontId="0" fillId="19" borderId="0" xfId="6" applyFont="1" applyFill="1">
      <alignment horizontal="center" vertical="center"/>
    </xf>
    <xf numFmtId="0" fontId="9" fillId="0" borderId="7" xfId="0" applyFont="1" applyBorder="1">
      <alignment horizontal="center" vertical="center"/>
    </xf>
    <xf numFmtId="0" fontId="4" fillId="22" borderId="0" xfId="0" applyFont="1" applyFill="1" applyAlignment="1">
      <alignment horizontal="left"/>
    </xf>
    <xf numFmtId="0" fontId="0" fillId="0" borderId="16" xfId="0" applyBorder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9" fillId="20" borderId="17" xfId="0" applyFont="1" applyFill="1" applyBorder="1" applyAlignment="1">
      <alignment horizontal="center" wrapText="1"/>
    </xf>
    <xf numFmtId="0" fontId="0" fillId="19" borderId="0" xfId="0" applyFill="1" applyAlignment="1">
      <alignment horizontal="left" vertical="center"/>
    </xf>
    <xf numFmtId="0" fontId="9" fillId="0" borderId="0" xfId="0" applyFont="1" applyAlignment="1">
      <alignment horizontal="center" wrapText="1"/>
    </xf>
    <xf numFmtId="0" fontId="6" fillId="0" borderId="0" xfId="0" applyFont="1" applyAlignment="1">
      <alignment horizontal="center"/>
    </xf>
    <xf numFmtId="0" fontId="0" fillId="0" borderId="3" xfId="0" applyBorder="1" applyAlignment="1">
      <alignment horizontal="left" vertical="center"/>
    </xf>
    <xf numFmtId="0" fontId="0" fillId="0" borderId="18" xfId="0" applyBorder="1" applyAlignment="1">
      <alignment horizontal="left" vertic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15" xfId="0" applyBorder="1">
      <alignment horizontal="center" vertical="center"/>
    </xf>
    <xf numFmtId="49" fontId="0" fillId="0" borderId="3" xfId="0" applyNumberFormat="1" applyBorder="1" applyAlignment="1">
      <alignment horizontal="left" vertical="center"/>
    </xf>
    <xf numFmtId="49" fontId="0" fillId="0" borderId="18" xfId="0" applyNumberFormat="1" applyBorder="1" applyAlignment="1">
      <alignment horizontal="left" vertical="center"/>
    </xf>
    <xf numFmtId="0" fontId="4" fillId="0" borderId="18" xfId="0" applyFont="1" applyBorder="1" applyAlignment="1">
      <alignment horizontal="left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4" fillId="0" borderId="3" xfId="0" applyFont="1" applyBorder="1" applyAlignment="1">
      <alignment horizontal="left"/>
    </xf>
    <xf numFmtId="0" fontId="4" fillId="0" borderId="5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19" borderId="0" xfId="14" applyFont="1" applyFill="1" applyAlignment="1">
      <alignment horizontal="center" vertical="center"/>
    </xf>
    <xf numFmtId="0" fontId="19" fillId="0" borderId="0" xfId="0" applyFont="1" applyAlignment="1">
      <alignment horizontal="left"/>
    </xf>
    <xf numFmtId="0" fontId="4" fillId="0" borderId="19" xfId="0" applyFont="1" applyBorder="1" applyAlignment="1">
      <alignment horizontal="center"/>
    </xf>
    <xf numFmtId="0" fontId="4" fillId="0" borderId="6" xfId="0" applyFont="1" applyBorder="1" applyAlignment="1" applyProtection="1">
      <alignment horizontal="left"/>
      <protection locked="0"/>
    </xf>
    <xf numFmtId="0" fontId="20" fillId="0" borderId="0" xfId="0" applyFont="1" applyAlignment="1">
      <alignment horizontal="left" vertical="center"/>
    </xf>
    <xf numFmtId="0" fontId="9" fillId="21" borderId="7" xfId="0" applyFont="1" applyFill="1" applyBorder="1">
      <alignment horizontal="center" vertical="center"/>
    </xf>
    <xf numFmtId="0" fontId="0" fillId="0" borderId="4" xfId="0" applyBorder="1">
      <alignment horizontal="center" vertical="center"/>
    </xf>
    <xf numFmtId="0" fontId="0" fillId="0" borderId="5" xfId="0" applyBorder="1">
      <alignment horizontal="center" vertical="center"/>
    </xf>
    <xf numFmtId="0" fontId="4" fillId="0" borderId="0" xfId="0" applyFont="1" applyAlignment="1" applyProtection="1">
      <alignment horizontal="left"/>
      <protection locked="0"/>
    </xf>
    <xf numFmtId="0" fontId="0" fillId="0" borderId="6" xfId="0" applyBorder="1" applyAlignment="1" applyProtection="1">
      <alignment vertical="center"/>
      <protection locked="0"/>
    </xf>
    <xf numFmtId="0" fontId="9" fillId="19" borderId="7" xfId="0" applyFont="1" applyFill="1" applyBorder="1" applyAlignment="1">
      <alignment horizontal="center" vertical="center" wrapText="1"/>
    </xf>
    <xf numFmtId="0" fontId="9" fillId="19" borderId="0" xfId="0" applyFont="1" applyFill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7" fillId="19" borderId="7" xfId="8" applyFill="1" applyBorder="1">
      <alignment horizontal="center" vertical="center"/>
    </xf>
    <xf numFmtId="0" fontId="0" fillId="0" borderId="6" xfId="0" applyBorder="1" applyAlignment="1" applyProtection="1">
      <alignment horizontal="center"/>
      <protection locked="0"/>
    </xf>
    <xf numFmtId="0" fontId="19" fillId="0" borderId="6" xfId="0" applyFont="1" applyBorder="1" applyAlignment="1">
      <alignment vertical="center"/>
    </xf>
    <xf numFmtId="0" fontId="0" fillId="19" borderId="7" xfId="0" applyFill="1" applyBorder="1" applyAlignment="1">
      <alignment horizontal="center" vertical="center" wrapText="1"/>
    </xf>
    <xf numFmtId="0" fontId="0" fillId="0" borderId="13" xfId="0" applyBorder="1">
      <alignment horizontal="center" vertical="center"/>
    </xf>
    <xf numFmtId="0" fontId="0" fillId="0" borderId="0" xfId="0" applyBorder="1" applyAlignment="1"/>
    <xf numFmtId="0" fontId="0" fillId="0" borderId="6" xfId="0" applyBorder="1">
      <alignment horizontal="center" vertical="center"/>
    </xf>
    <xf numFmtId="0" fontId="4" fillId="0" borderId="6" xfId="0" applyFont="1" applyBorder="1" applyAlignment="1">
      <alignment horizontal="center"/>
    </xf>
    <xf numFmtId="0" fontId="6" fillId="0" borderId="5" xfId="0" applyFont="1" applyBorder="1">
      <alignment horizontal="center" vertical="center"/>
    </xf>
    <xf numFmtId="0" fontId="25" fillId="0" borderId="5" xfId="0" applyFont="1" applyBorder="1" applyAlignment="1">
      <alignment wrapText="1"/>
    </xf>
    <xf numFmtId="166" fontId="25" fillId="0" borderId="0" xfId="0" applyNumberFormat="1" applyFont="1" applyAlignment="1">
      <alignment horizontal="center"/>
    </xf>
    <xf numFmtId="167" fontId="25" fillId="0" borderId="0" xfId="0" applyNumberFormat="1" applyFont="1" applyAlignment="1">
      <alignment horizontal="center"/>
    </xf>
    <xf numFmtId="0" fontId="25" fillId="0" borderId="0" xfId="0" applyFont="1" applyAlignment="1">
      <alignment horizontal="center"/>
    </xf>
    <xf numFmtId="165" fontId="25" fillId="0" borderId="20" xfId="0" applyNumberFormat="1" applyFont="1" applyBorder="1" applyAlignment="1">
      <alignment horizontal="left" wrapText="1"/>
    </xf>
    <xf numFmtId="165" fontId="25" fillId="40" borderId="20" xfId="0" applyNumberFormat="1" applyFont="1" applyFill="1" applyBorder="1" applyAlignment="1">
      <alignment horizontal="left" wrapText="1"/>
    </xf>
    <xf numFmtId="0" fontId="0" fillId="19" borderId="11" xfId="0" applyFill="1" applyBorder="1" applyAlignment="1">
      <alignment horizontal="left" vertical="center"/>
    </xf>
    <xf numFmtId="0" fontId="0" fillId="19" borderId="21" xfId="0" applyFill="1" applyBorder="1" applyAlignment="1">
      <alignment horizontal="left" vertical="center"/>
    </xf>
    <xf numFmtId="0" fontId="0" fillId="19" borderId="21" xfId="0" applyFill="1" applyBorder="1">
      <alignment horizontal="center" vertical="center"/>
    </xf>
    <xf numFmtId="0" fontId="0" fillId="19" borderId="21" xfId="12" applyFont="1" applyFill="1" applyBorder="1">
      <alignment horizontal="center" vertical="center"/>
    </xf>
    <xf numFmtId="0" fontId="0" fillId="19" borderId="21" xfId="7" applyFont="1" applyFill="1" applyBorder="1">
      <alignment horizontal="center" vertical="center"/>
    </xf>
    <xf numFmtId="0" fontId="6" fillId="0" borderId="21" xfId="7" applyBorder="1">
      <alignment horizontal="center" vertical="center"/>
    </xf>
    <xf numFmtId="0" fontId="17" fillId="30" borderId="21" xfId="12" applyBorder="1">
      <alignment horizontal="center" vertical="center"/>
    </xf>
    <xf numFmtId="0" fontId="17" fillId="0" borderId="0" xfId="0" applyFont="1" applyAlignment="1">
      <alignment vertical="center"/>
    </xf>
    <xf numFmtId="0" fontId="28" fillId="0" borderId="0" xfId="0" applyFont="1">
      <alignment horizontal="center" vertical="center"/>
    </xf>
    <xf numFmtId="169" fontId="0" fillId="0" borderId="0" xfId="0" applyNumberFormat="1">
      <alignment horizontal="center" vertical="center"/>
    </xf>
    <xf numFmtId="0" fontId="15" fillId="0" borderId="0" xfId="0" applyFont="1">
      <alignment horizontal="center" vertical="center"/>
    </xf>
    <xf numFmtId="0" fontId="13" fillId="0" borderId="0" xfId="0" applyFont="1">
      <alignment horizontal="center" vertical="center"/>
    </xf>
    <xf numFmtId="169" fontId="13" fillId="0" borderId="0" xfId="0" applyNumberFormat="1" applyFont="1">
      <alignment horizontal="center" vertical="center"/>
    </xf>
    <xf numFmtId="49" fontId="13" fillId="0" borderId="22" xfId="0" applyNumberFormat="1" applyFont="1" applyBorder="1">
      <alignment horizontal="center" vertical="center"/>
    </xf>
    <xf numFmtId="0" fontId="13" fillId="0" borderId="21" xfId="0" applyFont="1" applyBorder="1" applyAlignment="1">
      <alignment vertical="center"/>
    </xf>
    <xf numFmtId="0" fontId="13" fillId="0" borderId="23" xfId="0" applyFont="1" applyBorder="1">
      <alignment horizontal="center" vertical="center"/>
    </xf>
    <xf numFmtId="0" fontId="0" fillId="0" borderId="24" xfId="0" applyBorder="1">
      <alignment horizontal="center" vertical="center"/>
    </xf>
    <xf numFmtId="0" fontId="15" fillId="0" borderId="23" xfId="0" applyFont="1" applyBorder="1">
      <alignment horizontal="center" vertical="center"/>
    </xf>
    <xf numFmtId="0" fontId="15" fillId="0" borderId="21" xfId="0" applyFont="1" applyBorder="1" applyAlignment="1">
      <alignment vertical="center"/>
    </xf>
    <xf numFmtId="0" fontId="13" fillId="0" borderId="25" xfId="0" applyFont="1" applyBorder="1">
      <alignment horizontal="center" vertical="center"/>
    </xf>
    <xf numFmtId="0" fontId="0" fillId="0" borderId="0" xfId="0" applyAlignment="1">
      <alignment vertical="center"/>
    </xf>
    <xf numFmtId="0" fontId="15" fillId="0" borderId="13" xfId="0" applyFont="1" applyBorder="1" applyAlignment="1">
      <alignment horizontal="left" vertical="center"/>
    </xf>
    <xf numFmtId="0" fontId="13" fillId="0" borderId="21" xfId="0" applyFont="1" applyBorder="1" applyAlignment="1"/>
    <xf numFmtId="0" fontId="13" fillId="0" borderId="5" xfId="0" applyFont="1" applyBorder="1" applyAlignment="1">
      <alignment vertical="center"/>
    </xf>
    <xf numFmtId="0" fontId="13" fillId="0" borderId="0" xfId="0" applyFont="1" applyAlignment="1">
      <alignment horizontal="left" vertical="center"/>
    </xf>
    <xf numFmtId="0" fontId="31" fillId="0" borderId="0" xfId="0" applyFont="1" applyAlignment="1">
      <alignment vertical="top" wrapText="1"/>
    </xf>
    <xf numFmtId="0" fontId="15" fillId="19" borderId="21" xfId="0" applyFont="1" applyFill="1" applyBorder="1" applyAlignment="1" applyProtection="1">
      <alignment horizontal="left" vertical="center"/>
      <protection locked="0"/>
    </xf>
    <xf numFmtId="0" fontId="33" fillId="0" borderId="0" xfId="0" applyFont="1">
      <alignment horizontal="center" vertical="center"/>
    </xf>
    <xf numFmtId="0" fontId="0" fillId="0" borderId="6" xfId="0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24" xfId="0" applyFont="1" applyBorder="1" applyAlignment="1">
      <alignment horizontal="left"/>
    </xf>
    <xf numFmtId="0" fontId="0" fillId="0" borderId="19" xfId="0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24" xfId="0" applyFont="1" applyBorder="1" applyAlignment="1">
      <alignment horizontal="left"/>
    </xf>
    <xf numFmtId="0" fontId="0" fillId="11" borderId="19" xfId="0" applyFill="1" applyBorder="1" applyAlignment="1">
      <alignment horizontal="left"/>
    </xf>
    <xf numFmtId="0" fontId="0" fillId="16" borderId="6" xfId="0" applyFill="1" applyBorder="1" applyAlignment="1">
      <alignment horizontal="center"/>
    </xf>
    <xf numFmtId="0" fontId="0" fillId="45" borderId="0" xfId="0" applyFill="1">
      <alignment horizontal="center" vertical="center"/>
    </xf>
    <xf numFmtId="0" fontId="0" fillId="8" borderId="0" xfId="0" applyFill="1">
      <alignment horizontal="center" vertical="center"/>
    </xf>
    <xf numFmtId="0" fontId="0" fillId="16" borderId="0" xfId="0" applyFill="1">
      <alignment horizontal="center" vertical="center"/>
    </xf>
    <xf numFmtId="0" fontId="0" fillId="46" borderId="0" xfId="0" applyFill="1">
      <alignment horizontal="center" vertical="center"/>
    </xf>
    <xf numFmtId="0" fontId="16" fillId="47" borderId="0" xfId="0" applyFont="1" applyFill="1">
      <alignment horizontal="center" vertical="center"/>
    </xf>
    <xf numFmtId="0" fontId="0" fillId="0" borderId="19" xfId="0" applyBorder="1" applyAlignment="1">
      <alignment horizontal="left"/>
    </xf>
    <xf numFmtId="0" fontId="0" fillId="11" borderId="0" xfId="0" applyFill="1">
      <alignment horizontal="center" vertical="center"/>
    </xf>
    <xf numFmtId="0" fontId="0" fillId="7" borderId="0" xfId="0" applyFill="1">
      <alignment horizontal="center" vertical="center"/>
    </xf>
    <xf numFmtId="0" fontId="0" fillId="44" borderId="0" xfId="0" applyFill="1">
      <alignment horizontal="center" vertical="center"/>
    </xf>
    <xf numFmtId="0" fontId="16" fillId="47" borderId="6" xfId="0" applyFont="1" applyFill="1" applyBorder="1" applyAlignment="1">
      <alignment horizontal="center"/>
    </xf>
    <xf numFmtId="0" fontId="16" fillId="47" borderId="3" xfId="0" applyFont="1" applyFill="1" applyBorder="1">
      <alignment horizontal="center" vertical="center"/>
    </xf>
    <xf numFmtId="0" fontId="4" fillId="0" borderId="7" xfId="0" applyFont="1" applyBorder="1">
      <alignment horizontal="center" vertical="center"/>
    </xf>
    <xf numFmtId="0" fontId="0" fillId="0" borderId="5" xfId="0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4" fillId="0" borderId="7" xfId="0" applyFont="1" applyBorder="1" applyAlignment="1">
      <alignment horizontal="left"/>
    </xf>
    <xf numFmtId="0" fontId="0" fillId="0" borderId="26" xfId="0" applyBorder="1" applyAlignment="1">
      <alignment horizontal="center"/>
    </xf>
    <xf numFmtId="0" fontId="0" fillId="11" borderId="6" xfId="0" applyFill="1" applyBorder="1" applyAlignment="1">
      <alignment horizontal="center"/>
    </xf>
    <xf numFmtId="2" fontId="0" fillId="0" borderId="0" xfId="0" applyNumberFormat="1">
      <alignment horizontal="center" vertical="center"/>
    </xf>
    <xf numFmtId="0" fontId="0" fillId="45" borderId="0" xfId="0" applyFill="1" applyAlignment="1">
      <alignment horizontal="left" vertical="center"/>
    </xf>
    <xf numFmtId="0" fontId="0" fillId="8" borderId="0" xfId="0" applyFill="1" applyAlignment="1">
      <alignment horizontal="left" vertical="center"/>
    </xf>
    <xf numFmtId="0" fontId="0" fillId="16" borderId="0" xfId="0" applyFill="1" applyAlignment="1">
      <alignment horizontal="left" vertical="center"/>
    </xf>
    <xf numFmtId="0" fontId="0" fillId="46" borderId="0" xfId="0" applyFill="1" applyAlignment="1">
      <alignment horizontal="left" vertical="center"/>
    </xf>
    <xf numFmtId="0" fontId="16" fillId="47" borderId="0" xfId="0" applyFont="1" applyFill="1" applyAlignment="1">
      <alignment horizontal="left" vertical="center"/>
    </xf>
    <xf numFmtId="0" fontId="0" fillId="11" borderId="0" xfId="0" applyFill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0" fillId="44" borderId="0" xfId="0" applyFill="1" applyAlignment="1">
      <alignment horizontal="left" vertical="center"/>
    </xf>
    <xf numFmtId="0" fontId="34" fillId="0" borderId="0" xfId="0" applyFont="1">
      <alignment horizontal="center" vertical="center"/>
    </xf>
    <xf numFmtId="2" fontId="0" fillId="0" borderId="0" xfId="0" applyNumberFormat="1" applyAlignment="1">
      <alignment horizontal="right"/>
    </xf>
    <xf numFmtId="2" fontId="0" fillId="0" borderId="0" xfId="0" applyNumberFormat="1" applyAlignment="1">
      <alignment horizontal="center"/>
    </xf>
    <xf numFmtId="0" fontId="0" fillId="0" borderId="26" xfId="0" applyBorder="1">
      <alignment horizontal="center" vertical="center"/>
    </xf>
    <xf numFmtId="0" fontId="0" fillId="0" borderId="24" xfId="0" applyBorder="1" applyAlignment="1">
      <alignment horizontal="center"/>
    </xf>
    <xf numFmtId="0" fontId="4" fillId="22" borderId="0" xfId="0" applyFont="1" applyFill="1">
      <alignment horizontal="center" vertical="center"/>
    </xf>
    <xf numFmtId="0" fontId="0" fillId="22" borderId="0" xfId="0" applyFill="1">
      <alignment horizontal="center" vertical="center"/>
    </xf>
    <xf numFmtId="0" fontId="6" fillId="0" borderId="10" xfId="0" applyFont="1" applyBorder="1" applyAlignment="1">
      <alignment horizontal="center"/>
    </xf>
    <xf numFmtId="0" fontId="0" fillId="0" borderId="10" xfId="0" applyBorder="1">
      <alignment horizontal="center" vertical="center"/>
    </xf>
    <xf numFmtId="0" fontId="0" fillId="0" borderId="10" xfId="0" applyBorder="1" applyAlignment="1">
      <alignment horizontal="center"/>
    </xf>
    <xf numFmtId="0" fontId="4" fillId="0" borderId="27" xfId="0" applyFont="1" applyBorder="1" applyAlignment="1">
      <alignment horizontal="left"/>
    </xf>
    <xf numFmtId="2" fontId="0" fillId="0" borderId="0" xfId="0" applyNumberFormat="1" applyAlignment="1">
      <alignment horizontal="left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28" xfId="0" applyBorder="1">
      <alignment horizontal="center" vertical="center"/>
    </xf>
    <xf numFmtId="0" fontId="4" fillId="0" borderId="27" xfId="0" applyFont="1" applyBorder="1">
      <alignment horizontal="center" vertical="center"/>
    </xf>
    <xf numFmtId="49" fontId="4" fillId="0" borderId="0" xfId="0" applyNumberFormat="1" applyFont="1" applyAlignment="1">
      <alignment horizontal="center"/>
    </xf>
    <xf numFmtId="0" fontId="35" fillId="0" borderId="0" xfId="0" applyFont="1">
      <alignment horizontal="center" vertical="center"/>
    </xf>
    <xf numFmtId="0" fontId="36" fillId="0" borderId="0" xfId="0" applyFont="1" applyAlignment="1">
      <alignment horizontal="center"/>
    </xf>
    <xf numFmtId="171" fontId="0" fillId="0" borderId="0" xfId="0" applyNumberFormat="1">
      <alignment horizontal="center" vertical="center"/>
    </xf>
    <xf numFmtId="2" fontId="0" fillId="45" borderId="0" xfId="0" applyNumberFormat="1" applyFill="1">
      <alignment horizontal="center" vertical="center"/>
    </xf>
    <xf numFmtId="0" fontId="0" fillId="0" borderId="26" xfId="0" applyBorder="1" applyAlignment="1">
      <alignment horizontal="left"/>
    </xf>
    <xf numFmtId="171" fontId="0" fillId="0" borderId="3" xfId="0" applyNumberFormat="1" applyBorder="1">
      <alignment horizontal="center" vertical="center"/>
    </xf>
    <xf numFmtId="2" fontId="0" fillId="0" borderId="6" xfId="0" applyNumberFormat="1" applyBorder="1" applyAlignment="1">
      <alignment horizontal="center"/>
    </xf>
    <xf numFmtId="2" fontId="0" fillId="8" borderId="0" xfId="0" applyNumberFormat="1" applyFill="1">
      <alignment horizontal="center" vertical="center"/>
    </xf>
    <xf numFmtId="0" fontId="4" fillId="0" borderId="4" xfId="0" applyFont="1" applyBorder="1" applyAlignment="1">
      <alignment horizontal="center"/>
    </xf>
    <xf numFmtId="0" fontId="16" fillId="48" borderId="6" xfId="0" applyFont="1" applyFill="1" applyBorder="1" applyAlignment="1">
      <alignment horizontal="center"/>
    </xf>
    <xf numFmtId="0" fontId="6" fillId="11" borderId="28" xfId="0" applyFont="1" applyFill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6" fillId="0" borderId="28" xfId="0" applyFont="1" applyBorder="1" applyAlignment="1">
      <alignment horizontal="left"/>
    </xf>
    <xf numFmtId="0" fontId="6" fillId="0" borderId="7" xfId="0" applyFont="1" applyBorder="1" applyAlignment="1">
      <alignment horizontal="right"/>
    </xf>
    <xf numFmtId="0" fontId="0" fillId="0" borderId="27" xfId="0" applyBorder="1" applyAlignment="1">
      <alignment horizontal="left"/>
    </xf>
    <xf numFmtId="0" fontId="35" fillId="51" borderId="10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0" fontId="4" fillId="0" borderId="10" xfId="0" applyFont="1" applyBorder="1" applyAlignment="1">
      <alignment horizontal="center"/>
    </xf>
    <xf numFmtId="49" fontId="4" fillId="54" borderId="10" xfId="0" applyNumberFormat="1" applyFont="1" applyFill="1" applyBorder="1" applyAlignment="1">
      <alignment horizontal="center"/>
    </xf>
    <xf numFmtId="49" fontId="4" fillId="52" borderId="10" xfId="0" applyNumberFormat="1" applyFont="1" applyFill="1" applyBorder="1" applyAlignment="1">
      <alignment horizontal="center"/>
    </xf>
    <xf numFmtId="0" fontId="0" fillId="11" borderId="28" xfId="0" applyFill="1" applyBorder="1" applyAlignment="1">
      <alignment horizontal="center"/>
    </xf>
    <xf numFmtId="2" fontId="0" fillId="0" borderId="28" xfId="0" applyNumberFormat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0" fontId="4" fillId="0" borderId="30" xfId="0" applyFont="1" applyBorder="1" applyAlignment="1">
      <alignment horizontal="left"/>
    </xf>
    <xf numFmtId="0" fontId="38" fillId="11" borderId="7" xfId="0" applyFont="1" applyFill="1" applyBorder="1" applyAlignment="1"/>
    <xf numFmtId="0" fontId="38" fillId="11" borderId="0" xfId="0" applyFont="1" applyFill="1">
      <alignment horizontal="center" vertical="center"/>
    </xf>
    <xf numFmtId="0" fontId="38" fillId="11" borderId="0" xfId="0" applyFont="1" applyFill="1" applyAlignment="1">
      <alignment horizontal="center"/>
    </xf>
    <xf numFmtId="0" fontId="39" fillId="11" borderId="7" xfId="0" applyFont="1" applyFill="1" applyBorder="1" applyAlignment="1">
      <alignment horizontal="center"/>
    </xf>
    <xf numFmtId="0" fontId="39" fillId="11" borderId="0" xfId="0" applyFont="1" applyFill="1" applyAlignment="1">
      <alignment horizontal="center"/>
    </xf>
    <xf numFmtId="0" fontId="39" fillId="11" borderId="9" xfId="0" applyFont="1" applyFill="1" applyBorder="1" applyAlignment="1">
      <alignment horizontal="center"/>
    </xf>
    <xf numFmtId="0" fontId="38" fillId="11" borderId="9" xfId="0" applyFont="1" applyFill="1" applyBorder="1">
      <alignment horizontal="center" vertical="center"/>
    </xf>
    <xf numFmtId="0" fontId="40" fillId="0" borderId="0" xfId="0" applyFont="1">
      <alignment horizontal="center" vertical="center"/>
    </xf>
    <xf numFmtId="0" fontId="41" fillId="0" borderId="0" xfId="0" applyFont="1">
      <alignment horizontal="center" vertical="center"/>
    </xf>
    <xf numFmtId="0" fontId="38" fillId="10" borderId="7" xfId="0" applyFont="1" applyFill="1" applyBorder="1" applyAlignment="1">
      <alignment wrapText="1"/>
    </xf>
    <xf numFmtId="0" fontId="38" fillId="14" borderId="7" xfId="0" applyFont="1" applyFill="1" applyBorder="1" applyAlignment="1">
      <alignment wrapText="1"/>
    </xf>
    <xf numFmtId="0" fontId="38" fillId="15" borderId="7" xfId="0" applyFont="1" applyFill="1" applyBorder="1" applyAlignment="1">
      <alignment wrapText="1"/>
    </xf>
    <xf numFmtId="0" fontId="38" fillId="12" borderId="7" xfId="0" applyFont="1" applyFill="1" applyBorder="1" applyAlignment="1">
      <alignment wrapText="1"/>
    </xf>
    <xf numFmtId="0" fontId="11" fillId="17" borderId="7" xfId="0" applyFont="1" applyFill="1" applyBorder="1" applyAlignment="1">
      <alignment wrapText="1"/>
    </xf>
    <xf numFmtId="0" fontId="0" fillId="26" borderId="21" xfId="12" applyFont="1" applyFill="1" applyBorder="1">
      <alignment horizontal="center" vertical="center"/>
    </xf>
    <xf numFmtId="0" fontId="0" fillId="19" borderId="8" xfId="7" applyFont="1" applyFill="1" applyBorder="1">
      <alignment horizontal="center" vertical="center"/>
    </xf>
    <xf numFmtId="0" fontId="0" fillId="19" borderId="0" xfId="0" applyFill="1" applyBorder="1" applyAlignment="1">
      <alignment horizontal="left" vertical="center"/>
    </xf>
    <xf numFmtId="49" fontId="0" fillId="19" borderId="6" xfId="0" applyNumberFormat="1" applyFill="1" applyBorder="1">
      <alignment horizontal="center" vertical="center"/>
    </xf>
    <xf numFmtId="0" fontId="0" fillId="19" borderId="6" xfId="0" applyFill="1" applyBorder="1">
      <alignment horizontal="center" vertical="center"/>
    </xf>
    <xf numFmtId="0" fontId="0" fillId="0" borderId="21" xfId="0" applyBorder="1">
      <alignment horizontal="center" vertical="center"/>
    </xf>
    <xf numFmtId="0" fontId="0" fillId="19" borderId="6" xfId="6" applyFont="1" applyFill="1" applyBorder="1">
      <alignment horizontal="center" vertical="center"/>
    </xf>
    <xf numFmtId="0" fontId="0" fillId="0" borderId="3" xfId="7" applyFont="1" applyBorder="1" applyAlignment="1">
      <alignment horizontal="left"/>
    </xf>
    <xf numFmtId="0" fontId="0" fillId="0" borderId="0" xfId="0" applyBorder="1">
      <alignment horizontal="center" vertical="center"/>
    </xf>
    <xf numFmtId="0" fontId="9" fillId="21" borderId="0" xfId="0" applyFont="1" applyFill="1" applyBorder="1" applyAlignment="1">
      <alignment horizontal="center" wrapText="1"/>
    </xf>
    <xf numFmtId="0" fontId="9" fillId="19" borderId="0" xfId="0" applyFont="1" applyFill="1" applyBorder="1">
      <alignment horizontal="center" vertical="center"/>
    </xf>
    <xf numFmtId="0" fontId="6" fillId="0" borderId="0" xfId="7" applyBorder="1">
      <alignment horizontal="center" vertical="center"/>
    </xf>
    <xf numFmtId="49" fontId="0" fillId="25" borderId="8" xfId="0" applyNumberFormat="1" applyFill="1" applyBorder="1">
      <alignment horizontal="center" vertical="center"/>
    </xf>
    <xf numFmtId="0" fontId="0" fillId="25" borderId="13" xfId="0" applyFill="1" applyBorder="1">
      <alignment horizontal="center" vertical="center"/>
    </xf>
    <xf numFmtId="0" fontId="0" fillId="25" borderId="14" xfId="0" applyFill="1" applyBorder="1">
      <alignment horizontal="center" vertical="center"/>
    </xf>
    <xf numFmtId="0" fontId="4" fillId="0" borderId="3" xfId="7" applyFont="1" applyBorder="1" applyAlignment="1">
      <alignment horizontal="left"/>
    </xf>
    <xf numFmtId="0" fontId="17" fillId="25" borderId="8" xfId="8" applyBorder="1">
      <alignment horizontal="center" vertical="center"/>
    </xf>
    <xf numFmtId="0" fontId="0" fillId="28" borderId="0" xfId="0" applyFill="1">
      <alignment horizontal="center" vertical="center"/>
    </xf>
    <xf numFmtId="0" fontId="0" fillId="19" borderId="31" xfId="0" applyFill="1" applyBorder="1">
      <alignment horizontal="center" vertical="center"/>
    </xf>
    <xf numFmtId="0" fontId="0" fillId="27" borderId="0" xfId="9" applyFont="1">
      <alignment horizontal="center" vertical="center"/>
    </xf>
    <xf numFmtId="0" fontId="17" fillId="24" borderId="8" xfId="6" applyBorder="1">
      <alignment horizontal="center" vertical="center"/>
    </xf>
    <xf numFmtId="0" fontId="0" fillId="0" borderId="31" xfId="0" applyBorder="1">
      <alignment horizontal="center" vertical="center"/>
    </xf>
    <xf numFmtId="49" fontId="0" fillId="0" borderId="0" xfId="0" applyNumberFormat="1" applyBorder="1">
      <alignment horizontal="center" vertical="center"/>
    </xf>
    <xf numFmtId="0" fontId="6" fillId="0" borderId="0" xfId="0" applyFont="1" applyBorder="1" applyAlignment="1">
      <alignment horizontal="left" vertical="center"/>
    </xf>
    <xf numFmtId="0" fontId="6" fillId="0" borderId="0" xfId="0" applyFont="1" applyBorder="1">
      <alignment horizontal="center" vertical="center"/>
    </xf>
    <xf numFmtId="49" fontId="6" fillId="0" borderId="0" xfId="0" applyNumberFormat="1" applyFont="1" applyBorder="1">
      <alignment horizontal="center" vertical="center"/>
    </xf>
    <xf numFmtId="0" fontId="17" fillId="19" borderId="8" xfId="11" applyFill="1" applyBorder="1">
      <alignment horizontal="center" vertical="center"/>
    </xf>
    <xf numFmtId="0" fontId="48" fillId="68" borderId="32" xfId="18" applyAlignment="1">
      <alignment horizontal="center" vertical="center"/>
    </xf>
    <xf numFmtId="2" fontId="6" fillId="0" borderId="0" xfId="0" applyNumberFormat="1" applyFont="1">
      <alignment horizontal="center" vertical="center"/>
    </xf>
    <xf numFmtId="0" fontId="4" fillId="0" borderId="0" xfId="0" applyFont="1" applyBorder="1" applyAlignment="1">
      <alignment horizontal="left"/>
    </xf>
    <xf numFmtId="0" fontId="0" fillId="27" borderId="0" xfId="0" applyFill="1">
      <alignment horizontal="center" vertical="center"/>
    </xf>
    <xf numFmtId="0" fontId="15" fillId="0" borderId="0" xfId="0" applyFont="1" applyBorder="1" applyAlignment="1">
      <alignment vertical="top" wrapText="1"/>
    </xf>
    <xf numFmtId="0" fontId="49" fillId="0" borderId="0" xfId="0" applyFont="1">
      <alignment horizontal="center" vertical="center"/>
    </xf>
    <xf numFmtId="0" fontId="5" fillId="13" borderId="0" xfId="0" applyFont="1" applyFill="1" applyAlignment="1">
      <alignment horizontal="left" vertical="center"/>
    </xf>
    <xf numFmtId="0" fontId="49" fillId="0" borderId="3" xfId="0" applyFont="1" applyBorder="1">
      <alignment horizontal="center" vertical="center"/>
    </xf>
    <xf numFmtId="0" fontId="49" fillId="16" borderId="3" xfId="0" applyFont="1" applyFill="1" applyBorder="1">
      <alignment horizontal="center" vertical="center"/>
    </xf>
    <xf numFmtId="0" fontId="5" fillId="0" borderId="0" xfId="0" applyFont="1" applyAlignment="1">
      <alignment horizontal="left" vertical="center"/>
    </xf>
    <xf numFmtId="0" fontId="5" fillId="0" borderId="5" xfId="0" applyFont="1" applyBorder="1">
      <alignment horizontal="center" vertical="center"/>
    </xf>
    <xf numFmtId="0" fontId="50" fillId="0" borderId="0" xfId="0" applyFont="1">
      <alignment horizontal="center" vertical="center"/>
    </xf>
    <xf numFmtId="0" fontId="49" fillId="0" borderId="0" xfId="0" applyFont="1" applyAlignment="1">
      <alignment horizontal="left"/>
    </xf>
    <xf numFmtId="0" fontId="6" fillId="20" borderId="7" xfId="0" applyFont="1" applyFill="1" applyBorder="1" applyAlignment="1">
      <alignment horizontal="center" wrapText="1"/>
    </xf>
    <xf numFmtId="0" fontId="6" fillId="21" borderId="0" xfId="0" applyFont="1" applyFill="1" applyAlignment="1">
      <alignment horizontal="center" wrapText="1"/>
    </xf>
    <xf numFmtId="0" fontId="6" fillId="19" borderId="0" xfId="0" applyFont="1" applyFill="1">
      <alignment horizontal="center" vertical="center"/>
    </xf>
    <xf numFmtId="0" fontId="6" fillId="21" borderId="0" xfId="0" applyFont="1" applyFill="1">
      <alignment horizontal="center" vertical="center"/>
    </xf>
    <xf numFmtId="0" fontId="49" fillId="22" borderId="5" xfId="0" applyFont="1" applyFill="1" applyBorder="1" applyAlignment="1" applyProtection="1">
      <alignment horizontal="center"/>
      <protection locked="0"/>
    </xf>
    <xf numFmtId="0" fontId="49" fillId="19" borderId="8" xfId="0" applyFont="1" applyFill="1" applyBorder="1">
      <alignment horizontal="center" vertical="center"/>
    </xf>
    <xf numFmtId="0" fontId="49" fillId="22" borderId="0" xfId="0" applyFont="1" applyFill="1" applyAlignment="1" applyProtection="1">
      <alignment horizontal="center"/>
      <protection locked="0"/>
    </xf>
    <xf numFmtId="0" fontId="5" fillId="0" borderId="0" xfId="0" applyFont="1" applyAlignment="1">
      <alignment vertical="center"/>
    </xf>
    <xf numFmtId="0" fontId="49" fillId="0" borderId="9" xfId="0" applyFont="1" applyBorder="1">
      <alignment horizontal="center" vertical="center"/>
    </xf>
    <xf numFmtId="0" fontId="50" fillId="0" borderId="0" xfId="0" applyFont="1" applyAlignment="1">
      <alignment horizontal="left"/>
    </xf>
    <xf numFmtId="0" fontId="6" fillId="19" borderId="7" xfId="0" applyFont="1" applyFill="1" applyBorder="1">
      <alignment horizontal="center" vertical="center"/>
    </xf>
    <xf numFmtId="0" fontId="49" fillId="0" borderId="6" xfId="0" applyFont="1" applyBorder="1" applyAlignment="1">
      <alignment horizontal="left" vertical="center"/>
    </xf>
    <xf numFmtId="0" fontId="5" fillId="22" borderId="0" xfId="0" applyFont="1" applyFill="1" applyAlignment="1">
      <alignment horizontal="center"/>
    </xf>
    <xf numFmtId="0" fontId="49" fillId="0" borderId="3" xfId="0" applyFont="1" applyBorder="1" applyAlignment="1">
      <alignment horizontal="left"/>
    </xf>
    <xf numFmtId="0" fontId="53" fillId="0" borderId="11" xfId="0" applyFont="1" applyBorder="1" applyAlignment="1" applyProtection="1">
      <alignment horizontal="center"/>
      <protection locked="0"/>
    </xf>
    <xf numFmtId="0" fontId="5" fillId="0" borderId="11" xfId="0" applyFont="1" applyBorder="1" applyAlignment="1">
      <alignment vertical="center"/>
    </xf>
    <xf numFmtId="0" fontId="53" fillId="0" borderId="13" xfId="0" applyFont="1" applyBorder="1" applyAlignment="1" applyProtection="1">
      <alignment horizontal="center"/>
      <protection locked="0"/>
    </xf>
    <xf numFmtId="0" fontId="49" fillId="0" borderId="13" xfId="0" applyFont="1" applyBorder="1" applyAlignment="1">
      <alignment horizontal="left" vertical="center"/>
    </xf>
    <xf numFmtId="0" fontId="5" fillId="0" borderId="0" xfId="0" applyFont="1" applyBorder="1" applyAlignment="1" applyProtection="1">
      <alignment horizontal="center"/>
      <protection locked="0"/>
    </xf>
    <xf numFmtId="0" fontId="49" fillId="0" borderId="0" xfId="0" applyFont="1" applyBorder="1" applyAlignment="1">
      <alignment horizontal="left" vertical="center"/>
    </xf>
    <xf numFmtId="0" fontId="49" fillId="19" borderId="0" xfId="0" applyFont="1" applyFill="1" applyBorder="1">
      <alignment horizontal="center" vertical="center"/>
    </xf>
    <xf numFmtId="0" fontId="49" fillId="19" borderId="0" xfId="7" applyFont="1" applyFill="1" applyBorder="1">
      <alignment horizontal="center" vertical="center"/>
    </xf>
    <xf numFmtId="0" fontId="5" fillId="0" borderId="0" xfId="7" applyFont="1" applyAlignment="1">
      <alignment horizontal="left" vertical="center"/>
    </xf>
    <xf numFmtId="0" fontId="36" fillId="0" borderId="0" xfId="7" applyFont="1" applyAlignment="1" applyProtection="1">
      <alignment horizontal="left"/>
      <protection locked="0"/>
    </xf>
    <xf numFmtId="0" fontId="5" fillId="0" borderId="0" xfId="7" applyFont="1">
      <alignment horizontal="center" vertical="center"/>
    </xf>
    <xf numFmtId="0" fontId="5" fillId="0" borderId="5" xfId="7" applyFont="1" applyBorder="1" applyAlignment="1">
      <alignment horizontal="left"/>
    </xf>
    <xf numFmtId="0" fontId="5" fillId="0" borderId="3" xfId="7" applyFont="1" applyBorder="1" applyAlignment="1">
      <alignment horizontal="center"/>
    </xf>
    <xf numFmtId="0" fontId="6" fillId="0" borderId="0" xfId="14" applyFont="1"/>
    <xf numFmtId="0" fontId="5" fillId="0" borderId="0" xfId="14" applyFont="1"/>
    <xf numFmtId="0" fontId="6" fillId="20" borderId="7" xfId="7" applyFill="1" applyBorder="1" applyAlignment="1">
      <alignment horizontal="center" wrapText="1"/>
    </xf>
    <xf numFmtId="0" fontId="6" fillId="21" borderId="0" xfId="7" applyFill="1" applyAlignment="1">
      <alignment horizontal="center" wrapText="1"/>
    </xf>
    <xf numFmtId="0" fontId="6" fillId="19" borderId="7" xfId="7" applyFill="1" applyBorder="1">
      <alignment horizontal="center" vertical="center"/>
    </xf>
    <xf numFmtId="0" fontId="6" fillId="19" borderId="0" xfId="7" applyFill="1">
      <alignment horizontal="center" vertical="center"/>
    </xf>
    <xf numFmtId="0" fontId="5" fillId="22" borderId="0" xfId="7" applyFont="1" applyFill="1" applyBorder="1" applyAlignment="1">
      <alignment horizontal="center"/>
    </xf>
    <xf numFmtId="0" fontId="6" fillId="19" borderId="0" xfId="7" applyFill="1" applyBorder="1">
      <alignment horizontal="center" vertical="center"/>
    </xf>
    <xf numFmtId="0" fontId="5" fillId="0" borderId="0" xfId="0" applyFont="1" applyAlignment="1"/>
    <xf numFmtId="0" fontId="49" fillId="0" borderId="0" xfId="0" applyFont="1" applyAlignment="1"/>
    <xf numFmtId="0" fontId="36" fillId="0" borderId="0" xfId="0" applyFont="1" applyAlignment="1" applyProtection="1">
      <alignment horizontal="left"/>
      <protection locked="0"/>
    </xf>
    <xf numFmtId="0" fontId="49" fillId="0" borderId="7" xfId="0" applyFont="1" applyBorder="1" applyAlignment="1">
      <alignment horizontal="center"/>
    </xf>
    <xf numFmtId="0" fontId="49" fillId="0" borderId="0" xfId="0" applyFont="1" applyAlignment="1" applyProtection="1">
      <alignment horizontal="center"/>
      <protection locked="0"/>
    </xf>
    <xf numFmtId="0" fontId="49" fillId="19" borderId="0" xfId="6" applyFont="1" applyFill="1" applyBorder="1">
      <alignment horizontal="center" vertical="center"/>
    </xf>
    <xf numFmtId="49" fontId="49" fillId="19" borderId="0" xfId="0" applyNumberFormat="1" applyFont="1" applyFill="1">
      <alignment horizontal="center" vertical="center"/>
    </xf>
    <xf numFmtId="0" fontId="49" fillId="0" borderId="0" xfId="0" applyFont="1" applyAlignment="1">
      <alignment horizontal="left" vertical="center"/>
    </xf>
    <xf numFmtId="0" fontId="49" fillId="0" borderId="3" xfId="0" applyFont="1" applyBorder="1" applyAlignment="1"/>
    <xf numFmtId="0" fontId="49" fillId="0" borderId="15" xfId="0" applyFont="1" applyBorder="1" applyAlignment="1"/>
    <xf numFmtId="49" fontId="49" fillId="19" borderId="8" xfId="0" applyNumberFormat="1" applyFont="1" applyFill="1" applyBorder="1">
      <alignment horizontal="center" vertical="center"/>
    </xf>
    <xf numFmtId="0" fontId="49" fillId="19" borderId="0" xfId="0" applyFont="1" applyFill="1">
      <alignment horizontal="center" vertical="center"/>
    </xf>
    <xf numFmtId="0" fontId="49" fillId="19" borderId="0" xfId="6" applyFont="1" applyFill="1">
      <alignment horizontal="center" vertical="center"/>
    </xf>
    <xf numFmtId="0" fontId="6" fillId="0" borderId="7" xfId="0" applyFont="1" applyBorder="1">
      <alignment horizontal="center" vertical="center"/>
    </xf>
    <xf numFmtId="0" fontId="5" fillId="22" borderId="0" xfId="0" applyFont="1" applyFill="1" applyAlignment="1">
      <alignment horizontal="left"/>
    </xf>
    <xf numFmtId="0" fontId="49" fillId="0" borderId="0" xfId="0" applyFont="1" applyBorder="1">
      <alignment horizontal="center" vertical="center"/>
    </xf>
    <xf numFmtId="0" fontId="5" fillId="0" borderId="0" xfId="0" applyFont="1" applyBorder="1" applyAlignment="1">
      <alignment horizontal="left"/>
    </xf>
    <xf numFmtId="0" fontId="5" fillId="0" borderId="0" xfId="0" applyFont="1" applyAlignment="1" applyProtection="1">
      <alignment horizontal="center"/>
      <protection locked="0"/>
    </xf>
    <xf numFmtId="0" fontId="49" fillId="0" borderId="16" xfId="0" applyFont="1" applyBorder="1">
      <alignment horizontal="center" vertical="center"/>
    </xf>
    <xf numFmtId="0" fontId="6" fillId="20" borderId="17" xfId="0" applyFont="1" applyFill="1" applyBorder="1" applyAlignment="1">
      <alignment horizontal="center" wrapText="1"/>
    </xf>
    <xf numFmtId="0" fontId="6" fillId="0" borderId="0" xfId="0" applyFont="1" applyAlignment="1">
      <alignment horizontal="center" wrapText="1"/>
    </xf>
    <xf numFmtId="0" fontId="49" fillId="0" borderId="3" xfId="0" applyFont="1" applyBorder="1" applyAlignment="1">
      <alignment horizontal="left" vertical="center"/>
    </xf>
    <xf numFmtId="0" fontId="49" fillId="0" borderId="18" xfId="0" applyFont="1" applyBorder="1" applyAlignment="1">
      <alignment horizontal="left" vertical="center"/>
    </xf>
    <xf numFmtId="0" fontId="49" fillId="0" borderId="4" xfId="0" applyFont="1" applyBorder="1" applyAlignment="1">
      <alignment horizontal="left"/>
    </xf>
    <xf numFmtId="0" fontId="49" fillId="0" borderId="5" xfId="0" applyFont="1" applyBorder="1" applyAlignment="1">
      <alignment horizontal="left"/>
    </xf>
    <xf numFmtId="0" fontId="49" fillId="0" borderId="15" xfId="0" applyFont="1" applyBorder="1">
      <alignment horizontal="center" vertical="center"/>
    </xf>
    <xf numFmtId="49" fontId="49" fillId="0" borderId="3" xfId="0" applyNumberFormat="1" applyFont="1" applyBorder="1" applyAlignment="1">
      <alignment horizontal="left" vertical="center"/>
    </xf>
    <xf numFmtId="49" fontId="49" fillId="0" borderId="18" xfId="0" applyNumberFormat="1" applyFont="1" applyBorder="1" applyAlignment="1">
      <alignment horizontal="left" vertical="center"/>
    </xf>
    <xf numFmtId="0" fontId="5" fillId="0" borderId="18" xfId="0" applyFont="1" applyBorder="1" applyAlignment="1">
      <alignment horizontal="left"/>
    </xf>
    <xf numFmtId="0" fontId="49" fillId="0" borderId="4" xfId="0" applyFont="1" applyBorder="1" applyAlignment="1">
      <alignment horizontal="left" vertical="center"/>
    </xf>
    <xf numFmtId="0" fontId="49" fillId="0" borderId="5" xfId="0" applyFont="1" applyBorder="1" applyAlignment="1">
      <alignment horizontal="left" vertical="center"/>
    </xf>
    <xf numFmtId="0" fontId="5" fillId="0" borderId="3" xfId="0" applyFont="1" applyBorder="1" applyAlignment="1">
      <alignment horizontal="left"/>
    </xf>
    <xf numFmtId="0" fontId="49" fillId="0" borderId="0" xfId="0" applyFont="1" applyAlignment="1">
      <alignment horizontal="center"/>
    </xf>
    <xf numFmtId="0" fontId="49" fillId="19" borderId="0" xfId="14" applyFont="1" applyFill="1" applyAlignment="1">
      <alignment horizontal="center" vertical="center"/>
    </xf>
    <xf numFmtId="0" fontId="54" fillId="0" borderId="0" xfId="0" applyFont="1" applyAlignment="1">
      <alignment horizontal="left"/>
    </xf>
    <xf numFmtId="0" fontId="5" fillId="0" borderId="19" xfId="0" applyFont="1" applyBorder="1" applyAlignment="1">
      <alignment horizontal="center"/>
    </xf>
    <xf numFmtId="0" fontId="5" fillId="0" borderId="6" xfId="0" applyFont="1" applyBorder="1" applyAlignment="1" applyProtection="1">
      <alignment horizontal="left"/>
      <protection locked="0"/>
    </xf>
    <xf numFmtId="0" fontId="55" fillId="0" borderId="0" xfId="0" applyFont="1" applyAlignment="1">
      <alignment horizontal="left" vertical="center"/>
    </xf>
    <xf numFmtId="0" fontId="6" fillId="21" borderId="7" xfId="0" applyFont="1" applyFill="1" applyBorder="1">
      <alignment horizontal="center" vertical="center"/>
    </xf>
    <xf numFmtId="0" fontId="49" fillId="0" borderId="4" xfId="0" applyFont="1" applyBorder="1">
      <alignment horizontal="center" vertical="center"/>
    </xf>
    <xf numFmtId="0" fontId="49" fillId="0" borderId="5" xfId="0" applyFont="1" applyBorder="1">
      <alignment horizontal="center" vertical="center"/>
    </xf>
    <xf numFmtId="0" fontId="5" fillId="0" borderId="0" xfId="0" applyFont="1" applyAlignment="1" applyProtection="1">
      <alignment horizontal="left"/>
      <protection locked="0"/>
    </xf>
    <xf numFmtId="0" fontId="49" fillId="0" borderId="6" xfId="0" applyFont="1" applyBorder="1" applyAlignment="1" applyProtection="1">
      <alignment vertical="center"/>
      <protection locked="0"/>
    </xf>
    <xf numFmtId="0" fontId="6" fillId="19" borderId="7" xfId="0" applyFont="1" applyFill="1" applyBorder="1" applyAlignment="1">
      <alignment horizontal="center" vertical="center" wrapText="1"/>
    </xf>
    <xf numFmtId="0" fontId="6" fillId="19" borderId="0" xfId="0" applyFont="1" applyFill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51" fillId="19" borderId="7" xfId="8" applyFont="1" applyFill="1" applyBorder="1">
      <alignment horizontal="center" vertical="center"/>
    </xf>
    <xf numFmtId="0" fontId="49" fillId="0" borderId="6" xfId="0" applyFont="1" applyBorder="1" applyAlignment="1" applyProtection="1">
      <alignment horizontal="center"/>
      <protection locked="0"/>
    </xf>
    <xf numFmtId="0" fontId="54" fillId="0" borderId="6" xfId="0" applyFont="1" applyBorder="1" applyAlignment="1">
      <alignment vertical="center"/>
    </xf>
    <xf numFmtId="0" fontId="49" fillId="19" borderId="7" xfId="0" applyFont="1" applyFill="1" applyBorder="1" applyAlignment="1">
      <alignment horizontal="center" vertical="center" wrapText="1"/>
    </xf>
    <xf numFmtId="0" fontId="17" fillId="27" borderId="0" xfId="9">
      <alignment horizontal="center" vertical="center"/>
    </xf>
    <xf numFmtId="0" fontId="0" fillId="0" borderId="0" xfId="0" applyAlignment="1">
      <alignment horizontal="center" vertical="center" wrapText="1"/>
    </xf>
    <xf numFmtId="49" fontId="48" fillId="68" borderId="32" xfId="18" applyNumberFormat="1" applyAlignment="1">
      <alignment horizontal="center" vertical="center"/>
    </xf>
    <xf numFmtId="0" fontId="0" fillId="19" borderId="13" xfId="0" applyFill="1" applyBorder="1" applyAlignment="1">
      <alignment horizontal="left" vertical="center"/>
    </xf>
    <xf numFmtId="0" fontId="0" fillId="19" borderId="13" xfId="0" applyFill="1" applyBorder="1">
      <alignment horizontal="center" vertical="center"/>
    </xf>
    <xf numFmtId="0" fontId="17" fillId="30" borderId="13" xfId="12" applyBorder="1">
      <alignment horizontal="center" vertical="center"/>
    </xf>
    <xf numFmtId="0" fontId="6" fillId="0" borderId="13" xfId="7" applyBorder="1">
      <alignment horizontal="center" vertical="center"/>
    </xf>
    <xf numFmtId="0" fontId="59" fillId="0" borderId="0" xfId="0" applyFont="1">
      <alignment horizontal="center" vertical="center"/>
    </xf>
    <xf numFmtId="0" fontId="0" fillId="19" borderId="33" xfId="0" applyFill="1" applyBorder="1">
      <alignment horizontal="center" vertical="center"/>
    </xf>
    <xf numFmtId="0" fontId="49" fillId="19" borderId="33" xfId="0" applyFont="1" applyFill="1" applyBorder="1">
      <alignment horizontal="center" vertical="center"/>
    </xf>
    <xf numFmtId="0" fontId="15" fillId="0" borderId="34" xfId="0" applyFont="1" applyBorder="1">
      <alignment horizontal="center" vertical="center"/>
    </xf>
    <xf numFmtId="0" fontId="13" fillId="0" borderId="34" xfId="0" applyFont="1" applyBorder="1">
      <alignment horizontal="center" vertical="center"/>
    </xf>
    <xf numFmtId="0" fontId="14" fillId="0" borderId="35" xfId="0" applyFont="1" applyBorder="1" applyAlignment="1" applyProtection="1">
      <alignment horizontal="center"/>
      <protection locked="0"/>
    </xf>
    <xf numFmtId="0" fontId="0" fillId="19" borderId="35" xfId="0" applyFill="1" applyBorder="1" applyAlignment="1">
      <alignment horizontal="left" vertical="center"/>
    </xf>
    <xf numFmtId="0" fontId="17" fillId="30" borderId="35" xfId="12" applyBorder="1">
      <alignment horizontal="center" vertical="center"/>
    </xf>
    <xf numFmtId="0" fontId="17" fillId="19" borderId="35" xfId="12" applyFill="1" applyBorder="1">
      <alignment horizontal="center" vertical="center"/>
    </xf>
    <xf numFmtId="0" fontId="4" fillId="22" borderId="35" xfId="0" applyFont="1" applyFill="1" applyBorder="1" applyAlignment="1">
      <alignment horizontal="center"/>
    </xf>
    <xf numFmtId="0" fontId="0" fillId="0" borderId="35" xfId="0" applyBorder="1" applyAlignment="1">
      <alignment horizontal="left" vertical="center"/>
    </xf>
    <xf numFmtId="0" fontId="17" fillId="24" borderId="35" xfId="6" applyBorder="1">
      <alignment horizontal="center" vertical="center"/>
    </xf>
    <xf numFmtId="49" fontId="0" fillId="19" borderId="35" xfId="0" applyNumberFormat="1" applyFill="1" applyBorder="1">
      <alignment horizontal="center" vertical="center"/>
    </xf>
    <xf numFmtId="0" fontId="0" fillId="19" borderId="35" xfId="10" applyFont="1" applyFill="1" applyBorder="1">
      <alignment horizontal="center" vertical="center"/>
    </xf>
    <xf numFmtId="0" fontId="0" fillId="19" borderId="35" xfId="6" applyFont="1" applyFill="1" applyBorder="1">
      <alignment horizontal="center" vertical="center"/>
    </xf>
    <xf numFmtId="0" fontId="4" fillId="0" borderId="35" xfId="0" applyFont="1" applyBorder="1">
      <alignment horizontal="center" vertical="center"/>
    </xf>
    <xf numFmtId="0" fontId="4" fillId="0" borderId="35" xfId="0" applyFont="1" applyBorder="1" applyAlignment="1">
      <alignment horizontal="center"/>
    </xf>
    <xf numFmtId="0" fontId="20" fillId="0" borderId="35" xfId="0" applyFont="1" applyBorder="1" applyAlignment="1">
      <alignment vertical="center"/>
    </xf>
    <xf numFmtId="0" fontId="0" fillId="0" borderId="35" xfId="0" applyBorder="1">
      <alignment horizontal="center" vertical="center"/>
    </xf>
    <xf numFmtId="0" fontId="0" fillId="0" borderId="35" xfId="0" applyBorder="1" applyAlignment="1">
      <alignment vertical="center"/>
    </xf>
    <xf numFmtId="0" fontId="0" fillId="22" borderId="35" xfId="0" applyFill="1" applyBorder="1" applyAlignment="1" applyProtection="1">
      <alignment horizontal="center"/>
      <protection locked="0"/>
    </xf>
    <xf numFmtId="0" fontId="0" fillId="0" borderId="35" xfId="7" applyFont="1" applyBorder="1" applyAlignment="1">
      <alignment vertical="center"/>
    </xf>
    <xf numFmtId="0" fontId="0" fillId="19" borderId="35" xfId="0" applyFill="1" applyBorder="1">
      <alignment horizontal="center" vertical="center"/>
    </xf>
    <xf numFmtId="0" fontId="6" fillId="0" borderId="36" xfId="0" applyFont="1" applyBorder="1" applyAlignment="1">
      <alignment horizontal="left" vertical="center"/>
    </xf>
    <xf numFmtId="0" fontId="6" fillId="0" borderId="36" xfId="0" applyFont="1" applyBorder="1">
      <alignment horizontal="center" vertical="center"/>
    </xf>
    <xf numFmtId="0" fontId="9" fillId="0" borderId="36" xfId="0" applyFont="1" applyBorder="1">
      <alignment horizontal="center" vertical="center"/>
    </xf>
    <xf numFmtId="49" fontId="27" fillId="2" borderId="35" xfId="16" applyNumberFormat="1" applyBorder="1" applyAlignment="1">
      <alignment horizontal="center" vertical="center"/>
    </xf>
    <xf numFmtId="0" fontId="6" fillId="0" borderId="35" xfId="7" applyBorder="1">
      <alignment horizontal="center" vertical="center"/>
    </xf>
    <xf numFmtId="1" fontId="0" fillId="19" borderId="35" xfId="1" applyNumberFormat="1" applyFont="1" applyFill="1" applyBorder="1" applyAlignment="1">
      <alignment horizontal="center" vertical="center"/>
    </xf>
    <xf numFmtId="0" fontId="0" fillId="0" borderId="35" xfId="7" applyFont="1" applyBorder="1">
      <alignment horizontal="center" vertical="center"/>
    </xf>
    <xf numFmtId="0" fontId="17" fillId="25" borderId="35" xfId="8" applyBorder="1">
      <alignment horizontal="center" vertical="center"/>
    </xf>
    <xf numFmtId="0" fontId="0" fillId="25" borderId="35" xfId="10" applyFont="1" applyFill="1" applyBorder="1">
      <alignment horizontal="center" vertical="center"/>
    </xf>
    <xf numFmtId="0" fontId="0" fillId="25" borderId="35" xfId="6" applyFont="1" applyFill="1" applyBorder="1">
      <alignment horizontal="center" vertical="center"/>
    </xf>
    <xf numFmtId="49" fontId="0" fillId="25" borderId="35" xfId="0" applyNumberFormat="1" applyFill="1" applyBorder="1">
      <alignment horizontal="center" vertical="center"/>
    </xf>
    <xf numFmtId="0" fontId="0" fillId="25" borderId="35" xfId="0" applyFill="1" applyBorder="1">
      <alignment horizontal="center" vertical="center"/>
    </xf>
    <xf numFmtId="0" fontId="17" fillId="0" borderId="35" xfId="8" applyFill="1" applyBorder="1">
      <alignment horizontal="center" vertical="center"/>
    </xf>
    <xf numFmtId="0" fontId="0" fillId="0" borderId="35" xfId="7" applyFont="1" applyBorder="1" applyAlignment="1">
      <alignment horizontal="left" vertical="center"/>
    </xf>
    <xf numFmtId="0" fontId="17" fillId="28" borderId="35" xfId="10" applyBorder="1">
      <alignment horizontal="center" vertical="center"/>
    </xf>
    <xf numFmtId="0" fontId="0" fillId="26" borderId="35" xfId="10" applyFont="1" applyFill="1" applyBorder="1">
      <alignment horizontal="center" vertical="center"/>
    </xf>
    <xf numFmtId="49" fontId="0" fillId="28" borderId="35" xfId="0" applyNumberFormat="1" applyFill="1" applyBorder="1">
      <alignment horizontal="center" vertical="center"/>
    </xf>
    <xf numFmtId="49" fontId="0" fillId="61" borderId="35" xfId="0" applyNumberFormat="1" applyFill="1" applyBorder="1">
      <alignment horizontal="center" vertical="center"/>
    </xf>
    <xf numFmtId="0" fontId="17" fillId="25" borderId="35" xfId="11" applyFill="1" applyBorder="1">
      <alignment horizontal="center" vertical="center"/>
    </xf>
    <xf numFmtId="0" fontId="17" fillId="0" borderId="35" xfId="0" applyFont="1" applyBorder="1">
      <alignment horizontal="center" vertical="center"/>
    </xf>
    <xf numFmtId="0" fontId="0" fillId="19" borderId="35" xfId="12" applyFont="1" applyFill="1" applyBorder="1">
      <alignment horizontal="center" vertical="center"/>
    </xf>
    <xf numFmtId="49" fontId="0" fillId="19" borderId="35" xfId="7" applyNumberFormat="1" applyFont="1" applyFill="1" applyBorder="1">
      <alignment horizontal="center" vertical="center"/>
    </xf>
    <xf numFmtId="0" fontId="17" fillId="28" borderId="35" xfId="12" applyFill="1" applyBorder="1">
      <alignment horizontal="center" vertical="center"/>
    </xf>
    <xf numFmtId="0" fontId="6" fillId="55" borderId="35" xfId="7" applyFill="1" applyBorder="1">
      <alignment horizontal="center" vertical="center"/>
    </xf>
    <xf numFmtId="0" fontId="6" fillId="30" borderId="35" xfId="12" applyFont="1" applyBorder="1">
      <alignment horizontal="center" vertical="center"/>
    </xf>
    <xf numFmtId="0" fontId="0" fillId="19" borderId="38" xfId="0" applyFill="1" applyBorder="1" applyAlignment="1">
      <alignment horizontal="left" vertical="center"/>
    </xf>
    <xf numFmtId="49" fontId="0" fillId="19" borderId="38" xfId="0" applyNumberFormat="1" applyFill="1" applyBorder="1">
      <alignment horizontal="center" vertical="center"/>
    </xf>
    <xf numFmtId="0" fontId="49" fillId="22" borderId="35" xfId="0" applyFont="1" applyFill="1" applyBorder="1" applyAlignment="1" applyProtection="1">
      <alignment horizontal="center"/>
      <protection locked="0"/>
    </xf>
    <xf numFmtId="0" fontId="49" fillId="0" borderId="35" xfId="7" applyFont="1" applyBorder="1" applyAlignment="1">
      <alignment vertical="center"/>
    </xf>
    <xf numFmtId="0" fontId="49" fillId="19" borderId="35" xfId="0" applyFont="1" applyFill="1" applyBorder="1">
      <alignment horizontal="center" vertical="center"/>
    </xf>
    <xf numFmtId="0" fontId="53" fillId="0" borderId="35" xfId="0" applyFont="1" applyBorder="1" applyAlignment="1" applyProtection="1">
      <alignment horizontal="center"/>
      <protection locked="0"/>
    </xf>
    <xf numFmtId="0" fontId="49" fillId="19" borderId="35" xfId="0" applyFont="1" applyFill="1" applyBorder="1" applyAlignment="1">
      <alignment horizontal="left" vertical="center"/>
    </xf>
    <xf numFmtId="1" fontId="49" fillId="19" borderId="35" xfId="1" applyNumberFormat="1" applyFont="1" applyFill="1" applyBorder="1" applyAlignment="1">
      <alignment horizontal="center" vertical="center"/>
    </xf>
    <xf numFmtId="49" fontId="49" fillId="19" borderId="35" xfId="0" applyNumberFormat="1" applyFont="1" applyFill="1" applyBorder="1">
      <alignment horizontal="center" vertical="center"/>
    </xf>
    <xf numFmtId="0" fontId="5" fillId="22" borderId="35" xfId="0" applyFont="1" applyFill="1" applyBorder="1" applyAlignment="1">
      <alignment horizontal="center"/>
    </xf>
    <xf numFmtId="0" fontId="49" fillId="0" borderId="35" xfId="0" applyFont="1" applyBorder="1" applyAlignment="1">
      <alignment horizontal="left" vertical="center"/>
    </xf>
    <xf numFmtId="0" fontId="49" fillId="19" borderId="35" xfId="10" applyFont="1" applyFill="1" applyBorder="1">
      <alignment horizontal="center" vertical="center"/>
    </xf>
    <xf numFmtId="0" fontId="49" fillId="19" borderId="35" xfId="6" applyFont="1" applyFill="1" applyBorder="1">
      <alignment horizontal="center" vertical="center"/>
    </xf>
    <xf numFmtId="49" fontId="49" fillId="19" borderId="38" xfId="0" applyNumberFormat="1" applyFont="1" applyFill="1" applyBorder="1">
      <alignment horizontal="center" vertical="center"/>
    </xf>
    <xf numFmtId="0" fontId="51" fillId="28" borderId="35" xfId="10" applyFont="1" applyBorder="1">
      <alignment horizontal="center" vertical="center"/>
    </xf>
    <xf numFmtId="0" fontId="49" fillId="0" borderId="35" xfId="0" applyFont="1" applyBorder="1">
      <alignment horizontal="center" vertical="center"/>
    </xf>
    <xf numFmtId="0" fontId="5" fillId="0" borderId="38" xfId="0" applyFont="1" applyBorder="1" applyAlignment="1">
      <alignment horizontal="center"/>
    </xf>
    <xf numFmtId="0" fontId="5" fillId="0" borderId="35" xfId="0" applyFont="1" applyBorder="1">
      <alignment horizontal="center" vertical="center"/>
    </xf>
    <xf numFmtId="0" fontId="5" fillId="0" borderId="35" xfId="0" applyFont="1" applyBorder="1" applyAlignment="1">
      <alignment horizontal="center"/>
    </xf>
    <xf numFmtId="0" fontId="55" fillId="0" borderId="35" xfId="0" applyFont="1" applyBorder="1" applyAlignment="1">
      <alignment vertical="center"/>
    </xf>
    <xf numFmtId="0" fontId="49" fillId="0" borderId="35" xfId="0" applyFont="1" applyBorder="1" applyAlignment="1">
      <alignment vertical="center"/>
    </xf>
    <xf numFmtId="0" fontId="6" fillId="26" borderId="35" xfId="7" applyFill="1" applyBorder="1">
      <alignment horizontal="center" vertical="center"/>
    </xf>
    <xf numFmtId="0" fontId="0" fillId="19" borderId="35" xfId="7" applyFont="1" applyFill="1" applyBorder="1">
      <alignment horizontal="center" vertical="center"/>
    </xf>
    <xf numFmtId="0" fontId="6" fillId="27" borderId="35" xfId="9" applyFont="1" applyBorder="1">
      <alignment horizontal="center" vertical="center"/>
    </xf>
    <xf numFmtId="0" fontId="0" fillId="0" borderId="39" xfId="0" applyBorder="1" applyAlignment="1">
      <alignment horizontal="left" vertical="center"/>
    </xf>
    <xf numFmtId="0" fontId="0" fillId="0" borderId="40" xfId="0" applyBorder="1">
      <alignment horizontal="center" vertical="center"/>
    </xf>
    <xf numFmtId="0" fontId="13" fillId="0" borderId="35" xfId="0" applyFont="1" applyBorder="1">
      <alignment horizontal="center" vertical="center"/>
    </xf>
    <xf numFmtId="0" fontId="0" fillId="19" borderId="42" xfId="6" applyFont="1" applyFill="1" applyBorder="1">
      <alignment horizontal="center" vertical="center"/>
    </xf>
    <xf numFmtId="49" fontId="0" fillId="19" borderId="42" xfId="0" applyNumberFormat="1" applyFill="1" applyBorder="1">
      <alignment horizontal="center" vertical="center"/>
    </xf>
    <xf numFmtId="0" fontId="0" fillId="19" borderId="43" xfId="0" applyFill="1" applyBorder="1" applyAlignment="1">
      <alignment horizontal="left" vertical="center"/>
    </xf>
    <xf numFmtId="0" fontId="13" fillId="19" borderId="43" xfId="0" applyFont="1" applyFill="1" applyBorder="1" applyAlignment="1">
      <alignment horizontal="left" vertical="center"/>
    </xf>
    <xf numFmtId="0" fontId="15" fillId="19" borderId="43" xfId="0" applyFont="1" applyFill="1" applyBorder="1" applyAlignment="1">
      <alignment horizontal="left" vertical="center"/>
    </xf>
    <xf numFmtId="0" fontId="0" fillId="19" borderId="43" xfId="6" applyFont="1" applyFill="1" applyBorder="1">
      <alignment horizontal="center" vertical="center"/>
    </xf>
    <xf numFmtId="0" fontId="6" fillId="0" borderId="39" xfId="0" applyFont="1" applyBorder="1" applyAlignment="1">
      <alignment horizontal="left" vertical="center"/>
    </xf>
    <xf numFmtId="0" fontId="6" fillId="0" borderId="39" xfId="0" applyFont="1" applyBorder="1">
      <alignment horizontal="center" vertical="center"/>
    </xf>
    <xf numFmtId="0" fontId="6" fillId="0" borderId="41" xfId="0" applyFont="1" applyBorder="1">
      <alignment horizontal="center" vertical="center"/>
    </xf>
    <xf numFmtId="0" fontId="9" fillId="0" borderId="39" xfId="0" applyFont="1" applyBorder="1">
      <alignment horizontal="center" vertical="center"/>
    </xf>
    <xf numFmtId="0" fontId="6" fillId="0" borderId="37" xfId="0" applyFont="1" applyBorder="1">
      <alignment horizontal="center" vertical="center"/>
    </xf>
    <xf numFmtId="0" fontId="4" fillId="0" borderId="38" xfId="0" applyFont="1" applyBorder="1" applyAlignment="1">
      <alignment horizontal="center"/>
    </xf>
    <xf numFmtId="49" fontId="0" fillId="0" borderId="44" xfId="0" applyNumberFormat="1" applyBorder="1">
      <alignment horizontal="center" vertical="center"/>
    </xf>
    <xf numFmtId="49" fontId="6" fillId="0" borderId="44" xfId="0" applyNumberFormat="1" applyFont="1" applyBorder="1">
      <alignment horizontal="center" vertical="center"/>
    </xf>
    <xf numFmtId="0" fontId="6" fillId="0" borderId="44" xfId="0" applyFont="1" applyBorder="1">
      <alignment horizontal="center" vertical="center"/>
    </xf>
    <xf numFmtId="0" fontId="4" fillId="0" borderId="45" xfId="0" applyFont="1" applyBorder="1" applyAlignment="1" applyProtection="1">
      <alignment horizontal="center"/>
      <protection locked="0"/>
    </xf>
    <xf numFmtId="0" fontId="0" fillId="0" borderId="45" xfId="0" applyBorder="1" applyAlignment="1">
      <alignment horizontal="left"/>
    </xf>
    <xf numFmtId="0" fontId="0" fillId="19" borderId="46" xfId="0" applyFill="1" applyBorder="1">
      <alignment horizontal="center" vertical="center"/>
    </xf>
    <xf numFmtId="0" fontId="0" fillId="0" borderId="45" xfId="0" applyBorder="1" applyAlignment="1" applyProtection="1">
      <alignment horizontal="center"/>
      <protection locked="0"/>
    </xf>
    <xf numFmtId="0" fontId="12" fillId="0" borderId="45" xfId="0" applyFont="1" applyBorder="1" applyAlignment="1" applyProtection="1">
      <alignment horizontal="center"/>
      <protection locked="0"/>
    </xf>
    <xf numFmtId="0" fontId="0" fillId="19" borderId="46" xfId="8" applyFont="1" applyFill="1" applyBorder="1">
      <alignment horizontal="center" vertical="center"/>
    </xf>
    <xf numFmtId="0" fontId="0" fillId="19" borderId="45" xfId="13" applyFont="1" applyFill="1" applyBorder="1">
      <alignment horizontal="center" vertical="center"/>
    </xf>
    <xf numFmtId="0" fontId="0" fillId="19" borderId="46" xfId="13" applyFont="1" applyFill="1" applyBorder="1">
      <alignment horizontal="center" vertical="center"/>
    </xf>
    <xf numFmtId="0" fontId="6" fillId="0" borderId="45" xfId="0" applyFont="1" applyBorder="1" applyAlignment="1">
      <alignment vertical="center"/>
    </xf>
    <xf numFmtId="0" fontId="18" fillId="0" borderId="45" xfId="0" applyFont="1" applyBorder="1" applyAlignment="1">
      <alignment vertical="center"/>
    </xf>
    <xf numFmtId="49" fontId="0" fillId="19" borderId="46" xfId="0" applyNumberFormat="1" applyFill="1" applyBorder="1">
      <alignment horizontal="center" vertical="center"/>
    </xf>
    <xf numFmtId="0" fontId="0" fillId="19" borderId="45" xfId="15" applyFont="1" applyFill="1" applyBorder="1">
      <alignment horizontal="center" vertical="center"/>
    </xf>
    <xf numFmtId="0" fontId="6" fillId="19" borderId="45" xfId="0" applyFont="1" applyFill="1" applyBorder="1" applyAlignment="1">
      <alignment vertical="center"/>
    </xf>
    <xf numFmtId="0" fontId="0" fillId="0" borderId="47" xfId="0" applyBorder="1">
      <alignment horizontal="center" vertical="center"/>
    </xf>
    <xf numFmtId="0" fontId="0" fillId="22" borderId="47" xfId="0" applyFill="1" applyBorder="1" applyAlignment="1" applyProtection="1">
      <alignment horizontal="center"/>
      <protection locked="0"/>
    </xf>
    <xf numFmtId="0" fontId="0" fillId="19" borderId="48" xfId="0" applyFill="1" applyBorder="1">
      <alignment horizontal="center" vertical="center"/>
    </xf>
    <xf numFmtId="0" fontId="0" fillId="19" borderId="45" xfId="0" applyFill="1" applyBorder="1">
      <alignment horizontal="center" vertical="center"/>
    </xf>
    <xf numFmtId="0" fontId="0" fillId="19" borderId="49" xfId="0" applyFill="1" applyBorder="1">
      <alignment horizontal="center" vertical="center"/>
    </xf>
    <xf numFmtId="0" fontId="0" fillId="25" borderId="45" xfId="0" applyFill="1" applyBorder="1">
      <alignment horizontal="center" vertical="center"/>
    </xf>
    <xf numFmtId="0" fontId="0" fillId="19" borderId="45" xfId="10" applyFont="1" applyFill="1" applyBorder="1">
      <alignment horizontal="center" vertical="center"/>
    </xf>
    <xf numFmtId="0" fontId="0" fillId="19" borderId="45" xfId="5" applyFont="1" applyFill="1" applyBorder="1">
      <alignment horizontal="center" vertical="center"/>
    </xf>
    <xf numFmtId="0" fontId="0" fillId="0" borderId="45" xfId="0" applyBorder="1" applyAlignment="1">
      <alignment vertical="center"/>
    </xf>
    <xf numFmtId="0" fontId="6" fillId="0" borderId="50" xfId="0" applyFont="1" applyBorder="1" applyAlignment="1">
      <alignment horizontal="left"/>
    </xf>
    <xf numFmtId="0" fontId="0" fillId="19" borderId="45" xfId="0" applyFill="1" applyBorder="1" applyAlignment="1" applyProtection="1">
      <alignment horizontal="left" vertical="center"/>
      <protection locked="0"/>
    </xf>
    <xf numFmtId="0" fontId="17" fillId="25" borderId="45" xfId="8" applyBorder="1">
      <alignment horizontal="center" vertical="center"/>
    </xf>
    <xf numFmtId="0" fontId="0" fillId="19" borderId="45" xfId="0" applyFill="1" applyBorder="1" applyAlignment="1">
      <alignment horizontal="left" vertical="center"/>
    </xf>
    <xf numFmtId="0" fontId="0" fillId="19" borderId="45" xfId="12" applyFont="1" applyFill="1" applyBorder="1">
      <alignment horizontal="center" vertical="center"/>
    </xf>
    <xf numFmtId="49" fontId="0" fillId="19" borderId="45" xfId="7" applyNumberFormat="1" applyFont="1" applyFill="1" applyBorder="1">
      <alignment horizontal="center" vertical="center"/>
    </xf>
    <xf numFmtId="0" fontId="0" fillId="27" borderId="45" xfId="0" applyFill="1" applyBorder="1">
      <alignment horizontal="center" vertical="center"/>
    </xf>
    <xf numFmtId="0" fontId="17" fillId="29" borderId="45" xfId="11" applyBorder="1">
      <alignment horizontal="center" vertical="center"/>
    </xf>
    <xf numFmtId="49" fontId="0" fillId="19" borderId="45" xfId="0" applyNumberFormat="1" applyFill="1" applyBorder="1">
      <alignment horizontal="center" vertical="center"/>
    </xf>
    <xf numFmtId="0" fontId="0" fillId="28" borderId="45" xfId="0" applyFill="1" applyBorder="1">
      <alignment horizontal="center" vertical="center"/>
    </xf>
    <xf numFmtId="0" fontId="0" fillId="0" borderId="45" xfId="0" applyBorder="1">
      <alignment horizontal="center" vertical="center"/>
    </xf>
    <xf numFmtId="49" fontId="0" fillId="19" borderId="49" xfId="0" applyNumberFormat="1" applyFill="1" applyBorder="1">
      <alignment horizontal="center" vertical="center"/>
    </xf>
    <xf numFmtId="0" fontId="0" fillId="19" borderId="45" xfId="0" applyFill="1" applyBorder="1" applyAlignment="1">
      <alignment vertical="center"/>
    </xf>
    <xf numFmtId="0" fontId="6" fillId="0" borderId="49" xfId="7" applyBorder="1">
      <alignment horizontal="center" vertical="center"/>
    </xf>
    <xf numFmtId="0" fontId="14" fillId="0" borderId="45" xfId="0" applyFont="1" applyBorder="1" applyAlignment="1" applyProtection="1">
      <alignment horizontal="center"/>
      <protection locked="0"/>
    </xf>
    <xf numFmtId="0" fontId="17" fillId="0" borderId="45" xfId="0" applyFont="1" applyBorder="1" applyAlignment="1">
      <alignment vertical="center"/>
    </xf>
    <xf numFmtId="0" fontId="4" fillId="22" borderId="45" xfId="0" applyFont="1" applyFill="1" applyBorder="1" applyAlignment="1">
      <alignment horizontal="center"/>
    </xf>
    <xf numFmtId="0" fontId="0" fillId="19" borderId="45" xfId="9" applyFont="1" applyFill="1" applyBorder="1">
      <alignment horizontal="center" vertical="center"/>
    </xf>
    <xf numFmtId="49" fontId="18" fillId="0" borderId="45" xfId="0" applyNumberFormat="1" applyFont="1" applyBorder="1">
      <alignment horizontal="center" vertical="center"/>
    </xf>
    <xf numFmtId="0" fontId="18" fillId="0" borderId="51" xfId="0" applyFont="1" applyBorder="1">
      <alignment horizontal="center" vertical="center"/>
    </xf>
    <xf numFmtId="49" fontId="18" fillId="0" borderId="47" xfId="0" applyNumberFormat="1" applyFont="1" applyBorder="1">
      <alignment horizontal="center" vertical="center"/>
    </xf>
    <xf numFmtId="49" fontId="0" fillId="0" borderId="45" xfId="0" applyNumberFormat="1" applyBorder="1">
      <alignment horizontal="center" vertical="center"/>
    </xf>
    <xf numFmtId="0" fontId="0" fillId="19" borderId="45" xfId="0" applyFill="1" applyBorder="1" applyAlignment="1">
      <alignment horizontal="left" vertical="center" wrapText="1"/>
    </xf>
    <xf numFmtId="49" fontId="58" fillId="19" borderId="45" xfId="0" applyNumberFormat="1" applyFont="1" applyFill="1" applyBorder="1">
      <alignment horizontal="center" vertical="center"/>
    </xf>
    <xf numFmtId="0" fontId="17" fillId="19" borderId="45" xfId="6" applyFill="1" applyBorder="1">
      <alignment horizontal="center" vertical="center"/>
    </xf>
    <xf numFmtId="49" fontId="0" fillId="25" borderId="45" xfId="0" applyNumberFormat="1" applyFill="1" applyBorder="1">
      <alignment horizontal="center" vertical="center"/>
    </xf>
    <xf numFmtId="0" fontId="17" fillId="28" borderId="45" xfId="10" applyBorder="1">
      <alignment horizontal="center" vertical="center"/>
    </xf>
    <xf numFmtId="0" fontId="17" fillId="19" borderId="45" xfId="10" applyFill="1" applyBorder="1">
      <alignment horizontal="center" vertical="center"/>
    </xf>
    <xf numFmtId="49" fontId="6" fillId="0" borderId="45" xfId="0" applyNumberFormat="1" applyFont="1" applyBorder="1">
      <alignment horizontal="center" vertical="center"/>
    </xf>
    <xf numFmtId="0" fontId="17" fillId="19" borderId="45" xfId="8" applyFill="1" applyBorder="1">
      <alignment horizontal="center" vertical="center"/>
    </xf>
    <xf numFmtId="168" fontId="25" fillId="37" borderId="38" xfId="0" applyNumberFormat="1" applyFont="1" applyFill="1" applyBorder="1" applyAlignment="1">
      <alignment horizontal="left" wrapText="1"/>
    </xf>
    <xf numFmtId="0" fontId="6" fillId="32" borderId="45" xfId="15" applyBorder="1">
      <alignment horizontal="center" vertical="center"/>
    </xf>
    <xf numFmtId="49" fontId="6" fillId="0" borderId="47" xfId="0" applyNumberFormat="1" applyFont="1" applyBorder="1">
      <alignment horizontal="center" vertical="center"/>
    </xf>
    <xf numFmtId="0" fontId="17" fillId="25" borderId="53" xfId="8" applyBorder="1">
      <alignment horizontal="center" vertical="center"/>
    </xf>
    <xf numFmtId="0" fontId="0" fillId="19" borderId="53" xfId="0" applyFill="1" applyBorder="1">
      <alignment horizontal="center" vertical="center"/>
    </xf>
    <xf numFmtId="0" fontId="0" fillId="19" borderId="54" xfId="0" applyFill="1" applyBorder="1">
      <alignment horizontal="center" vertical="center"/>
    </xf>
    <xf numFmtId="0" fontId="0" fillId="0" borderId="53" xfId="0" applyBorder="1" applyAlignment="1">
      <alignment vertical="center"/>
    </xf>
    <xf numFmtId="0" fontId="17" fillId="24" borderId="53" xfId="6" applyBorder="1">
      <alignment horizontal="center" vertical="center"/>
    </xf>
    <xf numFmtId="0" fontId="0" fillId="22" borderId="52" xfId="0" applyFill="1" applyBorder="1" applyAlignment="1" applyProtection="1">
      <alignment horizontal="center"/>
      <protection locked="0"/>
    </xf>
    <xf numFmtId="0" fontId="0" fillId="0" borderId="52" xfId="0" applyBorder="1" applyAlignment="1">
      <alignment horizontal="left" vertical="center"/>
    </xf>
    <xf numFmtId="0" fontId="0" fillId="19" borderId="52" xfId="0" applyFill="1" applyBorder="1">
      <alignment horizontal="center" vertical="center"/>
    </xf>
    <xf numFmtId="0" fontId="17" fillId="27" borderId="45" xfId="9" applyBorder="1">
      <alignment horizontal="center" vertical="center"/>
    </xf>
    <xf numFmtId="0" fontId="17" fillId="0" borderId="38" xfId="0" applyFont="1" applyBorder="1" applyAlignment="1">
      <alignment vertical="center"/>
    </xf>
    <xf numFmtId="0" fontId="6" fillId="0" borderId="38" xfId="7" applyBorder="1">
      <alignment horizontal="center" vertical="center"/>
    </xf>
    <xf numFmtId="0" fontId="0" fillId="0" borderId="56" xfId="0" applyBorder="1">
      <alignment horizontal="center" vertical="center"/>
    </xf>
    <xf numFmtId="0" fontId="0" fillId="0" borderId="57" xfId="0" applyBorder="1">
      <alignment horizontal="center" vertical="center"/>
    </xf>
    <xf numFmtId="0" fontId="0" fillId="0" borderId="58" xfId="0" applyBorder="1" applyAlignment="1">
      <alignment horizontal="left" vertical="center"/>
    </xf>
    <xf numFmtId="49" fontId="0" fillId="0" borderId="47" xfId="0" applyNumberFormat="1" applyBorder="1">
      <alignment horizontal="center" vertical="center"/>
    </xf>
    <xf numFmtId="0" fontId="6" fillId="0" borderId="47" xfId="0" applyFont="1" applyBorder="1">
      <alignment horizontal="center" vertical="center"/>
    </xf>
    <xf numFmtId="0" fontId="4" fillId="0" borderId="45" xfId="0" applyFont="1" applyBorder="1" applyAlignment="1">
      <alignment horizontal="center"/>
    </xf>
    <xf numFmtId="0" fontId="0" fillId="0" borderId="59" xfId="0" applyBorder="1" applyAlignment="1">
      <alignment horizontal="left" vertical="center"/>
    </xf>
    <xf numFmtId="0" fontId="0" fillId="0" borderId="60" xfId="0" applyBorder="1" applyAlignment="1">
      <alignment horizontal="left" vertical="center"/>
    </xf>
    <xf numFmtId="0" fontId="0" fillId="0" borderId="61" xfId="0" applyBorder="1" applyAlignment="1">
      <alignment horizontal="left" vertical="center"/>
    </xf>
    <xf numFmtId="49" fontId="0" fillId="0" borderId="61" xfId="0" applyNumberFormat="1" applyBorder="1" applyAlignment="1">
      <alignment horizontal="left"/>
    </xf>
    <xf numFmtId="0" fontId="4" fillId="0" borderId="62" xfId="0" applyFont="1" applyBorder="1" applyAlignment="1">
      <alignment horizontal="center"/>
    </xf>
    <xf numFmtId="0" fontId="4" fillId="0" borderId="63" xfId="0" applyFont="1" applyBorder="1" applyAlignment="1">
      <alignment horizontal="center"/>
    </xf>
    <xf numFmtId="0" fontId="0" fillId="0" borderId="64" xfId="0" applyBorder="1" applyAlignment="1">
      <alignment horizontal="center"/>
    </xf>
    <xf numFmtId="0" fontId="4" fillId="0" borderId="65" xfId="0" applyFont="1" applyBorder="1" applyAlignment="1" applyProtection="1">
      <alignment horizontal="center"/>
      <protection locked="0"/>
    </xf>
    <xf numFmtId="0" fontId="5" fillId="0" borderId="65" xfId="0" applyFont="1" applyBorder="1" applyAlignment="1">
      <alignment horizontal="center"/>
    </xf>
    <xf numFmtId="0" fontId="0" fillId="0" borderId="66" xfId="0" applyBorder="1" applyAlignment="1" applyProtection="1">
      <alignment horizontal="center"/>
      <protection locked="0"/>
    </xf>
    <xf numFmtId="0" fontId="0" fillId="19" borderId="66" xfId="8" applyFont="1" applyFill="1" applyBorder="1">
      <alignment horizontal="center" vertical="center"/>
    </xf>
    <xf numFmtId="0" fontId="0" fillId="19" borderId="66" xfId="11" applyFont="1" applyFill="1" applyBorder="1">
      <alignment horizontal="center" vertical="center"/>
    </xf>
    <xf numFmtId="49" fontId="0" fillId="19" borderId="66" xfId="0" applyNumberFormat="1" applyFill="1" applyBorder="1">
      <alignment horizontal="center" vertical="center"/>
    </xf>
    <xf numFmtId="49" fontId="0" fillId="19" borderId="66" xfId="1" applyNumberFormat="1" applyFont="1" applyFill="1" applyBorder="1" applyAlignment="1">
      <alignment horizontal="center" vertical="center"/>
    </xf>
    <xf numFmtId="0" fontId="0" fillId="22" borderId="66" xfId="0" applyFill="1" applyBorder="1" applyAlignment="1">
      <alignment horizontal="center"/>
    </xf>
    <xf numFmtId="0" fontId="0" fillId="11" borderId="66" xfId="0" applyFill="1" applyBorder="1" applyAlignment="1" applyProtection="1">
      <alignment horizontal="center"/>
      <protection locked="0"/>
    </xf>
    <xf numFmtId="0" fontId="0" fillId="19" borderId="66" xfId="6" applyFont="1" applyFill="1" applyBorder="1">
      <alignment horizontal="center" vertical="center"/>
    </xf>
    <xf numFmtId="0" fontId="0" fillId="19" borderId="66" xfId="10" applyFont="1" applyFill="1" applyBorder="1">
      <alignment horizontal="center" vertical="center"/>
    </xf>
    <xf numFmtId="0" fontId="0" fillId="0" borderId="65" xfId="0" applyBorder="1" applyAlignment="1" applyProtection="1">
      <alignment horizontal="center"/>
      <protection locked="0"/>
    </xf>
    <xf numFmtId="49" fontId="0" fillId="19" borderId="68" xfId="0" applyNumberFormat="1" applyFill="1" applyBorder="1">
      <alignment horizontal="center" vertical="center"/>
    </xf>
    <xf numFmtId="0" fontId="0" fillId="19" borderId="68" xfId="9" applyFont="1" applyFill="1" applyBorder="1">
      <alignment horizontal="center" vertical="center"/>
    </xf>
    <xf numFmtId="0" fontId="4" fillId="0" borderId="69" xfId="0" applyFont="1" applyBorder="1" applyAlignment="1">
      <alignment horizontal="center"/>
    </xf>
    <xf numFmtId="0" fontId="4" fillId="0" borderId="70" xfId="0" applyFont="1" applyBorder="1" applyAlignment="1" applyProtection="1">
      <alignment horizontal="center"/>
      <protection locked="0"/>
    </xf>
    <xf numFmtId="0" fontId="0" fillId="0" borderId="66" xfId="0" applyBorder="1" applyAlignment="1">
      <alignment vertical="center"/>
    </xf>
    <xf numFmtId="0" fontId="21" fillId="0" borderId="66" xfId="0" applyFont="1" applyBorder="1" applyAlignment="1">
      <alignment vertical="center"/>
    </xf>
    <xf numFmtId="0" fontId="20" fillId="0" borderId="71" xfId="0" applyFont="1" applyBorder="1" applyAlignment="1">
      <alignment vertical="center"/>
    </xf>
    <xf numFmtId="49" fontId="0" fillId="19" borderId="72" xfId="0" applyNumberFormat="1" applyFill="1" applyBorder="1">
      <alignment horizontal="center" vertical="center"/>
    </xf>
    <xf numFmtId="49" fontId="0" fillId="19" borderId="65" xfId="0" applyNumberFormat="1" applyFill="1" applyBorder="1">
      <alignment horizontal="center" vertical="center"/>
    </xf>
    <xf numFmtId="0" fontId="0" fillId="19" borderId="65" xfId="0" applyFill="1" applyBorder="1">
      <alignment horizontal="center" vertical="center"/>
    </xf>
    <xf numFmtId="49" fontId="0" fillId="19" borderId="73" xfId="0" applyNumberFormat="1" applyFill="1" applyBorder="1">
      <alignment horizontal="center" vertical="center"/>
    </xf>
    <xf numFmtId="0" fontId="0" fillId="0" borderId="66" xfId="0" applyBorder="1" applyAlignment="1" applyProtection="1">
      <alignment horizontal="left"/>
      <protection locked="0"/>
    </xf>
    <xf numFmtId="0" fontId="19" fillId="0" borderId="66" xfId="0" applyFont="1" applyBorder="1" applyAlignment="1">
      <alignment vertical="center"/>
    </xf>
    <xf numFmtId="0" fontId="13" fillId="42" borderId="38" xfId="0" applyFont="1" applyFill="1" applyBorder="1" applyAlignment="1">
      <alignment horizontal="center"/>
    </xf>
    <xf numFmtId="169" fontId="13" fillId="42" borderId="38" xfId="0" applyNumberFormat="1" applyFont="1" applyFill="1" applyBorder="1" applyAlignment="1">
      <alignment horizontal="center"/>
    </xf>
    <xf numFmtId="0" fontId="15" fillId="0" borderId="38" xfId="0" applyFont="1" applyBorder="1" applyAlignment="1">
      <alignment vertical="center"/>
    </xf>
    <xf numFmtId="0" fontId="15" fillId="0" borderId="38" xfId="0" applyFont="1" applyBorder="1">
      <alignment horizontal="center" vertical="center"/>
    </xf>
    <xf numFmtId="0" fontId="15" fillId="0" borderId="38" xfId="0" applyFont="1" applyBorder="1" applyAlignment="1"/>
    <xf numFmtId="0" fontId="15" fillId="19" borderId="38" xfId="0" applyFont="1" applyFill="1" applyBorder="1" applyAlignment="1">
      <alignment horizontal="left" vertical="center"/>
    </xf>
    <xf numFmtId="0" fontId="15" fillId="0" borderId="38" xfId="0" applyFont="1" applyBorder="1" applyAlignment="1">
      <alignment horizontal="left" vertical="center"/>
    </xf>
    <xf numFmtId="0" fontId="13" fillId="0" borderId="38" xfId="0" applyFont="1" applyBorder="1" applyAlignment="1">
      <alignment horizontal="center"/>
    </xf>
    <xf numFmtId="0" fontId="5" fillId="6" borderId="82" xfId="0" applyFont="1" applyFill="1" applyBorder="1" applyAlignment="1">
      <alignment horizontal="left"/>
    </xf>
    <xf numFmtId="0" fontId="5" fillId="7" borderId="82" xfId="0" applyFont="1" applyFill="1" applyBorder="1">
      <alignment horizontal="center" vertical="center"/>
    </xf>
    <xf numFmtId="0" fontId="6" fillId="7" borderId="83" xfId="0" applyFont="1" applyFill="1" applyBorder="1">
      <alignment horizontal="center" vertical="center"/>
    </xf>
    <xf numFmtId="0" fontId="5" fillId="8" borderId="82" xfId="0" applyFont="1" applyFill="1" applyBorder="1" applyAlignment="1">
      <alignment horizontal="left"/>
    </xf>
    <xf numFmtId="0" fontId="5" fillId="8" borderId="83" xfId="0" applyFont="1" applyFill="1" applyBorder="1" applyAlignment="1">
      <alignment horizontal="left"/>
    </xf>
    <xf numFmtId="0" fontId="6" fillId="8" borderId="83" xfId="0" applyFont="1" applyFill="1" applyBorder="1">
      <alignment horizontal="center" vertical="center"/>
    </xf>
    <xf numFmtId="0" fontId="6" fillId="8" borderId="84" xfId="0" applyFont="1" applyFill="1" applyBorder="1">
      <alignment horizontal="center" vertical="center"/>
    </xf>
    <xf numFmtId="0" fontId="5" fillId="9" borderId="82" xfId="0" applyFont="1" applyFill="1" applyBorder="1" applyAlignment="1">
      <alignment horizontal="left"/>
    </xf>
    <xf numFmtId="0" fontId="5" fillId="9" borderId="83" xfId="0" applyFont="1" applyFill="1" applyBorder="1" applyAlignment="1">
      <alignment horizontal="left"/>
    </xf>
    <xf numFmtId="0" fontId="0" fillId="9" borderId="83" xfId="0" applyFill="1" applyBorder="1">
      <alignment horizontal="center" vertical="center"/>
    </xf>
    <xf numFmtId="0" fontId="5" fillId="10" borderId="82" xfId="0" applyFont="1" applyFill="1" applyBorder="1" applyAlignment="1">
      <alignment horizontal="left"/>
    </xf>
    <xf numFmtId="0" fontId="0" fillId="10" borderId="83" xfId="0" applyFill="1" applyBorder="1">
      <alignment horizontal="center" vertical="center"/>
    </xf>
    <xf numFmtId="0" fontId="6" fillId="10" borderId="83" xfId="0" applyFont="1" applyFill="1" applyBorder="1">
      <alignment horizontal="center" vertical="center"/>
    </xf>
    <xf numFmtId="0" fontId="6" fillId="10" borderId="84" xfId="0" applyFont="1" applyFill="1" applyBorder="1">
      <alignment horizontal="center" vertical="center"/>
    </xf>
    <xf numFmtId="0" fontId="5" fillId="11" borderId="82" xfId="0" applyFont="1" applyFill="1" applyBorder="1">
      <alignment horizontal="center" vertical="center"/>
    </xf>
    <xf numFmtId="0" fontId="0" fillId="11" borderId="83" xfId="0" applyFill="1" applyBorder="1">
      <alignment horizontal="center" vertical="center"/>
    </xf>
    <xf numFmtId="0" fontId="6" fillId="11" borderId="83" xfId="0" applyFont="1" applyFill="1" applyBorder="1">
      <alignment horizontal="center" vertical="center"/>
    </xf>
    <xf numFmtId="0" fontId="5" fillId="12" borderId="82" xfId="0" applyFont="1" applyFill="1" applyBorder="1" applyAlignment="1">
      <alignment horizontal="left"/>
    </xf>
    <xf numFmtId="0" fontId="6" fillId="12" borderId="83" xfId="0" applyFont="1" applyFill="1" applyBorder="1">
      <alignment horizontal="center" vertical="center"/>
    </xf>
    <xf numFmtId="0" fontId="0" fillId="12" borderId="84" xfId="0" applyFill="1" applyBorder="1">
      <alignment horizontal="center" vertical="center"/>
    </xf>
    <xf numFmtId="0" fontId="0" fillId="13" borderId="85" xfId="0" applyFill="1" applyBorder="1">
      <alignment horizontal="center" vertical="center"/>
    </xf>
    <xf numFmtId="0" fontId="6" fillId="13" borderId="85" xfId="0" applyFont="1" applyFill="1" applyBorder="1">
      <alignment horizontal="center" vertical="center"/>
    </xf>
    <xf numFmtId="0" fontId="6" fillId="13" borderId="86" xfId="0" applyFont="1" applyFill="1" applyBorder="1">
      <alignment horizontal="center" vertical="center"/>
    </xf>
    <xf numFmtId="0" fontId="5" fillId="0" borderId="87" xfId="0" applyFont="1" applyBorder="1" applyAlignment="1">
      <alignment horizontal="left" vertical="center"/>
    </xf>
    <xf numFmtId="0" fontId="6" fillId="0" borderId="85" xfId="0" applyFont="1" applyBorder="1">
      <alignment horizontal="center" vertical="center"/>
    </xf>
    <xf numFmtId="0" fontId="6" fillId="0" borderId="86" xfId="0" applyFont="1" applyBorder="1">
      <alignment horizontal="center" vertical="center"/>
    </xf>
    <xf numFmtId="0" fontId="5" fillId="14" borderId="80" xfId="0" applyFont="1" applyFill="1" applyBorder="1" applyAlignment="1">
      <alignment horizontal="left"/>
    </xf>
    <xf numFmtId="0" fontId="5" fillId="15" borderId="82" xfId="0" applyFont="1" applyFill="1" applyBorder="1">
      <alignment horizontal="center" vertical="center"/>
    </xf>
    <xf numFmtId="0" fontId="6" fillId="15" borderId="83" xfId="0" applyFont="1" applyFill="1" applyBorder="1">
      <alignment horizontal="center" vertical="center"/>
    </xf>
    <xf numFmtId="0" fontId="6" fillId="0" borderId="82" xfId="0" applyFont="1" applyBorder="1" applyAlignment="1">
      <alignment horizontal="left"/>
    </xf>
    <xf numFmtId="0" fontId="0" fillId="0" borderId="83" xfId="0" applyBorder="1">
      <alignment horizontal="center" vertical="center"/>
    </xf>
    <xf numFmtId="0" fontId="6" fillId="0" borderId="83" xfId="0" applyFont="1" applyBorder="1" applyAlignment="1">
      <alignment horizontal="left"/>
    </xf>
    <xf numFmtId="0" fontId="6" fillId="0" borderId="83" xfId="0" applyFont="1" applyBorder="1">
      <alignment horizontal="center" vertical="center"/>
    </xf>
    <xf numFmtId="0" fontId="6" fillId="0" borderId="84" xfId="0" applyFont="1" applyBorder="1">
      <alignment horizontal="center" vertical="center"/>
    </xf>
    <xf numFmtId="0" fontId="6" fillId="17" borderId="82" xfId="0" applyFont="1" applyFill="1" applyBorder="1" applyAlignment="1">
      <alignment horizontal="left" vertical="center"/>
    </xf>
    <xf numFmtId="0" fontId="6" fillId="17" borderId="83" xfId="0" applyFont="1" applyFill="1" applyBorder="1">
      <alignment horizontal="center" vertical="center"/>
    </xf>
    <xf numFmtId="0" fontId="6" fillId="17" borderId="84" xfId="0" applyFont="1" applyFill="1" applyBorder="1">
      <alignment horizontal="center" vertical="center"/>
    </xf>
    <xf numFmtId="0" fontId="4" fillId="0" borderId="82" xfId="0" applyFont="1" applyBorder="1" applyAlignment="1">
      <alignment horizontal="left" vertical="center"/>
    </xf>
    <xf numFmtId="0" fontId="0" fillId="0" borderId="84" xfId="0" applyBorder="1">
      <alignment horizontal="center" vertical="center"/>
    </xf>
    <xf numFmtId="0" fontId="0" fillId="0" borderId="88" xfId="0" applyBorder="1">
      <alignment horizontal="center" vertical="center"/>
    </xf>
    <xf numFmtId="0" fontId="4" fillId="0" borderId="83" xfId="0" applyFont="1" applyBorder="1" applyAlignment="1">
      <alignment horizontal="left" vertical="center"/>
    </xf>
    <xf numFmtId="0" fontId="0" fillId="0" borderId="89" xfId="0" applyBorder="1">
      <alignment horizontal="center" vertical="center"/>
    </xf>
    <xf numFmtId="0" fontId="7" fillId="0" borderId="87" xfId="0" applyFont="1" applyBorder="1">
      <alignment horizontal="center" vertical="center"/>
    </xf>
    <xf numFmtId="0" fontId="0" fillId="0" borderId="85" xfId="0" applyBorder="1">
      <alignment horizontal="center" vertical="center"/>
    </xf>
    <xf numFmtId="0" fontId="0" fillId="0" borderId="86" xfId="0" applyBorder="1">
      <alignment horizontal="center" vertical="center"/>
    </xf>
    <xf numFmtId="0" fontId="4" fillId="0" borderId="82" xfId="0" applyFont="1" applyBorder="1">
      <alignment horizontal="center" vertical="center"/>
    </xf>
    <xf numFmtId="0" fontId="0" fillId="0" borderId="90" xfId="0" applyBorder="1" applyAlignment="1" applyProtection="1">
      <alignment horizontal="center"/>
      <protection locked="0"/>
    </xf>
    <xf numFmtId="0" fontId="5" fillId="0" borderId="90" xfId="0" applyFont="1" applyBorder="1" applyAlignment="1">
      <alignment horizontal="center"/>
    </xf>
    <xf numFmtId="0" fontId="0" fillId="18" borderId="90" xfId="0" applyFill="1" applyBorder="1">
      <alignment horizontal="center" vertical="center"/>
    </xf>
    <xf numFmtId="0" fontId="0" fillId="19" borderId="90" xfId="0" applyFill="1" applyBorder="1">
      <alignment horizontal="center" vertical="center"/>
    </xf>
    <xf numFmtId="0" fontId="0" fillId="19" borderId="91" xfId="0" applyFill="1" applyBorder="1">
      <alignment horizontal="center" vertical="center"/>
    </xf>
    <xf numFmtId="0" fontId="0" fillId="22" borderId="87" xfId="0" applyFill="1" applyBorder="1" applyAlignment="1" applyProtection="1">
      <alignment horizontal="left"/>
      <protection locked="0"/>
    </xf>
    <xf numFmtId="0" fontId="6" fillId="0" borderId="53" xfId="7" applyBorder="1">
      <alignment horizontal="center" vertical="center"/>
    </xf>
    <xf numFmtId="0" fontId="4" fillId="11" borderId="82" xfId="0" applyFont="1" applyFill="1" applyBorder="1" applyAlignment="1">
      <alignment horizontal="left" vertical="center"/>
    </xf>
    <xf numFmtId="0" fontId="0" fillId="11" borderId="80" xfId="0" applyFill="1" applyBorder="1">
      <alignment horizontal="center" vertical="center"/>
    </xf>
    <xf numFmtId="0" fontId="0" fillId="11" borderId="92" xfId="0" applyFill="1" applyBorder="1">
      <alignment horizontal="center" vertical="center"/>
    </xf>
    <xf numFmtId="0" fontId="5" fillId="0" borderId="80" xfId="0" applyFont="1" applyBorder="1" applyAlignment="1">
      <alignment horizontal="left" vertical="center"/>
    </xf>
    <xf numFmtId="1" fontId="0" fillId="19" borderId="80" xfId="1" applyNumberFormat="1" applyFont="1" applyFill="1" applyBorder="1" applyAlignment="1">
      <alignment horizontal="center" vertical="center"/>
    </xf>
    <xf numFmtId="0" fontId="0" fillId="19" borderId="80" xfId="6" applyFont="1" applyFill="1" applyBorder="1">
      <alignment horizontal="center" vertical="center"/>
    </xf>
    <xf numFmtId="1" fontId="0" fillId="19" borderId="80" xfId="0" applyNumberFormat="1" applyFill="1" applyBorder="1">
      <alignment horizontal="center" vertical="center"/>
    </xf>
    <xf numFmtId="0" fontId="0" fillId="19" borderId="80" xfId="5" applyFont="1" applyFill="1" applyBorder="1">
      <alignment horizontal="center" vertical="center"/>
    </xf>
    <xf numFmtId="1" fontId="0" fillId="25" borderId="80" xfId="0" applyNumberFormat="1" applyFill="1" applyBorder="1">
      <alignment horizontal="center" vertical="center"/>
    </xf>
    <xf numFmtId="1" fontId="0" fillId="25" borderId="92" xfId="0" applyNumberFormat="1" applyFill="1" applyBorder="1">
      <alignment horizontal="center" vertical="center"/>
    </xf>
    <xf numFmtId="0" fontId="0" fillId="22" borderId="82" xfId="0" applyFill="1" applyBorder="1" applyAlignment="1" applyProtection="1">
      <alignment horizontal="center"/>
      <protection locked="0"/>
    </xf>
    <xf numFmtId="1" fontId="0" fillId="19" borderId="92" xfId="0" applyNumberFormat="1" applyFill="1" applyBorder="1">
      <alignment horizontal="center" vertical="center"/>
    </xf>
    <xf numFmtId="0" fontId="0" fillId="0" borderId="80" xfId="0" applyBorder="1" applyAlignment="1">
      <alignment horizontal="left" vertical="center"/>
    </xf>
    <xf numFmtId="0" fontId="17" fillId="24" borderId="80" xfId="6" applyBorder="1">
      <alignment horizontal="center" vertical="center"/>
    </xf>
    <xf numFmtId="1" fontId="0" fillId="0" borderId="80" xfId="0" applyNumberFormat="1" applyBorder="1">
      <alignment horizontal="center" vertical="center"/>
    </xf>
    <xf numFmtId="1" fontId="0" fillId="19" borderId="80" xfId="6" applyNumberFormat="1" applyFont="1" applyFill="1" applyBorder="1">
      <alignment horizontal="center" vertical="center"/>
    </xf>
    <xf numFmtId="0" fontId="4" fillId="11" borderId="87" xfId="0" applyFont="1" applyFill="1" applyBorder="1" applyAlignment="1" applyProtection="1">
      <alignment horizontal="left"/>
      <protection locked="0"/>
    </xf>
    <xf numFmtId="0" fontId="4" fillId="11" borderId="93" xfId="0" applyFont="1" applyFill="1" applyBorder="1">
      <alignment horizontal="center" vertical="center"/>
    </xf>
    <xf numFmtId="1" fontId="0" fillId="11" borderId="93" xfId="0" applyNumberFormat="1" applyFill="1" applyBorder="1">
      <alignment horizontal="center" vertical="center"/>
    </xf>
    <xf numFmtId="0" fontId="0" fillId="11" borderId="94" xfId="0" applyFill="1" applyBorder="1">
      <alignment horizontal="center" vertical="center"/>
    </xf>
    <xf numFmtId="0" fontId="0" fillId="19" borderId="95" xfId="7" applyFont="1" applyFill="1" applyBorder="1">
      <alignment horizontal="center" vertical="center"/>
    </xf>
    <xf numFmtId="0" fontId="0" fillId="19" borderId="52" xfId="7" applyFont="1" applyFill="1" applyBorder="1">
      <alignment horizontal="center" vertical="center"/>
    </xf>
    <xf numFmtId="49" fontId="0" fillId="19" borderId="52" xfId="7" applyNumberFormat="1" applyFont="1" applyFill="1" applyBorder="1">
      <alignment horizontal="center" vertical="center"/>
    </xf>
    <xf numFmtId="0" fontId="0" fillId="22" borderId="95" xfId="0" applyFill="1" applyBorder="1" applyAlignment="1" applyProtection="1">
      <alignment horizontal="center"/>
      <protection locked="0"/>
    </xf>
    <xf numFmtId="0" fontId="0" fillId="0" borderId="95" xfId="0" applyBorder="1" applyAlignment="1">
      <alignment horizontal="left" vertical="center"/>
    </xf>
    <xf numFmtId="0" fontId="0" fillId="27" borderId="95" xfId="7" applyFont="1" applyFill="1" applyBorder="1">
      <alignment horizontal="center" vertical="center"/>
    </xf>
    <xf numFmtId="0" fontId="0" fillId="24" borderId="95" xfId="7" applyFont="1" applyFill="1" applyBorder="1">
      <alignment horizontal="center" vertical="center"/>
    </xf>
    <xf numFmtId="0" fontId="17" fillId="24" borderId="95" xfId="6" applyBorder="1">
      <alignment horizontal="center" vertical="center"/>
    </xf>
    <xf numFmtId="0" fontId="0" fillId="19" borderId="95" xfId="0" applyFill="1" applyBorder="1">
      <alignment horizontal="center" vertical="center"/>
    </xf>
    <xf numFmtId="0" fontId="0" fillId="19" borderId="95" xfId="6" applyFont="1" applyFill="1" applyBorder="1">
      <alignment horizontal="center" vertical="center"/>
    </xf>
    <xf numFmtId="0" fontId="0" fillId="19" borderId="95" xfId="8" applyFont="1" applyFill="1" applyBorder="1">
      <alignment horizontal="center" vertical="center"/>
    </xf>
    <xf numFmtId="0" fontId="6" fillId="0" borderId="95" xfId="7" applyBorder="1">
      <alignment horizontal="center" vertical="center"/>
    </xf>
    <xf numFmtId="0" fontId="0" fillId="19" borderId="96" xfId="0" applyFill="1" applyBorder="1">
      <alignment horizontal="center" vertical="center"/>
    </xf>
    <xf numFmtId="0" fontId="0" fillId="0" borderId="95" xfId="7" applyFont="1" applyBorder="1" applyAlignment="1">
      <alignment vertical="center"/>
    </xf>
    <xf numFmtId="0" fontId="0" fillId="25" borderId="95" xfId="8" applyFont="1" applyBorder="1">
      <alignment horizontal="center" vertical="center"/>
    </xf>
    <xf numFmtId="0" fontId="0" fillId="25" borderId="95" xfId="7" applyFont="1" applyFill="1" applyBorder="1">
      <alignment horizontal="center" vertical="center"/>
    </xf>
    <xf numFmtId="0" fontId="0" fillId="25" borderId="95" xfId="0" applyFill="1" applyBorder="1">
      <alignment horizontal="center" vertical="center"/>
    </xf>
    <xf numFmtId="0" fontId="0" fillId="25" borderId="96" xfId="0" applyFill="1" applyBorder="1">
      <alignment horizontal="center" vertical="center"/>
    </xf>
    <xf numFmtId="0" fontId="0" fillId="0" borderId="42" xfId="0" applyBorder="1" applyAlignment="1">
      <alignment horizontal="left" vertical="center"/>
    </xf>
    <xf numFmtId="0" fontId="17" fillId="25" borderId="95" xfId="8" applyBorder="1">
      <alignment horizontal="center" vertical="center"/>
    </xf>
    <xf numFmtId="0" fontId="0" fillId="22" borderId="79" xfId="0" applyFill="1" applyBorder="1" applyAlignment="1" applyProtection="1">
      <alignment horizontal="center"/>
      <protection locked="0"/>
    </xf>
    <xf numFmtId="0" fontId="0" fillId="0" borderId="79" xfId="7" applyFont="1" applyBorder="1" applyAlignment="1">
      <alignment vertical="center"/>
    </xf>
    <xf numFmtId="0" fontId="0" fillId="19" borderId="79" xfId="0" applyFill="1" applyBorder="1">
      <alignment horizontal="center" vertical="center"/>
    </xf>
    <xf numFmtId="0" fontId="0" fillId="19" borderId="68" xfId="12" applyFont="1" applyFill="1" applyBorder="1">
      <alignment horizontal="center" vertical="center"/>
    </xf>
    <xf numFmtId="0" fontId="4" fillId="0" borderId="97" xfId="0" applyFont="1" applyBorder="1" applyAlignment="1">
      <alignment horizontal="left" vertical="center"/>
    </xf>
    <xf numFmtId="0" fontId="0" fillId="0" borderId="98" xfId="0" applyBorder="1" applyAlignment="1">
      <alignment horizontal="left"/>
    </xf>
    <xf numFmtId="0" fontId="4" fillId="0" borderId="99" xfId="0" applyFont="1" applyBorder="1" applyAlignment="1">
      <alignment vertical="center"/>
    </xf>
    <xf numFmtId="0" fontId="0" fillId="0" borderId="98" xfId="0" applyBorder="1">
      <alignment horizontal="center" vertical="center"/>
    </xf>
    <xf numFmtId="0" fontId="4" fillId="0" borderId="100" xfId="0" applyFont="1" applyBorder="1" applyAlignment="1">
      <alignment horizontal="left" vertical="center"/>
    </xf>
    <xf numFmtId="0" fontId="4" fillId="0" borderId="100" xfId="0" applyFont="1" applyBorder="1" applyAlignment="1">
      <alignment horizontal="left"/>
    </xf>
    <xf numFmtId="0" fontId="4" fillId="0" borderId="99" xfId="0" applyFont="1" applyBorder="1" applyAlignment="1">
      <alignment wrapText="1"/>
    </xf>
    <xf numFmtId="0" fontId="4" fillId="0" borderId="101" xfId="0" applyFont="1" applyBorder="1" applyAlignment="1">
      <alignment wrapText="1"/>
    </xf>
    <xf numFmtId="0" fontId="4" fillId="0" borderId="102" xfId="0" applyFont="1" applyBorder="1" applyAlignment="1">
      <alignment wrapText="1"/>
    </xf>
    <xf numFmtId="0" fontId="4" fillId="0" borderId="101" xfId="0" applyFont="1" applyBorder="1" applyAlignment="1">
      <alignment vertical="center"/>
    </xf>
    <xf numFmtId="0" fontId="0" fillId="0" borderId="101" xfId="0" applyBorder="1">
      <alignment horizontal="center" vertical="center"/>
    </xf>
    <xf numFmtId="0" fontId="0" fillId="0" borderId="103" xfId="0" applyBorder="1">
      <alignment horizontal="center" vertical="center"/>
    </xf>
    <xf numFmtId="0" fontId="4" fillId="0" borderId="104" xfId="0" applyFont="1" applyBorder="1" applyAlignment="1">
      <alignment horizontal="left" vertical="center"/>
    </xf>
    <xf numFmtId="0" fontId="4" fillId="0" borderId="105" xfId="0" applyFont="1" applyBorder="1" applyAlignment="1">
      <alignment vertical="center"/>
    </xf>
    <xf numFmtId="0" fontId="7" fillId="0" borderId="106" xfId="0" applyFont="1" applyBorder="1">
      <alignment horizontal="center" vertical="center"/>
    </xf>
    <xf numFmtId="0" fontId="4" fillId="0" borderId="67" xfId="0" applyFont="1" applyBorder="1" applyAlignment="1">
      <alignment horizontal="left" vertical="center"/>
    </xf>
    <xf numFmtId="0" fontId="7" fillId="0" borderId="107" xfId="0" applyFont="1" applyBorder="1">
      <alignment horizontal="center" vertical="center"/>
    </xf>
    <xf numFmtId="0" fontId="4" fillId="0" borderId="107" xfId="0" applyFont="1" applyBorder="1">
      <alignment horizontal="center" vertical="center"/>
    </xf>
    <xf numFmtId="0" fontId="4" fillId="0" borderId="62" xfId="0" applyFont="1" applyBorder="1" applyAlignment="1">
      <alignment horizontal="left" vertical="center"/>
    </xf>
    <xf numFmtId="0" fontId="0" fillId="0" borderId="105" xfId="0" applyBorder="1" applyAlignment="1">
      <alignment vertical="center"/>
    </xf>
    <xf numFmtId="0" fontId="0" fillId="0" borderId="106" xfId="0" applyBorder="1" applyAlignment="1">
      <alignment horizontal="left" vertical="center"/>
    </xf>
    <xf numFmtId="0" fontId="0" fillId="0" borderId="108" xfId="0" applyBorder="1">
      <alignment horizontal="center" vertical="center"/>
    </xf>
    <xf numFmtId="0" fontId="4" fillId="0" borderId="63" xfId="0" applyFont="1" applyBorder="1" applyAlignment="1">
      <alignment horizontal="left" vertical="center"/>
    </xf>
    <xf numFmtId="0" fontId="0" fillId="0" borderId="64" xfId="0" applyBorder="1">
      <alignment horizontal="center" vertical="center"/>
    </xf>
    <xf numFmtId="0" fontId="0" fillId="0" borderId="61" xfId="0" applyBorder="1" applyAlignment="1">
      <alignment vertical="center"/>
    </xf>
    <xf numFmtId="0" fontId="0" fillId="0" borderId="109" xfId="0" applyBorder="1">
      <alignment horizontal="center" vertical="center"/>
    </xf>
    <xf numFmtId="0" fontId="4" fillId="0" borderId="61" xfId="0" applyFont="1" applyBorder="1">
      <alignment horizontal="center" vertical="center"/>
    </xf>
    <xf numFmtId="0" fontId="0" fillId="0" borderId="64" xfId="0" applyBorder="1" applyAlignment="1">
      <alignment horizontal="left" vertical="center"/>
    </xf>
    <xf numFmtId="0" fontId="7" fillId="0" borderId="64" xfId="0" applyFont="1" applyBorder="1">
      <alignment horizontal="center" vertical="center"/>
    </xf>
    <xf numFmtId="0" fontId="4" fillId="0" borderId="64" xfId="0" applyFont="1" applyBorder="1" applyAlignment="1">
      <alignment horizontal="left" vertical="center"/>
    </xf>
    <xf numFmtId="0" fontId="0" fillId="0" borderId="110" xfId="0" applyBorder="1">
      <alignment horizontal="center" vertical="center"/>
    </xf>
    <xf numFmtId="0" fontId="0" fillId="0" borderId="78" xfId="0" applyBorder="1" applyAlignment="1" applyProtection="1">
      <alignment horizontal="center"/>
      <protection locked="0"/>
    </xf>
    <xf numFmtId="0" fontId="5" fillId="0" borderId="78" xfId="0" applyFont="1" applyBorder="1" applyAlignment="1">
      <alignment horizontal="center"/>
    </xf>
    <xf numFmtId="0" fontId="0" fillId="11" borderId="111" xfId="0" applyFill="1" applyBorder="1" applyAlignment="1" applyProtection="1">
      <alignment horizontal="center"/>
      <protection locked="0"/>
    </xf>
    <xf numFmtId="49" fontId="0" fillId="25" borderId="42" xfId="0" applyNumberFormat="1" applyFill="1" applyBorder="1">
      <alignment horizontal="center" vertical="center"/>
    </xf>
    <xf numFmtId="0" fontId="0" fillId="0" borderId="42" xfId="0" applyBorder="1">
      <alignment horizontal="center" vertical="center"/>
    </xf>
    <xf numFmtId="0" fontId="17" fillId="27" borderId="42" xfId="9" applyBorder="1">
      <alignment horizontal="center" vertical="center"/>
    </xf>
    <xf numFmtId="0" fontId="0" fillId="25" borderId="42" xfId="0" applyFill="1" applyBorder="1">
      <alignment horizontal="center" vertical="center"/>
    </xf>
    <xf numFmtId="0" fontId="0" fillId="25" borderId="42" xfId="6" applyFont="1" applyFill="1" applyBorder="1">
      <alignment horizontal="center" vertical="center"/>
    </xf>
    <xf numFmtId="49" fontId="0" fillId="19" borderId="112" xfId="0" applyNumberFormat="1" applyFill="1" applyBorder="1">
      <alignment horizontal="center" vertical="center"/>
    </xf>
    <xf numFmtId="0" fontId="0" fillId="22" borderId="113" xfId="0" applyFill="1" applyBorder="1" applyAlignment="1" applyProtection="1">
      <alignment horizontal="center"/>
      <protection locked="0"/>
    </xf>
    <xf numFmtId="0" fontId="0" fillId="19" borderId="74" xfId="0" applyFill="1" applyBorder="1">
      <alignment horizontal="center" vertical="center"/>
    </xf>
    <xf numFmtId="0" fontId="0" fillId="22" borderId="69" xfId="0" applyFill="1" applyBorder="1" applyAlignment="1" applyProtection="1">
      <alignment horizontal="center"/>
      <protection locked="0"/>
    </xf>
    <xf numFmtId="0" fontId="0" fillId="0" borderId="68" xfId="0" applyBorder="1">
      <alignment horizontal="center" vertical="center"/>
    </xf>
    <xf numFmtId="49" fontId="0" fillId="25" borderId="68" xfId="0" applyNumberFormat="1" applyFill="1" applyBorder="1">
      <alignment horizontal="center" vertical="center"/>
    </xf>
    <xf numFmtId="0" fontId="0" fillId="25" borderId="68" xfId="0" applyFill="1" applyBorder="1">
      <alignment horizontal="center" vertical="center"/>
    </xf>
    <xf numFmtId="0" fontId="17" fillId="29" borderId="68" xfId="11" applyBorder="1">
      <alignment horizontal="center" vertical="center"/>
    </xf>
    <xf numFmtId="0" fontId="0" fillId="19" borderId="68" xfId="6" applyFont="1" applyFill="1" applyBorder="1">
      <alignment horizontal="center" vertical="center"/>
    </xf>
    <xf numFmtId="49" fontId="0" fillId="19" borderId="77" xfId="0" applyNumberFormat="1" applyFill="1" applyBorder="1">
      <alignment horizontal="center" vertical="center"/>
    </xf>
    <xf numFmtId="0" fontId="0" fillId="24" borderId="42" xfId="0" applyFill="1" applyBorder="1">
      <alignment horizontal="center" vertical="center"/>
    </xf>
    <xf numFmtId="49" fontId="0" fillId="24" borderId="42" xfId="0" applyNumberFormat="1" applyFill="1" applyBorder="1">
      <alignment horizontal="center" vertical="center"/>
    </xf>
    <xf numFmtId="0" fontId="17" fillId="29" borderId="42" xfId="11" applyBorder="1">
      <alignment horizontal="center" vertical="center"/>
    </xf>
    <xf numFmtId="0" fontId="17" fillId="24" borderId="74" xfId="6" applyBorder="1">
      <alignment horizontal="center" vertical="center"/>
    </xf>
    <xf numFmtId="0" fontId="0" fillId="28" borderId="42" xfId="6" applyFont="1" applyFill="1" applyBorder="1">
      <alignment horizontal="center" vertical="center"/>
    </xf>
    <xf numFmtId="0" fontId="0" fillId="28" borderId="42" xfId="0" applyFill="1" applyBorder="1">
      <alignment horizontal="center" vertical="center"/>
    </xf>
    <xf numFmtId="1" fontId="0" fillId="19" borderId="42" xfId="1" applyNumberFormat="1" applyFont="1" applyFill="1" applyBorder="1" applyAlignment="1">
      <alignment horizontal="center" vertical="center"/>
    </xf>
    <xf numFmtId="0" fontId="0" fillId="19" borderId="66" xfId="0" applyFill="1" applyBorder="1">
      <alignment horizontal="center" vertical="center"/>
    </xf>
    <xf numFmtId="49" fontId="0" fillId="19" borderId="74" xfId="0" applyNumberFormat="1" applyFill="1" applyBorder="1">
      <alignment horizontal="center" vertical="center"/>
    </xf>
    <xf numFmtId="0" fontId="17" fillId="25" borderId="112" xfId="8" applyBorder="1">
      <alignment horizontal="center" vertical="center"/>
    </xf>
    <xf numFmtId="0" fontId="0" fillId="0" borderId="66" xfId="0" applyBorder="1">
      <alignment horizontal="center" vertical="center"/>
    </xf>
    <xf numFmtId="0" fontId="0" fillId="0" borderId="68" xfId="0" applyBorder="1" applyAlignment="1">
      <alignment horizontal="left" vertical="center"/>
    </xf>
    <xf numFmtId="0" fontId="17" fillId="25" borderId="68" xfId="8" applyBorder="1">
      <alignment horizontal="center" vertical="center"/>
    </xf>
    <xf numFmtId="0" fontId="0" fillId="25" borderId="77" xfId="0" applyFill="1" applyBorder="1">
      <alignment horizontal="center" vertical="center"/>
    </xf>
    <xf numFmtId="0" fontId="45" fillId="23" borderId="42" xfId="5" applyBorder="1">
      <alignment horizontal="center" vertical="center"/>
    </xf>
    <xf numFmtId="0" fontId="0" fillId="19" borderId="42" xfId="7" applyFont="1" applyFill="1" applyBorder="1">
      <alignment horizontal="center" vertical="center"/>
    </xf>
    <xf numFmtId="0" fontId="0" fillId="19" borderId="112" xfId="7" applyFont="1" applyFill="1" applyBorder="1">
      <alignment horizontal="center" vertical="center"/>
    </xf>
    <xf numFmtId="0" fontId="6" fillId="0" borderId="66" xfId="7" applyBorder="1">
      <alignment horizontal="center" vertical="center"/>
    </xf>
    <xf numFmtId="0" fontId="6" fillId="0" borderId="74" xfId="7" applyBorder="1">
      <alignment horizontal="center" vertical="center"/>
    </xf>
    <xf numFmtId="0" fontId="17" fillId="24" borderId="68" xfId="6" applyBorder="1">
      <alignment horizontal="center" vertical="center"/>
    </xf>
    <xf numFmtId="0" fontId="0" fillId="19" borderId="77" xfId="6" applyFont="1" applyFill="1" applyBorder="1">
      <alignment horizontal="center" vertical="center"/>
    </xf>
    <xf numFmtId="0" fontId="4" fillId="0" borderId="66" xfId="0" applyFont="1" applyBorder="1" applyAlignment="1">
      <alignment horizontal="center"/>
    </xf>
    <xf numFmtId="0" fontId="6" fillId="0" borderId="66" xfId="0" applyFont="1" applyBorder="1">
      <alignment horizontal="center" vertical="center"/>
    </xf>
    <xf numFmtId="0" fontId="0" fillId="0" borderId="78" xfId="0" applyBorder="1">
      <alignment horizontal="center" vertical="center"/>
    </xf>
    <xf numFmtId="0" fontId="4" fillId="0" borderId="78" xfId="0" applyFont="1" applyBorder="1" applyAlignment="1">
      <alignment horizontal="center"/>
    </xf>
    <xf numFmtId="0" fontId="5" fillId="0" borderId="66" xfId="0" applyFont="1" applyBorder="1" applyAlignment="1">
      <alignment horizontal="left"/>
    </xf>
    <xf numFmtId="0" fontId="6" fillId="0" borderId="105" xfId="0" applyFont="1" applyBorder="1">
      <alignment horizontal="center" vertical="center"/>
    </xf>
    <xf numFmtId="0" fontId="0" fillId="0" borderId="66" xfId="0" applyBorder="1" applyAlignment="1">
      <alignment horizontal="center"/>
    </xf>
    <xf numFmtId="0" fontId="0" fillId="0" borderId="105" xfId="0" applyBorder="1" applyAlignment="1">
      <alignment horizontal="left"/>
    </xf>
    <xf numFmtId="0" fontId="0" fillId="0" borderId="106" xfId="0" applyBorder="1" applyAlignment="1">
      <alignment horizontal="left"/>
    </xf>
    <xf numFmtId="0" fontId="0" fillId="22" borderId="66" xfId="0" applyFill="1" applyBorder="1" applyAlignment="1" applyProtection="1">
      <alignment horizontal="center"/>
      <protection locked="0"/>
    </xf>
    <xf numFmtId="0" fontId="0" fillId="0" borderId="87" xfId="0" applyBorder="1" applyAlignment="1">
      <alignment horizontal="left"/>
    </xf>
    <xf numFmtId="0" fontId="0" fillId="0" borderId="85" xfId="0" applyBorder="1" applyAlignment="1">
      <alignment horizontal="left"/>
    </xf>
    <xf numFmtId="0" fontId="6" fillId="0" borderId="86" xfId="0" applyFont="1" applyBorder="1" applyAlignment="1">
      <alignment horizontal="left"/>
    </xf>
    <xf numFmtId="0" fontId="6" fillId="0" borderId="85" xfId="0" applyFont="1" applyBorder="1" applyAlignment="1">
      <alignment horizontal="left"/>
    </xf>
    <xf numFmtId="0" fontId="6" fillId="0" borderId="114" xfId="0" applyFont="1" applyBorder="1" applyAlignment="1">
      <alignment horizontal="left"/>
    </xf>
    <xf numFmtId="0" fontId="5" fillId="0" borderId="105" xfId="0" applyFont="1" applyBorder="1" applyAlignment="1">
      <alignment horizontal="left"/>
    </xf>
    <xf numFmtId="0" fontId="6" fillId="0" borderId="115" xfId="0" applyFont="1" applyBorder="1" applyAlignment="1">
      <alignment horizontal="left"/>
    </xf>
    <xf numFmtId="0" fontId="11" fillId="0" borderId="66" xfId="0" applyFont="1" applyBorder="1" applyAlignment="1" applyProtection="1">
      <alignment horizontal="center"/>
      <protection locked="0"/>
    </xf>
    <xf numFmtId="0" fontId="0" fillId="0" borderId="66" xfId="0" applyBorder="1" applyAlignment="1">
      <alignment horizontal="left"/>
    </xf>
    <xf numFmtId="0" fontId="6" fillId="0" borderId="66" xfId="0" applyFont="1" applyBorder="1" applyAlignment="1">
      <alignment horizontal="left"/>
    </xf>
    <xf numFmtId="0" fontId="4" fillId="0" borderId="78" xfId="0" applyFont="1" applyBorder="1" applyAlignment="1" applyProtection="1">
      <alignment horizontal="center"/>
      <protection locked="0"/>
    </xf>
    <xf numFmtId="0" fontId="0" fillId="18" borderId="78" xfId="0" applyFill="1" applyBorder="1">
      <alignment horizontal="center" vertical="center"/>
    </xf>
    <xf numFmtId="0" fontId="0" fillId="19" borderId="78" xfId="0" applyFill="1" applyBorder="1">
      <alignment horizontal="center" vertical="center"/>
    </xf>
    <xf numFmtId="0" fontId="0" fillId="19" borderId="75" xfId="0" applyFill="1" applyBorder="1">
      <alignment horizontal="center" vertical="center"/>
    </xf>
    <xf numFmtId="0" fontId="0" fillId="0" borderId="116" xfId="0" applyBorder="1" applyAlignment="1">
      <alignment vertical="center"/>
    </xf>
    <xf numFmtId="0" fontId="0" fillId="19" borderId="116" xfId="11" applyFont="1" applyFill="1" applyBorder="1">
      <alignment horizontal="center" vertical="center"/>
    </xf>
    <xf numFmtId="0" fontId="17" fillId="24" borderId="116" xfId="6" applyBorder="1">
      <alignment horizontal="center" vertical="center"/>
    </xf>
    <xf numFmtId="0" fontId="0" fillId="28" borderId="116" xfId="0" applyFill="1" applyBorder="1">
      <alignment horizontal="center" vertical="center"/>
    </xf>
    <xf numFmtId="0" fontId="0" fillId="28" borderId="116" xfId="6" applyFont="1" applyFill="1" applyBorder="1">
      <alignment horizontal="center" vertical="center"/>
    </xf>
    <xf numFmtId="0" fontId="17" fillId="28" borderId="116" xfId="10" applyBorder="1">
      <alignment horizontal="center" vertical="center"/>
    </xf>
    <xf numFmtId="0" fontId="0" fillId="19" borderId="117" xfId="0" applyFill="1" applyBorder="1">
      <alignment horizontal="center" vertical="center"/>
    </xf>
    <xf numFmtId="0" fontId="6" fillId="19" borderId="66" xfId="0" applyFont="1" applyFill="1" applyBorder="1">
      <alignment horizontal="center" vertical="center"/>
    </xf>
    <xf numFmtId="0" fontId="17" fillId="25" borderId="66" xfId="8" applyBorder="1">
      <alignment horizontal="center" vertical="center"/>
    </xf>
    <xf numFmtId="0" fontId="6" fillId="27" borderId="66" xfId="0" applyFont="1" applyFill="1" applyBorder="1">
      <alignment horizontal="center" vertical="center"/>
    </xf>
    <xf numFmtId="0" fontId="0" fillId="27" borderId="66" xfId="0" applyFill="1" applyBorder="1">
      <alignment horizontal="center" vertical="center"/>
    </xf>
    <xf numFmtId="0" fontId="57" fillId="19" borderId="45" xfId="12" applyFont="1" applyFill="1" applyBorder="1">
      <alignment horizontal="center" vertical="center"/>
    </xf>
    <xf numFmtId="0" fontId="0" fillId="19" borderId="118" xfId="6" applyFont="1" applyFill="1" applyBorder="1">
      <alignment horizontal="center" vertical="center"/>
    </xf>
    <xf numFmtId="49" fontId="0" fillId="19" borderId="118" xfId="0" applyNumberFormat="1" applyFill="1" applyBorder="1">
      <alignment horizontal="center" vertical="center"/>
    </xf>
    <xf numFmtId="1" fontId="0" fillId="19" borderId="45" xfId="1" applyNumberFormat="1" applyFont="1" applyFill="1" applyBorder="1" applyAlignment="1">
      <alignment horizontal="center" vertical="center"/>
    </xf>
    <xf numFmtId="0" fontId="17" fillId="19" borderId="45" xfId="9" applyFill="1" applyBorder="1">
      <alignment horizontal="center" vertical="center"/>
    </xf>
    <xf numFmtId="0" fontId="0" fillId="28" borderId="49" xfId="0" applyFill="1" applyBorder="1">
      <alignment horizontal="center" vertical="center"/>
    </xf>
    <xf numFmtId="0" fontId="0" fillId="27" borderId="45" xfId="12" applyFont="1" applyFill="1" applyBorder="1">
      <alignment horizontal="center" vertical="center"/>
    </xf>
    <xf numFmtId="0" fontId="6" fillId="0" borderId="45" xfId="7" applyBorder="1" applyAlignment="1">
      <alignment horizontal="left" vertical="center"/>
    </xf>
    <xf numFmtId="0" fontId="6" fillId="27" borderId="45" xfId="7" applyFill="1" applyBorder="1">
      <alignment horizontal="center" vertical="center"/>
    </xf>
    <xf numFmtId="0" fontId="0" fillId="28" borderId="45" xfId="7" applyFont="1" applyFill="1" applyBorder="1">
      <alignment horizontal="center" vertical="center"/>
    </xf>
    <xf numFmtId="0" fontId="6" fillId="24" borderId="45" xfId="7" applyFill="1" applyBorder="1">
      <alignment horizontal="center" vertical="center"/>
    </xf>
    <xf numFmtId="0" fontId="0" fillId="27" borderId="66" xfId="10" applyFont="1" applyFill="1" applyBorder="1">
      <alignment horizontal="center" vertical="center"/>
    </xf>
    <xf numFmtId="0" fontId="18" fillId="0" borderId="45" xfId="7" applyFont="1" applyBorder="1" applyAlignment="1">
      <alignment horizontal="left" vertical="center"/>
    </xf>
    <xf numFmtId="0" fontId="6" fillId="19" borderId="68" xfId="0" applyFont="1" applyFill="1" applyBorder="1">
      <alignment horizontal="center" vertical="center"/>
    </xf>
    <xf numFmtId="0" fontId="6" fillId="19" borderId="77" xfId="0" applyFont="1" applyFill="1" applyBorder="1">
      <alignment horizontal="center" vertical="center"/>
    </xf>
    <xf numFmtId="0" fontId="6" fillId="0" borderId="81" xfId="7" applyBorder="1">
      <alignment horizontal="center" vertical="center"/>
    </xf>
    <xf numFmtId="0" fontId="0" fillId="19" borderId="116" xfId="0" applyFill="1" applyBorder="1" applyAlignment="1">
      <alignment horizontal="left" vertical="center"/>
    </xf>
    <xf numFmtId="0" fontId="0" fillId="19" borderId="116" xfId="12" applyFont="1" applyFill="1" applyBorder="1">
      <alignment horizontal="center" vertical="center"/>
    </xf>
    <xf numFmtId="0" fontId="6" fillId="0" borderId="119" xfId="7" applyBorder="1">
      <alignment horizontal="center" vertical="center"/>
    </xf>
    <xf numFmtId="0" fontId="6" fillId="0" borderId="120" xfId="7" applyBorder="1">
      <alignment horizontal="center" vertical="center"/>
    </xf>
    <xf numFmtId="0" fontId="6" fillId="0" borderId="121" xfId="7" applyBorder="1">
      <alignment horizontal="center" vertical="center"/>
    </xf>
    <xf numFmtId="0" fontId="6" fillId="0" borderId="122" xfId="7" applyBorder="1">
      <alignment horizontal="center" vertical="center"/>
    </xf>
    <xf numFmtId="0" fontId="0" fillId="28" borderId="66" xfId="10" applyFont="1" applyBorder="1">
      <alignment horizontal="center" vertical="center"/>
    </xf>
    <xf numFmtId="0" fontId="0" fillId="19" borderId="66" xfId="0" applyFill="1" applyBorder="1" applyAlignment="1">
      <alignment horizontal="left" vertical="center"/>
    </xf>
    <xf numFmtId="0" fontId="4" fillId="0" borderId="42" xfId="0" applyFont="1" applyBorder="1" applyAlignment="1" applyProtection="1">
      <alignment horizontal="center"/>
      <protection locked="0"/>
    </xf>
    <xf numFmtId="0" fontId="15" fillId="19" borderId="42" xfId="0" applyFont="1" applyFill="1" applyBorder="1" applyAlignment="1">
      <alignment horizontal="left" vertical="center"/>
    </xf>
    <xf numFmtId="0" fontId="0" fillId="19" borderId="42" xfId="0" applyFill="1" applyBorder="1">
      <alignment horizontal="center" vertical="center"/>
    </xf>
    <xf numFmtId="0" fontId="0" fillId="19" borderId="112" xfId="0" applyFill="1" applyBorder="1">
      <alignment horizontal="center" vertical="center"/>
    </xf>
    <xf numFmtId="0" fontId="4" fillId="0" borderId="66" xfId="0" applyFont="1" applyBorder="1" applyAlignment="1" applyProtection="1">
      <alignment horizontal="center"/>
      <protection locked="0"/>
    </xf>
    <xf numFmtId="0" fontId="0" fillId="19" borderId="42" xfId="12" applyFont="1" applyFill="1" applyBorder="1">
      <alignment horizontal="center" vertical="center"/>
    </xf>
    <xf numFmtId="0" fontId="17" fillId="30" borderId="66" xfId="12" applyBorder="1">
      <alignment horizontal="center" vertical="center"/>
    </xf>
    <xf numFmtId="0" fontId="0" fillId="60" borderId="42" xfId="12" applyFont="1" applyFill="1" applyBorder="1">
      <alignment horizontal="center" vertical="center"/>
    </xf>
    <xf numFmtId="1" fontId="0" fillId="60" borderId="42" xfId="1" applyNumberFormat="1" applyFont="1" applyFill="1" applyBorder="1" applyAlignment="1">
      <alignment horizontal="center" vertical="center"/>
    </xf>
    <xf numFmtId="0" fontId="17" fillId="28" borderId="42" xfId="10" applyBorder="1">
      <alignment horizontal="center" vertical="center"/>
    </xf>
    <xf numFmtId="0" fontId="17" fillId="28" borderId="112" xfId="10" applyBorder="1">
      <alignment horizontal="center" vertical="center"/>
    </xf>
    <xf numFmtId="0" fontId="0" fillId="19" borderId="123" xfId="7" applyFont="1" applyFill="1" applyBorder="1">
      <alignment horizontal="center" vertical="center"/>
    </xf>
    <xf numFmtId="0" fontId="4" fillId="0" borderId="97" xfId="7" applyFont="1" applyBorder="1" applyAlignment="1">
      <alignment horizontal="center"/>
    </xf>
    <xf numFmtId="0" fontId="6" fillId="0" borderId="100" xfId="7" applyBorder="1">
      <alignment horizontal="center" vertical="center"/>
    </xf>
    <xf numFmtId="0" fontId="4" fillId="0" borderId="98" xfId="7" applyFont="1" applyBorder="1" applyAlignment="1">
      <alignment horizontal="left"/>
    </xf>
    <xf numFmtId="0" fontId="6" fillId="0" borderId="98" xfId="7" applyBorder="1">
      <alignment horizontal="center" vertical="center"/>
    </xf>
    <xf numFmtId="0" fontId="6" fillId="0" borderId="124" xfId="7" applyBorder="1">
      <alignment horizontal="center" vertical="center"/>
    </xf>
    <xf numFmtId="0" fontId="4" fillId="0" borderId="100" xfId="7" applyFont="1" applyBorder="1">
      <alignment horizontal="center" vertical="center"/>
    </xf>
    <xf numFmtId="0" fontId="6" fillId="0" borderId="98" xfId="7" applyBorder="1" applyAlignment="1">
      <alignment horizontal="left" vertical="center"/>
    </xf>
    <xf numFmtId="0" fontId="6" fillId="0" borderId="125" xfId="7" applyBorder="1">
      <alignment horizontal="center" vertical="center"/>
    </xf>
    <xf numFmtId="0" fontId="6" fillId="0" borderId="126" xfId="7" applyBorder="1" applyAlignment="1">
      <alignment horizontal="center"/>
    </xf>
    <xf numFmtId="0" fontId="4" fillId="0" borderId="99" xfId="7" applyFont="1" applyBorder="1" applyAlignment="1">
      <alignment horizontal="left"/>
    </xf>
    <xf numFmtId="0" fontId="6" fillId="0" borderId="101" xfId="7" applyBorder="1">
      <alignment horizontal="center" vertical="center"/>
    </xf>
    <xf numFmtId="0" fontId="6" fillId="0" borderId="102" xfId="7" applyBorder="1" applyAlignment="1">
      <alignment horizontal="left"/>
    </xf>
    <xf numFmtId="0" fontId="4" fillId="0" borderId="100" xfId="7" applyFont="1" applyBorder="1" applyAlignment="1">
      <alignment horizontal="left"/>
    </xf>
    <xf numFmtId="0" fontId="6" fillId="0" borderId="124" xfId="7" applyBorder="1" applyAlignment="1">
      <alignment horizontal="left"/>
    </xf>
    <xf numFmtId="0" fontId="6" fillId="0" borderId="101" xfId="7" applyBorder="1" applyAlignment="1">
      <alignment horizontal="left"/>
    </xf>
    <xf numFmtId="0" fontId="6" fillId="0" borderId="127" xfId="7" applyBorder="1" applyAlignment="1">
      <alignment horizontal="left"/>
    </xf>
    <xf numFmtId="0" fontId="6" fillId="0" borderId="128" xfId="7" applyBorder="1">
      <alignment horizontal="center" vertical="center"/>
    </xf>
    <xf numFmtId="0" fontId="4" fillId="0" borderId="129" xfId="7" applyFont="1" applyBorder="1" applyAlignment="1">
      <alignment horizontal="left"/>
    </xf>
    <xf numFmtId="0" fontId="6" fillId="0" borderId="99" xfId="7" applyBorder="1">
      <alignment horizontal="center" vertical="center"/>
    </xf>
    <xf numFmtId="0" fontId="6" fillId="0" borderId="103" xfId="7" applyBorder="1">
      <alignment horizontal="center" vertical="center"/>
    </xf>
    <xf numFmtId="0" fontId="6" fillId="0" borderId="62" xfId="7" applyBorder="1" applyAlignment="1">
      <alignment horizontal="center"/>
    </xf>
    <xf numFmtId="0" fontId="4" fillId="0" borderId="105" xfId="7" applyFont="1" applyBorder="1" applyAlignment="1">
      <alignment horizontal="left"/>
    </xf>
    <xf numFmtId="0" fontId="6" fillId="0" borderId="106" xfId="7" applyBorder="1">
      <alignment horizontal="center" vertical="center"/>
    </xf>
    <xf numFmtId="0" fontId="6" fillId="0" borderId="114" xfId="7" applyBorder="1" applyAlignment="1">
      <alignment horizontal="left"/>
    </xf>
    <xf numFmtId="0" fontId="6" fillId="0" borderId="106" xfId="7" applyBorder="1" applyAlignment="1">
      <alignment horizontal="left"/>
    </xf>
    <xf numFmtId="0" fontId="4" fillId="0" borderId="106" xfId="7" applyFont="1" applyBorder="1" applyAlignment="1">
      <alignment horizontal="left"/>
    </xf>
    <xf numFmtId="0" fontId="6" fillId="0" borderId="105" xfId="7" applyBorder="1">
      <alignment horizontal="center" vertical="center"/>
    </xf>
    <xf numFmtId="0" fontId="6" fillId="0" borderId="106" xfId="7" applyBorder="1" applyAlignment="1">
      <alignment vertical="center"/>
    </xf>
    <xf numFmtId="0" fontId="6" fillId="0" borderId="106" xfId="7" applyBorder="1" applyAlignment="1">
      <alignment horizontal="left" vertical="center"/>
    </xf>
    <xf numFmtId="0" fontId="6" fillId="0" borderId="130" xfId="7" applyBorder="1" applyAlignment="1">
      <alignment vertical="center"/>
    </xf>
    <xf numFmtId="0" fontId="6" fillId="0" borderId="131" xfId="7" applyBorder="1">
      <alignment horizontal="center" vertical="center"/>
    </xf>
    <xf numFmtId="0" fontId="6" fillId="0" borderId="130" xfId="7" applyBorder="1">
      <alignment horizontal="center" vertical="center"/>
    </xf>
    <xf numFmtId="0" fontId="6" fillId="0" borderId="63" xfId="7" applyBorder="1" applyAlignment="1">
      <alignment horizontal="center"/>
    </xf>
    <xf numFmtId="0" fontId="4" fillId="0" borderId="61" xfId="7" applyFont="1" applyBorder="1" applyAlignment="1">
      <alignment horizontal="left"/>
    </xf>
    <xf numFmtId="0" fontId="6" fillId="0" borderId="132" xfId="7" applyBorder="1">
      <alignment horizontal="center" vertical="center"/>
    </xf>
    <xf numFmtId="0" fontId="6" fillId="0" borderId="64" xfId="7" applyBorder="1">
      <alignment horizontal="center" vertical="center"/>
    </xf>
    <xf numFmtId="0" fontId="6" fillId="0" borderId="109" xfId="7" applyBorder="1" applyAlignment="1">
      <alignment horizontal="left"/>
    </xf>
    <xf numFmtId="0" fontId="6" fillId="0" borderId="60" xfId="7" applyBorder="1" applyAlignment="1">
      <alignment horizontal="left"/>
    </xf>
    <xf numFmtId="0" fontId="4" fillId="0" borderId="133" xfId="7" applyFont="1" applyBorder="1" applyAlignment="1">
      <alignment horizontal="left"/>
    </xf>
    <xf numFmtId="0" fontId="6" fillId="0" borderId="64" xfId="7" applyBorder="1" applyAlignment="1">
      <alignment horizontal="left"/>
    </xf>
    <xf numFmtId="0" fontId="6" fillId="0" borderId="61" xfId="7" applyBorder="1">
      <alignment horizontal="center" vertical="center"/>
    </xf>
    <xf numFmtId="0" fontId="6" fillId="0" borderId="110" xfId="7" applyBorder="1">
      <alignment horizontal="center" vertical="center"/>
    </xf>
    <xf numFmtId="0" fontId="4" fillId="0" borderId="78" xfId="7" applyFont="1" applyBorder="1" applyAlignment="1" applyProtection="1">
      <alignment horizontal="center"/>
      <protection locked="0"/>
    </xf>
    <xf numFmtId="0" fontId="5" fillId="0" borderId="78" xfId="7" applyFont="1" applyBorder="1" applyAlignment="1">
      <alignment horizontal="center"/>
    </xf>
    <xf numFmtId="0" fontId="4" fillId="22" borderId="42" xfId="7" applyFont="1" applyFill="1" applyBorder="1" applyAlignment="1">
      <alignment horizontal="center"/>
    </xf>
    <xf numFmtId="49" fontId="6" fillId="19" borderId="42" xfId="7" applyNumberFormat="1" applyFill="1" applyBorder="1">
      <alignment horizontal="center" vertical="center"/>
    </xf>
    <xf numFmtId="0" fontId="6" fillId="19" borderId="42" xfId="8" applyFont="1" applyFill="1" applyBorder="1">
      <alignment horizontal="center" vertical="center"/>
    </xf>
    <xf numFmtId="49" fontId="6" fillId="19" borderId="42" xfId="3" applyNumberFormat="1" applyFont="1" applyFill="1" applyBorder="1" applyAlignment="1">
      <alignment horizontal="center" vertical="center"/>
    </xf>
    <xf numFmtId="49" fontId="6" fillId="19" borderId="112" xfId="7" applyNumberFormat="1" applyFill="1" applyBorder="1">
      <alignment horizontal="center" vertical="center"/>
    </xf>
    <xf numFmtId="0" fontId="4" fillId="22" borderId="66" xfId="7" applyFont="1" applyFill="1" applyBorder="1" applyAlignment="1">
      <alignment horizontal="center"/>
    </xf>
    <xf numFmtId="49" fontId="6" fillId="19" borderId="66" xfId="3" applyNumberFormat="1" applyFont="1" applyFill="1" applyBorder="1" applyAlignment="1">
      <alignment horizontal="center" vertical="center"/>
    </xf>
    <xf numFmtId="49" fontId="6" fillId="19" borderId="66" xfId="7" applyNumberFormat="1" applyFill="1" applyBorder="1">
      <alignment horizontal="center" vertical="center"/>
    </xf>
    <xf numFmtId="0" fontId="17" fillId="27" borderId="66" xfId="9" applyBorder="1">
      <alignment horizontal="center" vertical="center"/>
    </xf>
    <xf numFmtId="49" fontId="6" fillId="24" borderId="66" xfId="7" applyNumberFormat="1" applyFill="1" applyBorder="1">
      <alignment horizontal="center" vertical="center"/>
    </xf>
    <xf numFmtId="0" fontId="6" fillId="19" borderId="66" xfId="7" applyFill="1" applyBorder="1">
      <alignment horizontal="center" vertical="center"/>
    </xf>
    <xf numFmtId="0" fontId="6" fillId="19" borderId="66" xfId="8" applyFont="1" applyFill="1" applyBorder="1">
      <alignment horizontal="center" vertical="center"/>
    </xf>
    <xf numFmtId="0" fontId="0" fillId="0" borderId="66" xfId="7" applyFont="1" applyBorder="1" applyAlignment="1">
      <alignment vertical="center"/>
    </xf>
    <xf numFmtId="49" fontId="6" fillId="19" borderId="66" xfId="2" applyNumberFormat="1" applyFont="1" applyFill="1" applyBorder="1" applyAlignment="1">
      <alignment horizontal="center" vertical="center"/>
    </xf>
    <xf numFmtId="0" fontId="6" fillId="19" borderId="66" xfId="5" applyFont="1" applyFill="1" applyBorder="1">
      <alignment horizontal="center" vertical="center"/>
    </xf>
    <xf numFmtId="0" fontId="6" fillId="19" borderId="66" xfId="9" applyFont="1" applyFill="1" applyBorder="1">
      <alignment horizontal="center" vertical="center"/>
    </xf>
    <xf numFmtId="0" fontId="4" fillId="22" borderId="68" xfId="7" applyFont="1" applyFill="1" applyBorder="1" applyAlignment="1">
      <alignment horizontal="center"/>
    </xf>
    <xf numFmtId="0" fontId="0" fillId="0" borderId="68" xfId="7" applyFont="1" applyBorder="1" applyAlignment="1">
      <alignment vertical="center"/>
    </xf>
    <xf numFmtId="0" fontId="6" fillId="19" borderId="68" xfId="13" applyFont="1" applyFill="1" applyBorder="1">
      <alignment horizontal="center" vertical="center"/>
    </xf>
    <xf numFmtId="49" fontId="6" fillId="19" borderId="77" xfId="7" applyNumberFormat="1" applyFill="1" applyBorder="1">
      <alignment horizontal="center" vertical="center"/>
    </xf>
    <xf numFmtId="0" fontId="4" fillId="0" borderId="97" xfId="0" applyFont="1" applyBorder="1" applyAlignment="1">
      <alignment horizontal="center"/>
    </xf>
    <xf numFmtId="0" fontId="0" fillId="0" borderId="99" xfId="0" applyBorder="1">
      <alignment horizontal="center" vertical="center"/>
    </xf>
    <xf numFmtId="0" fontId="4" fillId="0" borderId="99" xfId="0" applyFont="1" applyBorder="1" applyAlignment="1">
      <alignment horizontal="center"/>
    </xf>
    <xf numFmtId="0" fontId="4" fillId="0" borderId="102" xfId="0" applyFont="1" applyBorder="1" applyAlignment="1">
      <alignment horizontal="left"/>
    </xf>
    <xf numFmtId="0" fontId="5" fillId="0" borderId="99" xfId="0" applyFont="1" applyBorder="1" applyAlignment="1">
      <alignment horizontal="center"/>
    </xf>
    <xf numFmtId="0" fontId="0" fillId="0" borderId="102" xfId="0" applyBorder="1">
      <alignment horizontal="center" vertical="center"/>
    </xf>
    <xf numFmtId="0" fontId="0" fillId="0" borderId="99" xfId="0" applyBorder="1" applyAlignment="1">
      <alignment horizontal="center"/>
    </xf>
    <xf numFmtId="0" fontId="4" fillId="0" borderId="102" xfId="0" applyFont="1" applyBorder="1" applyAlignment="1">
      <alignment horizontal="center"/>
    </xf>
    <xf numFmtId="0" fontId="5" fillId="0" borderId="101" xfId="0" applyFont="1" applyBorder="1" applyAlignment="1">
      <alignment horizontal="center"/>
    </xf>
    <xf numFmtId="0" fontId="5" fillId="0" borderId="102" xfId="0" applyFont="1" applyBorder="1" applyAlignment="1">
      <alignment horizontal="center"/>
    </xf>
    <xf numFmtId="0" fontId="0" fillId="0" borderId="102" xfId="0" applyBorder="1" applyAlignment="1">
      <alignment horizontal="center"/>
    </xf>
    <xf numFmtId="0" fontId="6" fillId="0" borderId="101" xfId="0" applyFont="1" applyBorder="1" applyAlignment="1">
      <alignment horizontal="left" vertical="center"/>
    </xf>
    <xf numFmtId="0" fontId="5" fillId="0" borderId="101" xfId="0" applyFont="1" applyBorder="1">
      <alignment horizontal="center" vertical="center"/>
    </xf>
    <xf numFmtId="0" fontId="5" fillId="0" borderId="102" xfId="0" applyFont="1" applyBorder="1">
      <alignment horizontal="center" vertical="center"/>
    </xf>
    <xf numFmtId="0" fontId="0" fillId="0" borderId="100" xfId="0" applyBorder="1" applyAlignment="1">
      <alignment horizontal="left" vertical="center"/>
    </xf>
    <xf numFmtId="0" fontId="5" fillId="0" borderId="98" xfId="0" applyFont="1" applyBorder="1">
      <alignment horizontal="center" vertical="center"/>
    </xf>
    <xf numFmtId="0" fontId="6" fillId="0" borderId="98" xfId="0" applyFont="1" applyBorder="1">
      <alignment horizontal="center" vertical="center"/>
    </xf>
    <xf numFmtId="0" fontId="6" fillId="0" borderId="125" xfId="0" applyFont="1" applyBorder="1">
      <alignment horizontal="center" vertical="center"/>
    </xf>
    <xf numFmtId="0" fontId="4" fillId="0" borderId="113" xfId="0" applyFont="1" applyBorder="1" applyAlignment="1">
      <alignment horizontal="center"/>
    </xf>
    <xf numFmtId="0" fontId="6" fillId="0" borderId="105" xfId="0" applyFont="1" applyBorder="1" applyAlignment="1">
      <alignment horizontal="left" vertical="center"/>
    </xf>
    <xf numFmtId="0" fontId="6" fillId="0" borderId="106" xfId="0" applyFont="1" applyBorder="1" applyAlignment="1">
      <alignment horizontal="left" vertical="center"/>
    </xf>
    <xf numFmtId="0" fontId="6" fillId="0" borderId="130" xfId="0" applyFont="1" applyBorder="1" applyAlignment="1">
      <alignment horizontal="left" vertical="center"/>
    </xf>
    <xf numFmtId="0" fontId="6" fillId="0" borderId="42" xfId="0" applyFont="1" applyBorder="1">
      <alignment horizontal="center" vertical="center"/>
    </xf>
    <xf numFmtId="0" fontId="6" fillId="0" borderId="42" xfId="0" applyFont="1" applyBorder="1" applyAlignment="1">
      <alignment horizontal="left" vertical="center"/>
    </xf>
    <xf numFmtId="0" fontId="0" fillId="0" borderId="99" xfId="0" applyBorder="1" applyAlignment="1"/>
    <xf numFmtId="0" fontId="4" fillId="0" borderId="101" xfId="0" applyFont="1" applyBorder="1" applyAlignment="1">
      <alignment horizontal="left"/>
    </xf>
    <xf numFmtId="0" fontId="0" fillId="0" borderId="101" xfId="0" applyBorder="1" applyAlignment="1"/>
    <xf numFmtId="0" fontId="0" fillId="0" borderId="102" xfId="0" applyBorder="1" applyAlignment="1"/>
    <xf numFmtId="0" fontId="4" fillId="0" borderId="99" xfId="0" applyFont="1" applyBorder="1" applyAlignment="1">
      <alignment horizontal="left"/>
    </xf>
    <xf numFmtId="0" fontId="0" fillId="0" borderId="103" xfId="0" applyBorder="1" applyAlignment="1"/>
    <xf numFmtId="0" fontId="0" fillId="0" borderId="62" xfId="0" applyBorder="1" applyAlignment="1">
      <alignment horizontal="center"/>
    </xf>
    <xf numFmtId="0" fontId="4" fillId="0" borderId="105" xfId="0" applyFont="1" applyBorder="1" applyAlignment="1">
      <alignment horizontal="left"/>
    </xf>
    <xf numFmtId="0" fontId="0" fillId="0" borderId="106" xfId="0" applyBorder="1" applyAlignment="1"/>
    <xf numFmtId="0" fontId="0" fillId="0" borderId="114" xfId="0" applyBorder="1" applyAlignment="1">
      <alignment horizontal="left"/>
    </xf>
    <xf numFmtId="0" fontId="4" fillId="0" borderId="106" xfId="0" applyFont="1" applyBorder="1" applyAlignment="1"/>
    <xf numFmtId="0" fontId="4" fillId="0" borderId="114" xfId="0" applyFont="1" applyBorder="1" applyAlignment="1">
      <alignment horizontal="left"/>
    </xf>
    <xf numFmtId="0" fontId="0" fillId="0" borderId="105" xfId="0" applyBorder="1" applyAlignment="1">
      <alignment horizontal="center"/>
    </xf>
    <xf numFmtId="0" fontId="0" fillId="0" borderId="130" xfId="0" applyBorder="1" applyAlignment="1"/>
    <xf numFmtId="0" fontId="4" fillId="0" borderId="87" xfId="0" applyFont="1" applyBorder="1" applyAlignment="1">
      <alignment horizontal="left"/>
    </xf>
    <xf numFmtId="0" fontId="0" fillId="0" borderId="85" xfId="0" applyBorder="1" applyAlignment="1"/>
    <xf numFmtId="0" fontId="0" fillId="0" borderId="86" xfId="0" applyBorder="1" applyAlignment="1">
      <alignment horizontal="left"/>
    </xf>
    <xf numFmtId="0" fontId="18" fillId="0" borderId="87" xfId="0" applyFont="1" applyBorder="1" applyAlignment="1">
      <alignment horizontal="center"/>
    </xf>
    <xf numFmtId="0" fontId="0" fillId="0" borderId="134" xfId="0" applyBorder="1" applyAlignment="1"/>
    <xf numFmtId="0" fontId="0" fillId="0" borderId="63" xfId="0" applyBorder="1" applyAlignment="1">
      <alignment horizontal="center"/>
    </xf>
    <xf numFmtId="0" fontId="4" fillId="0" borderId="61" xfId="0" applyFont="1" applyBorder="1" applyAlignment="1">
      <alignment horizontal="left"/>
    </xf>
    <xf numFmtId="0" fontId="6" fillId="0" borderId="64" xfId="0" applyFont="1" applyBorder="1" applyAlignment="1">
      <alignment horizontal="left" vertical="center"/>
    </xf>
    <xf numFmtId="0" fontId="6" fillId="0" borderId="64" xfId="0" applyFont="1" applyBorder="1">
      <alignment horizontal="center" vertical="center"/>
    </xf>
    <xf numFmtId="0" fontId="6" fillId="0" borderId="109" xfId="0" applyFont="1" applyBorder="1">
      <alignment horizontal="center" vertical="center"/>
    </xf>
    <xf numFmtId="0" fontId="6" fillId="0" borderId="61" xfId="0" applyFont="1" applyBorder="1" applyAlignment="1">
      <alignment horizontal="left" vertical="center"/>
    </xf>
    <xf numFmtId="0" fontId="6" fillId="0" borderId="64" xfId="0" applyFont="1" applyBorder="1" applyAlignment="1">
      <alignment horizontal="left"/>
    </xf>
    <xf numFmtId="0" fontId="6" fillId="0" borderId="109" xfId="0" applyFont="1" applyBorder="1" applyAlignment="1">
      <alignment horizontal="left" vertical="center"/>
    </xf>
    <xf numFmtId="0" fontId="0" fillId="0" borderId="64" xfId="0" applyBorder="1" applyAlignment="1">
      <alignment horizontal="left"/>
    </xf>
    <xf numFmtId="0" fontId="0" fillId="0" borderId="110" xfId="0" applyBorder="1" applyAlignment="1"/>
    <xf numFmtId="0" fontId="4" fillId="22" borderId="42" xfId="0" applyFont="1" applyFill="1" applyBorder="1" applyAlignment="1">
      <alignment horizontal="center"/>
    </xf>
    <xf numFmtId="0" fontId="0" fillId="19" borderId="42" xfId="0" applyFill="1" applyBorder="1" applyAlignment="1">
      <alignment horizontal="left" vertical="center"/>
    </xf>
    <xf numFmtId="0" fontId="4" fillId="22" borderId="66" xfId="0" applyFont="1" applyFill="1" applyBorder="1" applyAlignment="1">
      <alignment horizontal="center"/>
    </xf>
    <xf numFmtId="0" fontId="0" fillId="19" borderId="74" xfId="6" applyFont="1" applyFill="1" applyBorder="1">
      <alignment horizontal="center" vertical="center"/>
    </xf>
    <xf numFmtId="0" fontId="0" fillId="19" borderId="66" xfId="1" applyFont="1" applyFill="1" applyBorder="1" applyAlignment="1">
      <alignment horizontal="center" vertical="center"/>
    </xf>
    <xf numFmtId="0" fontId="17" fillId="28" borderId="66" xfId="10" applyBorder="1">
      <alignment horizontal="center" vertical="center"/>
    </xf>
    <xf numFmtId="0" fontId="0" fillId="19" borderId="66" xfId="12" applyFont="1" applyFill="1" applyBorder="1">
      <alignment horizontal="center" vertical="center"/>
    </xf>
    <xf numFmtId="0" fontId="0" fillId="19" borderId="74" xfId="8" applyFont="1" applyFill="1" applyBorder="1">
      <alignment horizontal="center" vertical="center"/>
    </xf>
    <xf numFmtId="0" fontId="4" fillId="22" borderId="68" xfId="0" applyFont="1" applyFill="1" applyBorder="1" applyAlignment="1">
      <alignment horizontal="center"/>
    </xf>
    <xf numFmtId="0" fontId="0" fillId="19" borderId="68" xfId="0" applyFill="1" applyBorder="1" applyAlignment="1">
      <alignment horizontal="left" vertical="center"/>
    </xf>
    <xf numFmtId="0" fontId="17" fillId="27" borderId="68" xfId="9" applyBorder="1">
      <alignment horizontal="center" vertical="center"/>
    </xf>
    <xf numFmtId="0" fontId="0" fillId="19" borderId="68" xfId="1" applyFont="1" applyFill="1" applyBorder="1" applyAlignment="1">
      <alignment horizontal="center" vertical="center"/>
    </xf>
    <xf numFmtId="0" fontId="0" fillId="19" borderId="77" xfId="8" applyFont="1" applyFill="1" applyBorder="1">
      <alignment horizontal="center" vertical="center"/>
    </xf>
    <xf numFmtId="0" fontId="0" fillId="0" borderId="61" xfId="0" applyBorder="1" applyAlignment="1">
      <alignment horizontal="left"/>
    </xf>
    <xf numFmtId="0" fontId="0" fillId="0" borderId="64" xfId="0" applyBorder="1" applyAlignment="1"/>
    <xf numFmtId="0" fontId="0" fillId="0" borderId="109" xfId="0" applyBorder="1" applyAlignment="1">
      <alignment horizontal="left"/>
    </xf>
    <xf numFmtId="0" fontId="0" fillId="0" borderId="61" xfId="0" applyBorder="1" applyAlignment="1">
      <alignment horizontal="center"/>
    </xf>
    <xf numFmtId="0" fontId="4" fillId="22" borderId="116" xfId="0" applyFont="1" applyFill="1" applyBorder="1" applyAlignment="1">
      <alignment horizontal="center"/>
    </xf>
    <xf numFmtId="0" fontId="0" fillId="19" borderId="116" xfId="6" applyFont="1" applyFill="1" applyBorder="1">
      <alignment horizontal="center" vertical="center"/>
    </xf>
    <xf numFmtId="49" fontId="0" fillId="19" borderId="116" xfId="0" applyNumberFormat="1" applyFill="1" applyBorder="1">
      <alignment horizontal="center" vertical="center"/>
    </xf>
    <xf numFmtId="0" fontId="17" fillId="27" borderId="116" xfId="9" applyBorder="1">
      <alignment horizontal="center" vertical="center"/>
    </xf>
    <xf numFmtId="0" fontId="12" fillId="0" borderId="105" xfId="0" applyFont="1" applyBorder="1" applyAlignment="1">
      <alignment horizontal="left"/>
    </xf>
    <xf numFmtId="0" fontId="4" fillId="0" borderId="106" xfId="0" applyFont="1" applyBorder="1">
      <alignment horizontal="center" vertical="center"/>
    </xf>
    <xf numFmtId="0" fontId="0" fillId="0" borderId="135" xfId="0" applyBorder="1" applyAlignment="1">
      <alignment horizontal="center"/>
    </xf>
    <xf numFmtId="164" fontId="9" fillId="0" borderId="61" xfId="0" applyNumberFormat="1" applyFont="1" applyBorder="1" applyAlignment="1">
      <alignment horizontal="center"/>
    </xf>
    <xf numFmtId="0" fontId="6" fillId="19" borderId="42" xfId="0" applyFont="1" applyFill="1" applyBorder="1" applyAlignment="1">
      <alignment vertical="center"/>
    </xf>
    <xf numFmtId="0" fontId="6" fillId="19" borderId="42" xfId="0" applyFont="1" applyFill="1" applyBorder="1">
      <alignment horizontal="center" vertical="center"/>
    </xf>
    <xf numFmtId="0" fontId="6" fillId="19" borderId="112" xfId="0" applyFont="1" applyFill="1" applyBorder="1">
      <alignment horizontal="center" vertical="center"/>
    </xf>
    <xf numFmtId="0" fontId="6" fillId="19" borderId="66" xfId="0" applyFont="1" applyFill="1" applyBorder="1" applyAlignment="1">
      <alignment vertical="center"/>
    </xf>
    <xf numFmtId="0" fontId="0" fillId="19" borderId="66" xfId="0" applyFill="1" applyBorder="1" applyAlignment="1">
      <alignment vertical="center"/>
    </xf>
    <xf numFmtId="0" fontId="6" fillId="59" borderId="74" xfId="0" applyFont="1" applyFill="1" applyBorder="1">
      <alignment horizontal="center" vertical="center"/>
    </xf>
    <xf numFmtId="0" fontId="6" fillId="19" borderId="74" xfId="0" applyFont="1" applyFill="1" applyBorder="1">
      <alignment horizontal="center" vertical="center"/>
    </xf>
    <xf numFmtId="0" fontId="4" fillId="0" borderId="136" xfId="0" applyFont="1" applyBorder="1" applyAlignment="1">
      <alignment horizontal="center"/>
    </xf>
    <xf numFmtId="49" fontId="6" fillId="0" borderId="136" xfId="0" applyNumberFormat="1" applyFont="1" applyBorder="1">
      <alignment horizontal="center" vertical="center"/>
    </xf>
    <xf numFmtId="0" fontId="4" fillId="0" borderId="137" xfId="0" applyFont="1" applyBorder="1" applyAlignment="1">
      <alignment horizontal="left"/>
    </xf>
    <xf numFmtId="0" fontId="0" fillId="0" borderId="137" xfId="0" applyBorder="1">
      <alignment horizontal="center" vertical="center"/>
    </xf>
    <xf numFmtId="0" fontId="0" fillId="0" borderId="138" xfId="0" applyBorder="1">
      <alignment horizontal="center" vertical="center"/>
    </xf>
    <xf numFmtId="0" fontId="0" fillId="0" borderId="139" xfId="0" applyBorder="1">
      <alignment horizontal="center" vertical="center"/>
    </xf>
    <xf numFmtId="0" fontId="0" fillId="0" borderId="140" xfId="0" applyBorder="1">
      <alignment horizontal="center" vertical="center"/>
    </xf>
    <xf numFmtId="0" fontId="18" fillId="0" borderId="58" xfId="0" applyFont="1" applyBorder="1" applyAlignment="1">
      <alignment horizontal="left" vertical="center"/>
    </xf>
    <xf numFmtId="0" fontId="18" fillId="0" borderId="58" xfId="0" applyFont="1" applyBorder="1">
      <alignment horizontal="center" vertical="center"/>
    </xf>
    <xf numFmtId="0" fontId="0" fillId="0" borderId="136" xfId="0" applyBorder="1">
      <alignment horizontal="center" vertical="center"/>
    </xf>
    <xf numFmtId="0" fontId="5" fillId="0" borderId="119" xfId="0" applyFont="1" applyBorder="1" applyAlignment="1">
      <alignment horizontal="center"/>
    </xf>
    <xf numFmtId="0" fontId="0" fillId="18" borderId="141" xfId="0" applyFill="1" applyBorder="1">
      <alignment horizontal="center" vertical="center"/>
    </xf>
    <xf numFmtId="0" fontId="0" fillId="19" borderId="141" xfId="0" applyFill="1" applyBorder="1">
      <alignment horizontal="center" vertical="center"/>
    </xf>
    <xf numFmtId="0" fontId="0" fillId="19" borderId="116" xfId="0" applyFill="1" applyBorder="1" applyAlignment="1">
      <alignment horizontal="left" vertical="center" wrapText="1"/>
    </xf>
    <xf numFmtId="49" fontId="0" fillId="19" borderId="117" xfId="0" applyNumberFormat="1" applyFill="1" applyBorder="1">
      <alignment horizontal="center" vertical="center"/>
    </xf>
    <xf numFmtId="49" fontId="0" fillId="27" borderId="45" xfId="0" applyNumberFormat="1" applyFill="1" applyBorder="1">
      <alignment horizontal="center" vertical="center"/>
    </xf>
    <xf numFmtId="49" fontId="0" fillId="19" borderId="45" xfId="2" applyNumberFormat="1" applyFont="1" applyFill="1" applyBorder="1" applyAlignment="1">
      <alignment horizontal="center" vertical="center"/>
    </xf>
    <xf numFmtId="0" fontId="17" fillId="28" borderId="49" xfId="10" applyBorder="1">
      <alignment horizontal="center" vertical="center"/>
    </xf>
    <xf numFmtId="0" fontId="0" fillId="19" borderId="142" xfId="0" applyFill="1" applyBorder="1" applyAlignment="1">
      <alignment horizontal="left" vertical="center"/>
    </xf>
    <xf numFmtId="49" fontId="0" fillId="19" borderId="142" xfId="0" applyNumberFormat="1" applyFill="1" applyBorder="1">
      <alignment horizontal="center" vertical="center"/>
    </xf>
    <xf numFmtId="49" fontId="0" fillId="19" borderId="76" xfId="0" applyNumberFormat="1" applyFill="1" applyBorder="1">
      <alignment horizontal="center" vertical="center"/>
    </xf>
    <xf numFmtId="0" fontId="0" fillId="0" borderId="101" xfId="0" applyBorder="1" applyAlignment="1">
      <alignment horizontal="left" vertical="center"/>
    </xf>
    <xf numFmtId="0" fontId="0" fillId="0" borderId="143" xfId="0" applyBorder="1" applyAlignment="1">
      <alignment horizontal="left" vertical="center"/>
    </xf>
    <xf numFmtId="0" fontId="4" fillId="0" borderId="99" xfId="0" applyFont="1" applyBorder="1" applyAlignment="1">
      <alignment horizontal="left" vertical="center"/>
    </xf>
    <xf numFmtId="0" fontId="0" fillId="0" borderId="102" xfId="0" applyBorder="1" applyAlignment="1">
      <alignment horizontal="left" vertical="center"/>
    </xf>
    <xf numFmtId="0" fontId="4" fillId="0" borderId="101" xfId="0" applyFont="1" applyBorder="1" applyAlignment="1">
      <alignment horizontal="left" vertical="center"/>
    </xf>
    <xf numFmtId="0" fontId="4" fillId="0" borderId="142" xfId="0" applyFont="1" applyBorder="1" applyAlignment="1">
      <alignment horizontal="center"/>
    </xf>
    <xf numFmtId="0" fontId="0" fillId="0" borderId="144" xfId="0" applyBorder="1" applyAlignment="1">
      <alignment horizontal="left" vertical="center"/>
    </xf>
    <xf numFmtId="0" fontId="0" fillId="0" borderId="105" xfId="0" applyBorder="1" applyAlignment="1">
      <alignment horizontal="left" vertical="center"/>
    </xf>
    <xf numFmtId="0" fontId="4" fillId="0" borderId="106" xfId="0" applyFont="1" applyBorder="1" applyAlignment="1">
      <alignment horizontal="left"/>
    </xf>
    <xf numFmtId="0" fontId="0" fillId="0" borderId="114" xfId="0" applyBorder="1" applyAlignment="1">
      <alignment horizontal="left" vertical="center"/>
    </xf>
    <xf numFmtId="0" fontId="4" fillId="0" borderId="145" xfId="0" applyFont="1" applyBorder="1">
      <alignment horizontal="center" vertical="center"/>
    </xf>
    <xf numFmtId="0" fontId="0" fillId="0" borderId="146" xfId="0" applyBorder="1" applyAlignment="1">
      <alignment horizontal="left" vertical="center"/>
    </xf>
    <xf numFmtId="0" fontId="0" fillId="0" borderId="41" xfId="0" applyBorder="1" applyAlignment="1">
      <alignment horizontal="left" vertical="center"/>
    </xf>
    <xf numFmtId="0" fontId="0" fillId="0" borderId="147" xfId="0" applyBorder="1" applyAlignment="1">
      <alignment horizontal="left" vertical="center"/>
    </xf>
    <xf numFmtId="0" fontId="0" fillId="0" borderId="148" xfId="0" applyBorder="1" applyAlignment="1">
      <alignment horizontal="left" vertical="center"/>
    </xf>
    <xf numFmtId="0" fontId="0" fillId="0" borderId="149" xfId="0" applyBorder="1" applyAlignment="1">
      <alignment horizontal="left" vertical="center"/>
    </xf>
    <xf numFmtId="0" fontId="0" fillId="0" borderId="150" xfId="0" applyBorder="1" applyAlignment="1">
      <alignment horizontal="left" vertical="center"/>
    </xf>
    <xf numFmtId="0" fontId="4" fillId="0" borderId="151" xfId="0" applyFont="1" applyBorder="1" applyAlignment="1">
      <alignment horizontal="left"/>
    </xf>
    <xf numFmtId="0" fontId="0" fillId="0" borderId="151" xfId="0" applyBorder="1" applyAlignment="1">
      <alignment horizontal="left" vertical="center"/>
    </xf>
    <xf numFmtId="0" fontId="0" fillId="0" borderId="152" xfId="0" applyBorder="1" applyAlignment="1">
      <alignment horizontal="left" vertical="center"/>
    </xf>
    <xf numFmtId="0" fontId="0" fillId="0" borderId="131" xfId="0" applyBorder="1" applyAlignment="1">
      <alignment horizontal="left" vertical="center"/>
    </xf>
    <xf numFmtId="49" fontId="0" fillId="0" borderId="105" xfId="0" applyNumberFormat="1" applyBorder="1" applyAlignment="1">
      <alignment horizontal="left"/>
    </xf>
    <xf numFmtId="0" fontId="12" fillId="0" borderId="145" xfId="0" applyFont="1" applyBorder="1" applyAlignment="1">
      <alignment horizontal="center"/>
    </xf>
    <xf numFmtId="0" fontId="4" fillId="0" borderId="116" xfId="0" applyFont="1" applyBorder="1" applyAlignment="1" applyProtection="1">
      <alignment horizontal="center"/>
      <protection locked="0"/>
    </xf>
    <xf numFmtId="0" fontId="0" fillId="0" borderId="116" xfId="0" applyBorder="1" applyAlignment="1">
      <alignment horizontal="left"/>
    </xf>
    <xf numFmtId="1" fontId="0" fillId="19" borderId="116" xfId="1" applyNumberFormat="1" applyFont="1" applyFill="1" applyBorder="1" applyAlignment="1">
      <alignment horizontal="center" vertical="center"/>
    </xf>
    <xf numFmtId="0" fontId="6" fillId="0" borderId="116" xfId="7" applyBorder="1">
      <alignment horizontal="center" vertical="center"/>
    </xf>
    <xf numFmtId="0" fontId="0" fillId="59" borderId="46" xfId="0" applyFill="1" applyBorder="1">
      <alignment horizontal="center" vertical="center"/>
    </xf>
    <xf numFmtId="0" fontId="17" fillId="19" borderId="46" xfId="8" applyFill="1" applyBorder="1">
      <alignment horizontal="center" vertical="center"/>
    </xf>
    <xf numFmtId="0" fontId="0" fillId="19" borderId="45" xfId="11" applyFont="1" applyFill="1" applyBorder="1">
      <alignment horizontal="center" vertical="center"/>
    </xf>
    <xf numFmtId="0" fontId="4" fillId="0" borderId="111" xfId="0" applyFont="1" applyBorder="1" applyAlignment="1">
      <alignment horizontal="center"/>
    </xf>
    <xf numFmtId="0" fontId="0" fillId="0" borderId="132" xfId="0" applyBorder="1">
      <alignment horizontal="center" vertical="center"/>
    </xf>
    <xf numFmtId="0" fontId="0" fillId="0" borderId="153" xfId="0" applyBorder="1">
      <alignment horizontal="center" vertical="center"/>
    </xf>
    <xf numFmtId="0" fontId="4" fillId="0" borderId="132" xfId="0" applyFont="1" applyBorder="1" applyAlignment="1">
      <alignment horizontal="left"/>
    </xf>
    <xf numFmtId="0" fontId="0" fillId="0" borderId="154" xfId="0" applyBorder="1">
      <alignment horizontal="center" vertical="center"/>
    </xf>
    <xf numFmtId="0" fontId="0" fillId="0" borderId="132" xfId="0" applyBorder="1" applyAlignment="1">
      <alignment horizontal="left" vertical="center"/>
    </xf>
    <xf numFmtId="0" fontId="0" fillId="0" borderId="153" xfId="0" applyBorder="1" applyAlignment="1">
      <alignment horizontal="left" vertical="center"/>
    </xf>
    <xf numFmtId="0" fontId="0" fillId="0" borderId="154" xfId="0" applyBorder="1" applyAlignment="1">
      <alignment horizontal="left" vertical="center"/>
    </xf>
    <xf numFmtId="0" fontId="4" fillId="0" borderId="154" xfId="0" applyFont="1" applyBorder="1" applyAlignment="1">
      <alignment horizontal="left"/>
    </xf>
    <xf numFmtId="0" fontId="0" fillId="0" borderId="155" xfId="0" applyBorder="1">
      <alignment horizontal="center" vertical="center"/>
    </xf>
    <xf numFmtId="49" fontId="0" fillId="19" borderId="105" xfId="0" applyNumberFormat="1" applyFill="1" applyBorder="1">
      <alignment horizontal="center" vertical="center"/>
    </xf>
    <xf numFmtId="0" fontId="0" fillId="19" borderId="105" xfId="0" applyFill="1" applyBorder="1">
      <alignment horizontal="center" vertical="center"/>
    </xf>
    <xf numFmtId="0" fontId="0" fillId="11" borderId="78" xfId="0" applyFill="1" applyBorder="1">
      <alignment horizontal="center" vertical="center"/>
    </xf>
    <xf numFmtId="0" fontId="0" fillId="11" borderId="87" xfId="0" applyFill="1" applyBorder="1">
      <alignment horizontal="center" vertical="center"/>
    </xf>
    <xf numFmtId="1" fontId="0" fillId="19" borderId="68" xfId="1" applyNumberFormat="1" applyFont="1" applyFill="1" applyBorder="1" applyAlignment="1">
      <alignment horizontal="center" vertical="center"/>
    </xf>
    <xf numFmtId="0" fontId="0" fillId="0" borderId="154" xfId="0" applyBorder="1" applyAlignment="1">
      <alignment horizontal="left"/>
    </xf>
    <xf numFmtId="0" fontId="0" fillId="0" borderId="132" xfId="0" applyBorder="1" applyAlignment="1">
      <alignment horizontal="center"/>
    </xf>
    <xf numFmtId="0" fontId="0" fillId="19" borderId="116" xfId="0" applyFill="1" applyBorder="1">
      <alignment horizontal="center" vertical="center"/>
    </xf>
    <xf numFmtId="0" fontId="17" fillId="65" borderId="45" xfId="8" applyFill="1" applyBorder="1">
      <alignment horizontal="center" vertical="center"/>
    </xf>
    <xf numFmtId="0" fontId="0" fillId="0" borderId="105" xfId="0" applyBorder="1" applyAlignment="1" applyProtection="1">
      <alignment horizontal="center"/>
      <protection locked="0"/>
    </xf>
    <xf numFmtId="49" fontId="0" fillId="0" borderId="105" xfId="0" applyNumberFormat="1" applyBorder="1" applyAlignment="1"/>
    <xf numFmtId="0" fontId="0" fillId="65" borderId="45" xfId="0" applyFill="1" applyBorder="1">
      <alignment horizontal="center" vertical="center"/>
    </xf>
    <xf numFmtId="0" fontId="17" fillId="29" borderId="66" xfId="11" applyBorder="1">
      <alignment horizontal="center" vertical="center"/>
    </xf>
    <xf numFmtId="0" fontId="0" fillId="0" borderId="78" xfId="0" applyBorder="1" applyAlignment="1">
      <alignment vertical="center"/>
    </xf>
    <xf numFmtId="0" fontId="5" fillId="6" borderId="105" xfId="0" applyFont="1" applyFill="1" applyBorder="1" applyAlignment="1">
      <alignment horizontal="left"/>
    </xf>
    <xf numFmtId="0" fontId="5" fillId="7" borderId="105" xfId="0" applyFont="1" applyFill="1" applyBorder="1">
      <alignment horizontal="center" vertical="center"/>
    </xf>
    <xf numFmtId="0" fontId="6" fillId="7" borderId="106" xfId="0" applyFont="1" applyFill="1" applyBorder="1">
      <alignment horizontal="center" vertical="center"/>
    </xf>
    <xf numFmtId="0" fontId="5" fillId="8" borderId="105" xfId="0" applyFont="1" applyFill="1" applyBorder="1" applyAlignment="1">
      <alignment horizontal="left"/>
    </xf>
    <xf numFmtId="0" fontId="5" fillId="8" borderId="106" xfId="0" applyFont="1" applyFill="1" applyBorder="1" applyAlignment="1">
      <alignment horizontal="left"/>
    </xf>
    <xf numFmtId="0" fontId="6" fillId="8" borderId="106" xfId="0" applyFont="1" applyFill="1" applyBorder="1">
      <alignment horizontal="center" vertical="center"/>
    </xf>
    <xf numFmtId="0" fontId="6" fillId="8" borderId="114" xfId="0" applyFont="1" applyFill="1" applyBorder="1">
      <alignment horizontal="center" vertical="center"/>
    </xf>
    <xf numFmtId="0" fontId="5" fillId="9" borderId="105" xfId="0" applyFont="1" applyFill="1" applyBorder="1" applyAlignment="1">
      <alignment horizontal="left"/>
    </xf>
    <xf numFmtId="0" fontId="5" fillId="9" borderId="106" xfId="0" applyFont="1" applyFill="1" applyBorder="1" applyAlignment="1">
      <alignment horizontal="left"/>
    </xf>
    <xf numFmtId="0" fontId="0" fillId="9" borderId="106" xfId="0" applyFill="1" applyBorder="1">
      <alignment horizontal="center" vertical="center"/>
    </xf>
    <xf numFmtId="0" fontId="5" fillId="10" borderId="105" xfId="0" applyFont="1" applyFill="1" applyBorder="1" applyAlignment="1">
      <alignment horizontal="left"/>
    </xf>
    <xf numFmtId="0" fontId="0" fillId="10" borderId="106" xfId="0" applyFill="1" applyBorder="1">
      <alignment horizontal="center" vertical="center"/>
    </xf>
    <xf numFmtId="0" fontId="6" fillId="10" borderId="106" xfId="0" applyFont="1" applyFill="1" applyBorder="1">
      <alignment horizontal="center" vertical="center"/>
    </xf>
    <xf numFmtId="0" fontId="6" fillId="10" borderId="114" xfId="0" applyFont="1" applyFill="1" applyBorder="1">
      <alignment horizontal="center" vertical="center"/>
    </xf>
    <xf numFmtId="0" fontId="5" fillId="11" borderId="105" xfId="0" applyFont="1" applyFill="1" applyBorder="1">
      <alignment horizontal="center" vertical="center"/>
    </xf>
    <xf numFmtId="0" fontId="0" fillId="11" borderId="106" xfId="0" applyFill="1" applyBorder="1">
      <alignment horizontal="center" vertical="center"/>
    </xf>
    <xf numFmtId="0" fontId="6" fillId="11" borderId="106" xfId="0" applyFont="1" applyFill="1" applyBorder="1">
      <alignment horizontal="center" vertical="center"/>
    </xf>
    <xf numFmtId="0" fontId="5" fillId="12" borderId="105" xfId="0" applyFont="1" applyFill="1" applyBorder="1" applyAlignment="1">
      <alignment horizontal="left"/>
    </xf>
    <xf numFmtId="0" fontId="6" fillId="12" borderId="106" xfId="0" applyFont="1" applyFill="1" applyBorder="1">
      <alignment horizontal="center" vertical="center"/>
    </xf>
    <xf numFmtId="0" fontId="0" fillId="12" borderId="114" xfId="0" applyFill="1" applyBorder="1">
      <alignment horizontal="center" vertical="center"/>
    </xf>
    <xf numFmtId="0" fontId="5" fillId="14" borderId="66" xfId="0" applyFont="1" applyFill="1" applyBorder="1" applyAlignment="1">
      <alignment horizontal="left"/>
    </xf>
    <xf numFmtId="0" fontId="5" fillId="15" borderId="105" xfId="0" applyFont="1" applyFill="1" applyBorder="1">
      <alignment horizontal="center" vertical="center"/>
    </xf>
    <xf numFmtId="0" fontId="6" fillId="15" borderId="106" xfId="0" applyFont="1" applyFill="1" applyBorder="1">
      <alignment horizontal="center" vertical="center"/>
    </xf>
    <xf numFmtId="0" fontId="6" fillId="0" borderId="105" xfId="0" applyFont="1" applyBorder="1" applyAlignment="1">
      <alignment horizontal="left"/>
    </xf>
    <xf numFmtId="0" fontId="0" fillId="0" borderId="106" xfId="0" applyBorder="1">
      <alignment horizontal="center" vertical="center"/>
    </xf>
    <xf numFmtId="0" fontId="6" fillId="0" borderId="106" xfId="0" applyFont="1" applyBorder="1" applyAlignment="1">
      <alignment horizontal="left"/>
    </xf>
    <xf numFmtId="0" fontId="6" fillId="0" borderId="106" xfId="0" applyFont="1" applyBorder="1">
      <alignment horizontal="center" vertical="center"/>
    </xf>
    <xf numFmtId="0" fontId="6" fillId="0" borderId="114" xfId="0" applyFont="1" applyBorder="1">
      <alignment horizontal="center" vertical="center"/>
    </xf>
    <xf numFmtId="0" fontId="6" fillId="17" borderId="105" xfId="0" applyFont="1" applyFill="1" applyBorder="1" applyAlignment="1">
      <alignment horizontal="left" vertical="center"/>
    </xf>
    <xf numFmtId="0" fontId="6" fillId="17" borderId="106" xfId="0" applyFont="1" applyFill="1" applyBorder="1">
      <alignment horizontal="center" vertical="center"/>
    </xf>
    <xf numFmtId="0" fontId="6" fillId="17" borderId="114" xfId="0" applyFont="1" applyFill="1" applyBorder="1">
      <alignment horizontal="center" vertical="center"/>
    </xf>
    <xf numFmtId="0" fontId="4" fillId="0" borderId="105" xfId="0" applyFont="1" applyBorder="1" applyAlignment="1">
      <alignment horizontal="left" vertical="center"/>
    </xf>
    <xf numFmtId="0" fontId="0" fillId="0" borderId="114" xfId="0" applyBorder="1">
      <alignment horizontal="center" vertical="center"/>
    </xf>
    <xf numFmtId="0" fontId="0" fillId="0" borderId="130" xfId="0" applyBorder="1">
      <alignment horizontal="center" vertical="center"/>
    </xf>
    <xf numFmtId="0" fontId="4" fillId="0" borderId="106" xfId="0" applyFont="1" applyBorder="1" applyAlignment="1">
      <alignment horizontal="left" vertical="center"/>
    </xf>
    <xf numFmtId="0" fontId="0" fillId="0" borderId="156" xfId="0" applyBorder="1">
      <alignment horizontal="center" vertical="center"/>
    </xf>
    <xf numFmtId="0" fontId="4" fillId="0" borderId="105" xfId="0" applyFont="1" applyBorder="1">
      <alignment horizontal="center" vertical="center"/>
    </xf>
    <xf numFmtId="0" fontId="0" fillId="0" borderId="68" xfId="0" applyBorder="1" applyAlignment="1" applyProtection="1">
      <alignment horizontal="center"/>
      <protection locked="0"/>
    </xf>
    <xf numFmtId="0" fontId="5" fillId="0" borderId="68" xfId="0" applyFont="1" applyBorder="1" applyAlignment="1">
      <alignment horizontal="center"/>
    </xf>
    <xf numFmtId="0" fontId="0" fillId="18" borderId="68" xfId="0" applyFill="1" applyBorder="1">
      <alignment horizontal="center" vertical="center"/>
    </xf>
    <xf numFmtId="0" fontId="0" fillId="19" borderId="68" xfId="0" applyFill="1" applyBorder="1">
      <alignment horizontal="center" vertical="center"/>
    </xf>
    <xf numFmtId="0" fontId="0" fillId="19" borderId="77" xfId="0" applyFill="1" applyBorder="1">
      <alignment horizontal="center" vertical="center"/>
    </xf>
    <xf numFmtId="0" fontId="0" fillId="0" borderId="42" xfId="0" applyBorder="1" applyAlignment="1">
      <alignment vertical="center"/>
    </xf>
    <xf numFmtId="0" fontId="17" fillId="24" borderId="42" xfId="6" applyBorder="1">
      <alignment horizontal="center" vertical="center"/>
    </xf>
    <xf numFmtId="0" fontId="17" fillId="24" borderId="112" xfId="6" applyBorder="1">
      <alignment horizontal="center" vertical="center"/>
    </xf>
    <xf numFmtId="0" fontId="4" fillId="11" borderId="105" xfId="0" applyFont="1" applyFill="1" applyBorder="1" applyAlignment="1">
      <alignment horizontal="left" vertical="center"/>
    </xf>
    <xf numFmtId="0" fontId="0" fillId="11" borderId="66" xfId="0" applyFill="1" applyBorder="1">
      <alignment horizontal="center" vertical="center"/>
    </xf>
    <xf numFmtId="0" fontId="0" fillId="11" borderId="74" xfId="0" applyFill="1" applyBorder="1">
      <alignment horizontal="center" vertical="center"/>
    </xf>
    <xf numFmtId="0" fontId="5" fillId="0" borderId="66" xfId="0" applyFont="1" applyBorder="1" applyAlignment="1">
      <alignment horizontal="left" vertical="center"/>
    </xf>
    <xf numFmtId="1" fontId="0" fillId="19" borderId="66" xfId="1" applyNumberFormat="1" applyFont="1" applyFill="1" applyBorder="1" applyAlignment="1">
      <alignment horizontal="center" vertical="center"/>
    </xf>
    <xf numFmtId="1" fontId="0" fillId="19" borderId="66" xfId="0" applyNumberFormat="1" applyFill="1" applyBorder="1">
      <alignment horizontal="center" vertical="center"/>
    </xf>
    <xf numFmtId="0" fontId="0" fillId="19" borderId="66" xfId="5" applyFont="1" applyFill="1" applyBorder="1">
      <alignment horizontal="center" vertical="center"/>
    </xf>
    <xf numFmtId="0" fontId="17" fillId="24" borderId="66" xfId="6" applyBorder="1">
      <alignment horizontal="center" vertical="center"/>
    </xf>
    <xf numFmtId="1" fontId="0" fillId="19" borderId="74" xfId="0" applyNumberFormat="1" applyFill="1" applyBorder="1">
      <alignment horizontal="center" vertical="center"/>
    </xf>
    <xf numFmtId="0" fontId="0" fillId="22" borderId="105" xfId="0" applyFill="1" applyBorder="1" applyAlignment="1" applyProtection="1">
      <alignment horizontal="center"/>
      <protection locked="0"/>
    </xf>
    <xf numFmtId="0" fontId="45" fillId="23" borderId="66" xfId="5" applyBorder="1">
      <alignment horizontal="center" vertical="center"/>
    </xf>
    <xf numFmtId="1" fontId="0" fillId="26" borderId="66" xfId="0" applyNumberFormat="1" applyFill="1" applyBorder="1">
      <alignment horizontal="center" vertical="center"/>
    </xf>
    <xf numFmtId="0" fontId="0" fillId="0" borderId="66" xfId="0" applyBorder="1" applyAlignment="1">
      <alignment horizontal="left" vertical="center"/>
    </xf>
    <xf numFmtId="0" fontId="17" fillId="25" borderId="74" xfId="8" applyBorder="1">
      <alignment horizontal="center" vertical="center"/>
    </xf>
    <xf numFmtId="1" fontId="0" fillId="19" borderId="66" xfId="6" applyNumberFormat="1" applyFont="1" applyFill="1" applyBorder="1">
      <alignment horizontal="center" vertical="center"/>
    </xf>
    <xf numFmtId="0" fontId="4" fillId="11" borderId="78" xfId="0" applyFont="1" applyFill="1" applyBorder="1">
      <alignment horizontal="center" vertical="center"/>
    </xf>
    <xf numFmtId="1" fontId="0" fillId="11" borderId="78" xfId="0" applyNumberFormat="1" applyFill="1" applyBorder="1">
      <alignment horizontal="center" vertical="center"/>
    </xf>
    <xf numFmtId="0" fontId="0" fillId="11" borderId="75" xfId="0" applyFill="1" applyBorder="1">
      <alignment horizontal="center" vertical="center"/>
    </xf>
    <xf numFmtId="0" fontId="0" fillId="22" borderId="116" xfId="0" applyFill="1" applyBorder="1" applyAlignment="1" applyProtection="1">
      <alignment horizontal="center"/>
      <protection locked="0"/>
    </xf>
    <xf numFmtId="0" fontId="0" fillId="0" borderId="116" xfId="0" applyBorder="1" applyAlignment="1">
      <alignment horizontal="left" vertical="center"/>
    </xf>
    <xf numFmtId="0" fontId="0" fillId="22" borderId="145" xfId="0" applyFill="1" applyBorder="1" applyAlignment="1" applyProtection="1">
      <alignment horizontal="center"/>
      <protection locked="0"/>
    </xf>
    <xf numFmtId="0" fontId="0" fillId="0" borderId="145" xfId="0" applyBorder="1" applyAlignment="1">
      <alignment horizontal="left" vertical="center"/>
    </xf>
    <xf numFmtId="0" fontId="0" fillId="19" borderId="145" xfId="7" applyFont="1" applyFill="1" applyBorder="1">
      <alignment horizontal="center" vertical="center"/>
    </xf>
    <xf numFmtId="0" fontId="17" fillId="24" borderId="145" xfId="6" applyBorder="1">
      <alignment horizontal="center" vertical="center"/>
    </xf>
    <xf numFmtId="0" fontId="0" fillId="19" borderId="145" xfId="0" applyFill="1" applyBorder="1">
      <alignment horizontal="center" vertical="center"/>
    </xf>
    <xf numFmtId="0" fontId="0" fillId="24" borderId="145" xfId="7" applyFont="1" applyFill="1" applyBorder="1">
      <alignment horizontal="center" vertical="center"/>
    </xf>
    <xf numFmtId="0" fontId="0" fillId="19" borderId="145" xfId="6" applyFont="1" applyFill="1" applyBorder="1">
      <alignment horizontal="center" vertical="center"/>
    </xf>
    <xf numFmtId="0" fontId="0" fillId="19" borderId="145" xfId="8" applyFont="1" applyFill="1" applyBorder="1">
      <alignment horizontal="center" vertical="center"/>
    </xf>
    <xf numFmtId="0" fontId="0" fillId="0" borderId="145" xfId="0" applyBorder="1">
      <alignment horizontal="center" vertical="center"/>
    </xf>
    <xf numFmtId="0" fontId="17" fillId="0" borderId="145" xfId="6" applyFill="1" applyBorder="1">
      <alignment horizontal="center" vertical="center"/>
    </xf>
    <xf numFmtId="0" fontId="6" fillId="0" borderId="46" xfId="7" applyBorder="1">
      <alignment horizontal="center" vertical="center"/>
    </xf>
    <xf numFmtId="0" fontId="0" fillId="0" borderId="145" xfId="7" applyFont="1" applyBorder="1" applyAlignment="1">
      <alignment vertical="center"/>
    </xf>
    <xf numFmtId="0" fontId="0" fillId="26" borderId="145" xfId="8" applyFont="1" applyFill="1" applyBorder="1">
      <alignment horizontal="center" vertical="center"/>
    </xf>
    <xf numFmtId="0" fontId="6" fillId="0" borderId="145" xfId="0" applyFont="1" applyBorder="1" applyAlignment="1">
      <alignment horizontal="left" vertical="center"/>
    </xf>
    <xf numFmtId="0" fontId="6" fillId="28" borderId="145" xfId="10" applyFont="1" applyBorder="1">
      <alignment horizontal="center" vertical="center"/>
    </xf>
    <xf numFmtId="0" fontId="17" fillId="28" borderId="145" xfId="10" applyBorder="1">
      <alignment horizontal="center" vertical="center"/>
    </xf>
    <xf numFmtId="0" fontId="0" fillId="19" borderId="145" xfId="5" applyFont="1" applyFill="1" applyBorder="1">
      <alignment horizontal="center" vertical="center"/>
    </xf>
    <xf numFmtId="0" fontId="17" fillId="24" borderId="49" xfId="6" applyBorder="1">
      <alignment horizontal="center" vertical="center"/>
    </xf>
    <xf numFmtId="0" fontId="4" fillId="0" borderId="87" xfId="0" applyFont="1" applyBorder="1" applyAlignment="1">
      <alignment horizontal="left" vertical="center"/>
    </xf>
    <xf numFmtId="0" fontId="7" fillId="0" borderId="85" xfId="0" applyFont="1" applyBorder="1">
      <alignment horizontal="center" vertical="center"/>
    </xf>
    <xf numFmtId="0" fontId="4" fillId="0" borderId="85" xfId="0" applyFont="1" applyBorder="1">
      <alignment horizontal="center" vertical="center"/>
    </xf>
    <xf numFmtId="0" fontId="0" fillId="0" borderId="134" xfId="0" applyBorder="1">
      <alignment horizontal="center" vertical="center"/>
    </xf>
    <xf numFmtId="0" fontId="17" fillId="25" borderId="42" xfId="8" applyBorder="1">
      <alignment horizontal="center" vertical="center"/>
    </xf>
    <xf numFmtId="0" fontId="0" fillId="0" borderId="145" xfId="0" applyBorder="1" applyAlignment="1">
      <alignment vertical="center"/>
    </xf>
    <xf numFmtId="0" fontId="0" fillId="26" borderId="66" xfId="10" applyFont="1" applyFill="1" applyBorder="1">
      <alignment horizontal="center" vertical="center"/>
    </xf>
    <xf numFmtId="0" fontId="17" fillId="28" borderId="68" xfId="10" applyBorder="1">
      <alignment horizontal="center" vertical="center"/>
    </xf>
    <xf numFmtId="0" fontId="0" fillId="28" borderId="77" xfId="10" applyFont="1" applyBorder="1">
      <alignment horizontal="center" vertical="center"/>
    </xf>
    <xf numFmtId="0" fontId="0" fillId="19" borderId="66" xfId="9" applyFont="1" applyFill="1" applyBorder="1">
      <alignment horizontal="center" vertical="center"/>
    </xf>
    <xf numFmtId="0" fontId="0" fillId="0" borderId="68" xfId="0" applyBorder="1" applyAlignment="1">
      <alignment vertical="center"/>
    </xf>
    <xf numFmtId="0" fontId="0" fillId="19" borderId="42" xfId="0" applyFill="1" applyBorder="1" applyAlignment="1">
      <alignment horizontal="left" vertical="center" wrapText="1"/>
    </xf>
    <xf numFmtId="0" fontId="6" fillId="0" borderId="68" xfId="7" applyBorder="1">
      <alignment horizontal="center" vertical="center"/>
    </xf>
    <xf numFmtId="0" fontId="0" fillId="0" borderId="106" xfId="7" applyFont="1" applyBorder="1" applyAlignment="1">
      <alignment horizontal="left"/>
    </xf>
    <xf numFmtId="0" fontId="0" fillId="19" borderId="145" xfId="12" applyFont="1" applyFill="1" applyBorder="1">
      <alignment horizontal="center" vertical="center"/>
    </xf>
    <xf numFmtId="0" fontId="0" fillId="0" borderId="42" xfId="7" applyFont="1" applyBorder="1">
      <alignment horizontal="center" vertical="center"/>
    </xf>
    <xf numFmtId="0" fontId="17" fillId="30" borderId="42" xfId="12" applyBorder="1">
      <alignment horizontal="center" vertical="center"/>
    </xf>
    <xf numFmtId="49" fontId="0" fillId="19" borderId="42" xfId="3" applyNumberFormat="1" applyFont="1" applyFill="1" applyBorder="1" applyAlignment="1">
      <alignment horizontal="center" vertical="center"/>
    </xf>
    <xf numFmtId="0" fontId="6" fillId="19" borderId="66" xfId="6" applyFont="1" applyFill="1" applyBorder="1">
      <alignment horizontal="center" vertical="center"/>
    </xf>
    <xf numFmtId="49" fontId="0" fillId="19" borderId="66" xfId="7" applyNumberFormat="1" applyFont="1" applyFill="1" applyBorder="1">
      <alignment horizontal="center" vertical="center"/>
    </xf>
    <xf numFmtId="49" fontId="6" fillId="19" borderId="74" xfId="3" applyNumberFormat="1" applyFont="1" applyFill="1" applyBorder="1" applyAlignment="1">
      <alignment horizontal="center" vertical="center"/>
    </xf>
    <xf numFmtId="0" fontId="6" fillId="0" borderId="66" xfId="7" applyBorder="1" applyAlignment="1">
      <alignment vertical="center"/>
    </xf>
    <xf numFmtId="0" fontId="0" fillId="19" borderId="66" xfId="7" applyFont="1" applyFill="1" applyBorder="1">
      <alignment horizontal="center" vertical="center"/>
    </xf>
    <xf numFmtId="0" fontId="6" fillId="0" borderId="68" xfId="7" applyBorder="1" applyAlignment="1">
      <alignment vertical="center"/>
    </xf>
    <xf numFmtId="0" fontId="0" fillId="19" borderId="68" xfId="13" applyFont="1" applyFill="1" applyBorder="1">
      <alignment horizontal="center" vertical="center"/>
    </xf>
    <xf numFmtId="0" fontId="9" fillId="0" borderId="87" xfId="0" applyFont="1" applyBorder="1" applyAlignment="1">
      <alignment horizontal="center"/>
    </xf>
    <xf numFmtId="49" fontId="0" fillId="28" borderId="42" xfId="0" applyNumberFormat="1" applyFill="1" applyBorder="1">
      <alignment horizontal="center" vertical="center"/>
    </xf>
    <xf numFmtId="0" fontId="0" fillId="28" borderId="42" xfId="10" applyFont="1" applyBorder="1">
      <alignment horizontal="center" vertical="center"/>
    </xf>
    <xf numFmtId="49" fontId="0" fillId="41" borderId="42" xfId="0" applyNumberFormat="1" applyFill="1" applyBorder="1">
      <alignment horizontal="center" vertical="center"/>
    </xf>
    <xf numFmtId="0" fontId="17" fillId="31" borderId="66" xfId="13" applyBorder="1">
      <alignment horizontal="center" vertical="center"/>
    </xf>
    <xf numFmtId="0" fontId="17" fillId="31" borderId="74" xfId="13" applyBorder="1">
      <alignment horizontal="center" vertical="center"/>
    </xf>
    <xf numFmtId="49" fontId="0" fillId="24" borderId="66" xfId="0" applyNumberFormat="1" applyFill="1" applyBorder="1">
      <alignment horizontal="center" vertical="center"/>
    </xf>
    <xf numFmtId="0" fontId="0" fillId="26" borderId="66" xfId="6" applyFont="1" applyFill="1" applyBorder="1">
      <alignment horizontal="center" vertical="center"/>
    </xf>
    <xf numFmtId="0" fontId="6" fillId="24" borderId="66" xfId="6" applyFont="1" applyBorder="1">
      <alignment horizontal="center" vertical="center"/>
    </xf>
    <xf numFmtId="0" fontId="17" fillId="28" borderId="74" xfId="10" applyBorder="1">
      <alignment horizontal="center" vertical="center"/>
    </xf>
    <xf numFmtId="0" fontId="0" fillId="28" borderId="68" xfId="10" applyFont="1" applyBorder="1">
      <alignment horizontal="center" vertical="center"/>
    </xf>
    <xf numFmtId="0" fontId="0" fillId="19" borderId="68" xfId="8" applyFont="1" applyFill="1" applyBorder="1">
      <alignment horizontal="center" vertical="center"/>
    </xf>
    <xf numFmtId="0" fontId="0" fillId="28" borderId="116" xfId="10" applyFont="1" applyBorder="1">
      <alignment horizontal="center" vertical="center"/>
    </xf>
    <xf numFmtId="0" fontId="6" fillId="28" borderId="116" xfId="10" applyFont="1" applyBorder="1">
      <alignment horizontal="center" vertical="center"/>
    </xf>
    <xf numFmtId="0" fontId="17" fillId="24" borderId="117" xfId="6" applyBorder="1">
      <alignment horizontal="center" vertical="center"/>
    </xf>
    <xf numFmtId="0" fontId="0" fillId="25" borderId="45" xfId="6" applyFont="1" applyFill="1" applyBorder="1">
      <alignment horizontal="center" vertical="center"/>
    </xf>
    <xf numFmtId="0" fontId="6" fillId="24" borderId="42" xfId="6" applyFont="1" applyBorder="1">
      <alignment horizontal="center" vertical="center"/>
    </xf>
    <xf numFmtId="49" fontId="6" fillId="19" borderId="66" xfId="0" applyNumberFormat="1" applyFont="1" applyFill="1" applyBorder="1">
      <alignment horizontal="center" vertical="center"/>
    </xf>
    <xf numFmtId="0" fontId="17" fillId="24" borderId="77" xfId="6" applyBorder="1">
      <alignment horizontal="center" vertical="center"/>
    </xf>
    <xf numFmtId="0" fontId="4" fillId="0" borderId="157" xfId="0" applyFont="1" applyBorder="1" applyAlignment="1">
      <alignment horizontal="center"/>
    </xf>
    <xf numFmtId="49" fontId="6" fillId="0" borderId="158" xfId="0" applyNumberFormat="1" applyFont="1" applyBorder="1">
      <alignment horizontal="center" vertical="center"/>
    </xf>
    <xf numFmtId="0" fontId="4" fillId="0" borderId="159" xfId="0" applyFont="1" applyBorder="1" applyAlignment="1">
      <alignment horizontal="left"/>
    </xf>
    <xf numFmtId="0" fontId="0" fillId="0" borderId="159" xfId="0" applyBorder="1">
      <alignment horizontal="center" vertical="center"/>
    </xf>
    <xf numFmtId="0" fontId="0" fillId="0" borderId="160" xfId="0" applyBorder="1">
      <alignment horizontal="center" vertical="center"/>
    </xf>
    <xf numFmtId="0" fontId="0" fillId="0" borderId="161" xfId="0" applyBorder="1">
      <alignment horizontal="center" vertical="center"/>
    </xf>
    <xf numFmtId="0" fontId="4" fillId="0" borderId="161" xfId="0" applyFont="1" applyBorder="1" applyAlignment="1">
      <alignment horizontal="left"/>
    </xf>
    <xf numFmtId="0" fontId="0" fillId="0" borderId="162" xfId="0" applyBorder="1">
      <alignment horizontal="center" vertical="center"/>
    </xf>
    <xf numFmtId="0" fontId="9" fillId="0" borderId="163" xfId="0" applyFont="1" applyBorder="1">
      <alignment horizontal="center" vertical="center"/>
    </xf>
    <xf numFmtId="49" fontId="6" fillId="0" borderId="164" xfId="0" applyNumberFormat="1" applyFont="1" applyBorder="1">
      <alignment horizontal="center" vertical="center"/>
    </xf>
    <xf numFmtId="0" fontId="9" fillId="0" borderId="165" xfId="0" applyFont="1" applyBorder="1">
      <alignment horizontal="center" vertical="center"/>
    </xf>
    <xf numFmtId="0" fontId="6" fillId="0" borderId="166" xfId="0" applyFont="1" applyBorder="1" applyAlignment="1">
      <alignment horizontal="left" vertical="center"/>
    </xf>
    <xf numFmtId="0" fontId="6" fillId="0" borderId="166" xfId="0" applyFont="1" applyBorder="1">
      <alignment horizontal="center" vertical="center"/>
    </xf>
    <xf numFmtId="0" fontId="6" fillId="0" borderId="167" xfId="0" applyFont="1" applyBorder="1">
      <alignment horizontal="center" vertical="center"/>
    </xf>
    <xf numFmtId="0" fontId="0" fillId="0" borderId="166" xfId="0" applyBorder="1" applyAlignment="1">
      <alignment horizontal="left" vertical="center"/>
    </xf>
    <xf numFmtId="49" fontId="6" fillId="0" borderId="121" xfId="0" applyNumberFormat="1" applyFont="1" applyBorder="1">
      <alignment horizontal="center" vertical="center"/>
    </xf>
    <xf numFmtId="0" fontId="6" fillId="0" borderId="121" xfId="0" applyFont="1" applyBorder="1">
      <alignment horizontal="center" vertical="center"/>
    </xf>
    <xf numFmtId="0" fontId="9" fillId="0" borderId="121" xfId="0" applyFont="1" applyBorder="1">
      <alignment horizontal="center" vertical="center"/>
    </xf>
    <xf numFmtId="0" fontId="9" fillId="0" borderId="122" xfId="0" applyFont="1" applyBorder="1">
      <alignment horizontal="center" vertical="center"/>
    </xf>
    <xf numFmtId="0" fontId="0" fillId="18" borderId="168" xfId="0" applyFill="1" applyBorder="1">
      <alignment horizontal="center" vertical="center"/>
    </xf>
    <xf numFmtId="0" fontId="0" fillId="19" borderId="168" xfId="0" applyFill="1" applyBorder="1">
      <alignment horizontal="center" vertical="center"/>
    </xf>
    <xf numFmtId="0" fontId="0" fillId="19" borderId="169" xfId="0" applyFill="1" applyBorder="1">
      <alignment horizontal="center" vertical="center"/>
    </xf>
    <xf numFmtId="1" fontId="0" fillId="19" borderId="170" xfId="0" applyNumberFormat="1" applyFill="1" applyBorder="1">
      <alignment horizontal="center" vertical="center"/>
    </xf>
    <xf numFmtId="49" fontId="0" fillId="41" borderId="45" xfId="0" applyNumberFormat="1" applyFill="1" applyBorder="1">
      <alignment horizontal="center" vertical="center"/>
    </xf>
    <xf numFmtId="0" fontId="17" fillId="25" borderId="171" xfId="8" applyBorder="1">
      <alignment horizontal="center" vertical="center"/>
    </xf>
    <xf numFmtId="0" fontId="17" fillId="28" borderId="172" xfId="10" applyBorder="1">
      <alignment horizontal="center" vertical="center"/>
    </xf>
    <xf numFmtId="0" fontId="0" fillId="28" borderId="173" xfId="10" applyFont="1" applyBorder="1">
      <alignment horizontal="center" vertical="center"/>
    </xf>
    <xf numFmtId="0" fontId="6" fillId="32" borderId="173" xfId="15" applyBorder="1">
      <alignment horizontal="center" vertical="center"/>
    </xf>
    <xf numFmtId="49" fontId="0" fillId="19" borderId="173" xfId="2" applyNumberFormat="1" applyFont="1" applyFill="1" applyBorder="1" applyAlignment="1">
      <alignment horizontal="center" vertical="center"/>
    </xf>
    <xf numFmtId="0" fontId="4" fillId="0" borderId="174" xfId="0" applyFont="1" applyBorder="1" applyAlignment="1">
      <alignment horizontal="center"/>
    </xf>
    <xf numFmtId="0" fontId="0" fillId="0" borderId="174" xfId="0" applyBorder="1">
      <alignment horizontal="center" vertical="center"/>
    </xf>
    <xf numFmtId="0" fontId="6" fillId="0" borderId="174" xfId="0" applyFont="1" applyBorder="1">
      <alignment horizontal="center" vertical="center"/>
    </xf>
    <xf numFmtId="0" fontId="0" fillId="0" borderId="175" xfId="0" applyBorder="1">
      <alignment horizontal="center" vertical="center"/>
    </xf>
    <xf numFmtId="0" fontId="4" fillId="0" borderId="175" xfId="0" applyFont="1" applyBorder="1" applyAlignment="1">
      <alignment horizontal="center"/>
    </xf>
    <xf numFmtId="0" fontId="5" fillId="0" borderId="174" xfId="0" applyFont="1" applyBorder="1" applyAlignment="1">
      <alignment horizontal="left"/>
    </xf>
    <xf numFmtId="0" fontId="6" fillId="0" borderId="176" xfId="0" applyFont="1" applyBorder="1">
      <alignment horizontal="center" vertical="center"/>
    </xf>
    <xf numFmtId="0" fontId="0" fillId="0" borderId="174" xfId="0" applyBorder="1" applyAlignment="1">
      <alignment horizontal="center"/>
    </xf>
    <xf numFmtId="0" fontId="0" fillId="22" borderId="174" xfId="0" applyFill="1" applyBorder="1" applyAlignment="1" applyProtection="1">
      <alignment horizontal="center"/>
      <protection locked="0"/>
    </xf>
    <xf numFmtId="0" fontId="6" fillId="0" borderId="177" xfId="0" applyFont="1" applyBorder="1" applyAlignment="1">
      <alignment horizontal="left"/>
    </xf>
    <xf numFmtId="0" fontId="6" fillId="0" borderId="178" xfId="0" applyFont="1" applyBorder="1" applyAlignment="1">
      <alignment horizontal="left"/>
    </xf>
    <xf numFmtId="0" fontId="6" fillId="0" borderId="179" xfId="0" applyFont="1" applyBorder="1" applyAlignment="1">
      <alignment horizontal="left"/>
    </xf>
    <xf numFmtId="0" fontId="5" fillId="0" borderId="176" xfId="0" applyFont="1" applyBorder="1" applyAlignment="1">
      <alignment horizontal="left"/>
    </xf>
    <xf numFmtId="0" fontId="6" fillId="0" borderId="180" xfId="0" applyFont="1" applyBorder="1" applyAlignment="1">
      <alignment horizontal="left"/>
    </xf>
    <xf numFmtId="0" fontId="11" fillId="0" borderId="174" xfId="0" applyFont="1" applyBorder="1" applyAlignment="1" applyProtection="1">
      <alignment horizontal="center"/>
      <protection locked="0"/>
    </xf>
    <xf numFmtId="0" fontId="0" fillId="0" borderId="174" xfId="0" applyBorder="1" applyAlignment="1">
      <alignment horizontal="left"/>
    </xf>
    <xf numFmtId="0" fontId="6" fillId="0" borderId="174" xfId="0" applyFont="1" applyBorder="1" applyAlignment="1">
      <alignment horizontal="left"/>
    </xf>
    <xf numFmtId="0" fontId="0" fillId="18" borderId="175" xfId="0" applyFill="1" applyBorder="1">
      <alignment horizontal="center" vertical="center"/>
    </xf>
    <xf numFmtId="0" fontId="0" fillId="19" borderId="175" xfId="0" applyFill="1" applyBorder="1">
      <alignment horizontal="center" vertical="center"/>
    </xf>
    <xf numFmtId="0" fontId="0" fillId="19" borderId="181" xfId="0" applyFill="1" applyBorder="1">
      <alignment horizontal="center" vertical="center"/>
    </xf>
    <xf numFmtId="0" fontId="0" fillId="19" borderId="173" xfId="0" applyFill="1" applyBorder="1" applyAlignment="1" applyProtection="1">
      <alignment horizontal="left" vertical="center"/>
      <protection locked="0"/>
    </xf>
    <xf numFmtId="0" fontId="0" fillId="19" borderId="173" xfId="0" applyFill="1" applyBorder="1">
      <alignment horizontal="center" vertical="center"/>
    </xf>
    <xf numFmtId="49" fontId="0" fillId="19" borderId="173" xfId="3" applyNumberFormat="1" applyFont="1" applyFill="1" applyBorder="1" applyAlignment="1">
      <alignment horizontal="center" vertical="center"/>
    </xf>
    <xf numFmtId="0" fontId="6" fillId="24" borderId="173" xfId="6" applyFont="1" applyBorder="1">
      <alignment horizontal="center" vertical="center"/>
    </xf>
    <xf numFmtId="0" fontId="17" fillId="30" borderId="173" xfId="12" applyBorder="1">
      <alignment horizontal="center" vertical="center"/>
    </xf>
    <xf numFmtId="49" fontId="0" fillId="19" borderId="173" xfId="7" applyNumberFormat="1" applyFont="1" applyFill="1" applyBorder="1">
      <alignment horizontal="center" vertical="center"/>
    </xf>
    <xf numFmtId="0" fontId="0" fillId="28" borderId="173" xfId="0" applyFill="1" applyBorder="1">
      <alignment horizontal="center" vertical="center"/>
    </xf>
    <xf numFmtId="1" fontId="0" fillId="19" borderId="173" xfId="1" applyNumberFormat="1" applyFont="1" applyFill="1" applyBorder="1" applyAlignment="1">
      <alignment horizontal="center" vertical="center"/>
    </xf>
    <xf numFmtId="0" fontId="0" fillId="19" borderId="171" xfId="7" applyFont="1" applyFill="1" applyBorder="1">
      <alignment horizontal="center" vertical="center"/>
    </xf>
    <xf numFmtId="0" fontId="0" fillId="0" borderId="38" xfId="0" applyBorder="1">
      <alignment horizontal="center" vertical="center"/>
    </xf>
    <xf numFmtId="0" fontId="0" fillId="19" borderId="173" xfId="1" applyFont="1" applyFill="1" applyBorder="1" applyAlignment="1">
      <alignment horizontal="center" vertical="center"/>
    </xf>
    <xf numFmtId="0" fontId="14" fillId="0" borderId="173" xfId="0" applyFont="1" applyBorder="1" applyAlignment="1" applyProtection="1">
      <alignment horizontal="center"/>
      <protection locked="0"/>
    </xf>
    <xf numFmtId="0" fontId="15" fillId="19" borderId="174" xfId="0" applyFont="1" applyFill="1" applyBorder="1" applyAlignment="1">
      <alignment horizontal="left" vertical="center"/>
    </xf>
    <xf numFmtId="0" fontId="14" fillId="0" borderId="38" xfId="0" applyFont="1" applyBorder="1" applyAlignment="1" applyProtection="1">
      <alignment horizontal="center"/>
      <protection locked="0"/>
    </xf>
    <xf numFmtId="0" fontId="0" fillId="19" borderId="38" xfId="0" applyFill="1" applyBorder="1">
      <alignment horizontal="center" vertical="center"/>
    </xf>
    <xf numFmtId="1" fontId="0" fillId="19" borderId="38" xfId="1" applyNumberFormat="1" applyFont="1" applyFill="1" applyBorder="1" applyAlignment="1">
      <alignment horizontal="center" vertical="center"/>
    </xf>
    <xf numFmtId="0" fontId="4" fillId="0" borderId="174" xfId="0" applyFont="1" applyBorder="1" applyAlignment="1" applyProtection="1">
      <alignment horizontal="center"/>
      <protection locked="0"/>
    </xf>
    <xf numFmtId="0" fontId="0" fillId="30" borderId="42" xfId="12" applyFont="1" applyBorder="1">
      <alignment horizontal="center" vertical="center"/>
    </xf>
    <xf numFmtId="1" fontId="0" fillId="30" borderId="42" xfId="1" applyNumberFormat="1" applyFont="1" applyFill="1" applyBorder="1" applyAlignment="1">
      <alignment horizontal="center" vertical="center"/>
    </xf>
    <xf numFmtId="0" fontId="0" fillId="30" borderId="112" xfId="12" applyFont="1" applyBorder="1">
      <alignment horizontal="center" vertical="center"/>
    </xf>
    <xf numFmtId="0" fontId="0" fillId="30" borderId="174" xfId="0" applyFill="1" applyBorder="1">
      <alignment horizontal="center" vertical="center"/>
    </xf>
    <xf numFmtId="0" fontId="0" fillId="30" borderId="174" xfId="12" applyFont="1" applyBorder="1">
      <alignment horizontal="center" vertical="center"/>
    </xf>
    <xf numFmtId="0" fontId="0" fillId="30" borderId="182" xfId="12" applyFont="1" applyBorder="1">
      <alignment horizontal="center" vertical="center"/>
    </xf>
    <xf numFmtId="0" fontId="0" fillId="30" borderId="173" xfId="0" applyFill="1" applyBorder="1">
      <alignment horizontal="center" vertical="center"/>
    </xf>
    <xf numFmtId="0" fontId="0" fillId="30" borderId="173" xfId="6" applyFont="1" applyFill="1" applyBorder="1">
      <alignment horizontal="center" vertical="center"/>
    </xf>
    <xf numFmtId="49" fontId="0" fillId="30" borderId="173" xfId="0" applyNumberFormat="1" applyFill="1" applyBorder="1">
      <alignment horizontal="center" vertical="center"/>
    </xf>
    <xf numFmtId="0" fontId="0" fillId="30" borderId="173" xfId="12" applyFont="1" applyBorder="1">
      <alignment horizontal="center" vertical="center"/>
    </xf>
    <xf numFmtId="0" fontId="0" fillId="30" borderId="171" xfId="7" applyFont="1" applyFill="1" applyBorder="1">
      <alignment horizontal="center" vertical="center"/>
    </xf>
    <xf numFmtId="0" fontId="0" fillId="19" borderId="183" xfId="7" applyFont="1" applyFill="1" applyBorder="1">
      <alignment horizontal="center" vertical="center"/>
    </xf>
    <xf numFmtId="0" fontId="4" fillId="0" borderId="184" xfId="0" applyFont="1" applyBorder="1" applyAlignment="1" applyProtection="1">
      <alignment horizontal="center"/>
      <protection locked="0"/>
    </xf>
    <xf numFmtId="0" fontId="4" fillId="0" borderId="173" xfId="0" applyFont="1" applyBorder="1" applyAlignment="1">
      <alignment horizontal="center"/>
    </xf>
    <xf numFmtId="0" fontId="0" fillId="0" borderId="176" xfId="0" applyBorder="1" applyAlignment="1">
      <alignment horizontal="left" vertical="center"/>
    </xf>
    <xf numFmtId="0" fontId="4" fillId="0" borderId="185" xfId="0" applyFont="1" applyBorder="1" applyAlignment="1">
      <alignment horizontal="left"/>
    </xf>
    <xf numFmtId="0" fontId="0" fillId="0" borderId="179" xfId="0" applyBorder="1" applyAlignment="1">
      <alignment horizontal="left" vertical="center"/>
    </xf>
    <xf numFmtId="0" fontId="4" fillId="0" borderId="173" xfId="0" applyFont="1" applyBorder="1">
      <alignment horizontal="center" vertical="center"/>
    </xf>
    <xf numFmtId="0" fontId="0" fillId="0" borderId="186" xfId="0" applyBorder="1" applyAlignment="1">
      <alignment horizontal="left" vertical="center"/>
    </xf>
    <xf numFmtId="0" fontId="0" fillId="0" borderId="51" xfId="0" applyBorder="1" applyAlignment="1">
      <alignment horizontal="left" vertical="center"/>
    </xf>
    <xf numFmtId="0" fontId="0" fillId="0" borderId="187" xfId="0" applyBorder="1" applyAlignment="1">
      <alignment horizontal="left" vertical="center"/>
    </xf>
    <xf numFmtId="0" fontId="0" fillId="0" borderId="188" xfId="0" applyBorder="1" applyAlignment="1">
      <alignment horizontal="left" vertical="center"/>
    </xf>
    <xf numFmtId="0" fontId="0" fillId="0" borderId="189" xfId="0" applyBorder="1" applyAlignment="1">
      <alignment horizontal="left" vertical="center"/>
    </xf>
    <xf numFmtId="0" fontId="4" fillId="0" borderId="190" xfId="0" applyFont="1" applyBorder="1" applyAlignment="1">
      <alignment horizontal="left"/>
    </xf>
    <xf numFmtId="0" fontId="0" fillId="0" borderId="190" xfId="0" applyBorder="1" applyAlignment="1">
      <alignment horizontal="left" vertical="center"/>
    </xf>
    <xf numFmtId="0" fontId="0" fillId="0" borderId="191" xfId="0" applyBorder="1" applyAlignment="1">
      <alignment horizontal="left" vertical="center"/>
    </xf>
    <xf numFmtId="0" fontId="0" fillId="0" borderId="192" xfId="0" applyBorder="1" applyAlignment="1">
      <alignment horizontal="left" vertical="center"/>
    </xf>
    <xf numFmtId="49" fontId="0" fillId="0" borderId="176" xfId="0" applyNumberFormat="1" applyBorder="1" applyAlignment="1">
      <alignment horizontal="left"/>
    </xf>
    <xf numFmtId="0" fontId="12" fillId="0" borderId="173" xfId="0" applyFont="1" applyBorder="1" applyAlignment="1">
      <alignment horizontal="center"/>
    </xf>
    <xf numFmtId="0" fontId="0" fillId="0" borderId="193" xfId="0" applyBorder="1" applyAlignment="1">
      <alignment horizontal="left" vertical="center"/>
    </xf>
    <xf numFmtId="0" fontId="0" fillId="0" borderId="194" xfId="0" applyBorder="1" applyAlignment="1">
      <alignment horizontal="left" vertical="center"/>
    </xf>
    <xf numFmtId="49" fontId="0" fillId="0" borderId="194" xfId="0" applyNumberFormat="1" applyBorder="1" applyAlignment="1">
      <alignment horizontal="left"/>
    </xf>
    <xf numFmtId="0" fontId="4" fillId="0" borderId="173" xfId="0" applyFont="1" applyBorder="1" applyAlignment="1" applyProtection="1">
      <alignment horizontal="center"/>
      <protection locked="0"/>
    </xf>
    <xf numFmtId="0" fontId="0" fillId="0" borderId="173" xfId="0" applyBorder="1" applyAlignment="1">
      <alignment horizontal="left"/>
    </xf>
    <xf numFmtId="0" fontId="0" fillId="0" borderId="173" xfId="0" applyBorder="1" applyAlignment="1" applyProtection="1">
      <alignment horizontal="center"/>
      <protection locked="0"/>
    </xf>
    <xf numFmtId="0" fontId="6" fillId="24" borderId="195" xfId="6" applyFont="1" applyBorder="1">
      <alignment horizontal="center" vertical="center"/>
    </xf>
    <xf numFmtId="0" fontId="12" fillId="0" borderId="173" xfId="0" applyFont="1" applyBorder="1" applyAlignment="1" applyProtection="1">
      <alignment horizontal="center"/>
      <protection locked="0"/>
    </xf>
    <xf numFmtId="0" fontId="0" fillId="19" borderId="173" xfId="11" applyFont="1" applyFill="1" applyBorder="1">
      <alignment horizontal="center" vertical="center"/>
    </xf>
    <xf numFmtId="0" fontId="0" fillId="19" borderId="195" xfId="8" applyFont="1" applyFill="1" applyBorder="1">
      <alignment horizontal="center" vertical="center"/>
    </xf>
    <xf numFmtId="0" fontId="0" fillId="19" borderId="173" xfId="13" applyFont="1" applyFill="1" applyBorder="1">
      <alignment horizontal="center" vertical="center"/>
    </xf>
    <xf numFmtId="0" fontId="17" fillId="25" borderId="195" xfId="8" applyBorder="1">
      <alignment horizontal="center" vertical="center"/>
    </xf>
    <xf numFmtId="0" fontId="0" fillId="0" borderId="173" xfId="0" applyBorder="1" applyAlignment="1">
      <alignment vertical="center"/>
    </xf>
    <xf numFmtId="0" fontId="18" fillId="0" borderId="173" xfId="0" applyFont="1" applyBorder="1" applyAlignment="1">
      <alignment vertical="center"/>
    </xf>
    <xf numFmtId="49" fontId="0" fillId="19" borderId="195" xfId="0" applyNumberFormat="1" applyFill="1" applyBorder="1">
      <alignment horizontal="center" vertical="center"/>
    </xf>
    <xf numFmtId="0" fontId="6" fillId="0" borderId="173" xfId="0" applyFont="1" applyBorder="1" applyAlignment="1">
      <alignment vertical="center"/>
    </xf>
    <xf numFmtId="0" fontId="6" fillId="19" borderId="173" xfId="0" applyFont="1" applyFill="1" applyBorder="1" applyAlignment="1">
      <alignment vertical="center"/>
    </xf>
    <xf numFmtId="0" fontId="4" fillId="0" borderId="196" xfId="0" applyFont="1" applyBorder="1" applyAlignment="1">
      <alignment horizontal="center"/>
    </xf>
    <xf numFmtId="0" fontId="4" fillId="0" borderId="197" xfId="0" applyFont="1" applyBorder="1" applyAlignment="1">
      <alignment horizontal="center"/>
    </xf>
    <xf numFmtId="0" fontId="0" fillId="0" borderId="198" xfId="0" applyBorder="1" applyAlignment="1">
      <alignment horizontal="center"/>
    </xf>
    <xf numFmtId="0" fontId="4" fillId="0" borderId="199" xfId="0" applyFont="1" applyBorder="1" applyAlignment="1" applyProtection="1">
      <alignment horizontal="center"/>
      <protection locked="0"/>
    </xf>
    <xf numFmtId="0" fontId="5" fillId="0" borderId="199" xfId="0" applyFont="1" applyBorder="1" applyAlignment="1">
      <alignment horizontal="center"/>
    </xf>
    <xf numFmtId="0" fontId="0" fillId="0" borderId="174" xfId="0" applyBorder="1" applyAlignment="1" applyProtection="1">
      <alignment horizontal="center"/>
      <protection locked="0"/>
    </xf>
    <xf numFmtId="0" fontId="0" fillId="19" borderId="174" xfId="8" applyFont="1" applyFill="1" applyBorder="1">
      <alignment horizontal="center" vertical="center"/>
    </xf>
    <xf numFmtId="0" fontId="0" fillId="19" borderId="174" xfId="11" applyFont="1" applyFill="1" applyBorder="1">
      <alignment horizontal="center" vertical="center"/>
    </xf>
    <xf numFmtId="49" fontId="0" fillId="19" borderId="176" xfId="0" applyNumberFormat="1" applyFill="1" applyBorder="1">
      <alignment horizontal="center" vertical="center"/>
    </xf>
    <xf numFmtId="49" fontId="0" fillId="19" borderId="174" xfId="0" applyNumberFormat="1" applyFill="1" applyBorder="1">
      <alignment horizontal="center" vertical="center"/>
    </xf>
    <xf numFmtId="49" fontId="0" fillId="19" borderId="174" xfId="1" applyNumberFormat="1" applyFont="1" applyFill="1" applyBorder="1" applyAlignment="1">
      <alignment horizontal="center" vertical="center"/>
    </xf>
    <xf numFmtId="0" fontId="0" fillId="22" borderId="174" xfId="0" applyFill="1" applyBorder="1" applyAlignment="1">
      <alignment horizontal="center"/>
    </xf>
    <xf numFmtId="0" fontId="0" fillId="19" borderId="174" xfId="0" applyFill="1" applyBorder="1">
      <alignment horizontal="center" vertical="center"/>
    </xf>
    <xf numFmtId="0" fontId="0" fillId="19" borderId="176" xfId="0" applyFill="1" applyBorder="1">
      <alignment horizontal="center" vertical="center"/>
    </xf>
    <xf numFmtId="0" fontId="0" fillId="11" borderId="174" xfId="0" applyFill="1" applyBorder="1" applyAlignment="1" applyProtection="1">
      <alignment horizontal="center"/>
      <protection locked="0"/>
    </xf>
    <xf numFmtId="0" fontId="0" fillId="11" borderId="175" xfId="0" applyFill="1" applyBorder="1">
      <alignment horizontal="center" vertical="center"/>
    </xf>
    <xf numFmtId="0" fontId="0" fillId="11" borderId="200" xfId="0" applyFill="1" applyBorder="1">
      <alignment horizontal="center" vertical="center"/>
    </xf>
    <xf numFmtId="0" fontId="0" fillId="19" borderId="174" xfId="6" applyFont="1" applyFill="1" applyBorder="1">
      <alignment horizontal="center" vertical="center"/>
    </xf>
    <xf numFmtId="0" fontId="0" fillId="19" borderId="174" xfId="10" applyFont="1" applyFill="1" applyBorder="1">
      <alignment horizontal="center" vertical="center"/>
    </xf>
    <xf numFmtId="0" fontId="0" fillId="0" borderId="174" xfId="7" applyFont="1" applyBorder="1">
      <alignment horizontal="center" vertical="center"/>
    </xf>
    <xf numFmtId="0" fontId="0" fillId="19" borderId="173" xfId="8" applyFont="1" applyFill="1" applyBorder="1">
      <alignment horizontal="center" vertical="center"/>
    </xf>
    <xf numFmtId="0" fontId="0" fillId="0" borderId="199" xfId="0" applyBorder="1" applyAlignment="1" applyProtection="1">
      <alignment horizontal="center"/>
      <protection locked="0"/>
    </xf>
    <xf numFmtId="49" fontId="0" fillId="19" borderId="201" xfId="0" applyNumberFormat="1" applyFill="1" applyBorder="1">
      <alignment horizontal="center" vertical="center"/>
    </xf>
    <xf numFmtId="1" fontId="0" fillId="19" borderId="201" xfId="1" applyNumberFormat="1" applyFont="1" applyFill="1" applyBorder="1" applyAlignment="1">
      <alignment horizontal="center" vertical="center"/>
    </xf>
    <xf numFmtId="0" fontId="0" fillId="19" borderId="201" xfId="9" applyFont="1" applyFill="1" applyBorder="1">
      <alignment horizontal="center" vertical="center"/>
    </xf>
    <xf numFmtId="49" fontId="0" fillId="19" borderId="194" xfId="0" applyNumberFormat="1" applyFill="1" applyBorder="1">
      <alignment horizontal="center" vertical="center"/>
    </xf>
    <xf numFmtId="0" fontId="4" fillId="0" borderId="202" xfId="0" applyFont="1" applyBorder="1" applyAlignment="1">
      <alignment horizontal="center"/>
    </xf>
    <xf numFmtId="0" fontId="4" fillId="0" borderId="203" xfId="0" applyFont="1" applyBorder="1" applyAlignment="1" applyProtection="1">
      <alignment horizontal="center"/>
      <protection locked="0"/>
    </xf>
    <xf numFmtId="0" fontId="0" fillId="0" borderId="174" xfId="0" applyBorder="1" applyAlignment="1">
      <alignment vertical="center"/>
    </xf>
    <xf numFmtId="0" fontId="0" fillId="0" borderId="176" xfId="0" applyBorder="1" applyAlignment="1" applyProtection="1">
      <alignment horizontal="center"/>
      <protection locked="0"/>
    </xf>
    <xf numFmtId="0" fontId="21" fillId="0" borderId="174" xfId="0" applyFont="1" applyBorder="1" applyAlignment="1">
      <alignment vertical="center"/>
    </xf>
    <xf numFmtId="0" fontId="0" fillId="19" borderId="173" xfId="10" applyFont="1" applyFill="1" applyBorder="1">
      <alignment horizontal="center" vertical="center"/>
    </xf>
    <xf numFmtId="0" fontId="0" fillId="0" borderId="186" xfId="0" applyBorder="1">
      <alignment horizontal="center" vertical="center"/>
    </xf>
    <xf numFmtId="0" fontId="0" fillId="22" borderId="186" xfId="0" applyFill="1" applyBorder="1" applyAlignment="1" applyProtection="1">
      <alignment horizontal="center"/>
      <protection locked="0"/>
    </xf>
    <xf numFmtId="0" fontId="20" fillId="0" borderId="204" xfId="0" applyFont="1" applyBorder="1" applyAlignment="1">
      <alignment vertical="center"/>
    </xf>
    <xf numFmtId="49" fontId="0" fillId="19" borderId="205" xfId="0" applyNumberFormat="1" applyFill="1" applyBorder="1">
      <alignment horizontal="center" vertical="center"/>
    </xf>
    <xf numFmtId="49" fontId="0" fillId="19" borderId="199" xfId="0" applyNumberFormat="1" applyFill="1" applyBorder="1">
      <alignment horizontal="center" vertical="center"/>
    </xf>
    <xf numFmtId="0" fontId="0" fillId="19" borderId="199" xfId="0" applyFill="1" applyBorder="1">
      <alignment horizontal="center" vertical="center"/>
    </xf>
    <xf numFmtId="49" fontId="0" fillId="19" borderId="206" xfId="0" applyNumberFormat="1" applyFill="1" applyBorder="1">
      <alignment horizontal="center" vertical="center"/>
    </xf>
    <xf numFmtId="49" fontId="0" fillId="0" borderId="176" xfId="0" applyNumberFormat="1" applyBorder="1" applyAlignment="1"/>
    <xf numFmtId="0" fontId="0" fillId="0" borderId="174" xfId="0" applyBorder="1" applyAlignment="1" applyProtection="1">
      <alignment horizontal="left"/>
      <protection locked="0"/>
    </xf>
    <xf numFmtId="0" fontId="19" fillId="0" borderId="174" xfId="0" applyFont="1" applyBorder="1" applyAlignment="1">
      <alignment vertical="center"/>
    </xf>
    <xf numFmtId="0" fontId="6" fillId="0" borderId="173" xfId="7" applyBorder="1">
      <alignment horizontal="center" vertical="center"/>
    </xf>
    <xf numFmtId="0" fontId="17" fillId="29" borderId="173" xfId="11" applyBorder="1">
      <alignment horizontal="center" vertical="center"/>
    </xf>
    <xf numFmtId="0" fontId="6" fillId="25" borderId="174" xfId="8" applyFont="1" applyBorder="1">
      <alignment horizontal="center" vertical="center"/>
    </xf>
    <xf numFmtId="0" fontId="0" fillId="0" borderId="175" xfId="0" applyBorder="1" applyAlignment="1">
      <alignment vertical="center"/>
    </xf>
    <xf numFmtId="0" fontId="45" fillId="23" borderId="173" xfId="5" applyBorder="1">
      <alignment horizontal="center" vertical="center"/>
    </xf>
    <xf numFmtId="0" fontId="17" fillId="29" borderId="174" xfId="11" applyBorder="1">
      <alignment horizontal="center" vertical="center"/>
    </xf>
    <xf numFmtId="0" fontId="5" fillId="6" borderId="176" xfId="0" applyFont="1" applyFill="1" applyBorder="1" applyAlignment="1">
      <alignment horizontal="left"/>
    </xf>
    <xf numFmtId="0" fontId="5" fillId="7" borderId="176" xfId="0" applyFont="1" applyFill="1" applyBorder="1">
      <alignment horizontal="center" vertical="center"/>
    </xf>
    <xf numFmtId="0" fontId="6" fillId="7" borderId="185" xfId="0" applyFont="1" applyFill="1" applyBorder="1">
      <alignment horizontal="center" vertical="center"/>
    </xf>
    <xf numFmtId="0" fontId="5" fillId="8" borderId="176" xfId="0" applyFont="1" applyFill="1" applyBorder="1" applyAlignment="1">
      <alignment horizontal="left"/>
    </xf>
    <xf numFmtId="0" fontId="5" fillId="8" borderId="185" xfId="0" applyFont="1" applyFill="1" applyBorder="1" applyAlignment="1">
      <alignment horizontal="left"/>
    </xf>
    <xf numFmtId="0" fontId="6" fillId="8" borderId="185" xfId="0" applyFont="1" applyFill="1" applyBorder="1">
      <alignment horizontal="center" vertical="center"/>
    </xf>
    <xf numFmtId="0" fontId="6" fillId="8" borderId="179" xfId="0" applyFont="1" applyFill="1" applyBorder="1">
      <alignment horizontal="center" vertical="center"/>
    </xf>
    <xf numFmtId="0" fontId="5" fillId="9" borderId="176" xfId="0" applyFont="1" applyFill="1" applyBorder="1" applyAlignment="1">
      <alignment horizontal="left"/>
    </xf>
    <xf numFmtId="0" fontId="5" fillId="9" borderId="185" xfId="0" applyFont="1" applyFill="1" applyBorder="1" applyAlignment="1">
      <alignment horizontal="left"/>
    </xf>
    <xf numFmtId="0" fontId="0" fillId="9" borderId="185" xfId="0" applyFill="1" applyBorder="1">
      <alignment horizontal="center" vertical="center"/>
    </xf>
    <xf numFmtId="0" fontId="5" fillId="10" borderId="176" xfId="0" applyFont="1" applyFill="1" applyBorder="1" applyAlignment="1">
      <alignment horizontal="left"/>
    </xf>
    <xf numFmtId="0" fontId="0" fillId="10" borderId="185" xfId="0" applyFill="1" applyBorder="1">
      <alignment horizontal="center" vertical="center"/>
    </xf>
    <xf numFmtId="0" fontId="6" fillId="10" borderId="185" xfId="0" applyFont="1" applyFill="1" applyBorder="1">
      <alignment horizontal="center" vertical="center"/>
    </xf>
    <xf numFmtId="0" fontId="6" fillId="10" borderId="179" xfId="0" applyFont="1" applyFill="1" applyBorder="1">
      <alignment horizontal="center" vertical="center"/>
    </xf>
    <xf numFmtId="0" fontId="5" fillId="11" borderId="176" xfId="0" applyFont="1" applyFill="1" applyBorder="1">
      <alignment horizontal="center" vertical="center"/>
    </xf>
    <xf numFmtId="0" fontId="0" fillId="11" borderId="185" xfId="0" applyFill="1" applyBorder="1">
      <alignment horizontal="center" vertical="center"/>
    </xf>
    <xf numFmtId="0" fontId="6" fillId="11" borderId="185" xfId="0" applyFont="1" applyFill="1" applyBorder="1">
      <alignment horizontal="center" vertical="center"/>
    </xf>
    <xf numFmtId="0" fontId="5" fillId="12" borderId="176" xfId="0" applyFont="1" applyFill="1" applyBorder="1" applyAlignment="1">
      <alignment horizontal="left"/>
    </xf>
    <xf numFmtId="0" fontId="6" fillId="12" borderId="185" xfId="0" applyFont="1" applyFill="1" applyBorder="1">
      <alignment horizontal="center" vertical="center"/>
    </xf>
    <xf numFmtId="0" fontId="0" fillId="12" borderId="179" xfId="0" applyFill="1" applyBorder="1">
      <alignment horizontal="center" vertical="center"/>
    </xf>
    <xf numFmtId="0" fontId="0" fillId="13" borderId="178" xfId="0" applyFill="1" applyBorder="1">
      <alignment horizontal="center" vertical="center"/>
    </xf>
    <xf numFmtId="0" fontId="6" fillId="13" borderId="178" xfId="0" applyFont="1" applyFill="1" applyBorder="1">
      <alignment horizontal="center" vertical="center"/>
    </xf>
    <xf numFmtId="0" fontId="6" fillId="13" borderId="177" xfId="0" applyFont="1" applyFill="1" applyBorder="1">
      <alignment horizontal="center" vertical="center"/>
    </xf>
    <xf numFmtId="0" fontId="5" fillId="0" borderId="200" xfId="0" applyFont="1" applyBorder="1" applyAlignment="1">
      <alignment horizontal="left" vertical="center"/>
    </xf>
    <xf numFmtId="0" fontId="6" fillId="0" borderId="178" xfId="0" applyFont="1" applyBorder="1">
      <alignment horizontal="center" vertical="center"/>
    </xf>
    <xf numFmtId="0" fontId="6" fillId="0" borderId="177" xfId="0" applyFont="1" applyBorder="1">
      <alignment horizontal="center" vertical="center"/>
    </xf>
    <xf numFmtId="0" fontId="5" fillId="14" borderId="174" xfId="0" applyFont="1" applyFill="1" applyBorder="1" applyAlignment="1">
      <alignment horizontal="left"/>
    </xf>
    <xf numFmtId="0" fontId="5" fillId="15" borderId="176" xfId="0" applyFont="1" applyFill="1" applyBorder="1">
      <alignment horizontal="center" vertical="center"/>
    </xf>
    <xf numFmtId="0" fontId="6" fillId="15" borderId="185" xfId="0" applyFont="1" applyFill="1" applyBorder="1">
      <alignment horizontal="center" vertical="center"/>
    </xf>
    <xf numFmtId="0" fontId="6" fillId="0" borderId="176" xfId="0" applyFont="1" applyBorder="1" applyAlignment="1">
      <alignment horizontal="left"/>
    </xf>
    <xf numFmtId="0" fontId="0" fillId="0" borderId="185" xfId="0" applyBorder="1">
      <alignment horizontal="center" vertical="center"/>
    </xf>
    <xf numFmtId="0" fontId="6" fillId="0" borderId="185" xfId="0" applyFont="1" applyBorder="1" applyAlignment="1">
      <alignment horizontal="left"/>
    </xf>
    <xf numFmtId="0" fontId="6" fillId="0" borderId="185" xfId="0" applyFont="1" applyBorder="1">
      <alignment horizontal="center" vertical="center"/>
    </xf>
    <xf numFmtId="0" fontId="6" fillId="0" borderId="179" xfId="0" applyFont="1" applyBorder="1">
      <alignment horizontal="center" vertical="center"/>
    </xf>
    <xf numFmtId="0" fontId="6" fillId="17" borderId="176" xfId="0" applyFont="1" applyFill="1" applyBorder="1" applyAlignment="1">
      <alignment horizontal="left" vertical="center"/>
    </xf>
    <xf numFmtId="0" fontId="6" fillId="17" borderId="185" xfId="0" applyFont="1" applyFill="1" applyBorder="1">
      <alignment horizontal="center" vertical="center"/>
    </xf>
    <xf numFmtId="0" fontId="6" fillId="17" borderId="179" xfId="0" applyFont="1" applyFill="1" applyBorder="1">
      <alignment horizontal="center" vertical="center"/>
    </xf>
    <xf numFmtId="0" fontId="4" fillId="0" borderId="176" xfId="0" applyFont="1" applyBorder="1" applyAlignment="1">
      <alignment horizontal="left" vertical="center"/>
    </xf>
    <xf numFmtId="0" fontId="0" fillId="0" borderId="179" xfId="0" applyBorder="1">
      <alignment horizontal="center" vertical="center"/>
    </xf>
    <xf numFmtId="0" fontId="0" fillId="0" borderId="207" xfId="0" applyBorder="1">
      <alignment horizontal="center" vertical="center"/>
    </xf>
    <xf numFmtId="0" fontId="4" fillId="0" borderId="185" xfId="0" applyFont="1" applyBorder="1" applyAlignment="1">
      <alignment horizontal="left" vertical="center"/>
    </xf>
    <xf numFmtId="0" fontId="0" fillId="0" borderId="208" xfId="0" applyBorder="1">
      <alignment horizontal="center" vertical="center"/>
    </xf>
    <xf numFmtId="0" fontId="7" fillId="0" borderId="200" xfId="0" applyFont="1" applyBorder="1">
      <alignment horizontal="center" vertical="center"/>
    </xf>
    <xf numFmtId="0" fontId="0" fillId="0" borderId="178" xfId="0" applyBorder="1">
      <alignment horizontal="center" vertical="center"/>
    </xf>
    <xf numFmtId="0" fontId="0" fillId="0" borderId="177" xfId="0" applyBorder="1">
      <alignment horizontal="center" vertical="center"/>
    </xf>
    <xf numFmtId="0" fontId="4" fillId="0" borderId="176" xfId="0" applyFont="1" applyBorder="1">
      <alignment horizontal="center" vertical="center"/>
    </xf>
    <xf numFmtId="0" fontId="0" fillId="0" borderId="201" xfId="0" applyBorder="1" applyAlignment="1" applyProtection="1">
      <alignment horizontal="center"/>
      <protection locked="0"/>
    </xf>
    <xf numFmtId="0" fontId="5" fillId="0" borderId="201" xfId="0" applyFont="1" applyBorder="1" applyAlignment="1">
      <alignment horizontal="center"/>
    </xf>
    <xf numFmtId="0" fontId="0" fillId="19" borderId="201" xfId="0" applyFill="1" applyBorder="1">
      <alignment horizontal="center" vertical="center"/>
    </xf>
    <xf numFmtId="0" fontId="0" fillId="18" borderId="201" xfId="0" applyFill="1" applyBorder="1">
      <alignment horizontal="center" vertical="center"/>
    </xf>
    <xf numFmtId="0" fontId="0" fillId="18" borderId="209" xfId="0" applyFill="1" applyBorder="1">
      <alignment horizontal="center" vertical="center"/>
    </xf>
    <xf numFmtId="0" fontId="0" fillId="22" borderId="200" xfId="0" applyFill="1" applyBorder="1" applyAlignment="1" applyProtection="1">
      <alignment horizontal="left"/>
      <protection locked="0"/>
    </xf>
    <xf numFmtId="0" fontId="4" fillId="11" borderId="176" xfId="0" applyFont="1" applyFill="1" applyBorder="1" applyAlignment="1">
      <alignment horizontal="left" vertical="center"/>
    </xf>
    <xf numFmtId="0" fontId="0" fillId="11" borderId="174" xfId="0" applyFill="1" applyBorder="1">
      <alignment horizontal="center" vertical="center"/>
    </xf>
    <xf numFmtId="0" fontId="0" fillId="11" borderId="182" xfId="0" applyFill="1" applyBorder="1">
      <alignment horizontal="center" vertical="center"/>
    </xf>
    <xf numFmtId="0" fontId="5" fillId="0" borderId="174" xfId="0" applyFont="1" applyBorder="1" applyAlignment="1">
      <alignment horizontal="left" vertical="center"/>
    </xf>
    <xf numFmtId="0" fontId="17" fillId="25" borderId="174" xfId="8" applyBorder="1">
      <alignment horizontal="center" vertical="center"/>
    </xf>
    <xf numFmtId="1" fontId="0" fillId="19" borderId="174" xfId="0" applyNumberFormat="1" applyFill="1" applyBorder="1">
      <alignment horizontal="center" vertical="center"/>
    </xf>
    <xf numFmtId="1" fontId="0" fillId="19" borderId="182" xfId="0" applyNumberFormat="1" applyFill="1" applyBorder="1">
      <alignment horizontal="center" vertical="center"/>
    </xf>
    <xf numFmtId="0" fontId="0" fillId="22" borderId="176" xfId="0" applyFill="1" applyBorder="1" applyAlignment="1" applyProtection="1">
      <alignment horizontal="center"/>
      <protection locked="0"/>
    </xf>
    <xf numFmtId="1" fontId="0" fillId="19" borderId="174" xfId="1" applyNumberFormat="1" applyFont="1" applyFill="1" applyBorder="1" applyAlignment="1">
      <alignment horizontal="center" vertical="center"/>
    </xf>
    <xf numFmtId="0" fontId="17" fillId="24" borderId="174" xfId="6" applyBorder="1">
      <alignment horizontal="center" vertical="center"/>
    </xf>
    <xf numFmtId="0" fontId="17" fillId="29" borderId="182" xfId="11" applyBorder="1">
      <alignment horizontal="center" vertical="center"/>
    </xf>
    <xf numFmtId="0" fontId="0" fillId="0" borderId="174" xfId="0" applyBorder="1" applyAlignment="1">
      <alignment horizontal="left" vertical="center"/>
    </xf>
    <xf numFmtId="1" fontId="0" fillId="19" borderId="174" xfId="6" applyNumberFormat="1" applyFont="1" applyFill="1" applyBorder="1">
      <alignment horizontal="center" vertical="center"/>
    </xf>
    <xf numFmtId="0" fontId="4" fillId="11" borderId="200" xfId="0" applyFont="1" applyFill="1" applyBorder="1" applyAlignment="1" applyProtection="1">
      <alignment horizontal="left"/>
      <protection locked="0"/>
    </xf>
    <xf numFmtId="0" fontId="4" fillId="11" borderId="175" xfId="0" applyFont="1" applyFill="1" applyBorder="1">
      <alignment horizontal="center" vertical="center"/>
    </xf>
    <xf numFmtId="1" fontId="0" fillId="11" borderId="175" xfId="0" applyNumberFormat="1" applyFill="1" applyBorder="1">
      <alignment horizontal="center" vertical="center"/>
    </xf>
    <xf numFmtId="0" fontId="0" fillId="11" borderId="181" xfId="0" applyFill="1" applyBorder="1">
      <alignment horizontal="center" vertical="center"/>
    </xf>
    <xf numFmtId="0" fontId="17" fillId="27" borderId="174" xfId="9" applyBorder="1">
      <alignment horizontal="center" vertical="center"/>
    </xf>
    <xf numFmtId="0" fontId="0" fillId="19" borderId="116" xfId="7" applyFont="1" applyFill="1" applyBorder="1">
      <alignment horizontal="center" vertical="center"/>
    </xf>
    <xf numFmtId="49" fontId="0" fillId="19" borderId="116" xfId="7" applyNumberFormat="1" applyFont="1" applyFill="1" applyBorder="1">
      <alignment horizontal="center" vertical="center"/>
    </xf>
    <xf numFmtId="0" fontId="0" fillId="22" borderId="173" xfId="0" applyFill="1" applyBorder="1" applyAlignment="1" applyProtection="1">
      <alignment horizontal="center"/>
      <protection locked="0"/>
    </xf>
    <xf numFmtId="0" fontId="0" fillId="0" borderId="173" xfId="0" applyBorder="1" applyAlignment="1">
      <alignment horizontal="left" vertical="center"/>
    </xf>
    <xf numFmtId="0" fontId="17" fillId="27" borderId="173" xfId="9" applyBorder="1">
      <alignment horizontal="center" vertical="center"/>
    </xf>
    <xf numFmtId="0" fontId="0" fillId="19" borderId="173" xfId="7" applyFont="1" applyFill="1" applyBorder="1">
      <alignment horizontal="center" vertical="center"/>
    </xf>
    <xf numFmtId="0" fontId="17" fillId="28" borderId="119" xfId="10" applyBorder="1">
      <alignment horizontal="center" vertical="center"/>
    </xf>
    <xf numFmtId="0" fontId="0" fillId="28" borderId="119" xfId="10" applyFont="1" applyBorder="1">
      <alignment horizontal="center" vertical="center"/>
    </xf>
    <xf numFmtId="0" fontId="0" fillId="19" borderId="173" xfId="6" applyFont="1" applyFill="1" applyBorder="1">
      <alignment horizontal="center" vertical="center"/>
    </xf>
    <xf numFmtId="0" fontId="0" fillId="19" borderId="119" xfId="7" applyFont="1" applyFill="1" applyBorder="1">
      <alignment horizontal="center" vertical="center"/>
    </xf>
    <xf numFmtId="0" fontId="0" fillId="25" borderId="119" xfId="8" applyFont="1" applyBorder="1">
      <alignment horizontal="center" vertical="center"/>
    </xf>
    <xf numFmtId="0" fontId="17" fillId="25" borderId="173" xfId="8" applyBorder="1">
      <alignment horizontal="center" vertical="center"/>
    </xf>
    <xf numFmtId="0" fontId="0" fillId="0" borderId="173" xfId="7" applyFont="1" applyBorder="1" applyAlignment="1">
      <alignment vertical="center"/>
    </xf>
    <xf numFmtId="0" fontId="0" fillId="19" borderId="171" xfId="0" applyFill="1" applyBorder="1">
      <alignment horizontal="center" vertical="center"/>
    </xf>
    <xf numFmtId="0" fontId="6" fillId="0" borderId="173" xfId="0" applyFont="1" applyBorder="1" applyAlignment="1">
      <alignment horizontal="left" vertical="center"/>
    </xf>
    <xf numFmtId="0" fontId="17" fillId="24" borderId="173" xfId="6" applyBorder="1">
      <alignment horizontal="center" vertical="center"/>
    </xf>
    <xf numFmtId="0" fontId="0" fillId="19" borderId="173" xfId="5" applyFont="1" applyFill="1" applyBorder="1">
      <alignment horizontal="center" vertical="center"/>
    </xf>
    <xf numFmtId="0" fontId="0" fillId="0" borderId="119" xfId="0" applyBorder="1" applyAlignment="1">
      <alignment horizontal="left" vertical="center"/>
    </xf>
    <xf numFmtId="0" fontId="0" fillId="19" borderId="119" xfId="0" applyFill="1" applyBorder="1">
      <alignment horizontal="center" vertical="center"/>
    </xf>
    <xf numFmtId="0" fontId="4" fillId="0" borderId="210" xfId="0" applyFont="1" applyBorder="1" applyAlignment="1">
      <alignment horizontal="left" vertical="center"/>
    </xf>
    <xf numFmtId="0" fontId="4" fillId="0" borderId="176" xfId="0" applyFont="1" applyBorder="1" applyAlignment="1">
      <alignment vertical="center"/>
    </xf>
    <xf numFmtId="0" fontId="7" fillId="0" borderId="185" xfId="0" applyFont="1" applyBorder="1">
      <alignment horizontal="center" vertical="center"/>
    </xf>
    <xf numFmtId="0" fontId="4" fillId="0" borderId="200" xfId="0" applyFont="1" applyBorder="1" applyAlignment="1">
      <alignment horizontal="left" vertical="center"/>
    </xf>
    <xf numFmtId="0" fontId="7" fillId="0" borderId="178" xfId="0" applyFont="1" applyBorder="1">
      <alignment horizontal="center" vertical="center"/>
    </xf>
    <xf numFmtId="0" fontId="4" fillId="0" borderId="178" xfId="0" applyFont="1" applyBorder="1">
      <alignment horizontal="center" vertical="center"/>
    </xf>
    <xf numFmtId="0" fontId="4" fillId="0" borderId="196" xfId="0" applyFont="1" applyBorder="1" applyAlignment="1">
      <alignment horizontal="left" vertical="center"/>
    </xf>
    <xf numFmtId="0" fontId="0" fillId="0" borderId="176" xfId="0" applyBorder="1" applyAlignment="1">
      <alignment vertical="center"/>
    </xf>
    <xf numFmtId="0" fontId="0" fillId="0" borderId="185" xfId="0" applyBorder="1" applyAlignment="1">
      <alignment horizontal="left" vertical="center"/>
    </xf>
    <xf numFmtId="0" fontId="0" fillId="0" borderId="211" xfId="0" applyBorder="1">
      <alignment horizontal="center" vertical="center"/>
    </xf>
    <xf numFmtId="0" fontId="4" fillId="0" borderId="197" xfId="0" applyFont="1" applyBorder="1" applyAlignment="1">
      <alignment horizontal="left" vertical="center"/>
    </xf>
    <xf numFmtId="0" fontId="0" fillId="0" borderId="198" xfId="0" applyBorder="1">
      <alignment horizontal="center" vertical="center"/>
    </xf>
    <xf numFmtId="0" fontId="0" fillId="0" borderId="194" xfId="0" applyBorder="1" applyAlignment="1">
      <alignment vertical="center"/>
    </xf>
    <xf numFmtId="0" fontId="0" fillId="0" borderId="212" xfId="0" applyBorder="1">
      <alignment horizontal="center" vertical="center"/>
    </xf>
    <xf numFmtId="0" fontId="4" fillId="0" borderId="194" xfId="0" applyFont="1" applyBorder="1">
      <alignment horizontal="center" vertical="center"/>
    </xf>
    <xf numFmtId="0" fontId="0" fillId="0" borderId="198" xfId="0" applyBorder="1" applyAlignment="1">
      <alignment horizontal="left" vertical="center"/>
    </xf>
    <xf numFmtId="0" fontId="7" fillId="0" borderId="198" xfId="0" applyFont="1" applyBorder="1">
      <alignment horizontal="center" vertical="center"/>
    </xf>
    <xf numFmtId="0" fontId="4" fillId="0" borderId="198" xfId="0" applyFont="1" applyBorder="1" applyAlignment="1">
      <alignment horizontal="left" vertical="center"/>
    </xf>
    <xf numFmtId="0" fontId="0" fillId="0" borderId="213" xfId="0" applyBorder="1">
      <alignment horizontal="center" vertical="center"/>
    </xf>
    <xf numFmtId="0" fontId="0" fillId="0" borderId="175" xfId="0" applyBorder="1" applyAlignment="1" applyProtection="1">
      <alignment horizontal="center"/>
      <protection locked="0"/>
    </xf>
    <xf numFmtId="0" fontId="5" fillId="0" borderId="175" xfId="0" applyFont="1" applyBorder="1" applyAlignment="1">
      <alignment horizontal="center"/>
    </xf>
    <xf numFmtId="0" fontId="0" fillId="22" borderId="214" xfId="0" applyFill="1" applyBorder="1" applyAlignment="1" applyProtection="1">
      <alignment horizontal="center"/>
      <protection locked="0"/>
    </xf>
    <xf numFmtId="0" fontId="6" fillId="0" borderId="174" xfId="7" applyBorder="1">
      <alignment horizontal="center" vertical="center"/>
    </xf>
    <xf numFmtId="0" fontId="17" fillId="28" borderId="174" xfId="10" applyBorder="1">
      <alignment horizontal="center" vertical="center"/>
    </xf>
    <xf numFmtId="0" fontId="0" fillId="28" borderId="174" xfId="10" applyFont="1" applyBorder="1">
      <alignment horizontal="center" vertical="center"/>
    </xf>
    <xf numFmtId="0" fontId="17" fillId="0" borderId="174" xfId="10" applyFill="1" applyBorder="1">
      <alignment horizontal="center" vertical="center"/>
    </xf>
    <xf numFmtId="0" fontId="6" fillId="0" borderId="182" xfId="7" applyBorder="1">
      <alignment horizontal="center" vertical="center"/>
    </xf>
    <xf numFmtId="0" fontId="0" fillId="22" borderId="202" xfId="0" applyFill="1" applyBorder="1" applyAlignment="1" applyProtection="1">
      <alignment horizontal="center"/>
      <protection locked="0"/>
    </xf>
    <xf numFmtId="0" fontId="0" fillId="0" borderId="201" xfId="0" applyBorder="1" applyAlignment="1">
      <alignment horizontal="left" vertical="center"/>
    </xf>
    <xf numFmtId="0" fontId="6" fillId="0" borderId="201" xfId="7" applyBorder="1">
      <alignment horizontal="center" vertical="center"/>
    </xf>
    <xf numFmtId="0" fontId="17" fillId="25" borderId="201" xfId="8" applyBorder="1">
      <alignment horizontal="center" vertical="center"/>
    </xf>
    <xf numFmtId="0" fontId="17" fillId="25" borderId="209" xfId="8" applyBorder="1">
      <alignment horizontal="center" vertical="center"/>
    </xf>
    <xf numFmtId="0" fontId="0" fillId="19" borderId="174" xfId="9" applyFont="1" applyFill="1" applyBorder="1">
      <alignment horizontal="center" vertical="center"/>
    </xf>
    <xf numFmtId="49" fontId="0" fillId="19" borderId="182" xfId="0" applyNumberFormat="1" applyFill="1" applyBorder="1">
      <alignment horizontal="center" vertical="center"/>
    </xf>
    <xf numFmtId="0" fontId="0" fillId="0" borderId="201" xfId="0" applyBorder="1" applyAlignment="1">
      <alignment vertical="center"/>
    </xf>
    <xf numFmtId="0" fontId="0" fillId="19" borderId="201" xfId="6" applyFont="1" applyFill="1" applyBorder="1">
      <alignment horizontal="center" vertical="center"/>
    </xf>
    <xf numFmtId="0" fontId="17" fillId="24" borderId="209" xfId="6" applyBorder="1">
      <alignment horizontal="center" vertical="center"/>
    </xf>
    <xf numFmtId="49" fontId="0" fillId="28" borderId="174" xfId="0" applyNumberFormat="1" applyFill="1" applyBorder="1">
      <alignment horizontal="center" vertical="center"/>
    </xf>
    <xf numFmtId="0" fontId="0" fillId="19" borderId="209" xfId="0" applyFill="1" applyBorder="1">
      <alignment horizontal="center" vertical="center"/>
    </xf>
    <xf numFmtId="0" fontId="0" fillId="0" borderId="176" xfId="0" applyBorder="1" applyAlignment="1">
      <alignment horizontal="left"/>
    </xf>
    <xf numFmtId="0" fontId="0" fillId="0" borderId="185" xfId="0" applyBorder="1" applyAlignment="1">
      <alignment horizontal="left"/>
    </xf>
    <xf numFmtId="0" fontId="0" fillId="0" borderId="200" xfId="0" applyBorder="1" applyAlignment="1">
      <alignment horizontal="left"/>
    </xf>
    <xf numFmtId="0" fontId="0" fillId="0" borderId="178" xfId="0" applyBorder="1" applyAlignment="1">
      <alignment horizontal="left"/>
    </xf>
    <xf numFmtId="0" fontId="4" fillId="0" borderId="175" xfId="0" applyFont="1" applyBorder="1" applyAlignment="1" applyProtection="1">
      <alignment horizontal="center"/>
      <protection locked="0"/>
    </xf>
    <xf numFmtId="0" fontId="0" fillId="18" borderId="181" xfId="0" applyFill="1" applyBorder="1">
      <alignment horizontal="center" vertical="center"/>
    </xf>
    <xf numFmtId="0" fontId="0" fillId="19" borderId="116" xfId="9" applyFont="1" applyFill="1" applyBorder="1">
      <alignment horizontal="center" vertical="center"/>
    </xf>
    <xf numFmtId="0" fontId="0" fillId="0" borderId="173" xfId="0" applyBorder="1">
      <alignment horizontal="center" vertical="center"/>
    </xf>
    <xf numFmtId="49" fontId="0" fillId="19" borderId="173" xfId="0" applyNumberFormat="1" applyFill="1" applyBorder="1">
      <alignment horizontal="center" vertical="center"/>
    </xf>
    <xf numFmtId="0" fontId="0" fillId="19" borderId="173" xfId="3" applyNumberFormat="1" applyFont="1" applyFill="1" applyBorder="1" applyAlignment="1">
      <alignment horizontal="center" vertical="center"/>
    </xf>
    <xf numFmtId="0" fontId="0" fillId="19" borderId="173" xfId="12" applyFont="1" applyFill="1" applyBorder="1">
      <alignment horizontal="center" vertical="center"/>
    </xf>
    <xf numFmtId="0" fontId="0" fillId="19" borderId="173" xfId="0" applyFill="1" applyBorder="1" applyAlignment="1">
      <alignment horizontal="left" vertical="center"/>
    </xf>
    <xf numFmtId="0" fontId="0" fillId="25" borderId="173" xfId="8" applyFont="1" applyBorder="1">
      <alignment horizontal="center" vertical="center"/>
    </xf>
    <xf numFmtId="0" fontId="0" fillId="27" borderId="173" xfId="7" applyFont="1" applyFill="1" applyBorder="1">
      <alignment horizontal="center" vertical="center"/>
    </xf>
    <xf numFmtId="0" fontId="0" fillId="24" borderId="173" xfId="6" applyFont="1" applyBorder="1">
      <alignment horizontal="center" vertical="center"/>
    </xf>
    <xf numFmtId="0" fontId="0" fillId="19" borderId="173" xfId="9" applyFont="1" applyFill="1" applyBorder="1">
      <alignment horizontal="center" vertical="center"/>
    </xf>
    <xf numFmtId="0" fontId="0" fillId="0" borderId="173" xfId="7" applyFont="1" applyBorder="1">
      <alignment horizontal="center" vertical="center"/>
    </xf>
    <xf numFmtId="0" fontId="0" fillId="0" borderId="171" xfId="7" applyFont="1" applyBorder="1">
      <alignment horizontal="center" vertical="center"/>
    </xf>
    <xf numFmtId="0" fontId="0" fillId="27" borderId="173" xfId="0" applyFill="1" applyBorder="1">
      <alignment horizontal="center" vertical="center"/>
    </xf>
    <xf numFmtId="49" fontId="0" fillId="19" borderId="171" xfId="0" applyNumberFormat="1" applyFill="1" applyBorder="1">
      <alignment horizontal="center" vertical="center"/>
    </xf>
    <xf numFmtId="0" fontId="0" fillId="4" borderId="215" xfId="3" applyFont="1" applyBorder="1" applyAlignment="1">
      <alignment horizontal="center" vertical="center"/>
    </xf>
    <xf numFmtId="0" fontId="0" fillId="19" borderId="39" xfId="0" applyFill="1" applyBorder="1" applyAlignment="1">
      <alignment horizontal="left" vertical="center"/>
    </xf>
    <xf numFmtId="0" fontId="0" fillId="19" borderId="186" xfId="0" applyFill="1" applyBorder="1" applyAlignment="1">
      <alignment horizontal="left" vertical="center"/>
    </xf>
    <xf numFmtId="0" fontId="17" fillId="0" borderId="39" xfId="0" applyFont="1" applyBorder="1">
      <alignment horizontal="center" vertical="center"/>
    </xf>
    <xf numFmtId="0" fontId="0" fillId="0" borderId="216" xfId="0" applyBorder="1">
      <alignment horizontal="center" vertical="center"/>
    </xf>
    <xf numFmtId="0" fontId="0" fillId="0" borderId="217" xfId="0" applyBorder="1">
      <alignment horizontal="center" vertical="center"/>
    </xf>
    <xf numFmtId="0" fontId="0" fillId="19" borderId="218" xfId="0" applyFill="1" applyBorder="1">
      <alignment horizontal="center" vertical="center"/>
    </xf>
    <xf numFmtId="0" fontId="0" fillId="18" borderId="218" xfId="0" applyFill="1" applyBorder="1">
      <alignment horizontal="center" vertical="center"/>
    </xf>
    <xf numFmtId="0" fontId="0" fillId="18" borderId="219" xfId="0" applyFill="1" applyBorder="1">
      <alignment horizontal="center" vertical="center"/>
    </xf>
    <xf numFmtId="0" fontId="0" fillId="0" borderId="116" xfId="7" applyFont="1" applyBorder="1">
      <alignment horizontal="center" vertical="center"/>
    </xf>
    <xf numFmtId="0" fontId="6" fillId="25" borderId="116" xfId="8" applyFont="1" applyBorder="1">
      <alignment horizontal="center" vertical="center"/>
    </xf>
    <xf numFmtId="49" fontId="0" fillId="19" borderId="220" xfId="0" applyNumberFormat="1" applyFill="1" applyBorder="1">
      <alignment horizontal="center" vertical="center"/>
    </xf>
    <xf numFmtId="0" fontId="0" fillId="0" borderId="117" xfId="7" applyFont="1" applyBorder="1">
      <alignment horizontal="center" vertical="center"/>
    </xf>
    <xf numFmtId="0" fontId="17" fillId="0" borderId="221" xfId="0" applyFont="1" applyBorder="1" applyAlignment="1">
      <alignment vertical="center"/>
    </xf>
    <xf numFmtId="0" fontId="0" fillId="19" borderId="222" xfId="7" applyFont="1" applyFill="1" applyBorder="1">
      <alignment horizontal="center" vertical="center"/>
    </xf>
    <xf numFmtId="0" fontId="14" fillId="0" borderId="223" xfId="0" applyFont="1" applyBorder="1" applyAlignment="1" applyProtection="1">
      <alignment horizontal="center"/>
      <protection locked="0"/>
    </xf>
    <xf numFmtId="49" fontId="0" fillId="25" borderId="221" xfId="0" applyNumberFormat="1" applyFill="1" applyBorder="1">
      <alignment horizontal="center" vertical="center"/>
    </xf>
    <xf numFmtId="1" fontId="0" fillId="25" borderId="221" xfId="1" applyNumberFormat="1" applyFont="1" applyFill="1" applyBorder="1" applyAlignment="1">
      <alignment horizontal="center" vertical="center"/>
    </xf>
    <xf numFmtId="0" fontId="0" fillId="19" borderId="221" xfId="10" applyFont="1" applyFill="1" applyBorder="1">
      <alignment horizontal="center" vertical="center"/>
    </xf>
    <xf numFmtId="0" fontId="6" fillId="32" borderId="221" xfId="15" applyBorder="1">
      <alignment horizontal="center" vertical="center"/>
    </xf>
    <xf numFmtId="0" fontId="17" fillId="30" borderId="221" xfId="12" applyBorder="1">
      <alignment horizontal="center" vertical="center"/>
    </xf>
    <xf numFmtId="0" fontId="17" fillId="30" borderId="222" xfId="12" applyBorder="1">
      <alignment horizontal="center" vertical="center"/>
    </xf>
    <xf numFmtId="0" fontId="4" fillId="0" borderId="224" xfId="0" applyFont="1" applyBorder="1" applyAlignment="1" applyProtection="1">
      <alignment horizontal="center"/>
      <protection locked="0"/>
    </xf>
    <xf numFmtId="0" fontId="0" fillId="19" borderId="112" xfId="12" applyFont="1" applyFill="1" applyBorder="1">
      <alignment horizontal="center" vertical="center"/>
    </xf>
    <xf numFmtId="0" fontId="0" fillId="19" borderId="224" xfId="0" applyFill="1" applyBorder="1" applyAlignment="1">
      <alignment horizontal="left" vertical="center"/>
    </xf>
    <xf numFmtId="0" fontId="0" fillId="19" borderId="224" xfId="12" applyFont="1" applyFill="1" applyBorder="1">
      <alignment horizontal="center" vertical="center"/>
    </xf>
    <xf numFmtId="0" fontId="0" fillId="19" borderId="225" xfId="12" applyFont="1" applyFill="1" applyBorder="1">
      <alignment horizontal="center" vertical="center"/>
    </xf>
    <xf numFmtId="0" fontId="15" fillId="19" borderId="224" xfId="0" applyFont="1" applyFill="1" applyBorder="1" applyAlignment="1">
      <alignment horizontal="left" vertical="center"/>
    </xf>
    <xf numFmtId="0" fontId="0" fillId="19" borderId="224" xfId="0" applyFill="1" applyBorder="1">
      <alignment horizontal="center" vertical="center"/>
    </xf>
    <xf numFmtId="0" fontId="0" fillId="19" borderId="225" xfId="0" applyFill="1" applyBorder="1">
      <alignment horizontal="center" vertical="center"/>
    </xf>
    <xf numFmtId="0" fontId="0" fillId="19" borderId="226" xfId="7" applyFont="1" applyFill="1" applyBorder="1">
      <alignment horizontal="center" vertical="center"/>
    </xf>
    <xf numFmtId="0" fontId="0" fillId="19" borderId="227" xfId="0" applyFill="1" applyBorder="1">
      <alignment horizontal="center" vertical="center"/>
    </xf>
    <xf numFmtId="0" fontId="6" fillId="0" borderId="228" xfId="7" applyBorder="1" applyAlignment="1">
      <alignment horizontal="center"/>
    </xf>
    <xf numFmtId="0" fontId="4" fillId="0" borderId="229" xfId="7" applyFont="1" applyBorder="1" applyAlignment="1">
      <alignment horizontal="left"/>
    </xf>
    <xf numFmtId="0" fontId="6" fillId="0" borderId="230" xfId="7" applyBorder="1">
      <alignment horizontal="center" vertical="center"/>
    </xf>
    <xf numFmtId="0" fontId="6" fillId="0" borderId="231" xfId="7" applyBorder="1" applyAlignment="1">
      <alignment horizontal="left"/>
    </xf>
    <xf numFmtId="0" fontId="6" fillId="0" borderId="230" xfId="7" applyBorder="1" applyAlignment="1">
      <alignment horizontal="left"/>
    </xf>
    <xf numFmtId="0" fontId="4" fillId="0" borderId="230" xfId="7" applyFont="1" applyBorder="1" applyAlignment="1">
      <alignment horizontal="left"/>
    </xf>
    <xf numFmtId="0" fontId="6" fillId="0" borderId="229" xfId="7" applyBorder="1">
      <alignment horizontal="center" vertical="center"/>
    </xf>
    <xf numFmtId="0" fontId="6" fillId="0" borderId="230" xfId="7" applyBorder="1" applyAlignment="1">
      <alignment vertical="center"/>
    </xf>
    <xf numFmtId="0" fontId="6" fillId="0" borderId="230" xfId="7" applyBorder="1" applyAlignment="1">
      <alignment horizontal="left" vertical="center"/>
    </xf>
    <xf numFmtId="0" fontId="6" fillId="0" borderId="232" xfId="7" applyBorder="1" applyAlignment="1">
      <alignment vertical="center"/>
    </xf>
    <xf numFmtId="0" fontId="6" fillId="0" borderId="233" xfId="7" applyBorder="1">
      <alignment horizontal="center" vertical="center"/>
    </xf>
    <xf numFmtId="0" fontId="6" fillId="0" borderId="232" xfId="7" applyBorder="1">
      <alignment horizontal="center" vertical="center"/>
    </xf>
    <xf numFmtId="0" fontId="6" fillId="0" borderId="234" xfId="7" applyBorder="1" applyAlignment="1">
      <alignment horizontal="center"/>
    </xf>
    <xf numFmtId="0" fontId="4" fillId="0" borderId="235" xfId="7" applyFont="1" applyBorder="1" applyAlignment="1">
      <alignment horizontal="left"/>
    </xf>
    <xf numFmtId="0" fontId="6" fillId="0" borderId="236" xfId="7" applyBorder="1">
      <alignment horizontal="center" vertical="center"/>
    </xf>
    <xf numFmtId="0" fontId="6" fillId="0" borderId="237" xfId="7" applyBorder="1" applyAlignment="1">
      <alignment horizontal="left"/>
    </xf>
    <xf numFmtId="0" fontId="6" fillId="0" borderId="236" xfId="7" applyBorder="1" applyAlignment="1">
      <alignment horizontal="left"/>
    </xf>
    <xf numFmtId="0" fontId="6" fillId="0" borderId="238" xfId="7" applyBorder="1" applyAlignment="1">
      <alignment horizontal="left"/>
    </xf>
    <xf numFmtId="0" fontId="4" fillId="0" borderId="239" xfId="7" applyFont="1" applyBorder="1" applyAlignment="1">
      <alignment horizontal="left"/>
    </xf>
    <xf numFmtId="0" fontId="6" fillId="0" borderId="240" xfId="7" applyBorder="1">
      <alignment horizontal="center" vertical="center"/>
    </xf>
    <xf numFmtId="0" fontId="6" fillId="0" borderId="241" xfId="7" applyBorder="1">
      <alignment horizontal="center" vertical="center"/>
    </xf>
    <xf numFmtId="0" fontId="4" fillId="0" borderId="218" xfId="7" applyFont="1" applyBorder="1" applyAlignment="1" applyProtection="1">
      <alignment horizontal="center"/>
      <protection locked="0"/>
    </xf>
    <xf numFmtId="0" fontId="5" fillId="0" borderId="218" xfId="7" applyFont="1" applyBorder="1" applyAlignment="1">
      <alignment horizontal="center"/>
    </xf>
    <xf numFmtId="49" fontId="0" fillId="19" borderId="42" xfId="7" applyNumberFormat="1" applyFont="1" applyFill="1" applyBorder="1">
      <alignment horizontal="center" vertical="center"/>
    </xf>
    <xf numFmtId="0" fontId="0" fillId="19" borderId="42" xfId="8" applyFont="1" applyFill="1" applyBorder="1">
      <alignment horizontal="center" vertical="center"/>
    </xf>
    <xf numFmtId="0" fontId="4" fillId="22" borderId="224" xfId="7" applyFont="1" applyFill="1" applyBorder="1" applyAlignment="1">
      <alignment horizontal="center"/>
    </xf>
    <xf numFmtId="0" fontId="0" fillId="0" borderId="224" xfId="0" applyBorder="1">
      <alignment horizontal="center" vertical="center"/>
    </xf>
    <xf numFmtId="49" fontId="6" fillId="19" borderId="224" xfId="3" applyNumberFormat="1" applyFont="1" applyFill="1" applyBorder="1" applyAlignment="1">
      <alignment horizontal="center" vertical="center"/>
    </xf>
    <xf numFmtId="49" fontId="6" fillId="19" borderId="224" xfId="7" applyNumberFormat="1" applyFill="1" applyBorder="1">
      <alignment horizontal="center" vertical="center"/>
    </xf>
    <xf numFmtId="0" fontId="6" fillId="19" borderId="224" xfId="6" applyFont="1" applyFill="1" applyBorder="1">
      <alignment horizontal="center" vertical="center"/>
    </xf>
    <xf numFmtId="0" fontId="6" fillId="19" borderId="224" xfId="7" applyFill="1" applyBorder="1">
      <alignment horizontal="center" vertical="center"/>
    </xf>
    <xf numFmtId="0" fontId="6" fillId="19" borderId="224" xfId="8" applyFont="1" applyFill="1" applyBorder="1">
      <alignment horizontal="center" vertical="center"/>
    </xf>
    <xf numFmtId="49" fontId="6" fillId="19" borderId="225" xfId="3" applyNumberFormat="1" applyFont="1" applyFill="1" applyBorder="1" applyAlignment="1">
      <alignment horizontal="center" vertical="center"/>
    </xf>
    <xf numFmtId="0" fontId="6" fillId="0" borderId="224" xfId="7" applyBorder="1" applyAlignment="1">
      <alignment vertical="center"/>
    </xf>
    <xf numFmtId="49" fontId="6" fillId="19" borderId="225" xfId="7" applyNumberFormat="1" applyFill="1" applyBorder="1">
      <alignment horizontal="center" vertical="center"/>
    </xf>
    <xf numFmtId="0" fontId="6" fillId="19" borderId="224" xfId="5" applyFont="1" applyFill="1" applyBorder="1">
      <alignment horizontal="center" vertical="center"/>
    </xf>
    <xf numFmtId="0" fontId="0" fillId="27" borderId="224" xfId="7" applyFont="1" applyFill="1" applyBorder="1">
      <alignment horizontal="center" vertical="center"/>
    </xf>
    <xf numFmtId="49" fontId="0" fillId="19" borderId="224" xfId="0" applyNumberFormat="1" applyFill="1" applyBorder="1">
      <alignment horizontal="center" vertical="center"/>
    </xf>
    <xf numFmtId="0" fontId="4" fillId="22" borderId="220" xfId="7" applyFont="1" applyFill="1" applyBorder="1" applyAlignment="1">
      <alignment horizontal="center"/>
    </xf>
    <xf numFmtId="0" fontId="6" fillId="0" borderId="220" xfId="7" applyBorder="1" applyAlignment="1">
      <alignment vertical="center"/>
    </xf>
    <xf numFmtId="0" fontId="3" fillId="3" borderId="242" xfId="2" applyBorder="1" applyAlignment="1">
      <alignment horizontal="center" vertical="center"/>
    </xf>
    <xf numFmtId="0" fontId="17" fillId="24" borderId="220" xfId="6" applyBorder="1">
      <alignment horizontal="center" vertical="center"/>
    </xf>
    <xf numFmtId="0" fontId="4" fillId="0" borderId="243" xfId="0" applyFont="1" applyBorder="1" applyAlignment="1">
      <alignment horizontal="center"/>
    </xf>
    <xf numFmtId="0" fontId="6" fillId="0" borderId="229" xfId="0" applyFont="1" applyBorder="1" applyAlignment="1">
      <alignment horizontal="left" vertical="center"/>
    </xf>
    <xf numFmtId="0" fontId="6" fillId="0" borderId="230" xfId="0" applyFont="1" applyBorder="1" applyAlignment="1">
      <alignment horizontal="left" vertical="center"/>
    </xf>
    <xf numFmtId="0" fontId="6" fillId="0" borderId="232" xfId="0" applyFont="1" applyBorder="1" applyAlignment="1">
      <alignment horizontal="left" vertical="center"/>
    </xf>
    <xf numFmtId="0" fontId="0" fillId="0" borderId="228" xfId="0" applyBorder="1" applyAlignment="1">
      <alignment horizontal="center"/>
    </xf>
    <xf numFmtId="0" fontId="4" fillId="0" borderId="229" xfId="0" applyFont="1" applyBorder="1" applyAlignment="1">
      <alignment horizontal="left"/>
    </xf>
    <xf numFmtId="0" fontId="0" fillId="0" borderId="230" xfId="0" applyBorder="1" applyAlignment="1"/>
    <xf numFmtId="0" fontId="0" fillId="0" borderId="231" xfId="0" applyBorder="1" applyAlignment="1">
      <alignment horizontal="left"/>
    </xf>
    <xf numFmtId="0" fontId="4" fillId="0" borderId="230" xfId="0" applyFont="1" applyBorder="1" applyAlignment="1"/>
    <xf numFmtId="0" fontId="4" fillId="0" borderId="231" xfId="0" applyFont="1" applyBorder="1" applyAlignment="1">
      <alignment horizontal="left"/>
    </xf>
    <xf numFmtId="0" fontId="0" fillId="0" borderId="229" xfId="0" applyBorder="1" applyAlignment="1">
      <alignment horizontal="center"/>
    </xf>
    <xf numFmtId="0" fontId="0" fillId="0" borderId="232" xfId="0" applyBorder="1" applyAlignment="1"/>
    <xf numFmtId="0" fontId="4" fillId="0" borderId="244" xfId="0" applyFont="1" applyBorder="1" applyAlignment="1">
      <alignment horizontal="left"/>
    </xf>
    <xf numFmtId="0" fontId="0" fillId="0" borderId="245" xfId="0" applyBorder="1" applyAlignment="1"/>
    <xf numFmtId="0" fontId="0" fillId="0" borderId="246" xfId="0" applyBorder="1" applyAlignment="1">
      <alignment horizontal="left"/>
    </xf>
    <xf numFmtId="0" fontId="9" fillId="0" borderId="244" xfId="0" applyFont="1" applyBorder="1" applyAlignment="1">
      <alignment horizontal="center"/>
    </xf>
    <xf numFmtId="0" fontId="0" fillId="0" borderId="247" xfId="0" applyBorder="1" applyAlignment="1"/>
    <xf numFmtId="0" fontId="0" fillId="0" borderId="234" xfId="0" applyBorder="1" applyAlignment="1">
      <alignment horizontal="center"/>
    </xf>
    <xf numFmtId="0" fontId="4" fillId="0" borderId="235" xfId="0" applyFont="1" applyBorder="1" applyAlignment="1">
      <alignment horizontal="left"/>
    </xf>
    <xf numFmtId="0" fontId="6" fillId="0" borderId="236" xfId="0" applyFont="1" applyBorder="1" applyAlignment="1">
      <alignment horizontal="left" vertical="center"/>
    </xf>
    <xf numFmtId="0" fontId="6" fillId="0" borderId="236" xfId="0" applyFont="1" applyBorder="1">
      <alignment horizontal="center" vertical="center"/>
    </xf>
    <xf numFmtId="0" fontId="6" fillId="0" borderId="237" xfId="0" applyFont="1" applyBorder="1">
      <alignment horizontal="center" vertical="center"/>
    </xf>
    <xf numFmtId="0" fontId="6" fillId="0" borderId="235" xfId="0" applyFont="1" applyBorder="1" applyAlignment="1">
      <alignment horizontal="left" vertical="center"/>
    </xf>
    <xf numFmtId="0" fontId="6" fillId="0" borderId="236" xfId="0" applyFont="1" applyBorder="1" applyAlignment="1">
      <alignment horizontal="left"/>
    </xf>
    <xf numFmtId="0" fontId="6" fillId="0" borderId="237" xfId="0" applyFont="1" applyBorder="1" applyAlignment="1">
      <alignment horizontal="left" vertical="center"/>
    </xf>
    <xf numFmtId="0" fontId="0" fillId="0" borderId="236" xfId="0" applyBorder="1" applyAlignment="1">
      <alignment horizontal="left"/>
    </xf>
    <xf numFmtId="0" fontId="0" fillId="0" borderId="241" xfId="0" applyBorder="1" applyAlignment="1"/>
    <xf numFmtId="0" fontId="6" fillId="0" borderId="42" xfId="7" applyBorder="1">
      <alignment horizontal="center" vertical="center"/>
    </xf>
    <xf numFmtId="0" fontId="4" fillId="22" borderId="224" xfId="0" applyFont="1" applyFill="1" applyBorder="1" applyAlignment="1">
      <alignment horizontal="center"/>
    </xf>
    <xf numFmtId="0" fontId="0" fillId="19" borderId="225" xfId="6" applyFont="1" applyFill="1" applyBorder="1">
      <alignment horizontal="center" vertical="center"/>
    </xf>
    <xf numFmtId="0" fontId="0" fillId="19" borderId="224" xfId="1" applyFont="1" applyFill="1" applyBorder="1" applyAlignment="1">
      <alignment horizontal="center" vertical="center"/>
    </xf>
    <xf numFmtId="0" fontId="0" fillId="24" borderId="224" xfId="12" applyFont="1" applyFill="1" applyBorder="1">
      <alignment horizontal="center" vertical="center"/>
    </xf>
    <xf numFmtId="0" fontId="17" fillId="24" borderId="225" xfId="6" applyBorder="1">
      <alignment horizontal="center" vertical="center"/>
    </xf>
    <xf numFmtId="0" fontId="4" fillId="22" borderId="220" xfId="0" applyFont="1" applyFill="1" applyBorder="1" applyAlignment="1">
      <alignment horizontal="center"/>
    </xf>
    <xf numFmtId="0" fontId="0" fillId="19" borderId="220" xfId="0" applyFill="1" applyBorder="1" applyAlignment="1">
      <alignment horizontal="left" vertical="center"/>
    </xf>
    <xf numFmtId="0" fontId="0" fillId="19" borderId="220" xfId="12" applyFont="1" applyFill="1" applyBorder="1">
      <alignment horizontal="center" vertical="center"/>
    </xf>
    <xf numFmtId="0" fontId="0" fillId="19" borderId="220" xfId="1" applyFont="1" applyFill="1" applyBorder="1" applyAlignment="1">
      <alignment horizontal="center" vertical="center"/>
    </xf>
    <xf numFmtId="0" fontId="0" fillId="19" borderId="220" xfId="8" applyFont="1" applyFill="1" applyBorder="1">
      <alignment horizontal="center" vertical="center"/>
    </xf>
    <xf numFmtId="0" fontId="0" fillId="19" borderId="227" xfId="8" applyFont="1" applyFill="1" applyBorder="1">
      <alignment horizontal="center" vertical="center"/>
    </xf>
    <xf numFmtId="0" fontId="0" fillId="0" borderId="235" xfId="0" applyBorder="1" applyAlignment="1">
      <alignment horizontal="left"/>
    </xf>
    <xf numFmtId="0" fontId="0" fillId="0" borderId="236" xfId="0" applyBorder="1" applyAlignment="1"/>
    <xf numFmtId="0" fontId="0" fillId="0" borderId="237" xfId="0" applyBorder="1" applyAlignment="1">
      <alignment horizontal="left"/>
    </xf>
    <xf numFmtId="0" fontId="0" fillId="0" borderId="235" xfId="0" applyBorder="1" applyAlignment="1">
      <alignment horizontal="center"/>
    </xf>
    <xf numFmtId="0" fontId="6" fillId="0" borderId="117" xfId="7" applyBorder="1">
      <alignment horizontal="center" vertical="center"/>
    </xf>
    <xf numFmtId="0" fontId="4" fillId="22" borderId="221" xfId="0" applyFont="1" applyFill="1" applyBorder="1" applyAlignment="1">
      <alignment horizontal="center"/>
    </xf>
    <xf numFmtId="0" fontId="0" fillId="19" borderId="222" xfId="0" applyFill="1" applyBorder="1">
      <alignment horizontal="center" vertical="center"/>
    </xf>
    <xf numFmtId="49" fontId="0" fillId="19" borderId="222" xfId="0" applyNumberFormat="1" applyFill="1" applyBorder="1">
      <alignment horizontal="center" vertical="center"/>
    </xf>
    <xf numFmtId="0" fontId="12" fillId="0" borderId="229" xfId="0" applyFont="1" applyBorder="1" applyAlignment="1">
      <alignment horizontal="left"/>
    </xf>
    <xf numFmtId="0" fontId="4" fillId="0" borderId="230" xfId="0" applyFont="1" applyBorder="1">
      <alignment horizontal="center" vertical="center"/>
    </xf>
    <xf numFmtId="164" fontId="9" fillId="0" borderId="235" xfId="0" applyNumberFormat="1" applyFont="1" applyBorder="1" applyAlignment="1">
      <alignment horizontal="center"/>
    </xf>
    <xf numFmtId="0" fontId="6" fillId="19" borderId="224" xfId="0" applyFont="1" applyFill="1" applyBorder="1" applyAlignment="1">
      <alignment vertical="center"/>
    </xf>
    <xf numFmtId="0" fontId="6" fillId="19" borderId="224" xfId="0" applyFont="1" applyFill="1" applyBorder="1">
      <alignment horizontal="center" vertical="center"/>
    </xf>
    <xf numFmtId="49" fontId="6" fillId="19" borderId="224" xfId="0" applyNumberFormat="1" applyFont="1" applyFill="1" applyBorder="1">
      <alignment horizontal="center" vertical="center"/>
    </xf>
    <xf numFmtId="0" fontId="6" fillId="19" borderId="225" xfId="0" applyFont="1" applyFill="1" applyBorder="1">
      <alignment horizontal="center" vertical="center"/>
    </xf>
    <xf numFmtId="0" fontId="0" fillId="19" borderId="224" xfId="0" applyFill="1" applyBorder="1" applyAlignment="1">
      <alignment vertical="center"/>
    </xf>
    <xf numFmtId="0" fontId="6" fillId="19" borderId="220" xfId="0" applyFont="1" applyFill="1" applyBorder="1">
      <alignment horizontal="center" vertical="center"/>
    </xf>
    <xf numFmtId="0" fontId="6" fillId="19" borderId="227" xfId="0" applyFont="1" applyFill="1" applyBorder="1">
      <alignment horizontal="center" vertical="center"/>
    </xf>
    <xf numFmtId="0" fontId="0" fillId="0" borderId="248" xfId="0" applyBorder="1">
      <alignment horizontal="center" vertical="center"/>
    </xf>
    <xf numFmtId="49" fontId="6" fillId="0" borderId="223" xfId="0" applyNumberFormat="1" applyFont="1" applyBorder="1">
      <alignment horizontal="center" vertical="center"/>
    </xf>
    <xf numFmtId="0" fontId="6" fillId="0" borderId="51" xfId="0" applyFont="1" applyBorder="1">
      <alignment horizontal="center" vertical="center"/>
    </xf>
    <xf numFmtId="0" fontId="9" fillId="0" borderId="249" xfId="0" applyFont="1" applyBorder="1">
      <alignment horizontal="center" vertical="center"/>
    </xf>
    <xf numFmtId="0" fontId="0" fillId="0" borderId="250" xfId="0" applyBorder="1">
      <alignment horizontal="center" vertical="center"/>
    </xf>
    <xf numFmtId="0" fontId="0" fillId="0" borderId="251" xfId="0" applyBorder="1">
      <alignment horizontal="center" vertical="center"/>
    </xf>
    <xf numFmtId="49" fontId="6" fillId="0" borderId="252" xfId="0" applyNumberFormat="1" applyFont="1" applyBorder="1">
      <alignment horizontal="center" vertical="center"/>
    </xf>
    <xf numFmtId="0" fontId="6" fillId="0" borderId="253" xfId="0" applyFont="1" applyBorder="1">
      <alignment horizontal="center" vertical="center"/>
    </xf>
    <xf numFmtId="0" fontId="9" fillId="0" borderId="254" xfId="0" applyFont="1" applyBorder="1">
      <alignment horizontal="center" vertical="center"/>
    </xf>
    <xf numFmtId="49" fontId="0" fillId="0" borderId="223" xfId="0" applyNumberFormat="1" applyBorder="1">
      <alignment horizontal="center" vertical="center"/>
    </xf>
    <xf numFmtId="0" fontId="6" fillId="0" borderId="223" xfId="0" applyFont="1" applyBorder="1">
      <alignment horizontal="center" vertical="center"/>
    </xf>
    <xf numFmtId="49" fontId="0" fillId="0" borderId="255" xfId="0" applyNumberFormat="1" applyBorder="1">
      <alignment horizontal="center" vertical="center"/>
    </xf>
    <xf numFmtId="0" fontId="6" fillId="0" borderId="256" xfId="0" applyFont="1" applyBorder="1" applyAlignment="1">
      <alignment horizontal="left" vertical="center"/>
    </xf>
    <xf numFmtId="0" fontId="6" fillId="0" borderId="256" xfId="0" applyFont="1" applyBorder="1">
      <alignment horizontal="center" vertical="center"/>
    </xf>
    <xf numFmtId="0" fontId="6" fillId="0" borderId="257" xfId="0" applyFont="1" applyBorder="1">
      <alignment horizontal="center" vertical="center"/>
    </xf>
    <xf numFmtId="49" fontId="6" fillId="0" borderId="255" xfId="0" applyNumberFormat="1" applyFont="1" applyBorder="1">
      <alignment horizontal="center" vertical="center"/>
    </xf>
    <xf numFmtId="0" fontId="0" fillId="0" borderId="256" xfId="0" applyBorder="1" applyAlignment="1">
      <alignment horizontal="left" vertical="center"/>
    </xf>
    <xf numFmtId="0" fontId="6" fillId="0" borderId="255" xfId="0" applyFont="1" applyBorder="1">
      <alignment horizontal="center" vertical="center"/>
    </xf>
    <xf numFmtId="0" fontId="5" fillId="0" borderId="258" xfId="0" applyFont="1" applyBorder="1" applyAlignment="1">
      <alignment horizontal="center"/>
    </xf>
    <xf numFmtId="0" fontId="0" fillId="19" borderId="259" xfId="0" applyFill="1" applyBorder="1">
      <alignment horizontal="center" vertical="center"/>
    </xf>
    <xf numFmtId="0" fontId="0" fillId="18" borderId="259" xfId="0" applyFill="1" applyBorder="1">
      <alignment horizontal="center" vertical="center"/>
    </xf>
    <xf numFmtId="0" fontId="0" fillId="18" borderId="260" xfId="0" applyFill="1" applyBorder="1">
      <alignment horizontal="center" vertical="center"/>
    </xf>
    <xf numFmtId="0" fontId="17" fillId="25" borderId="116" xfId="8" applyBorder="1">
      <alignment horizontal="center" vertical="center"/>
    </xf>
    <xf numFmtId="0" fontId="17" fillId="25" borderId="117" xfId="8" applyBorder="1">
      <alignment horizontal="center" vertical="center"/>
    </xf>
    <xf numFmtId="0" fontId="0" fillId="19" borderId="221" xfId="0" applyFill="1" applyBorder="1" applyAlignment="1">
      <alignment horizontal="left" vertical="center" wrapText="1"/>
    </xf>
    <xf numFmtId="0" fontId="17" fillId="25" borderId="221" xfId="8" applyBorder="1">
      <alignment horizontal="center" vertical="center"/>
    </xf>
    <xf numFmtId="0" fontId="17" fillId="28" borderId="221" xfId="10" applyBorder="1">
      <alignment horizontal="center" vertical="center"/>
    </xf>
    <xf numFmtId="0" fontId="0" fillId="0" borderId="261" xfId="0" applyBorder="1">
      <alignment horizontal="center" vertical="center"/>
    </xf>
    <xf numFmtId="0" fontId="0" fillId="19" borderId="221" xfId="15" applyFont="1" applyFill="1" applyBorder="1">
      <alignment horizontal="center" vertical="center"/>
    </xf>
    <xf numFmtId="0" fontId="0" fillId="0" borderId="221" xfId="0" applyBorder="1" applyAlignment="1">
      <alignment vertical="center"/>
    </xf>
    <xf numFmtId="0" fontId="0" fillId="19" borderId="221" xfId="12" applyFont="1" applyFill="1" applyBorder="1">
      <alignment horizontal="center" vertical="center"/>
    </xf>
    <xf numFmtId="49" fontId="0" fillId="19" borderId="221" xfId="0" applyNumberFormat="1" applyFill="1" applyBorder="1">
      <alignment horizontal="center" vertical="center"/>
    </xf>
    <xf numFmtId="0" fontId="0" fillId="19" borderId="221" xfId="5" applyFont="1" applyFill="1" applyBorder="1">
      <alignment horizontal="center" vertical="center"/>
    </xf>
    <xf numFmtId="0" fontId="0" fillId="19" borderId="221" xfId="0" applyFill="1" applyBorder="1" applyAlignment="1">
      <alignment horizontal="left" vertical="center"/>
    </xf>
    <xf numFmtId="49" fontId="0" fillId="19" borderId="221" xfId="2" applyNumberFormat="1" applyFont="1" applyFill="1" applyBorder="1" applyAlignment="1">
      <alignment horizontal="center" vertical="center"/>
    </xf>
    <xf numFmtId="0" fontId="17" fillId="25" borderId="222" xfId="8" applyBorder="1">
      <alignment horizontal="center" vertical="center"/>
    </xf>
    <xf numFmtId="0" fontId="0" fillId="19" borderId="221" xfId="7" applyFont="1" applyFill="1" applyBorder="1">
      <alignment horizontal="center" vertical="center"/>
    </xf>
    <xf numFmtId="0" fontId="0" fillId="19" borderId="221" xfId="6" applyFont="1" applyFill="1" applyBorder="1">
      <alignment horizontal="center" vertical="center"/>
    </xf>
    <xf numFmtId="0" fontId="4" fillId="0" borderId="221" xfId="0" applyFont="1" applyBorder="1" applyAlignment="1">
      <alignment horizontal="center"/>
    </xf>
    <xf numFmtId="0" fontId="4" fillId="0" borderId="258" xfId="0" applyFont="1" applyBorder="1" applyAlignment="1">
      <alignment horizontal="center"/>
    </xf>
    <xf numFmtId="0" fontId="0" fillId="0" borderId="262" xfId="0" applyBorder="1" applyAlignment="1">
      <alignment horizontal="left" vertical="center"/>
    </xf>
    <xf numFmtId="0" fontId="4" fillId="0" borderId="263" xfId="0" applyFont="1" applyBorder="1" applyAlignment="1">
      <alignment horizontal="left"/>
    </xf>
    <xf numFmtId="0" fontId="0" fillId="0" borderId="263" xfId="0" applyBorder="1" applyAlignment="1">
      <alignment horizontal="left" vertical="center"/>
    </xf>
    <xf numFmtId="0" fontId="0" fillId="0" borderId="264" xfId="0" applyBorder="1" applyAlignment="1">
      <alignment horizontal="left" vertical="center"/>
    </xf>
    <xf numFmtId="0" fontId="0" fillId="0" borderId="265" xfId="0" applyBorder="1">
      <alignment horizontal="center" vertical="center"/>
    </xf>
    <xf numFmtId="0" fontId="4" fillId="0" borderId="221" xfId="0" applyFont="1" applyBorder="1">
      <alignment horizontal="center" vertical="center"/>
    </xf>
    <xf numFmtId="0" fontId="0" fillId="0" borderId="223" xfId="0" applyBorder="1" applyAlignment="1">
      <alignment horizontal="left" vertical="center"/>
    </xf>
    <xf numFmtId="0" fontId="0" fillId="0" borderId="266" xfId="0" applyBorder="1" applyAlignment="1">
      <alignment horizontal="left" vertical="center"/>
    </xf>
    <xf numFmtId="0" fontId="0" fillId="0" borderId="267" xfId="0" applyBorder="1" applyAlignment="1">
      <alignment horizontal="left" vertical="center"/>
    </xf>
    <xf numFmtId="0" fontId="0" fillId="0" borderId="268" xfId="0" applyBorder="1" applyAlignment="1">
      <alignment horizontal="left" vertical="center"/>
    </xf>
    <xf numFmtId="0" fontId="0" fillId="0" borderId="269" xfId="0" applyBorder="1" applyAlignment="1">
      <alignment horizontal="left" vertical="center"/>
    </xf>
    <xf numFmtId="0" fontId="4" fillId="0" borderId="270" xfId="0" applyFont="1" applyBorder="1" applyAlignment="1">
      <alignment horizontal="left"/>
    </xf>
    <xf numFmtId="0" fontId="0" fillId="0" borderId="270" xfId="0" applyBorder="1" applyAlignment="1">
      <alignment horizontal="left" vertical="center"/>
    </xf>
    <xf numFmtId="0" fontId="0" fillId="0" borderId="271" xfId="0" applyBorder="1" applyAlignment="1">
      <alignment horizontal="left" vertical="center"/>
    </xf>
    <xf numFmtId="0" fontId="0" fillId="0" borderId="272" xfId="0" applyBorder="1" applyAlignment="1">
      <alignment horizontal="left" vertical="center"/>
    </xf>
    <xf numFmtId="0" fontId="0" fillId="0" borderId="273" xfId="0" applyBorder="1">
      <alignment horizontal="center" vertical="center"/>
    </xf>
    <xf numFmtId="0" fontId="0" fillId="0" borderId="274" xfId="0" applyBorder="1" applyAlignment="1">
      <alignment horizontal="left" vertical="center"/>
    </xf>
    <xf numFmtId="0" fontId="0" fillId="0" borderId="263" xfId="0" applyBorder="1" applyAlignment="1">
      <alignment horizontal="left"/>
    </xf>
    <xf numFmtId="49" fontId="0" fillId="0" borderId="262" xfId="0" applyNumberFormat="1" applyBorder="1" applyAlignment="1">
      <alignment horizontal="left"/>
    </xf>
    <xf numFmtId="0" fontId="0" fillId="0" borderId="262" xfId="0" applyBorder="1" applyAlignment="1">
      <alignment horizontal="left"/>
    </xf>
    <xf numFmtId="0" fontId="12" fillId="0" borderId="275" xfId="0" applyFont="1" applyBorder="1" applyAlignment="1">
      <alignment horizontal="center"/>
    </xf>
    <xf numFmtId="0" fontId="0" fillId="0" borderId="276" xfId="0" applyBorder="1" applyAlignment="1">
      <alignment horizontal="left" vertical="center"/>
    </xf>
    <xf numFmtId="0" fontId="0" fillId="0" borderId="277" xfId="0" applyBorder="1" applyAlignment="1">
      <alignment horizontal="left" vertical="center"/>
    </xf>
    <xf numFmtId="49" fontId="0" fillId="0" borderId="277" xfId="0" applyNumberFormat="1" applyBorder="1" applyAlignment="1">
      <alignment horizontal="left"/>
    </xf>
    <xf numFmtId="0" fontId="4" fillId="0" borderId="278" xfId="0" applyFont="1" applyBorder="1" applyAlignment="1" applyProtection="1">
      <alignment horizontal="center"/>
      <protection locked="0"/>
    </xf>
    <xf numFmtId="0" fontId="5" fillId="0" borderId="278" xfId="0" applyFont="1" applyBorder="1" applyAlignment="1">
      <alignment horizontal="center"/>
    </xf>
    <xf numFmtId="0" fontId="4" fillId="0" borderId="275" xfId="0" applyFont="1" applyBorder="1" applyAlignment="1" applyProtection="1">
      <alignment horizontal="center"/>
      <protection locked="0"/>
    </xf>
    <xf numFmtId="0" fontId="0" fillId="0" borderId="275" xfId="0" applyBorder="1" applyAlignment="1">
      <alignment horizontal="left"/>
    </xf>
    <xf numFmtId="1" fontId="0" fillId="19" borderId="275" xfId="1" applyNumberFormat="1" applyFont="1" applyFill="1" applyBorder="1" applyAlignment="1">
      <alignment horizontal="center" vertical="center"/>
    </xf>
    <xf numFmtId="0" fontId="0" fillId="19" borderId="279" xfId="0" applyFill="1" applyBorder="1">
      <alignment horizontal="center" vertical="center"/>
    </xf>
    <xf numFmtId="0" fontId="0" fillId="0" borderId="275" xfId="0" applyBorder="1" applyAlignment="1" applyProtection="1">
      <alignment horizontal="center"/>
      <protection locked="0"/>
    </xf>
    <xf numFmtId="0" fontId="17" fillId="24" borderId="275" xfId="6" applyBorder="1">
      <alignment horizontal="center" vertical="center"/>
    </xf>
    <xf numFmtId="0" fontId="6" fillId="24" borderId="275" xfId="6" applyFont="1" applyBorder="1">
      <alignment horizontal="center" vertical="center"/>
    </xf>
    <xf numFmtId="0" fontId="0" fillId="19" borderId="275" xfId="8" applyFont="1" applyFill="1" applyBorder="1">
      <alignment horizontal="center" vertical="center"/>
    </xf>
    <xf numFmtId="0" fontId="12" fillId="0" borderId="275" xfId="0" applyFont="1" applyBorder="1" applyAlignment="1" applyProtection="1">
      <alignment horizontal="center"/>
      <protection locked="0"/>
    </xf>
    <xf numFmtId="0" fontId="0" fillId="28" borderId="275" xfId="10" applyFont="1" applyBorder="1">
      <alignment horizontal="center" vertical="center"/>
    </xf>
    <xf numFmtId="0" fontId="0" fillId="19" borderId="275" xfId="11" applyFont="1" applyFill="1" applyBorder="1">
      <alignment horizontal="center" vertical="center"/>
    </xf>
    <xf numFmtId="0" fontId="0" fillId="19" borderId="279" xfId="8" applyFont="1" applyFill="1" applyBorder="1">
      <alignment horizontal="center" vertical="center"/>
    </xf>
    <xf numFmtId="0" fontId="0" fillId="19" borderId="275" xfId="13" applyFont="1" applyFill="1" applyBorder="1">
      <alignment horizontal="center" vertical="center"/>
    </xf>
    <xf numFmtId="0" fontId="0" fillId="19" borderId="279" xfId="13" applyFont="1" applyFill="1" applyBorder="1">
      <alignment horizontal="center" vertical="center"/>
    </xf>
    <xf numFmtId="0" fontId="6" fillId="0" borderId="275" xfId="0" applyFont="1" applyBorder="1" applyAlignment="1">
      <alignment vertical="center"/>
    </xf>
    <xf numFmtId="0" fontId="6" fillId="0" borderId="275" xfId="7" applyBorder="1" applyAlignment="1">
      <alignment vertical="top"/>
    </xf>
    <xf numFmtId="0" fontId="6" fillId="25" borderId="275" xfId="8" applyFont="1" applyBorder="1">
      <alignment horizontal="center" vertical="center"/>
    </xf>
    <xf numFmtId="0" fontId="0" fillId="0" borderId="279" xfId="0" applyBorder="1">
      <alignment horizontal="center" vertical="center"/>
    </xf>
    <xf numFmtId="0" fontId="18" fillId="0" borderId="275" xfId="0" applyFont="1" applyBorder="1" applyAlignment="1">
      <alignment vertical="center"/>
    </xf>
    <xf numFmtId="49" fontId="0" fillId="19" borderId="279" xfId="0" applyNumberFormat="1" applyFill="1" applyBorder="1">
      <alignment horizontal="center" vertical="center"/>
    </xf>
    <xf numFmtId="0" fontId="0" fillId="0" borderId="275" xfId="0" applyBorder="1">
      <alignment horizontal="center" vertical="center"/>
    </xf>
    <xf numFmtId="0" fontId="6" fillId="19" borderId="275" xfId="0" applyFont="1" applyFill="1" applyBorder="1" applyAlignment="1">
      <alignment vertical="center"/>
    </xf>
    <xf numFmtId="0" fontId="4" fillId="0" borderId="280" xfId="0" applyFont="1" applyBorder="1" applyAlignment="1">
      <alignment horizontal="center"/>
    </xf>
    <xf numFmtId="0" fontId="4" fillId="0" borderId="281" xfId="0" applyFont="1" applyBorder="1" applyAlignment="1">
      <alignment horizontal="center"/>
    </xf>
    <xf numFmtId="0" fontId="4" fillId="0" borderId="282" xfId="0" applyFont="1" applyBorder="1" applyAlignment="1">
      <alignment horizontal="center"/>
    </xf>
    <xf numFmtId="0" fontId="0" fillId="0" borderId="283" xfId="0" applyBorder="1" applyAlignment="1">
      <alignment horizontal="center"/>
    </xf>
    <xf numFmtId="0" fontId="4" fillId="0" borderId="284" xfId="0" applyFont="1" applyBorder="1" applyAlignment="1" applyProtection="1">
      <alignment horizontal="center"/>
      <protection locked="0"/>
    </xf>
    <xf numFmtId="0" fontId="5" fillId="0" borderId="284" xfId="0" applyFont="1" applyBorder="1" applyAlignment="1">
      <alignment horizontal="center"/>
    </xf>
    <xf numFmtId="0" fontId="0" fillId="0" borderId="285" xfId="0" applyBorder="1" applyAlignment="1" applyProtection="1">
      <alignment horizontal="center"/>
      <protection locked="0"/>
    </xf>
    <xf numFmtId="0" fontId="0" fillId="0" borderId="285" xfId="0" applyBorder="1" applyAlignment="1">
      <alignment horizontal="left" vertical="center"/>
    </xf>
    <xf numFmtId="0" fontId="17" fillId="28" borderId="285" xfId="10" applyBorder="1">
      <alignment horizontal="center" vertical="center"/>
    </xf>
    <xf numFmtId="0" fontId="0" fillId="28" borderId="285" xfId="10" applyFont="1" applyBorder="1">
      <alignment horizontal="center" vertical="center"/>
    </xf>
    <xf numFmtId="0" fontId="6" fillId="0" borderId="285" xfId="7" applyBorder="1">
      <alignment horizontal="center" vertical="center"/>
    </xf>
    <xf numFmtId="0" fontId="0" fillId="19" borderId="285" xfId="8" applyFont="1" applyFill="1" applyBorder="1">
      <alignment horizontal="center" vertical="center"/>
    </xf>
    <xf numFmtId="0" fontId="17" fillId="25" borderId="285" xfId="8" applyBorder="1">
      <alignment horizontal="center" vertical="center"/>
    </xf>
    <xf numFmtId="49" fontId="0" fillId="19" borderId="286" xfId="0" applyNumberFormat="1" applyFill="1" applyBorder="1">
      <alignment horizontal="center" vertical="center"/>
    </xf>
    <xf numFmtId="49" fontId="0" fillId="19" borderId="285" xfId="0" applyNumberFormat="1" applyFill="1" applyBorder="1">
      <alignment horizontal="center" vertical="center"/>
    </xf>
    <xf numFmtId="49" fontId="0" fillId="19" borderId="285" xfId="1" applyNumberFormat="1" applyFont="1" applyFill="1" applyBorder="1" applyAlignment="1">
      <alignment horizontal="center" vertical="center"/>
    </xf>
    <xf numFmtId="0" fontId="0" fillId="22" borderId="285" xfId="0" applyFill="1" applyBorder="1" applyAlignment="1">
      <alignment horizontal="center"/>
    </xf>
    <xf numFmtId="0" fontId="0" fillId="19" borderId="286" xfId="0" applyFill="1" applyBorder="1">
      <alignment horizontal="center" vertical="center"/>
    </xf>
    <xf numFmtId="0" fontId="0" fillId="11" borderId="285" xfId="0" applyFill="1" applyBorder="1" applyAlignment="1" applyProtection="1">
      <alignment horizontal="center"/>
      <protection locked="0"/>
    </xf>
    <xf numFmtId="0" fontId="0" fillId="11" borderId="278" xfId="0" applyFill="1" applyBorder="1">
      <alignment horizontal="center" vertical="center"/>
    </xf>
    <xf numFmtId="0" fontId="0" fillId="11" borderId="287" xfId="0" applyFill="1" applyBorder="1">
      <alignment horizontal="center" vertical="center"/>
    </xf>
    <xf numFmtId="0" fontId="0" fillId="19" borderId="285" xfId="6" applyFont="1" applyFill="1" applyBorder="1">
      <alignment horizontal="center" vertical="center"/>
    </xf>
    <xf numFmtId="0" fontId="0" fillId="0" borderId="284" xfId="0" applyBorder="1" applyAlignment="1" applyProtection="1">
      <alignment horizontal="center"/>
      <protection locked="0"/>
    </xf>
    <xf numFmtId="49" fontId="0" fillId="19" borderId="288" xfId="0" applyNumberFormat="1" applyFill="1" applyBorder="1">
      <alignment horizontal="center" vertical="center"/>
    </xf>
    <xf numFmtId="1" fontId="0" fillId="19" borderId="288" xfId="1" applyNumberFormat="1" applyFont="1" applyFill="1" applyBorder="1" applyAlignment="1">
      <alignment horizontal="center" vertical="center"/>
    </xf>
    <xf numFmtId="0" fontId="0" fillId="19" borderId="288" xfId="9" applyFont="1" applyFill="1" applyBorder="1">
      <alignment horizontal="center" vertical="center"/>
    </xf>
    <xf numFmtId="0" fontId="17" fillId="28" borderId="288" xfId="10" applyBorder="1">
      <alignment horizontal="center" vertical="center"/>
    </xf>
    <xf numFmtId="49" fontId="0" fillId="19" borderId="277" xfId="0" applyNumberFormat="1" applyFill="1" applyBorder="1">
      <alignment horizontal="center" vertical="center"/>
    </xf>
    <xf numFmtId="0" fontId="4" fillId="0" borderId="289" xfId="0" applyFont="1" applyBorder="1" applyAlignment="1">
      <alignment horizontal="center"/>
    </xf>
    <xf numFmtId="0" fontId="4" fillId="0" borderId="290" xfId="0" applyFont="1" applyBorder="1" applyAlignment="1" applyProtection="1">
      <alignment horizontal="center"/>
      <protection locked="0"/>
    </xf>
    <xf numFmtId="0" fontId="0" fillId="19" borderId="275" xfId="0" applyFill="1" applyBorder="1">
      <alignment horizontal="center" vertical="center"/>
    </xf>
    <xf numFmtId="0" fontId="0" fillId="22" borderId="285" xfId="0" applyFill="1" applyBorder="1" applyAlignment="1" applyProtection="1">
      <alignment horizontal="center"/>
      <protection locked="0"/>
    </xf>
    <xf numFmtId="0" fontId="0" fillId="0" borderId="285" xfId="0" applyBorder="1" applyAlignment="1">
      <alignment vertical="center"/>
    </xf>
    <xf numFmtId="0" fontId="0" fillId="0" borderId="286" xfId="0" applyBorder="1" applyAlignment="1" applyProtection="1">
      <alignment horizontal="center"/>
      <protection locked="0"/>
    </xf>
    <xf numFmtId="0" fontId="21" fillId="0" borderId="285" xfId="0" applyFont="1" applyBorder="1" applyAlignment="1">
      <alignment vertical="center"/>
    </xf>
    <xf numFmtId="0" fontId="0" fillId="19" borderId="275" xfId="10" applyFont="1" applyFill="1" applyBorder="1">
      <alignment horizontal="center" vertical="center"/>
    </xf>
    <xf numFmtId="0" fontId="0" fillId="0" borderId="291" xfId="0" applyBorder="1">
      <alignment horizontal="center" vertical="center"/>
    </xf>
    <xf numFmtId="0" fontId="0" fillId="22" borderId="291" xfId="0" applyFill="1" applyBorder="1" applyAlignment="1" applyProtection="1">
      <alignment horizontal="center"/>
      <protection locked="0"/>
    </xf>
    <xf numFmtId="0" fontId="20" fillId="0" borderId="292" xfId="0" applyFont="1" applyBorder="1" applyAlignment="1">
      <alignment vertical="center"/>
    </xf>
    <xf numFmtId="49" fontId="0" fillId="19" borderId="293" xfId="0" applyNumberFormat="1" applyFill="1" applyBorder="1">
      <alignment horizontal="center" vertical="center"/>
    </xf>
    <xf numFmtId="49" fontId="0" fillId="19" borderId="284" xfId="0" applyNumberFormat="1" applyFill="1" applyBorder="1">
      <alignment horizontal="center" vertical="center"/>
    </xf>
    <xf numFmtId="0" fontId="0" fillId="19" borderId="284" xfId="0" applyFill="1" applyBorder="1">
      <alignment horizontal="center" vertical="center"/>
    </xf>
    <xf numFmtId="49" fontId="0" fillId="19" borderId="294" xfId="0" applyNumberFormat="1" applyFill="1" applyBorder="1">
      <alignment horizontal="center" vertical="center"/>
    </xf>
    <xf numFmtId="0" fontId="0" fillId="0" borderId="295" xfId="0" applyBorder="1">
      <alignment horizontal="center" vertical="center"/>
    </xf>
    <xf numFmtId="49" fontId="0" fillId="0" borderId="286" xfId="0" applyNumberFormat="1" applyBorder="1" applyAlignment="1"/>
    <xf numFmtId="0" fontId="0" fillId="0" borderId="283" xfId="0" applyBorder="1">
      <alignment horizontal="center" vertical="center"/>
    </xf>
    <xf numFmtId="0" fontId="0" fillId="0" borderId="285" xfId="0" applyBorder="1" applyAlignment="1" applyProtection="1">
      <alignment horizontal="left"/>
      <protection locked="0"/>
    </xf>
    <xf numFmtId="0" fontId="19" fillId="0" borderId="285" xfId="0" applyFont="1" applyBorder="1" applyAlignment="1">
      <alignment vertical="center"/>
    </xf>
    <xf numFmtId="0" fontId="6" fillId="0" borderId="275" xfId="7" applyBorder="1">
      <alignment horizontal="center" vertical="center"/>
    </xf>
    <xf numFmtId="0" fontId="0" fillId="0" borderId="278" xfId="0" applyBorder="1" applyAlignment="1">
      <alignment vertical="center"/>
    </xf>
    <xf numFmtId="0" fontId="5" fillId="6" borderId="286" xfId="0" applyFont="1" applyFill="1" applyBorder="1" applyAlignment="1">
      <alignment horizontal="left"/>
    </xf>
    <xf numFmtId="0" fontId="5" fillId="7" borderId="286" xfId="0" applyFont="1" applyFill="1" applyBorder="1">
      <alignment horizontal="center" vertical="center"/>
    </xf>
    <xf numFmtId="0" fontId="6" fillId="7" borderId="295" xfId="0" applyFont="1" applyFill="1" applyBorder="1">
      <alignment horizontal="center" vertical="center"/>
    </xf>
    <xf numFmtId="0" fontId="5" fillId="8" borderId="286" xfId="0" applyFont="1" applyFill="1" applyBorder="1" applyAlignment="1">
      <alignment horizontal="left"/>
    </xf>
    <xf numFmtId="0" fontId="5" fillId="8" borderId="295" xfId="0" applyFont="1" applyFill="1" applyBorder="1" applyAlignment="1">
      <alignment horizontal="left"/>
    </xf>
    <xf numFmtId="0" fontId="6" fillId="8" borderId="295" xfId="0" applyFont="1" applyFill="1" applyBorder="1">
      <alignment horizontal="center" vertical="center"/>
    </xf>
    <xf numFmtId="0" fontId="6" fillId="8" borderId="296" xfId="0" applyFont="1" applyFill="1" applyBorder="1">
      <alignment horizontal="center" vertical="center"/>
    </xf>
    <xf numFmtId="0" fontId="5" fillId="9" borderId="286" xfId="0" applyFont="1" applyFill="1" applyBorder="1" applyAlignment="1">
      <alignment horizontal="left"/>
    </xf>
    <xf numFmtId="0" fontId="5" fillId="9" borderId="295" xfId="0" applyFont="1" applyFill="1" applyBorder="1" applyAlignment="1">
      <alignment horizontal="left"/>
    </xf>
    <xf numFmtId="0" fontId="0" fillId="9" borderId="295" xfId="0" applyFill="1" applyBorder="1">
      <alignment horizontal="center" vertical="center"/>
    </xf>
    <xf numFmtId="0" fontId="5" fillId="10" borderId="286" xfId="0" applyFont="1" applyFill="1" applyBorder="1" applyAlignment="1">
      <alignment horizontal="left"/>
    </xf>
    <xf numFmtId="0" fontId="0" fillId="10" borderId="295" xfId="0" applyFill="1" applyBorder="1">
      <alignment horizontal="center" vertical="center"/>
    </xf>
    <xf numFmtId="0" fontId="6" fillId="10" borderId="295" xfId="0" applyFont="1" applyFill="1" applyBorder="1">
      <alignment horizontal="center" vertical="center"/>
    </xf>
    <xf numFmtId="0" fontId="6" fillId="10" borderId="296" xfId="0" applyFont="1" applyFill="1" applyBorder="1">
      <alignment horizontal="center" vertical="center"/>
    </xf>
    <xf numFmtId="0" fontId="5" fillId="11" borderId="286" xfId="0" applyFont="1" applyFill="1" applyBorder="1">
      <alignment horizontal="center" vertical="center"/>
    </xf>
    <xf numFmtId="0" fontId="0" fillId="11" borderId="295" xfId="0" applyFill="1" applyBorder="1">
      <alignment horizontal="center" vertical="center"/>
    </xf>
    <xf numFmtId="0" fontId="6" fillId="11" borderId="295" xfId="0" applyFont="1" applyFill="1" applyBorder="1">
      <alignment horizontal="center" vertical="center"/>
    </xf>
    <xf numFmtId="0" fontId="5" fillId="12" borderId="286" xfId="0" applyFont="1" applyFill="1" applyBorder="1" applyAlignment="1">
      <alignment horizontal="left"/>
    </xf>
    <xf numFmtId="0" fontId="6" fillId="12" borderId="295" xfId="0" applyFont="1" applyFill="1" applyBorder="1">
      <alignment horizontal="center" vertical="center"/>
    </xf>
    <xf numFmtId="0" fontId="0" fillId="12" borderId="296" xfId="0" applyFill="1" applyBorder="1">
      <alignment horizontal="center" vertical="center"/>
    </xf>
    <xf numFmtId="0" fontId="0" fillId="13" borderId="297" xfId="0" applyFill="1" applyBorder="1">
      <alignment horizontal="center" vertical="center"/>
    </xf>
    <xf numFmtId="0" fontId="6" fillId="13" borderId="297" xfId="0" applyFont="1" applyFill="1" applyBorder="1">
      <alignment horizontal="center" vertical="center"/>
    </xf>
    <xf numFmtId="0" fontId="6" fillId="13" borderId="298" xfId="0" applyFont="1" applyFill="1" applyBorder="1">
      <alignment horizontal="center" vertical="center"/>
    </xf>
    <xf numFmtId="0" fontId="5" fillId="0" borderId="287" xfId="0" applyFont="1" applyBorder="1" applyAlignment="1">
      <alignment horizontal="left" vertical="center"/>
    </xf>
    <xf numFmtId="0" fontId="6" fillId="0" borderId="297" xfId="0" applyFont="1" applyBorder="1">
      <alignment horizontal="center" vertical="center"/>
    </xf>
    <xf numFmtId="0" fontId="6" fillId="0" borderId="298" xfId="0" applyFont="1" applyBorder="1">
      <alignment horizontal="center" vertical="center"/>
    </xf>
    <xf numFmtId="0" fontId="5" fillId="14" borderId="285" xfId="0" applyFont="1" applyFill="1" applyBorder="1" applyAlignment="1">
      <alignment horizontal="left"/>
    </xf>
    <xf numFmtId="0" fontId="5" fillId="15" borderId="286" xfId="0" applyFont="1" applyFill="1" applyBorder="1">
      <alignment horizontal="center" vertical="center"/>
    </xf>
    <xf numFmtId="0" fontId="6" fillId="15" borderId="295" xfId="0" applyFont="1" applyFill="1" applyBorder="1">
      <alignment horizontal="center" vertical="center"/>
    </xf>
    <xf numFmtId="0" fontId="6" fillId="0" borderId="286" xfId="0" applyFont="1" applyBorder="1" applyAlignment="1">
      <alignment horizontal="left"/>
    </xf>
    <xf numFmtId="0" fontId="6" fillId="0" borderId="295" xfId="0" applyFont="1" applyBorder="1" applyAlignment="1">
      <alignment horizontal="left"/>
    </xf>
    <xf numFmtId="0" fontId="6" fillId="0" borderId="295" xfId="0" applyFont="1" applyBorder="1">
      <alignment horizontal="center" vertical="center"/>
    </xf>
    <xf numFmtId="0" fontId="6" fillId="0" borderId="296" xfId="0" applyFont="1" applyBorder="1">
      <alignment horizontal="center" vertical="center"/>
    </xf>
    <xf numFmtId="0" fontId="6" fillId="17" borderId="286" xfId="0" applyFont="1" applyFill="1" applyBorder="1" applyAlignment="1">
      <alignment horizontal="left" vertical="center"/>
    </xf>
    <xf numFmtId="0" fontId="6" fillId="17" borderId="295" xfId="0" applyFont="1" applyFill="1" applyBorder="1">
      <alignment horizontal="center" vertical="center"/>
    </xf>
    <xf numFmtId="0" fontId="6" fillId="17" borderId="296" xfId="0" applyFont="1" applyFill="1" applyBorder="1">
      <alignment horizontal="center" vertical="center"/>
    </xf>
    <xf numFmtId="0" fontId="4" fillId="0" borderId="286" xfId="0" applyFont="1" applyBorder="1" applyAlignment="1">
      <alignment horizontal="left" vertical="center"/>
    </xf>
    <xf numFmtId="0" fontId="0" fillId="0" borderId="296" xfId="0" applyBorder="1">
      <alignment horizontal="center" vertical="center"/>
    </xf>
    <xf numFmtId="0" fontId="0" fillId="0" borderId="299" xfId="0" applyBorder="1">
      <alignment horizontal="center" vertical="center"/>
    </xf>
    <xf numFmtId="0" fontId="4" fillId="0" borderId="295" xfId="0" applyFont="1" applyBorder="1" applyAlignment="1">
      <alignment horizontal="left" vertical="center"/>
    </xf>
    <xf numFmtId="0" fontId="0" fillId="0" borderId="300" xfId="0" applyBorder="1">
      <alignment horizontal="center" vertical="center"/>
    </xf>
    <xf numFmtId="0" fontId="7" fillId="0" borderId="287" xfId="0" applyFont="1" applyBorder="1">
      <alignment horizontal="center" vertical="center"/>
    </xf>
    <xf numFmtId="0" fontId="0" fillId="0" borderId="297" xfId="0" applyBorder="1">
      <alignment horizontal="center" vertical="center"/>
    </xf>
    <xf numFmtId="0" fontId="0" fillId="0" borderId="298" xfId="0" applyBorder="1">
      <alignment horizontal="center" vertical="center"/>
    </xf>
    <xf numFmtId="0" fontId="4" fillId="0" borderId="286" xfId="0" applyFont="1" applyBorder="1">
      <alignment horizontal="center" vertical="center"/>
    </xf>
    <xf numFmtId="0" fontId="0" fillId="0" borderId="288" xfId="0" applyBorder="1" applyAlignment="1" applyProtection="1">
      <alignment horizontal="center"/>
      <protection locked="0"/>
    </xf>
    <xf numFmtId="0" fontId="5" fillId="0" borderId="288" xfId="0" applyFont="1" applyBorder="1" applyAlignment="1">
      <alignment horizontal="center"/>
    </xf>
    <xf numFmtId="0" fontId="0" fillId="18" borderId="288" xfId="0" applyFill="1" applyBorder="1">
      <alignment horizontal="center" vertical="center"/>
    </xf>
    <xf numFmtId="0" fontId="0" fillId="19" borderId="288" xfId="0" applyFill="1" applyBorder="1">
      <alignment horizontal="center" vertical="center"/>
    </xf>
    <xf numFmtId="0" fontId="0" fillId="19" borderId="301" xfId="0" applyFill="1" applyBorder="1">
      <alignment horizontal="center" vertical="center"/>
    </xf>
    <xf numFmtId="0" fontId="0" fillId="22" borderId="287" xfId="0" applyFill="1" applyBorder="1" applyAlignment="1" applyProtection="1">
      <alignment horizontal="left"/>
      <protection locked="0"/>
    </xf>
    <xf numFmtId="0" fontId="0" fillId="0" borderId="118" xfId="0" applyBorder="1" applyAlignment="1">
      <alignment vertical="center"/>
    </xf>
    <xf numFmtId="0" fontId="0" fillId="19" borderId="118" xfId="0" applyFill="1" applyBorder="1">
      <alignment horizontal="center" vertical="center"/>
    </xf>
    <xf numFmtId="0" fontId="45" fillId="23" borderId="118" xfId="5" applyBorder="1">
      <alignment horizontal="center" vertical="center"/>
    </xf>
    <xf numFmtId="0" fontId="17" fillId="24" borderId="118" xfId="6" applyBorder="1">
      <alignment horizontal="center" vertical="center"/>
    </xf>
    <xf numFmtId="0" fontId="0" fillId="19" borderId="302" xfId="0" applyFill="1" applyBorder="1">
      <alignment horizontal="center" vertical="center"/>
    </xf>
    <xf numFmtId="0" fontId="4" fillId="11" borderId="286" xfId="0" applyFont="1" applyFill="1" applyBorder="1" applyAlignment="1">
      <alignment horizontal="left" vertical="center"/>
    </xf>
    <xf numFmtId="0" fontId="0" fillId="11" borderId="285" xfId="0" applyFill="1" applyBorder="1">
      <alignment horizontal="center" vertical="center"/>
    </xf>
    <xf numFmtId="0" fontId="0" fillId="11" borderId="303" xfId="0" applyFill="1" applyBorder="1">
      <alignment horizontal="center" vertical="center"/>
    </xf>
    <xf numFmtId="0" fontId="5" fillId="0" borderId="285" xfId="0" applyFont="1" applyBorder="1" applyAlignment="1">
      <alignment horizontal="left" vertical="center"/>
    </xf>
    <xf numFmtId="1" fontId="0" fillId="19" borderId="285" xfId="1" applyNumberFormat="1" applyFont="1" applyFill="1" applyBorder="1" applyAlignment="1">
      <alignment horizontal="center" vertical="center"/>
    </xf>
    <xf numFmtId="1" fontId="0" fillId="19" borderId="285" xfId="0" applyNumberFormat="1" applyFill="1" applyBorder="1">
      <alignment horizontal="center" vertical="center"/>
    </xf>
    <xf numFmtId="0" fontId="0" fillId="19" borderId="285" xfId="5" applyFont="1" applyFill="1" applyBorder="1">
      <alignment horizontal="center" vertical="center"/>
    </xf>
    <xf numFmtId="1" fontId="0" fillId="19" borderId="303" xfId="0" applyNumberFormat="1" applyFill="1" applyBorder="1">
      <alignment horizontal="center" vertical="center"/>
    </xf>
    <xf numFmtId="0" fontId="0" fillId="22" borderId="286" xfId="0" applyFill="1" applyBorder="1" applyAlignment="1" applyProtection="1">
      <alignment horizontal="center"/>
      <protection locked="0"/>
    </xf>
    <xf numFmtId="0" fontId="17" fillId="29" borderId="285" xfId="11" applyBorder="1">
      <alignment horizontal="center" vertical="center"/>
    </xf>
    <xf numFmtId="0" fontId="17" fillId="24" borderId="285" xfId="6" applyBorder="1">
      <alignment horizontal="center" vertical="center"/>
    </xf>
    <xf numFmtId="0" fontId="17" fillId="27" borderId="285" xfId="9" applyBorder="1">
      <alignment horizontal="center" vertical="center"/>
    </xf>
    <xf numFmtId="1" fontId="0" fillId="19" borderId="285" xfId="6" applyNumberFormat="1" applyFont="1" applyFill="1" applyBorder="1">
      <alignment horizontal="center" vertical="center"/>
    </xf>
    <xf numFmtId="0" fontId="4" fillId="11" borderId="287" xfId="0" applyFont="1" applyFill="1" applyBorder="1" applyAlignment="1" applyProtection="1">
      <alignment horizontal="left"/>
      <protection locked="0"/>
    </xf>
    <xf numFmtId="0" fontId="4" fillId="11" borderId="278" xfId="0" applyFont="1" applyFill="1" applyBorder="1">
      <alignment horizontal="center" vertical="center"/>
    </xf>
    <xf numFmtId="1" fontId="0" fillId="11" borderId="278" xfId="0" applyNumberFormat="1" applyFill="1" applyBorder="1">
      <alignment horizontal="center" vertical="center"/>
    </xf>
    <xf numFmtId="0" fontId="0" fillId="11" borderId="304" xfId="0" applyFill="1" applyBorder="1">
      <alignment horizontal="center" vertical="center"/>
    </xf>
    <xf numFmtId="0" fontId="0" fillId="22" borderId="305" xfId="0" applyFill="1" applyBorder="1" applyAlignment="1" applyProtection="1">
      <alignment horizontal="center"/>
      <protection locked="0"/>
    </xf>
    <xf numFmtId="0" fontId="0" fillId="0" borderId="305" xfId="0" applyBorder="1" applyAlignment="1">
      <alignment horizontal="left" vertical="center"/>
    </xf>
    <xf numFmtId="0" fontId="0" fillId="19" borderId="305" xfId="0" applyFill="1" applyBorder="1">
      <alignment horizontal="center" vertical="center"/>
    </xf>
    <xf numFmtId="0" fontId="0" fillId="19" borderId="305" xfId="7" applyFont="1" applyFill="1" applyBorder="1">
      <alignment horizontal="center" vertical="center"/>
    </xf>
    <xf numFmtId="49" fontId="0" fillId="19" borderId="305" xfId="7" applyNumberFormat="1" applyFont="1" applyFill="1" applyBorder="1">
      <alignment horizontal="center" vertical="center"/>
    </xf>
    <xf numFmtId="0" fontId="17" fillId="27" borderId="305" xfId="9" applyBorder="1">
      <alignment horizontal="center" vertical="center"/>
    </xf>
    <xf numFmtId="0" fontId="0" fillId="19" borderId="306" xfId="0" applyFill="1" applyBorder="1">
      <alignment horizontal="center" vertical="center"/>
    </xf>
    <xf numFmtId="0" fontId="0" fillId="22" borderId="275" xfId="0" applyFill="1" applyBorder="1" applyAlignment="1" applyProtection="1">
      <alignment horizontal="center"/>
      <protection locked="0"/>
    </xf>
    <xf numFmtId="0" fontId="0" fillId="0" borderId="275" xfId="0" applyBorder="1" applyAlignment="1">
      <alignment horizontal="left" vertical="center"/>
    </xf>
    <xf numFmtId="0" fontId="17" fillId="25" borderId="275" xfId="8" applyBorder="1">
      <alignment horizontal="center" vertical="center"/>
    </xf>
    <xf numFmtId="0" fontId="17" fillId="24" borderId="222" xfId="6" applyBorder="1">
      <alignment horizontal="center" vertical="center"/>
    </xf>
    <xf numFmtId="0" fontId="0" fillId="0" borderId="275" xfId="7" applyFont="1" applyBorder="1" applyAlignment="1">
      <alignment vertical="center"/>
    </xf>
    <xf numFmtId="0" fontId="0" fillId="19" borderId="275" xfId="7" applyFont="1" applyFill="1" applyBorder="1">
      <alignment horizontal="center" vertical="center"/>
    </xf>
    <xf numFmtId="0" fontId="0" fillId="27" borderId="285" xfId="6" applyFont="1" applyFill="1" applyBorder="1">
      <alignment horizontal="center" vertical="center"/>
    </xf>
    <xf numFmtId="0" fontId="0" fillId="0" borderId="285" xfId="6" applyFont="1" applyFill="1" applyBorder="1">
      <alignment horizontal="center" vertical="center"/>
    </xf>
    <xf numFmtId="1" fontId="0" fillId="27" borderId="285" xfId="0" applyNumberFormat="1" applyFill="1" applyBorder="1">
      <alignment horizontal="center" vertical="center"/>
    </xf>
    <xf numFmtId="0" fontId="6" fillId="0" borderId="275" xfId="0" applyFont="1" applyBorder="1" applyAlignment="1">
      <alignment horizontal="left" vertical="center"/>
    </xf>
    <xf numFmtId="0" fontId="0" fillId="19" borderId="275" xfId="6" applyFont="1" applyFill="1" applyBorder="1">
      <alignment horizontal="center" vertical="center"/>
    </xf>
    <xf numFmtId="0" fontId="0" fillId="19" borderId="275" xfId="5" applyFont="1" applyFill="1" applyBorder="1">
      <alignment horizontal="center" vertical="center"/>
    </xf>
    <xf numFmtId="0" fontId="0" fillId="0" borderId="55" xfId="0" applyBorder="1" applyAlignment="1">
      <alignment horizontal="left" vertical="center"/>
    </xf>
    <xf numFmtId="0" fontId="4" fillId="0" borderId="307" xfId="0" applyFont="1" applyBorder="1" applyAlignment="1">
      <alignment horizontal="left" vertical="center"/>
    </xf>
    <xf numFmtId="0" fontId="4" fillId="0" borderId="286" xfId="0" applyFont="1" applyBorder="1" applyAlignment="1">
      <alignment vertical="center"/>
    </xf>
    <xf numFmtId="0" fontId="7" fillId="0" borderId="295" xfId="0" applyFont="1" applyBorder="1">
      <alignment horizontal="center" vertical="center"/>
    </xf>
    <xf numFmtId="0" fontId="4" fillId="0" borderId="287" xfId="0" applyFont="1" applyBorder="1" applyAlignment="1">
      <alignment horizontal="left" vertical="center"/>
    </xf>
    <xf numFmtId="0" fontId="7" fillId="0" borderId="297" xfId="0" applyFont="1" applyBorder="1">
      <alignment horizontal="center" vertical="center"/>
    </xf>
    <xf numFmtId="0" fontId="4" fillId="0" borderId="297" xfId="0" applyFont="1" applyBorder="1">
      <alignment horizontal="center" vertical="center"/>
    </xf>
    <xf numFmtId="0" fontId="4" fillId="0" borderId="281" xfId="0" applyFont="1" applyBorder="1" applyAlignment="1">
      <alignment horizontal="left" vertical="center"/>
    </xf>
    <xf numFmtId="0" fontId="0" fillId="0" borderId="286" xfId="0" applyBorder="1" applyAlignment="1">
      <alignment vertical="center"/>
    </xf>
    <xf numFmtId="0" fontId="0" fillId="0" borderId="295" xfId="0" applyBorder="1" applyAlignment="1">
      <alignment horizontal="left" vertical="center"/>
    </xf>
    <xf numFmtId="0" fontId="0" fillId="0" borderId="308" xfId="0" applyBorder="1">
      <alignment horizontal="center" vertical="center"/>
    </xf>
    <xf numFmtId="0" fontId="4" fillId="0" borderId="282" xfId="0" applyFont="1" applyBorder="1" applyAlignment="1">
      <alignment horizontal="left" vertical="center"/>
    </xf>
    <xf numFmtId="0" fontId="0" fillId="0" borderId="277" xfId="0" applyBorder="1" applyAlignment="1">
      <alignment vertical="center"/>
    </xf>
    <xf numFmtId="0" fontId="0" fillId="0" borderId="309" xfId="0" applyBorder="1">
      <alignment horizontal="center" vertical="center"/>
    </xf>
    <xf numFmtId="0" fontId="4" fillId="0" borderId="277" xfId="0" applyFont="1" applyBorder="1">
      <alignment horizontal="center" vertical="center"/>
    </xf>
    <xf numFmtId="0" fontId="0" fillId="0" borderId="283" xfId="0" applyBorder="1" applyAlignment="1">
      <alignment horizontal="left" vertical="center"/>
    </xf>
    <xf numFmtId="0" fontId="7" fillId="0" borderId="283" xfId="0" applyFont="1" applyBorder="1">
      <alignment horizontal="center" vertical="center"/>
    </xf>
    <xf numFmtId="0" fontId="4" fillId="0" borderId="283" xfId="0" applyFont="1" applyBorder="1" applyAlignment="1">
      <alignment horizontal="left" vertical="center"/>
    </xf>
    <xf numFmtId="0" fontId="0" fillId="0" borderId="310" xfId="0" applyBorder="1">
      <alignment horizontal="center" vertical="center"/>
    </xf>
    <xf numFmtId="0" fontId="0" fillId="0" borderId="278" xfId="0" applyBorder="1" applyAlignment="1" applyProtection="1">
      <alignment horizontal="center"/>
      <protection locked="0"/>
    </xf>
    <xf numFmtId="49" fontId="0" fillId="27" borderId="42" xfId="0" applyNumberFormat="1" applyFill="1" applyBorder="1">
      <alignment horizontal="center" vertical="center"/>
    </xf>
    <xf numFmtId="0" fontId="0" fillId="22" borderId="311" xfId="0" applyFill="1" applyBorder="1" applyAlignment="1" applyProtection="1">
      <alignment horizontal="center"/>
      <protection locked="0"/>
    </xf>
    <xf numFmtId="0" fontId="0" fillId="0" borderId="275" xfId="0" applyBorder="1" applyAlignment="1">
      <alignment vertical="center"/>
    </xf>
    <xf numFmtId="0" fontId="0" fillId="19" borderId="285" xfId="10" applyFont="1" applyFill="1" applyBorder="1">
      <alignment horizontal="center" vertical="center"/>
    </xf>
    <xf numFmtId="0" fontId="0" fillId="19" borderId="303" xfId="0" applyFill="1" applyBorder="1">
      <alignment horizontal="center" vertical="center"/>
    </xf>
    <xf numFmtId="0" fontId="0" fillId="22" borderId="289" xfId="0" applyFill="1" applyBorder="1" applyAlignment="1" applyProtection="1">
      <alignment horizontal="center"/>
      <protection locked="0"/>
    </xf>
    <xf numFmtId="0" fontId="0" fillId="0" borderId="288" xfId="0" applyBorder="1" applyAlignment="1">
      <alignment horizontal="left" vertical="center"/>
    </xf>
    <xf numFmtId="0" fontId="17" fillId="25" borderId="288" xfId="8" applyBorder="1">
      <alignment horizontal="center" vertical="center"/>
    </xf>
    <xf numFmtId="0" fontId="17" fillId="24" borderId="288" xfId="6" applyBorder="1">
      <alignment horizontal="center" vertical="center"/>
    </xf>
    <xf numFmtId="0" fontId="0" fillId="19" borderId="288" xfId="6" applyFont="1" applyFill="1" applyBorder="1">
      <alignment horizontal="center" vertical="center"/>
    </xf>
    <xf numFmtId="49" fontId="0" fillId="19" borderId="301" xfId="0" applyNumberFormat="1" applyFill="1" applyBorder="1">
      <alignment horizontal="center" vertical="center"/>
    </xf>
    <xf numFmtId="0" fontId="0" fillId="19" borderId="285" xfId="0" applyFill="1" applyBorder="1">
      <alignment horizontal="center" vertical="center"/>
    </xf>
    <xf numFmtId="0" fontId="0" fillId="19" borderId="285" xfId="9" applyFont="1" applyFill="1" applyBorder="1">
      <alignment horizontal="center" vertical="center"/>
    </xf>
    <xf numFmtId="49" fontId="0" fillId="19" borderId="303" xfId="0" applyNumberFormat="1" applyFill="1" applyBorder="1">
      <alignment horizontal="center" vertical="center"/>
    </xf>
    <xf numFmtId="0" fontId="0" fillId="0" borderId="288" xfId="0" applyBorder="1" applyAlignment="1">
      <alignment vertical="center"/>
    </xf>
    <xf numFmtId="0" fontId="0" fillId="27" borderId="288" xfId="6" applyFont="1" applyFill="1" applyBorder="1">
      <alignment horizontal="center" vertical="center"/>
    </xf>
    <xf numFmtId="49" fontId="0" fillId="27" borderId="288" xfId="0" applyNumberFormat="1" applyFill="1" applyBorder="1">
      <alignment horizontal="center" vertical="center"/>
    </xf>
    <xf numFmtId="0" fontId="0" fillId="19" borderId="301" xfId="6" applyFont="1" applyFill="1" applyBorder="1">
      <alignment horizontal="center" vertical="center"/>
    </xf>
    <xf numFmtId="0" fontId="4" fillId="0" borderId="285" xfId="0" applyFont="1" applyBorder="1" applyAlignment="1">
      <alignment horizontal="center"/>
    </xf>
    <xf numFmtId="0" fontId="0" fillId="0" borderId="285" xfId="0" applyBorder="1">
      <alignment horizontal="center" vertical="center"/>
    </xf>
    <xf numFmtId="0" fontId="6" fillId="0" borderId="285" xfId="0" applyFont="1" applyBorder="1">
      <alignment horizontal="center" vertical="center"/>
    </xf>
    <xf numFmtId="0" fontId="0" fillId="0" borderId="278" xfId="0" applyBorder="1">
      <alignment horizontal="center" vertical="center"/>
    </xf>
    <xf numFmtId="0" fontId="4" fillId="0" borderId="278" xfId="0" applyFont="1" applyBorder="1" applyAlignment="1">
      <alignment horizontal="center"/>
    </xf>
    <xf numFmtId="0" fontId="5" fillId="0" borderId="285" xfId="0" applyFont="1" applyBorder="1" applyAlignment="1">
      <alignment horizontal="left"/>
    </xf>
    <xf numFmtId="0" fontId="6" fillId="0" borderId="286" xfId="0" applyFont="1" applyBorder="1">
      <alignment horizontal="center" vertical="center"/>
    </xf>
    <xf numFmtId="0" fontId="0" fillId="0" borderId="285" xfId="0" applyBorder="1" applyAlignment="1">
      <alignment horizontal="center"/>
    </xf>
    <xf numFmtId="0" fontId="0" fillId="0" borderId="286" xfId="0" applyBorder="1" applyAlignment="1">
      <alignment horizontal="left"/>
    </xf>
    <xf numFmtId="0" fontId="0" fillId="0" borderId="295" xfId="0" applyBorder="1" applyAlignment="1">
      <alignment horizontal="left"/>
    </xf>
    <xf numFmtId="0" fontId="0" fillId="0" borderId="287" xfId="0" applyBorder="1" applyAlignment="1">
      <alignment horizontal="left"/>
    </xf>
    <xf numFmtId="0" fontId="0" fillId="0" borderId="297" xfId="0" applyBorder="1" applyAlignment="1">
      <alignment horizontal="left"/>
    </xf>
    <xf numFmtId="0" fontId="6" fillId="0" borderId="298" xfId="0" applyFont="1" applyBorder="1" applyAlignment="1">
      <alignment horizontal="left"/>
    </xf>
    <xf numFmtId="0" fontId="6" fillId="0" borderId="297" xfId="0" applyFont="1" applyBorder="1" applyAlignment="1">
      <alignment horizontal="left"/>
    </xf>
    <xf numFmtId="0" fontId="6" fillId="0" borderId="296" xfId="0" applyFont="1" applyBorder="1" applyAlignment="1">
      <alignment horizontal="left"/>
    </xf>
    <xf numFmtId="0" fontId="5" fillId="0" borderId="286" xfId="0" applyFont="1" applyBorder="1" applyAlignment="1">
      <alignment horizontal="left"/>
    </xf>
    <xf numFmtId="0" fontId="11" fillId="0" borderId="285" xfId="0" applyFont="1" applyBorder="1" applyAlignment="1" applyProtection="1">
      <alignment horizontal="center"/>
      <protection locked="0"/>
    </xf>
    <xf numFmtId="0" fontId="0" fillId="0" borderId="285" xfId="0" applyBorder="1" applyAlignment="1">
      <alignment horizontal="left"/>
    </xf>
    <xf numFmtId="0" fontId="6" fillId="0" borderId="285" xfId="0" applyFont="1" applyBorder="1" applyAlignment="1">
      <alignment horizontal="left"/>
    </xf>
    <xf numFmtId="0" fontId="0" fillId="18" borderId="278" xfId="0" applyFill="1" applyBorder="1">
      <alignment horizontal="center" vertical="center"/>
    </xf>
    <xf numFmtId="0" fontId="0" fillId="19" borderId="278" xfId="0" applyFill="1" applyBorder="1">
      <alignment horizontal="center" vertical="center"/>
    </xf>
    <xf numFmtId="0" fontId="0" fillId="19" borderId="304" xfId="0" applyFill="1" applyBorder="1">
      <alignment horizontal="center" vertical="center"/>
    </xf>
    <xf numFmtId="0" fontId="0" fillId="19" borderId="275" xfId="0" applyFill="1" applyBorder="1" applyAlignment="1" applyProtection="1">
      <alignment horizontal="left" vertical="center"/>
      <protection locked="0"/>
    </xf>
    <xf numFmtId="0" fontId="0" fillId="28" borderId="275" xfId="0" applyFill="1" applyBorder="1">
      <alignment horizontal="center" vertical="center"/>
    </xf>
    <xf numFmtId="49" fontId="0" fillId="28" borderId="275" xfId="0" applyNumberFormat="1" applyFill="1" applyBorder="1">
      <alignment horizontal="center" vertical="center"/>
    </xf>
    <xf numFmtId="0" fontId="17" fillId="28" borderId="275" xfId="10" applyBorder="1">
      <alignment horizontal="center" vertical="center"/>
    </xf>
    <xf numFmtId="0" fontId="0" fillId="26" borderId="275" xfId="7" applyFont="1" applyFill="1" applyBorder="1">
      <alignment horizontal="center" vertical="center"/>
    </xf>
    <xf numFmtId="0" fontId="0" fillId="0" borderId="275" xfId="7" applyFont="1" applyBorder="1">
      <alignment horizontal="center" vertical="center"/>
    </xf>
    <xf numFmtId="49" fontId="0" fillId="19" borderId="275" xfId="0" applyNumberFormat="1" applyFill="1" applyBorder="1">
      <alignment horizontal="center" vertical="center"/>
    </xf>
    <xf numFmtId="0" fontId="0" fillId="19" borderId="275" xfId="12" applyFont="1" applyFill="1" applyBorder="1">
      <alignment horizontal="center" vertical="center"/>
    </xf>
    <xf numFmtId="49" fontId="0" fillId="19" borderId="275" xfId="3" applyNumberFormat="1" applyFont="1" applyFill="1" applyBorder="1" applyAlignment="1">
      <alignment horizontal="center" vertical="center"/>
    </xf>
    <xf numFmtId="0" fontId="0" fillId="19" borderId="275" xfId="0" applyFill="1" applyBorder="1" applyAlignment="1">
      <alignment horizontal="left" vertical="center"/>
    </xf>
    <xf numFmtId="0" fontId="0" fillId="27" borderId="275" xfId="7" applyFont="1" applyFill="1" applyBorder="1">
      <alignment horizontal="center" vertical="center"/>
    </xf>
    <xf numFmtId="0" fontId="17" fillId="27" borderId="275" xfId="9" applyBorder="1">
      <alignment horizontal="center" vertical="center"/>
    </xf>
    <xf numFmtId="49" fontId="0" fillId="19" borderId="275" xfId="7" applyNumberFormat="1" applyFont="1" applyFill="1" applyBorder="1">
      <alignment horizontal="center" vertical="center"/>
    </xf>
    <xf numFmtId="0" fontId="0" fillId="30" borderId="275" xfId="0" applyFill="1" applyBorder="1">
      <alignment horizontal="center" vertical="center"/>
    </xf>
    <xf numFmtId="0" fontId="17" fillId="30" borderId="275" xfId="12" applyBorder="1">
      <alignment horizontal="center" vertical="center"/>
    </xf>
    <xf numFmtId="0" fontId="0" fillId="27" borderId="275" xfId="12" applyFont="1" applyFill="1" applyBorder="1">
      <alignment horizontal="center" vertical="center"/>
    </xf>
    <xf numFmtId="0" fontId="0" fillId="27" borderId="275" xfId="0" applyFill="1" applyBorder="1">
      <alignment horizontal="center" vertical="center"/>
    </xf>
    <xf numFmtId="0" fontId="6" fillId="19" borderId="275" xfId="13" applyFont="1" applyFill="1" applyBorder="1">
      <alignment horizontal="center" vertical="center"/>
    </xf>
    <xf numFmtId="0" fontId="0" fillId="0" borderId="222" xfId="0" applyBorder="1">
      <alignment horizontal="center" vertical="center"/>
    </xf>
    <xf numFmtId="0" fontId="17" fillId="0" borderId="275" xfId="0" applyFont="1" applyBorder="1" applyAlignment="1">
      <alignment horizontal="left" vertical="center"/>
    </xf>
    <xf numFmtId="0" fontId="6" fillId="28" borderId="275" xfId="7" applyFill="1" applyBorder="1">
      <alignment horizontal="center" vertical="center"/>
    </xf>
    <xf numFmtId="0" fontId="0" fillId="0" borderId="275" xfId="10" applyFont="1" applyFill="1" applyBorder="1">
      <alignment horizontal="center" vertical="center"/>
    </xf>
    <xf numFmtId="0" fontId="6" fillId="0" borderId="222" xfId="7" applyBorder="1">
      <alignment horizontal="center" vertical="center"/>
    </xf>
    <xf numFmtId="0" fontId="0" fillId="0" borderId="275" xfId="7" applyFont="1" applyBorder="1" applyAlignment="1">
      <alignment horizontal="left" vertical="center"/>
    </xf>
    <xf numFmtId="0" fontId="6" fillId="0" borderId="55" xfId="7" applyBorder="1">
      <alignment horizontal="center" vertical="center"/>
    </xf>
    <xf numFmtId="0" fontId="6" fillId="0" borderId="312" xfId="7" applyBorder="1">
      <alignment horizontal="center" vertical="center"/>
    </xf>
    <xf numFmtId="0" fontId="6" fillId="0" borderId="313" xfId="7" applyBorder="1">
      <alignment horizontal="center" vertical="center"/>
    </xf>
    <xf numFmtId="0" fontId="6" fillId="0" borderId="314" xfId="7" applyBorder="1">
      <alignment horizontal="center" vertical="center"/>
    </xf>
    <xf numFmtId="0" fontId="14" fillId="0" borderId="275" xfId="0" applyFont="1" applyBorder="1" applyAlignment="1" applyProtection="1">
      <alignment horizontal="center"/>
      <protection locked="0"/>
    </xf>
    <xf numFmtId="0" fontId="17" fillId="30" borderId="116" xfId="12" applyBorder="1">
      <alignment horizontal="center" vertical="center"/>
    </xf>
    <xf numFmtId="0" fontId="0" fillId="25" borderId="275" xfId="0" applyFill="1" applyBorder="1">
      <alignment horizontal="center" vertical="center"/>
    </xf>
    <xf numFmtId="0" fontId="17" fillId="0" borderId="288" xfId="12" applyFill="1" applyBorder="1">
      <alignment horizontal="center" vertical="center"/>
    </xf>
    <xf numFmtId="0" fontId="17" fillId="30" borderId="288" xfId="12" applyBorder="1">
      <alignment horizontal="center" vertical="center"/>
    </xf>
    <xf numFmtId="0" fontId="4" fillId="0" borderId="285" xfId="0" applyFont="1" applyBorder="1" applyAlignment="1" applyProtection="1">
      <alignment horizontal="center"/>
      <protection locked="0"/>
    </xf>
    <xf numFmtId="0" fontId="0" fillId="30" borderId="285" xfId="0" applyFill="1" applyBorder="1">
      <alignment horizontal="center" vertical="center"/>
    </xf>
    <xf numFmtId="0" fontId="0" fillId="19" borderId="285" xfId="0" applyFill="1" applyBorder="1" applyAlignment="1">
      <alignment horizontal="left" vertical="center"/>
    </xf>
    <xf numFmtId="0" fontId="0" fillId="30" borderId="285" xfId="12" applyFont="1" applyBorder="1">
      <alignment horizontal="center" vertical="center"/>
    </xf>
    <xf numFmtId="0" fontId="0" fillId="19" borderId="303" xfId="12" applyFont="1" applyFill="1" applyBorder="1">
      <alignment horizontal="center" vertical="center"/>
    </xf>
    <xf numFmtId="0" fontId="0" fillId="19" borderId="315" xfId="7" applyFont="1" applyFill="1" applyBorder="1">
      <alignment horizontal="center" vertical="center"/>
    </xf>
    <xf numFmtId="0" fontId="6" fillId="0" borderId="281" xfId="7" applyBorder="1" applyAlignment="1">
      <alignment horizontal="center"/>
    </xf>
    <xf numFmtId="0" fontId="4" fillId="0" borderId="286" xfId="7" applyFont="1" applyBorder="1" applyAlignment="1">
      <alignment horizontal="left"/>
    </xf>
    <xf numFmtId="0" fontId="6" fillId="0" borderId="295" xfId="7" applyBorder="1">
      <alignment horizontal="center" vertical="center"/>
    </xf>
    <xf numFmtId="0" fontId="6" fillId="0" borderId="296" xfId="7" applyBorder="1" applyAlignment="1">
      <alignment horizontal="left"/>
    </xf>
    <xf numFmtId="0" fontId="6" fillId="0" borderId="295" xfId="7" applyBorder="1" applyAlignment="1">
      <alignment horizontal="left"/>
    </xf>
    <xf numFmtId="0" fontId="4" fillId="0" borderId="295" xfId="7" applyFont="1" applyBorder="1" applyAlignment="1">
      <alignment horizontal="left"/>
    </xf>
    <xf numFmtId="0" fontId="6" fillId="0" borderId="286" xfId="7" applyBorder="1">
      <alignment horizontal="center" vertical="center"/>
    </xf>
    <xf numFmtId="0" fontId="6" fillId="0" borderId="295" xfId="7" applyBorder="1" applyAlignment="1">
      <alignment vertical="center"/>
    </xf>
    <xf numFmtId="0" fontId="6" fillId="0" borderId="295" xfId="7" applyBorder="1" applyAlignment="1">
      <alignment horizontal="left" vertical="center"/>
    </xf>
    <xf numFmtId="0" fontId="6" fillId="0" borderId="299" xfId="7" applyBorder="1" applyAlignment="1">
      <alignment vertical="center"/>
    </xf>
    <xf numFmtId="0" fontId="6" fillId="0" borderId="316" xfId="7" applyBorder="1">
      <alignment horizontal="center" vertical="center"/>
    </xf>
    <xf numFmtId="0" fontId="6" fillId="0" borderId="299" xfId="7" applyBorder="1">
      <alignment horizontal="center" vertical="center"/>
    </xf>
    <xf numFmtId="0" fontId="6" fillId="0" borderId="282" xfId="7" applyBorder="1" applyAlignment="1">
      <alignment horizontal="center"/>
    </xf>
    <xf numFmtId="0" fontId="4" fillId="0" borderId="277" xfId="7" applyFont="1" applyBorder="1" applyAlignment="1">
      <alignment horizontal="left"/>
    </xf>
    <xf numFmtId="0" fontId="0" fillId="0" borderId="317" xfId="7" applyFont="1" applyBorder="1">
      <alignment horizontal="center" vertical="center"/>
    </xf>
    <xf numFmtId="0" fontId="6" fillId="0" borderId="283" xfId="7" applyBorder="1">
      <alignment horizontal="center" vertical="center"/>
    </xf>
    <xf numFmtId="0" fontId="6" fillId="0" borderId="309" xfId="7" applyBorder="1" applyAlignment="1">
      <alignment horizontal="left"/>
    </xf>
    <xf numFmtId="0" fontId="6" fillId="0" borderId="317" xfId="7" applyBorder="1">
      <alignment horizontal="center" vertical="center"/>
    </xf>
    <xf numFmtId="0" fontId="6" fillId="0" borderId="276" xfId="7" applyBorder="1" applyAlignment="1">
      <alignment horizontal="left"/>
    </xf>
    <xf numFmtId="0" fontId="4" fillId="0" borderId="318" xfId="7" applyFont="1" applyBorder="1" applyAlignment="1">
      <alignment horizontal="left"/>
    </xf>
    <xf numFmtId="0" fontId="6" fillId="0" borderId="283" xfId="7" applyBorder="1" applyAlignment="1">
      <alignment horizontal="left"/>
    </xf>
    <xf numFmtId="0" fontId="6" fillId="0" borderId="277" xfId="7" applyBorder="1">
      <alignment horizontal="center" vertical="center"/>
    </xf>
    <xf numFmtId="0" fontId="6" fillId="0" borderId="310" xfId="7" applyBorder="1">
      <alignment horizontal="center" vertical="center"/>
    </xf>
    <xf numFmtId="0" fontId="4" fillId="0" borderId="278" xfId="7" applyFont="1" applyBorder="1" applyAlignment="1" applyProtection="1">
      <alignment horizontal="center"/>
      <protection locked="0"/>
    </xf>
    <xf numFmtId="0" fontId="5" fillId="0" borderId="278" xfId="7" applyFont="1" applyBorder="1" applyAlignment="1">
      <alignment horizontal="center"/>
    </xf>
    <xf numFmtId="0" fontId="0" fillId="19" borderId="288" xfId="13" applyFont="1" applyFill="1" applyBorder="1">
      <alignment horizontal="center" vertical="center"/>
    </xf>
    <xf numFmtId="0" fontId="4" fillId="22" borderId="285" xfId="7" applyFont="1" applyFill="1" applyBorder="1" applyAlignment="1">
      <alignment horizontal="center"/>
    </xf>
    <xf numFmtId="49" fontId="6" fillId="19" borderId="285" xfId="3" applyNumberFormat="1" applyFont="1" applyFill="1" applyBorder="1" applyAlignment="1">
      <alignment horizontal="center" vertical="center"/>
    </xf>
    <xf numFmtId="49" fontId="6" fillId="19" borderId="285" xfId="7" applyNumberFormat="1" applyFill="1" applyBorder="1">
      <alignment horizontal="center" vertical="center"/>
    </xf>
    <xf numFmtId="0" fontId="6" fillId="19" borderId="285" xfId="6" applyFont="1" applyFill="1" applyBorder="1">
      <alignment horizontal="center" vertical="center"/>
    </xf>
    <xf numFmtId="49" fontId="6" fillId="19" borderId="303" xfId="3" applyNumberFormat="1" applyFont="1" applyFill="1" applyBorder="1" applyAlignment="1">
      <alignment horizontal="center" vertical="center"/>
    </xf>
    <xf numFmtId="0" fontId="6" fillId="0" borderId="285" xfId="7" applyBorder="1" applyAlignment="1">
      <alignment vertical="center"/>
    </xf>
    <xf numFmtId="0" fontId="6" fillId="19" borderId="285" xfId="5" applyFont="1" applyFill="1" applyBorder="1">
      <alignment horizontal="center" vertical="center"/>
    </xf>
    <xf numFmtId="0" fontId="6" fillId="27" borderId="285" xfId="9" applyFont="1" applyBorder="1">
      <alignment horizontal="center" vertical="center"/>
    </xf>
    <xf numFmtId="0" fontId="6" fillId="19" borderId="285" xfId="9" applyFont="1" applyFill="1" applyBorder="1">
      <alignment horizontal="center" vertical="center"/>
    </xf>
    <xf numFmtId="0" fontId="6" fillId="19" borderId="285" xfId="7" applyFill="1" applyBorder="1">
      <alignment horizontal="center" vertical="center"/>
    </xf>
    <xf numFmtId="49" fontId="6" fillId="27" borderId="285" xfId="7" applyNumberFormat="1" applyFill="1" applyBorder="1">
      <alignment horizontal="center" vertical="center"/>
    </xf>
    <xf numFmtId="0" fontId="17" fillId="27" borderId="288" xfId="9" applyBorder="1">
      <alignment horizontal="center" vertical="center"/>
    </xf>
    <xf numFmtId="49" fontId="6" fillId="19" borderId="303" xfId="7" applyNumberFormat="1" applyFill="1" applyBorder="1">
      <alignment horizontal="center" vertical="center"/>
    </xf>
    <xf numFmtId="0" fontId="4" fillId="22" borderId="288" xfId="7" applyFont="1" applyFill="1" applyBorder="1" applyAlignment="1">
      <alignment horizontal="center"/>
    </xf>
    <xf numFmtId="0" fontId="6" fillId="0" borderId="288" xfId="7" applyBorder="1" applyAlignment="1">
      <alignment vertical="center"/>
    </xf>
    <xf numFmtId="0" fontId="6" fillId="19" borderId="288" xfId="13" applyFont="1" applyFill="1" applyBorder="1">
      <alignment horizontal="center" vertical="center"/>
    </xf>
    <xf numFmtId="49" fontId="6" fillId="19" borderId="288" xfId="7" applyNumberFormat="1" applyFill="1" applyBorder="1">
      <alignment horizontal="center" vertical="center"/>
    </xf>
    <xf numFmtId="49" fontId="6" fillId="19" borderId="301" xfId="7" applyNumberFormat="1" applyFill="1" applyBorder="1">
      <alignment horizontal="center" vertical="center"/>
    </xf>
    <xf numFmtId="0" fontId="4" fillId="0" borderId="311" xfId="0" applyFont="1" applyBorder="1" applyAlignment="1">
      <alignment horizontal="center"/>
    </xf>
    <xf numFmtId="0" fontId="6" fillId="0" borderId="286" xfId="0" applyFont="1" applyBorder="1" applyAlignment="1">
      <alignment horizontal="left" vertical="center"/>
    </xf>
    <xf numFmtId="0" fontId="6" fillId="0" borderId="295" xfId="0" applyFont="1" applyBorder="1" applyAlignment="1">
      <alignment horizontal="left" vertical="center"/>
    </xf>
    <xf numFmtId="0" fontId="6" fillId="0" borderId="299" xfId="0" applyFont="1" applyBorder="1" applyAlignment="1">
      <alignment horizontal="left" vertical="center"/>
    </xf>
    <xf numFmtId="0" fontId="0" fillId="0" borderId="281" xfId="0" applyBorder="1" applyAlignment="1">
      <alignment horizontal="center"/>
    </xf>
    <xf numFmtId="0" fontId="4" fillId="0" borderId="286" xfId="0" applyFont="1" applyBorder="1" applyAlignment="1">
      <alignment horizontal="left"/>
    </xf>
    <xf numFmtId="0" fontId="0" fillId="0" borderId="295" xfId="0" applyBorder="1" applyAlignment="1"/>
    <xf numFmtId="0" fontId="0" fillId="0" borderId="296" xfId="0" applyBorder="1" applyAlignment="1">
      <alignment horizontal="left"/>
    </xf>
    <xf numFmtId="0" fontId="4" fillId="0" borderId="295" xfId="0" applyFont="1" applyBorder="1" applyAlignment="1"/>
    <xf numFmtId="0" fontId="4" fillId="0" borderId="296" xfId="0" applyFont="1" applyBorder="1" applyAlignment="1">
      <alignment horizontal="left"/>
    </xf>
    <xf numFmtId="0" fontId="0" fillId="0" borderId="286" xfId="0" applyBorder="1" applyAlignment="1">
      <alignment horizontal="center"/>
    </xf>
    <xf numFmtId="0" fontId="0" fillId="0" borderId="299" xfId="0" applyBorder="1" applyAlignment="1"/>
    <xf numFmtId="0" fontId="4" fillId="0" borderId="287" xfId="0" applyFont="1" applyBorder="1" applyAlignment="1">
      <alignment horizontal="left"/>
    </xf>
    <xf numFmtId="0" fontId="0" fillId="0" borderId="297" xfId="0" applyBorder="1" applyAlignment="1"/>
    <xf numFmtId="0" fontId="0" fillId="0" borderId="298" xfId="0" applyBorder="1" applyAlignment="1">
      <alignment horizontal="left"/>
    </xf>
    <xf numFmtId="0" fontId="9" fillId="0" borderId="287" xfId="0" applyFont="1" applyBorder="1" applyAlignment="1">
      <alignment horizontal="center"/>
    </xf>
    <xf numFmtId="0" fontId="0" fillId="0" borderId="308" xfId="0" applyBorder="1" applyAlignment="1"/>
    <xf numFmtId="0" fontId="0" fillId="0" borderId="282" xfId="0" applyBorder="1" applyAlignment="1">
      <alignment horizontal="center"/>
    </xf>
    <xf numFmtId="0" fontId="4" fillId="0" borderId="277" xfId="0" applyFont="1" applyBorder="1" applyAlignment="1">
      <alignment horizontal="left"/>
    </xf>
    <xf numFmtId="0" fontId="6" fillId="0" borderId="283" xfId="0" applyFont="1" applyBorder="1" applyAlignment="1">
      <alignment horizontal="left" vertical="center"/>
    </xf>
    <xf numFmtId="0" fontId="6" fillId="0" borderId="283" xfId="0" applyFont="1" applyBorder="1">
      <alignment horizontal="center" vertical="center"/>
    </xf>
    <xf numFmtId="0" fontId="6" fillId="0" borderId="309" xfId="0" applyFont="1" applyBorder="1">
      <alignment horizontal="center" vertical="center"/>
    </xf>
    <xf numFmtId="0" fontId="6" fillId="0" borderId="277" xfId="0" applyFont="1" applyBorder="1" applyAlignment="1">
      <alignment horizontal="left" vertical="center"/>
    </xf>
    <xf numFmtId="0" fontId="6" fillId="0" borderId="283" xfId="0" applyFont="1" applyBorder="1" applyAlignment="1">
      <alignment horizontal="left"/>
    </xf>
    <xf numFmtId="0" fontId="6" fillId="0" borderId="309" xfId="0" applyFont="1" applyBorder="1" applyAlignment="1">
      <alignment horizontal="left" vertical="center"/>
    </xf>
    <xf numFmtId="0" fontId="0" fillId="0" borderId="283" xfId="0" applyBorder="1" applyAlignment="1">
      <alignment horizontal="left"/>
    </xf>
    <xf numFmtId="0" fontId="0" fillId="0" borderId="310" xfId="0" applyBorder="1" applyAlignment="1"/>
    <xf numFmtId="0" fontId="4" fillId="22" borderId="285" xfId="0" applyFont="1" applyFill="1" applyBorder="1" applyAlignment="1">
      <alignment horizontal="center"/>
    </xf>
    <xf numFmtId="0" fontId="0" fillId="19" borderId="303" xfId="6" applyFont="1" applyFill="1" applyBorder="1">
      <alignment horizontal="center" vertical="center"/>
    </xf>
    <xf numFmtId="0" fontId="0" fillId="19" borderId="285" xfId="12" applyFont="1" applyFill="1" applyBorder="1">
      <alignment horizontal="center" vertical="center"/>
    </xf>
    <xf numFmtId="0" fontId="0" fillId="19" borderId="285" xfId="1" applyFont="1" applyFill="1" applyBorder="1" applyAlignment="1">
      <alignment horizontal="center" vertical="center"/>
    </xf>
    <xf numFmtId="0" fontId="0" fillId="28" borderId="285" xfId="8" applyFont="1" applyFill="1" applyBorder="1">
      <alignment horizontal="center" vertical="center"/>
    </xf>
    <xf numFmtId="0" fontId="0" fillId="28" borderId="285" xfId="12" applyFont="1" applyFill="1" applyBorder="1">
      <alignment horizontal="center" vertical="center"/>
    </xf>
    <xf numFmtId="0" fontId="0" fillId="19" borderId="303" xfId="8" applyFont="1" applyFill="1" applyBorder="1">
      <alignment horizontal="center" vertical="center"/>
    </xf>
    <xf numFmtId="0" fontId="4" fillId="22" borderId="288" xfId="0" applyFont="1" applyFill="1" applyBorder="1" applyAlignment="1">
      <alignment horizontal="center"/>
    </xf>
    <xf numFmtId="0" fontId="0" fillId="19" borderId="288" xfId="0" applyFill="1" applyBorder="1" applyAlignment="1">
      <alignment horizontal="left" vertical="center"/>
    </xf>
    <xf numFmtId="0" fontId="0" fillId="19" borderId="288" xfId="12" applyFont="1" applyFill="1" applyBorder="1">
      <alignment horizontal="center" vertical="center"/>
    </xf>
    <xf numFmtId="0" fontId="0" fillId="19" borderId="288" xfId="1" applyFont="1" applyFill="1" applyBorder="1" applyAlignment="1">
      <alignment horizontal="center" vertical="center"/>
    </xf>
    <xf numFmtId="0" fontId="0" fillId="19" borderId="288" xfId="8" applyFont="1" applyFill="1" applyBorder="1">
      <alignment horizontal="center" vertical="center"/>
    </xf>
    <xf numFmtId="0" fontId="0" fillId="19" borderId="301" xfId="8" applyFont="1" applyFill="1" applyBorder="1">
      <alignment horizontal="center" vertical="center"/>
    </xf>
    <xf numFmtId="0" fontId="0" fillId="0" borderId="277" xfId="0" applyBorder="1" applyAlignment="1">
      <alignment horizontal="left"/>
    </xf>
    <xf numFmtId="0" fontId="0" fillId="0" borderId="283" xfId="0" applyBorder="1" applyAlignment="1"/>
    <xf numFmtId="0" fontId="0" fillId="0" borderId="309" xfId="0" applyBorder="1" applyAlignment="1">
      <alignment horizontal="left"/>
    </xf>
    <xf numFmtId="0" fontId="0" fillId="0" borderId="277" xfId="0" applyBorder="1" applyAlignment="1">
      <alignment horizontal="center"/>
    </xf>
    <xf numFmtId="0" fontId="17" fillId="0" borderId="275" xfId="0" applyFont="1" applyBorder="1" applyAlignment="1">
      <alignment vertical="center"/>
    </xf>
    <xf numFmtId="0" fontId="4" fillId="22" borderId="275" xfId="0" applyFont="1" applyFill="1" applyBorder="1" applyAlignment="1">
      <alignment horizontal="center"/>
    </xf>
    <xf numFmtId="0" fontId="6" fillId="26" borderId="275" xfId="7" applyFill="1" applyBorder="1">
      <alignment horizontal="center" vertical="center"/>
    </xf>
    <xf numFmtId="0" fontId="12" fillId="0" borderId="286" xfId="0" applyFont="1" applyBorder="1" applyAlignment="1">
      <alignment horizontal="left"/>
    </xf>
    <xf numFmtId="0" fontId="4" fillId="0" borderId="295" xfId="0" applyFont="1" applyBorder="1">
      <alignment horizontal="center" vertical="center"/>
    </xf>
    <xf numFmtId="0" fontId="0" fillId="0" borderId="319" xfId="0" applyBorder="1" applyAlignment="1">
      <alignment horizontal="center"/>
    </xf>
    <xf numFmtId="164" fontId="9" fillId="0" borderId="277" xfId="0" applyNumberFormat="1" applyFont="1" applyBorder="1" applyAlignment="1">
      <alignment horizontal="center"/>
    </xf>
    <xf numFmtId="0" fontId="42" fillId="0" borderId="42" xfId="7" applyFont="1" applyBorder="1">
      <alignment horizontal="center" vertical="center"/>
    </xf>
    <xf numFmtId="0" fontId="6" fillId="19" borderId="285" xfId="0" applyFont="1" applyFill="1" applyBorder="1" applyAlignment="1">
      <alignment vertical="center"/>
    </xf>
    <xf numFmtId="0" fontId="6" fillId="19" borderId="285" xfId="0" applyFont="1" applyFill="1" applyBorder="1">
      <alignment horizontal="center" vertical="center"/>
    </xf>
    <xf numFmtId="49" fontId="6" fillId="19" borderId="285" xfId="0" applyNumberFormat="1" applyFont="1" applyFill="1" applyBorder="1">
      <alignment horizontal="center" vertical="center"/>
    </xf>
    <xf numFmtId="0" fontId="6" fillId="19" borderId="303" xfId="0" applyFont="1" applyFill="1" applyBorder="1">
      <alignment horizontal="center" vertical="center"/>
    </xf>
    <xf numFmtId="0" fontId="0" fillId="19" borderId="285" xfId="0" applyFill="1" applyBorder="1" applyAlignment="1">
      <alignment vertical="center"/>
    </xf>
    <xf numFmtId="0" fontId="6" fillId="19" borderId="288" xfId="0" applyFont="1" applyFill="1" applyBorder="1">
      <alignment horizontal="center" vertical="center"/>
    </xf>
    <xf numFmtId="0" fontId="0" fillId="28" borderId="288" xfId="10" applyFont="1" applyBorder="1">
      <alignment horizontal="center" vertical="center"/>
    </xf>
    <xf numFmtId="0" fontId="6" fillId="0" borderId="288" xfId="7" applyBorder="1">
      <alignment horizontal="center" vertical="center"/>
    </xf>
    <xf numFmtId="0" fontId="6" fillId="19" borderId="301" xfId="0" applyFont="1" applyFill="1" applyBorder="1">
      <alignment horizontal="center" vertical="center"/>
    </xf>
    <xf numFmtId="49" fontId="6" fillId="0" borderId="291" xfId="0" applyNumberFormat="1" applyFont="1" applyBorder="1">
      <alignment horizontal="center" vertical="center"/>
    </xf>
    <xf numFmtId="0" fontId="6" fillId="0" borderId="320" xfId="0" applyFont="1" applyBorder="1" applyAlignment="1">
      <alignment horizontal="left" vertical="center"/>
    </xf>
    <xf numFmtId="0" fontId="6" fillId="0" borderId="320" xfId="0" applyFont="1" applyBorder="1">
      <alignment horizontal="center" vertical="center"/>
    </xf>
    <xf numFmtId="0" fontId="6" fillId="0" borderId="266" xfId="0" applyFont="1" applyBorder="1">
      <alignment horizontal="center" vertical="center"/>
    </xf>
    <xf numFmtId="0" fontId="9" fillId="0" borderId="320" xfId="0" applyFont="1" applyBorder="1">
      <alignment horizontal="center" vertical="center"/>
    </xf>
    <xf numFmtId="0" fontId="9" fillId="0" borderId="321" xfId="0" applyFont="1" applyBorder="1">
      <alignment horizontal="center" vertical="center"/>
    </xf>
    <xf numFmtId="0" fontId="0" fillId="0" borderId="320" xfId="0" applyBorder="1" applyAlignment="1">
      <alignment horizontal="left" vertical="center"/>
    </xf>
    <xf numFmtId="0" fontId="0" fillId="0" borderId="322" xfId="0" applyBorder="1">
      <alignment horizontal="center" vertical="center"/>
    </xf>
    <xf numFmtId="49" fontId="0" fillId="0" borderId="291" xfId="0" applyNumberFormat="1" applyBorder="1">
      <alignment horizontal="center" vertical="center"/>
    </xf>
    <xf numFmtId="0" fontId="6" fillId="0" borderId="291" xfId="0" applyFont="1" applyBorder="1">
      <alignment horizontal="center" vertical="center"/>
    </xf>
    <xf numFmtId="49" fontId="6" fillId="0" borderId="313" xfId="0" applyNumberFormat="1" applyFont="1" applyBorder="1">
      <alignment horizontal="center" vertical="center"/>
    </xf>
    <xf numFmtId="0" fontId="6" fillId="0" borderId="313" xfId="0" applyFont="1" applyBorder="1">
      <alignment horizontal="center" vertical="center"/>
    </xf>
    <xf numFmtId="0" fontId="9" fillId="0" borderId="313" xfId="0" applyFont="1" applyBorder="1">
      <alignment horizontal="center" vertical="center"/>
    </xf>
    <xf numFmtId="0" fontId="9" fillId="0" borderId="314" xfId="0" applyFont="1" applyBorder="1">
      <alignment horizontal="center" vertical="center"/>
    </xf>
    <xf numFmtId="0" fontId="0" fillId="19" borderId="275" xfId="0" applyFill="1" applyBorder="1" applyAlignment="1">
      <alignment horizontal="left" vertical="center" wrapText="1"/>
    </xf>
    <xf numFmtId="0" fontId="0" fillId="41" borderId="275" xfId="10" applyFont="1" applyFill="1" applyBorder="1">
      <alignment horizontal="center" vertical="center"/>
    </xf>
    <xf numFmtId="49" fontId="0" fillId="41" borderId="275" xfId="0" applyNumberFormat="1" applyFill="1" applyBorder="1">
      <alignment horizontal="center" vertical="center"/>
    </xf>
    <xf numFmtId="49" fontId="0" fillId="24" borderId="275" xfId="0" applyNumberFormat="1" applyFill="1" applyBorder="1">
      <alignment horizontal="center" vertical="center"/>
    </xf>
    <xf numFmtId="0" fontId="4" fillId="0" borderId="275" xfId="0" applyFont="1" applyBorder="1" applyAlignment="1">
      <alignment horizontal="center"/>
    </xf>
    <xf numFmtId="0" fontId="0" fillId="0" borderId="323" xfId="0" applyBorder="1" applyAlignment="1">
      <alignment horizontal="left" vertical="center"/>
    </xf>
    <xf numFmtId="0" fontId="4" fillId="0" borderId="324" xfId="0" applyFont="1" applyBorder="1" applyAlignment="1">
      <alignment horizontal="left"/>
    </xf>
    <xf numFmtId="0" fontId="0" fillId="0" borderId="325" xfId="0" applyBorder="1" applyAlignment="1">
      <alignment horizontal="left" vertical="center"/>
    </xf>
    <xf numFmtId="0" fontId="4" fillId="0" borderId="326" xfId="0" applyFont="1" applyBorder="1">
      <alignment horizontal="center" vertical="center"/>
    </xf>
    <xf numFmtId="0" fontId="0" fillId="0" borderId="327" xfId="0" applyBorder="1" applyAlignment="1">
      <alignment horizontal="left" vertical="center"/>
    </xf>
    <xf numFmtId="0" fontId="0" fillId="0" borderId="328" xfId="0" applyBorder="1" applyAlignment="1">
      <alignment horizontal="left" vertical="center"/>
    </xf>
    <xf numFmtId="0" fontId="0" fillId="0" borderId="329" xfId="0" applyBorder="1" applyAlignment="1">
      <alignment horizontal="left" vertical="center"/>
    </xf>
    <xf numFmtId="0" fontId="4" fillId="0" borderId="330" xfId="0" applyFont="1" applyBorder="1" applyAlignment="1">
      <alignment horizontal="left"/>
    </xf>
    <xf numFmtId="0" fontId="0" fillId="0" borderId="330" xfId="0" applyBorder="1" applyAlignment="1">
      <alignment horizontal="left" vertical="center"/>
    </xf>
    <xf numFmtId="0" fontId="0" fillId="0" borderId="331" xfId="0" applyBorder="1" applyAlignment="1">
      <alignment horizontal="left" vertical="center"/>
    </xf>
    <xf numFmtId="0" fontId="4" fillId="0" borderId="329" xfId="0" applyFont="1" applyBorder="1" applyAlignment="1">
      <alignment horizontal="left"/>
    </xf>
    <xf numFmtId="0" fontId="0" fillId="0" borderId="332" xfId="0" applyBorder="1">
      <alignment horizontal="center" vertical="center"/>
    </xf>
    <xf numFmtId="0" fontId="4" fillId="0" borderId="333" xfId="0" applyFont="1" applyBorder="1">
      <alignment horizontal="center" vertical="center"/>
    </xf>
    <xf numFmtId="0" fontId="4" fillId="0" borderId="333" xfId="0" applyFont="1" applyBorder="1" applyAlignment="1">
      <alignment horizontal="center"/>
    </xf>
    <xf numFmtId="0" fontId="0" fillId="0" borderId="334" xfId="0" applyBorder="1" applyAlignment="1">
      <alignment horizontal="left" vertical="center"/>
    </xf>
    <xf numFmtId="0" fontId="0" fillId="0" borderId="335" xfId="0" applyBorder="1" applyAlignment="1">
      <alignment horizontal="left" vertical="center"/>
    </xf>
    <xf numFmtId="0" fontId="4" fillId="0" borderId="336" xfId="0" applyFont="1" applyBorder="1" applyAlignment="1">
      <alignment horizontal="left"/>
    </xf>
    <xf numFmtId="0" fontId="0" fillId="0" borderId="336" xfId="0" applyBorder="1" applyAlignment="1">
      <alignment horizontal="left" vertical="center"/>
    </xf>
    <xf numFmtId="0" fontId="0" fillId="0" borderId="337" xfId="0" applyBorder="1" applyAlignment="1">
      <alignment horizontal="left" vertical="center"/>
    </xf>
    <xf numFmtId="0" fontId="4" fillId="0" borderId="335" xfId="0" applyFont="1" applyBorder="1" applyAlignment="1">
      <alignment horizontal="left"/>
    </xf>
    <xf numFmtId="0" fontId="0" fillId="0" borderId="338" xfId="0" applyBorder="1">
      <alignment horizontal="center" vertical="center"/>
    </xf>
    <xf numFmtId="0" fontId="4" fillId="0" borderId="339" xfId="0" applyFont="1" applyBorder="1">
      <alignment horizontal="center" vertical="center"/>
    </xf>
    <xf numFmtId="0" fontId="4" fillId="0" borderId="339" xfId="0" applyFont="1" applyBorder="1" applyAlignment="1">
      <alignment horizontal="center"/>
    </xf>
    <xf numFmtId="0" fontId="0" fillId="0" borderId="340" xfId="0" applyBorder="1" applyAlignment="1">
      <alignment horizontal="left" vertical="center"/>
    </xf>
    <xf numFmtId="0" fontId="0" fillId="0" borderId="341" xfId="0" applyBorder="1" applyAlignment="1">
      <alignment horizontal="left" vertical="center"/>
    </xf>
    <xf numFmtId="0" fontId="0" fillId="0" borderId="342" xfId="0" applyBorder="1" applyAlignment="1">
      <alignment horizontal="left" vertical="center"/>
    </xf>
    <xf numFmtId="0" fontId="0" fillId="0" borderId="343" xfId="0" applyBorder="1" applyAlignment="1">
      <alignment horizontal="left" vertical="center"/>
    </xf>
    <xf numFmtId="0" fontId="4" fillId="0" borderId="344" xfId="0" applyFont="1" applyBorder="1" applyAlignment="1">
      <alignment horizontal="left"/>
    </xf>
    <xf numFmtId="0" fontId="0" fillId="0" borderId="344" xfId="0" applyBorder="1" applyAlignment="1">
      <alignment horizontal="left" vertical="center"/>
    </xf>
    <xf numFmtId="0" fontId="0" fillId="0" borderId="345" xfId="0" applyBorder="1" applyAlignment="1">
      <alignment horizontal="left" vertical="center"/>
    </xf>
    <xf numFmtId="0" fontId="4" fillId="0" borderId="346" xfId="0" applyFont="1" applyBorder="1" applyAlignment="1">
      <alignment horizontal="left"/>
    </xf>
    <xf numFmtId="0" fontId="0" fillId="0" borderId="347" xfId="0" applyBorder="1" applyAlignment="1">
      <alignment horizontal="left" vertical="center"/>
    </xf>
    <xf numFmtId="0" fontId="0" fillId="0" borderId="348" xfId="0" applyBorder="1">
      <alignment horizontal="center" vertical="center"/>
    </xf>
    <xf numFmtId="0" fontId="0" fillId="0" borderId="349" xfId="0" applyBorder="1" applyAlignment="1">
      <alignment horizontal="left" vertical="center"/>
    </xf>
    <xf numFmtId="0" fontId="0" fillId="0" borderId="337" xfId="0" applyBorder="1" applyAlignment="1">
      <alignment horizontal="left"/>
    </xf>
    <xf numFmtId="0" fontId="0" fillId="0" borderId="336" xfId="0" applyBorder="1" applyAlignment="1">
      <alignment horizontal="left"/>
    </xf>
    <xf numFmtId="49" fontId="0" fillId="0" borderId="335" xfId="0" applyNumberFormat="1" applyBorder="1" applyAlignment="1">
      <alignment horizontal="left"/>
    </xf>
    <xf numFmtId="0" fontId="12" fillId="0" borderId="350" xfId="0" applyFont="1" applyBorder="1" applyAlignment="1">
      <alignment horizontal="center"/>
    </xf>
    <xf numFmtId="0" fontId="0" fillId="0" borderId="351" xfId="0" applyBorder="1" applyAlignment="1">
      <alignment horizontal="left" vertical="center"/>
    </xf>
    <xf numFmtId="0" fontId="0" fillId="0" borderId="346" xfId="0" applyBorder="1" applyAlignment="1">
      <alignment horizontal="left" vertical="center"/>
    </xf>
    <xf numFmtId="49" fontId="0" fillId="0" borderId="346" xfId="0" applyNumberFormat="1" applyBorder="1" applyAlignment="1">
      <alignment horizontal="left"/>
    </xf>
    <xf numFmtId="0" fontId="4" fillId="0" borderId="352" xfId="0" applyFont="1" applyBorder="1" applyAlignment="1" applyProtection="1">
      <alignment horizontal="center"/>
      <protection locked="0"/>
    </xf>
    <xf numFmtId="0" fontId="5" fillId="0" borderId="352" xfId="0" applyFont="1" applyBorder="1" applyAlignment="1">
      <alignment horizontal="center"/>
    </xf>
    <xf numFmtId="0" fontId="0" fillId="18" borderId="352" xfId="0" applyFill="1" applyBorder="1">
      <alignment horizontal="center" vertical="center"/>
    </xf>
    <xf numFmtId="0" fontId="0" fillId="19" borderId="352" xfId="0" applyFill="1" applyBorder="1">
      <alignment horizontal="center" vertical="center"/>
    </xf>
    <xf numFmtId="0" fontId="0" fillId="19" borderId="353" xfId="0" applyFill="1" applyBorder="1">
      <alignment horizontal="center" vertical="center"/>
    </xf>
    <xf numFmtId="0" fontId="4" fillId="0" borderId="350" xfId="0" applyFont="1" applyBorder="1" applyAlignment="1" applyProtection="1">
      <alignment horizontal="center"/>
      <protection locked="0"/>
    </xf>
    <xf numFmtId="0" fontId="0" fillId="0" borderId="350" xfId="0" applyBorder="1" applyAlignment="1">
      <alignment horizontal="left"/>
    </xf>
    <xf numFmtId="0" fontId="0" fillId="0" borderId="350" xfId="0" applyBorder="1" applyAlignment="1" applyProtection="1">
      <alignment horizontal="center"/>
      <protection locked="0"/>
    </xf>
    <xf numFmtId="0" fontId="1" fillId="5" borderId="350" xfId="4" applyBorder="1" applyAlignment="1">
      <alignment horizontal="center" vertical="center"/>
    </xf>
    <xf numFmtId="0" fontId="6" fillId="25" borderId="350" xfId="8" applyFont="1" applyBorder="1">
      <alignment horizontal="center" vertical="center"/>
    </xf>
    <xf numFmtId="0" fontId="6" fillId="25" borderId="279" xfId="8" applyFont="1" applyBorder="1">
      <alignment horizontal="center" vertical="center"/>
    </xf>
    <xf numFmtId="0" fontId="17" fillId="25" borderId="279" xfId="8" applyBorder="1">
      <alignment horizontal="center" vertical="center"/>
    </xf>
    <xf numFmtId="0" fontId="12" fillId="0" borderId="350" xfId="0" applyFont="1" applyBorder="1" applyAlignment="1" applyProtection="1">
      <alignment horizontal="center"/>
      <protection locked="0"/>
    </xf>
    <xf numFmtId="0" fontId="6" fillId="32" borderId="350" xfId="15" applyBorder="1">
      <alignment horizontal="center" vertical="center"/>
    </xf>
    <xf numFmtId="0" fontId="0" fillId="19" borderId="350" xfId="11" applyFont="1" applyFill="1" applyBorder="1">
      <alignment horizontal="center" vertical="center"/>
    </xf>
    <xf numFmtId="0" fontId="17" fillId="29" borderId="350" xfId="11" applyBorder="1">
      <alignment horizontal="center" vertical="center"/>
    </xf>
    <xf numFmtId="0" fontId="6" fillId="0" borderId="350" xfId="0" applyFont="1" applyBorder="1" applyAlignment="1">
      <alignment vertical="center"/>
    </xf>
    <xf numFmtId="0" fontId="18" fillId="0" borderId="350" xfId="0" applyFont="1" applyBorder="1" applyAlignment="1">
      <alignment vertical="center"/>
    </xf>
    <xf numFmtId="0" fontId="0" fillId="19" borderId="350" xfId="15" applyFont="1" applyFill="1" applyBorder="1">
      <alignment horizontal="center" vertical="center"/>
    </xf>
    <xf numFmtId="0" fontId="6" fillId="19" borderId="350" xfId="0" applyFont="1" applyFill="1" applyBorder="1" applyAlignment="1">
      <alignment vertical="center"/>
    </xf>
    <xf numFmtId="0" fontId="4" fillId="0" borderId="354" xfId="0" applyFont="1" applyBorder="1" applyAlignment="1">
      <alignment horizontal="center"/>
    </xf>
    <xf numFmtId="0" fontId="4" fillId="0" borderId="355" xfId="0" applyFont="1" applyBorder="1" applyAlignment="1">
      <alignment horizontal="center"/>
    </xf>
    <xf numFmtId="0" fontId="0" fillId="0" borderId="356" xfId="0" applyBorder="1" applyAlignment="1">
      <alignment horizontal="center"/>
    </xf>
    <xf numFmtId="0" fontId="0" fillId="0" borderId="317" xfId="0" applyBorder="1">
      <alignment horizontal="center" vertical="center"/>
    </xf>
    <xf numFmtId="0" fontId="0" fillId="0" borderId="357" xfId="0" applyBorder="1">
      <alignment horizontal="center" vertical="center"/>
    </xf>
    <xf numFmtId="0" fontId="4" fillId="0" borderId="317" xfId="0" applyFont="1" applyBorder="1" applyAlignment="1">
      <alignment horizontal="left"/>
    </xf>
    <xf numFmtId="0" fontId="0" fillId="0" borderId="358" xfId="0" applyBorder="1">
      <alignment horizontal="center" vertical="center"/>
    </xf>
    <xf numFmtId="0" fontId="0" fillId="0" borderId="317" xfId="0" applyBorder="1" applyAlignment="1">
      <alignment horizontal="left" vertical="center"/>
    </xf>
    <xf numFmtId="0" fontId="0" fillId="0" borderId="357" xfId="0" applyBorder="1" applyAlignment="1">
      <alignment horizontal="left" vertical="center"/>
    </xf>
    <xf numFmtId="0" fontId="0" fillId="0" borderId="358" xfId="0" applyBorder="1" applyAlignment="1">
      <alignment horizontal="left" vertical="center"/>
    </xf>
    <xf numFmtId="0" fontId="4" fillId="0" borderId="358" xfId="0" applyFont="1" applyBorder="1" applyAlignment="1">
      <alignment horizontal="left"/>
    </xf>
    <xf numFmtId="0" fontId="0" fillId="0" borderId="359" xfId="0" applyBorder="1">
      <alignment horizontal="center" vertical="center"/>
    </xf>
    <xf numFmtId="0" fontId="4" fillId="0" borderId="360" xfId="0" applyFont="1" applyBorder="1" applyAlignment="1" applyProtection="1">
      <alignment horizontal="center"/>
      <protection locked="0"/>
    </xf>
    <xf numFmtId="0" fontId="5" fillId="0" borderId="360" xfId="0" applyFont="1" applyBorder="1" applyAlignment="1">
      <alignment horizontal="center"/>
    </xf>
    <xf numFmtId="0" fontId="0" fillId="0" borderId="361" xfId="0" applyBorder="1" applyAlignment="1" applyProtection="1">
      <alignment horizontal="center"/>
      <protection locked="0"/>
    </xf>
    <xf numFmtId="49" fontId="0" fillId="19" borderId="335" xfId="0" applyNumberFormat="1" applyFill="1" applyBorder="1">
      <alignment horizontal="center" vertical="center"/>
    </xf>
    <xf numFmtId="49" fontId="0" fillId="19" borderId="361" xfId="1" applyNumberFormat="1" applyFont="1" applyFill="1" applyBorder="1" applyAlignment="1">
      <alignment horizontal="center" vertical="center"/>
    </xf>
    <xf numFmtId="0" fontId="0" fillId="22" borderId="361" xfId="0" applyFill="1" applyBorder="1" applyAlignment="1">
      <alignment horizontal="center"/>
    </xf>
    <xf numFmtId="0" fontId="0" fillId="19" borderId="335" xfId="0" applyFill="1" applyBorder="1">
      <alignment horizontal="center" vertical="center"/>
    </xf>
    <xf numFmtId="0" fontId="0" fillId="11" borderId="361" xfId="0" applyFill="1" applyBorder="1" applyAlignment="1" applyProtection="1">
      <alignment horizontal="center"/>
      <protection locked="0"/>
    </xf>
    <xf numFmtId="0" fontId="4" fillId="11" borderId="352" xfId="0" applyFont="1" applyFill="1" applyBorder="1">
      <alignment horizontal="center" vertical="center"/>
    </xf>
    <xf numFmtId="0" fontId="0" fillId="11" borderId="352" xfId="0" applyFill="1" applyBorder="1">
      <alignment horizontal="center" vertical="center"/>
    </xf>
    <xf numFmtId="0" fontId="0" fillId="11" borderId="362" xfId="0" applyFill="1" applyBorder="1">
      <alignment horizontal="center" vertical="center"/>
    </xf>
    <xf numFmtId="0" fontId="0" fillId="0" borderId="360" xfId="0" applyBorder="1" applyAlignment="1" applyProtection="1">
      <alignment horizontal="center"/>
      <protection locked="0"/>
    </xf>
    <xf numFmtId="49" fontId="0" fillId="19" borderId="363" xfId="0" applyNumberFormat="1" applyFill="1" applyBorder="1">
      <alignment horizontal="center" vertical="center"/>
    </xf>
    <xf numFmtId="0" fontId="0" fillId="19" borderId="363" xfId="9" applyFont="1" applyFill="1" applyBorder="1">
      <alignment horizontal="center" vertical="center"/>
    </xf>
    <xf numFmtId="49" fontId="0" fillId="19" borderId="364" xfId="0" applyNumberFormat="1" applyFill="1" applyBorder="1">
      <alignment horizontal="center" vertical="center"/>
    </xf>
    <xf numFmtId="0" fontId="4" fillId="0" borderId="365" xfId="0" applyFont="1" applyBorder="1" applyAlignment="1">
      <alignment horizontal="center"/>
    </xf>
    <xf numFmtId="0" fontId="0" fillId="0" borderId="358" xfId="0" applyBorder="1" applyAlignment="1">
      <alignment horizontal="left"/>
    </xf>
    <xf numFmtId="0" fontId="0" fillId="0" borderId="317" xfId="0" applyBorder="1" applyAlignment="1">
      <alignment horizontal="center"/>
    </xf>
    <xf numFmtId="0" fontId="4" fillId="0" borderId="366" xfId="0" applyFont="1" applyBorder="1" applyAlignment="1" applyProtection="1">
      <alignment horizontal="center"/>
      <protection locked="0"/>
    </xf>
    <xf numFmtId="0" fontId="0" fillId="0" borderId="367" xfId="0" applyBorder="1" applyAlignment="1">
      <alignment vertical="center"/>
    </xf>
    <xf numFmtId="0" fontId="0" fillId="0" borderId="323" xfId="0" applyBorder="1" applyAlignment="1" applyProtection="1">
      <alignment horizontal="center"/>
      <protection locked="0"/>
    </xf>
    <xf numFmtId="0" fontId="21" fillId="0" borderId="367" xfId="0" applyFont="1" applyBorder="1" applyAlignment="1">
      <alignment vertical="center"/>
    </xf>
    <xf numFmtId="0" fontId="20" fillId="0" borderId="368" xfId="0" applyFont="1" applyBorder="1" applyAlignment="1">
      <alignment vertical="center"/>
    </xf>
    <xf numFmtId="49" fontId="0" fillId="19" borderId="369" xfId="0" applyNumberFormat="1" applyFill="1" applyBorder="1">
      <alignment horizontal="center" vertical="center"/>
    </xf>
    <xf numFmtId="49" fontId="0" fillId="19" borderId="360" xfId="0" applyNumberFormat="1" applyFill="1" applyBorder="1">
      <alignment horizontal="center" vertical="center"/>
    </xf>
    <xf numFmtId="0" fontId="0" fillId="19" borderId="360" xfId="0" applyFill="1" applyBorder="1">
      <alignment horizontal="center" vertical="center"/>
    </xf>
    <xf numFmtId="49" fontId="0" fillId="19" borderId="370" xfId="0" applyNumberFormat="1" applyFill="1" applyBorder="1">
      <alignment horizontal="center" vertical="center"/>
    </xf>
    <xf numFmtId="0" fontId="0" fillId="0" borderId="336" xfId="0" applyBorder="1">
      <alignment horizontal="center" vertical="center"/>
    </xf>
    <xf numFmtId="49" fontId="0" fillId="0" borderId="323" xfId="0" applyNumberFormat="1" applyBorder="1" applyAlignment="1"/>
    <xf numFmtId="0" fontId="0" fillId="0" borderId="367" xfId="0" applyBorder="1" applyAlignment="1" applyProtection="1">
      <alignment horizontal="left"/>
      <protection locked="0"/>
    </xf>
    <xf numFmtId="0" fontId="19" fillId="0" borderId="367" xfId="0" applyFont="1" applyBorder="1" applyAlignment="1">
      <alignment vertical="center"/>
    </xf>
    <xf numFmtId="0" fontId="0" fillId="19" borderId="350" xfId="8" applyFont="1" applyFill="1" applyBorder="1">
      <alignment horizontal="center" vertical="center"/>
    </xf>
    <xf numFmtId="0" fontId="0" fillId="0" borderId="352" xfId="0" applyBorder="1" applyAlignment="1">
      <alignment vertical="center"/>
    </xf>
    <xf numFmtId="0" fontId="0" fillId="0" borderId="352" xfId="0" applyBorder="1">
      <alignment horizontal="center" vertical="center"/>
    </xf>
    <xf numFmtId="0" fontId="5" fillId="6" borderId="323" xfId="0" applyFont="1" applyFill="1" applyBorder="1" applyAlignment="1">
      <alignment horizontal="left"/>
    </xf>
    <xf numFmtId="0" fontId="5" fillId="7" borderId="323" xfId="0" applyFont="1" applyFill="1" applyBorder="1">
      <alignment horizontal="center" vertical="center"/>
    </xf>
    <xf numFmtId="0" fontId="6" fillId="7" borderId="336" xfId="0" applyFont="1" applyFill="1" applyBorder="1">
      <alignment horizontal="center" vertical="center"/>
    </xf>
    <xf numFmtId="0" fontId="5" fillId="8" borderId="323" xfId="0" applyFont="1" applyFill="1" applyBorder="1" applyAlignment="1">
      <alignment horizontal="left"/>
    </xf>
    <xf numFmtId="0" fontId="5" fillId="8" borderId="336" xfId="0" applyFont="1" applyFill="1" applyBorder="1" applyAlignment="1">
      <alignment horizontal="left"/>
    </xf>
    <xf numFmtId="0" fontId="6" fillId="8" borderId="336" xfId="0" applyFont="1" applyFill="1" applyBorder="1">
      <alignment horizontal="center" vertical="center"/>
    </xf>
    <xf numFmtId="0" fontId="6" fillId="8" borderId="337" xfId="0" applyFont="1" applyFill="1" applyBorder="1">
      <alignment horizontal="center" vertical="center"/>
    </xf>
    <xf numFmtId="0" fontId="5" fillId="9" borderId="335" xfId="0" applyFont="1" applyFill="1" applyBorder="1" applyAlignment="1">
      <alignment horizontal="left"/>
    </xf>
    <xf numFmtId="0" fontId="5" fillId="9" borderId="336" xfId="0" applyFont="1" applyFill="1" applyBorder="1" applyAlignment="1">
      <alignment horizontal="left"/>
    </xf>
    <xf numFmtId="0" fontId="0" fillId="9" borderId="336" xfId="0" applyFill="1" applyBorder="1">
      <alignment horizontal="center" vertical="center"/>
    </xf>
    <xf numFmtId="0" fontId="5" fillId="10" borderId="335" xfId="0" applyFont="1" applyFill="1" applyBorder="1" applyAlignment="1">
      <alignment horizontal="left"/>
    </xf>
    <xf numFmtId="0" fontId="0" fillId="10" borderId="336" xfId="0" applyFill="1" applyBorder="1">
      <alignment horizontal="center" vertical="center"/>
    </xf>
    <xf numFmtId="0" fontId="6" fillId="10" borderId="336" xfId="0" applyFont="1" applyFill="1" applyBorder="1">
      <alignment horizontal="center" vertical="center"/>
    </xf>
    <xf numFmtId="0" fontId="6" fillId="10" borderId="337" xfId="0" applyFont="1" applyFill="1" applyBorder="1">
      <alignment horizontal="center" vertical="center"/>
    </xf>
    <xf numFmtId="0" fontId="5" fillId="11" borderId="335" xfId="0" applyFont="1" applyFill="1" applyBorder="1">
      <alignment horizontal="center" vertical="center"/>
    </xf>
    <xf numFmtId="0" fontId="0" fillId="11" borderId="336" xfId="0" applyFill="1" applyBorder="1">
      <alignment horizontal="center" vertical="center"/>
    </xf>
    <xf numFmtId="0" fontId="6" fillId="11" borderId="336" xfId="0" applyFont="1" applyFill="1" applyBorder="1">
      <alignment horizontal="center" vertical="center"/>
    </xf>
    <xf numFmtId="0" fontId="5" fillId="12" borderId="335" xfId="0" applyFont="1" applyFill="1" applyBorder="1" applyAlignment="1">
      <alignment horizontal="left"/>
    </xf>
    <xf numFmtId="0" fontId="6" fillId="12" borderId="336" xfId="0" applyFont="1" applyFill="1" applyBorder="1">
      <alignment horizontal="center" vertical="center"/>
    </xf>
    <xf numFmtId="0" fontId="0" fillId="12" borderId="337" xfId="0" applyFill="1" applyBorder="1">
      <alignment horizontal="center" vertical="center"/>
    </xf>
    <xf numFmtId="0" fontId="0" fillId="13" borderId="371" xfId="0" applyFill="1" applyBorder="1">
      <alignment horizontal="center" vertical="center"/>
    </xf>
    <xf numFmtId="0" fontId="6" fillId="13" borderId="371" xfId="0" applyFont="1" applyFill="1" applyBorder="1">
      <alignment horizontal="center" vertical="center"/>
    </xf>
    <xf numFmtId="0" fontId="6" fillId="13" borderId="372" xfId="0" applyFont="1" applyFill="1" applyBorder="1">
      <alignment horizontal="center" vertical="center"/>
    </xf>
    <xf numFmtId="0" fontId="5" fillId="0" borderId="362" xfId="0" applyFont="1" applyBorder="1" applyAlignment="1">
      <alignment horizontal="left" vertical="center"/>
    </xf>
    <xf numFmtId="0" fontId="6" fillId="0" borderId="371" xfId="0" applyFont="1" applyBorder="1">
      <alignment horizontal="center" vertical="center"/>
    </xf>
    <xf numFmtId="0" fontId="6" fillId="0" borderId="372" xfId="0" applyFont="1" applyBorder="1">
      <alignment horizontal="center" vertical="center"/>
    </xf>
    <xf numFmtId="0" fontId="5" fillId="14" borderId="361" xfId="0" applyFont="1" applyFill="1" applyBorder="1" applyAlignment="1">
      <alignment horizontal="left"/>
    </xf>
    <xf numFmtId="0" fontId="5" fillId="15" borderId="335" xfId="0" applyFont="1" applyFill="1" applyBorder="1">
      <alignment horizontal="center" vertical="center"/>
    </xf>
    <xf numFmtId="0" fontId="6" fillId="15" borderId="336" xfId="0" applyFont="1" applyFill="1" applyBorder="1">
      <alignment horizontal="center" vertical="center"/>
    </xf>
    <xf numFmtId="0" fontId="6" fillId="0" borderId="335" xfId="0" applyFont="1" applyBorder="1" applyAlignment="1">
      <alignment horizontal="left"/>
    </xf>
    <xf numFmtId="0" fontId="6" fillId="0" borderId="336" xfId="0" applyFont="1" applyBorder="1" applyAlignment="1">
      <alignment horizontal="left"/>
    </xf>
    <xf numFmtId="0" fontId="6" fillId="0" borderId="336" xfId="0" applyFont="1" applyBorder="1">
      <alignment horizontal="center" vertical="center"/>
    </xf>
    <xf numFmtId="0" fontId="6" fillId="0" borderId="337" xfId="0" applyFont="1" applyBorder="1">
      <alignment horizontal="center" vertical="center"/>
    </xf>
    <xf numFmtId="0" fontId="6" fillId="17" borderId="335" xfId="0" applyFont="1" applyFill="1" applyBorder="1" applyAlignment="1">
      <alignment horizontal="left" vertical="center"/>
    </xf>
    <xf numFmtId="0" fontId="6" fillId="17" borderId="336" xfId="0" applyFont="1" applyFill="1" applyBorder="1">
      <alignment horizontal="center" vertical="center"/>
    </xf>
    <xf numFmtId="0" fontId="6" fillId="17" borderId="337" xfId="0" applyFont="1" applyFill="1" applyBorder="1">
      <alignment horizontal="center" vertical="center"/>
    </xf>
    <xf numFmtId="0" fontId="4" fillId="0" borderId="335" xfId="0" applyFont="1" applyBorder="1" applyAlignment="1">
      <alignment horizontal="left" vertical="center"/>
    </xf>
    <xf numFmtId="0" fontId="0" fillId="0" borderId="337" xfId="0" applyBorder="1">
      <alignment horizontal="center" vertical="center"/>
    </xf>
    <xf numFmtId="0" fontId="4" fillId="0" borderId="336" xfId="0" applyFont="1" applyBorder="1" applyAlignment="1">
      <alignment horizontal="left" vertical="center"/>
    </xf>
    <xf numFmtId="0" fontId="0" fillId="0" borderId="373" xfId="0" applyBorder="1">
      <alignment horizontal="center" vertical="center"/>
    </xf>
    <xf numFmtId="0" fontId="7" fillId="0" borderId="362" xfId="0" applyFont="1" applyBorder="1">
      <alignment horizontal="center" vertical="center"/>
    </xf>
    <xf numFmtId="0" fontId="0" fillId="0" borderId="371" xfId="0" applyBorder="1">
      <alignment horizontal="center" vertical="center"/>
    </xf>
    <xf numFmtId="0" fontId="0" fillId="0" borderId="372" xfId="0" applyBorder="1">
      <alignment horizontal="center" vertical="center"/>
    </xf>
    <xf numFmtId="0" fontId="4" fillId="0" borderId="335" xfId="0" applyFont="1" applyBorder="1">
      <alignment horizontal="center" vertical="center"/>
    </xf>
    <xf numFmtId="0" fontId="0" fillId="0" borderId="363" xfId="0" applyBorder="1" applyAlignment="1" applyProtection="1">
      <alignment horizontal="center"/>
      <protection locked="0"/>
    </xf>
    <xf numFmtId="0" fontId="5" fillId="0" borderId="363" xfId="0" applyFont="1" applyBorder="1" applyAlignment="1">
      <alignment horizontal="center"/>
    </xf>
    <xf numFmtId="0" fontId="0" fillId="18" borderId="363" xfId="0" applyFill="1" applyBorder="1">
      <alignment horizontal="center" vertical="center"/>
    </xf>
    <xf numFmtId="0" fontId="0" fillId="19" borderId="363" xfId="0" applyFill="1" applyBorder="1">
      <alignment horizontal="center" vertical="center"/>
    </xf>
    <xf numFmtId="0" fontId="0" fillId="19" borderId="374" xfId="0" applyFill="1" applyBorder="1">
      <alignment horizontal="center" vertical="center"/>
    </xf>
    <xf numFmtId="0" fontId="0" fillId="22" borderId="362" xfId="0" applyFill="1" applyBorder="1" applyAlignment="1" applyProtection="1">
      <alignment horizontal="left"/>
      <protection locked="0"/>
    </xf>
    <xf numFmtId="0" fontId="4" fillId="11" borderId="335" xfId="0" applyFont="1" applyFill="1" applyBorder="1" applyAlignment="1">
      <alignment horizontal="left" vertical="center"/>
    </xf>
    <xf numFmtId="0" fontId="0" fillId="11" borderId="361" xfId="0" applyFill="1" applyBorder="1">
      <alignment horizontal="center" vertical="center"/>
    </xf>
    <xf numFmtId="0" fontId="0" fillId="11" borderId="375" xfId="0" applyFill="1" applyBorder="1">
      <alignment horizontal="center" vertical="center"/>
    </xf>
    <xf numFmtId="0" fontId="5" fillId="0" borderId="361" xfId="0" applyFont="1" applyBorder="1" applyAlignment="1">
      <alignment horizontal="left" vertical="center"/>
    </xf>
    <xf numFmtId="1" fontId="0" fillId="19" borderId="361" xfId="1" applyNumberFormat="1" applyFont="1" applyFill="1" applyBorder="1" applyAlignment="1">
      <alignment horizontal="center" vertical="center"/>
    </xf>
    <xf numFmtId="0" fontId="0" fillId="19" borderId="361" xfId="6" applyFont="1" applyFill="1" applyBorder="1">
      <alignment horizontal="center" vertical="center"/>
    </xf>
    <xf numFmtId="1" fontId="0" fillId="19" borderId="361" xfId="0" applyNumberFormat="1" applyFill="1" applyBorder="1">
      <alignment horizontal="center" vertical="center"/>
    </xf>
    <xf numFmtId="0" fontId="0" fillId="19" borderId="361" xfId="5" applyFont="1" applyFill="1" applyBorder="1">
      <alignment horizontal="center" vertical="center"/>
    </xf>
    <xf numFmtId="0" fontId="0" fillId="27" borderId="361" xfId="10" applyFont="1" applyFill="1" applyBorder="1">
      <alignment horizontal="center" vertical="center"/>
    </xf>
    <xf numFmtId="0" fontId="6" fillId="0" borderId="361" xfId="7" applyBorder="1">
      <alignment horizontal="center" vertical="center"/>
    </xf>
    <xf numFmtId="1" fontId="0" fillId="19" borderId="375" xfId="0" applyNumberFormat="1" applyFill="1" applyBorder="1">
      <alignment horizontal="center" vertical="center"/>
    </xf>
    <xf numFmtId="0" fontId="0" fillId="22" borderId="335" xfId="0" applyFill="1" applyBorder="1" applyAlignment="1" applyProtection="1">
      <alignment horizontal="center"/>
      <protection locked="0"/>
    </xf>
    <xf numFmtId="0" fontId="17" fillId="24" borderId="361" xfId="6" applyBorder="1">
      <alignment horizontal="center" vertical="center"/>
    </xf>
    <xf numFmtId="0" fontId="17" fillId="25" borderId="361" xfId="8" applyBorder="1">
      <alignment horizontal="center" vertical="center"/>
    </xf>
    <xf numFmtId="1" fontId="0" fillId="24" borderId="361" xfId="0" applyNumberFormat="1" applyFill="1" applyBorder="1">
      <alignment horizontal="center" vertical="center"/>
    </xf>
    <xf numFmtId="0" fontId="0" fillId="24" borderId="361" xfId="6" applyFont="1" applyBorder="1">
      <alignment horizontal="center" vertical="center"/>
    </xf>
    <xf numFmtId="0" fontId="0" fillId="0" borderId="361" xfId="0" applyBorder="1" applyAlignment="1">
      <alignment horizontal="left" vertical="center"/>
    </xf>
    <xf numFmtId="1" fontId="0" fillId="25" borderId="361" xfId="0" applyNumberFormat="1" applyFill="1" applyBorder="1">
      <alignment horizontal="center" vertical="center"/>
    </xf>
    <xf numFmtId="0" fontId="0" fillId="25" borderId="361" xfId="6" applyFont="1" applyFill="1" applyBorder="1">
      <alignment horizontal="center" vertical="center"/>
    </xf>
    <xf numFmtId="1" fontId="0" fillId="25" borderId="361" xfId="6" applyNumberFormat="1" applyFont="1" applyFill="1" applyBorder="1">
      <alignment horizontal="center" vertical="center"/>
    </xf>
    <xf numFmtId="0" fontId="4" fillId="11" borderId="362" xfId="0" applyFont="1" applyFill="1" applyBorder="1" applyAlignment="1" applyProtection="1">
      <alignment horizontal="left"/>
      <protection locked="0"/>
    </xf>
    <xf numFmtId="1" fontId="0" fillId="11" borderId="352" xfId="0" applyNumberFormat="1" applyFill="1" applyBorder="1">
      <alignment horizontal="center" vertical="center"/>
    </xf>
    <xf numFmtId="0" fontId="0" fillId="11" borderId="353" xfId="0" applyFill="1" applyBorder="1">
      <alignment horizontal="center" vertical="center"/>
    </xf>
    <xf numFmtId="0" fontId="0" fillId="0" borderId="116" xfId="0" applyBorder="1">
      <alignment horizontal="center" vertical="center"/>
    </xf>
    <xf numFmtId="0" fontId="4" fillId="0" borderId="376" xfId="0" applyFont="1" applyBorder="1" applyAlignment="1">
      <alignment horizontal="left" vertical="center"/>
    </xf>
    <xf numFmtId="0" fontId="4" fillId="0" borderId="335" xfId="0" applyFont="1" applyBorder="1" applyAlignment="1">
      <alignment vertical="center"/>
    </xf>
    <xf numFmtId="0" fontId="7" fillId="0" borderId="336" xfId="0" applyFont="1" applyBorder="1">
      <alignment horizontal="center" vertical="center"/>
    </xf>
    <xf numFmtId="0" fontId="4" fillId="0" borderId="362" xfId="0" applyFont="1" applyBorder="1" applyAlignment="1">
      <alignment horizontal="left" vertical="center"/>
    </xf>
    <xf numFmtId="0" fontId="7" fillId="0" borderId="371" xfId="0" applyFont="1" applyBorder="1">
      <alignment horizontal="center" vertical="center"/>
    </xf>
    <xf numFmtId="0" fontId="4" fillId="0" borderId="371" xfId="0" applyFont="1" applyBorder="1">
      <alignment horizontal="center" vertical="center"/>
    </xf>
    <xf numFmtId="0" fontId="4" fillId="0" borderId="354" xfId="0" applyFont="1" applyBorder="1" applyAlignment="1">
      <alignment horizontal="left" vertical="center"/>
    </xf>
    <xf numFmtId="0" fontId="0" fillId="0" borderId="335" xfId="0" applyBorder="1" applyAlignment="1">
      <alignment vertical="center"/>
    </xf>
    <xf numFmtId="0" fontId="0" fillId="0" borderId="377" xfId="0" applyBorder="1">
      <alignment horizontal="center" vertical="center"/>
    </xf>
    <xf numFmtId="0" fontId="4" fillId="0" borderId="355" xfId="0" applyFont="1" applyBorder="1" applyAlignment="1">
      <alignment horizontal="left" vertical="center"/>
    </xf>
    <xf numFmtId="0" fontId="0" fillId="0" borderId="356" xfId="0" applyBorder="1">
      <alignment horizontal="center" vertical="center"/>
    </xf>
    <xf numFmtId="0" fontId="0" fillId="0" borderId="364" xfId="0" applyBorder="1" applyAlignment="1">
      <alignment vertical="center"/>
    </xf>
    <xf numFmtId="0" fontId="0" fillId="0" borderId="378" xfId="0" applyBorder="1">
      <alignment horizontal="center" vertical="center"/>
    </xf>
    <xf numFmtId="0" fontId="4" fillId="0" borderId="364" xfId="0" applyFont="1" applyBorder="1">
      <alignment horizontal="center" vertical="center"/>
    </xf>
    <xf numFmtId="0" fontId="0" fillId="0" borderId="356" xfId="0" applyBorder="1" applyAlignment="1">
      <alignment horizontal="left" vertical="center"/>
    </xf>
    <xf numFmtId="0" fontId="7" fillId="0" borderId="356" xfId="0" applyFont="1" applyBorder="1">
      <alignment horizontal="center" vertical="center"/>
    </xf>
    <xf numFmtId="0" fontId="4" fillId="0" borderId="356" xfId="0" applyFont="1" applyBorder="1" applyAlignment="1">
      <alignment horizontal="left" vertical="center"/>
    </xf>
    <xf numFmtId="0" fontId="0" fillId="0" borderId="379" xfId="0" applyBorder="1">
      <alignment horizontal="center" vertical="center"/>
    </xf>
    <xf numFmtId="0" fontId="0" fillId="0" borderId="352" xfId="0" applyBorder="1" applyAlignment="1" applyProtection="1">
      <alignment horizontal="center"/>
      <protection locked="0"/>
    </xf>
    <xf numFmtId="0" fontId="0" fillId="22" borderId="380" xfId="0" applyFill="1" applyBorder="1" applyAlignment="1" applyProtection="1">
      <alignment horizontal="center"/>
      <protection locked="0"/>
    </xf>
    <xf numFmtId="0" fontId="0" fillId="19" borderId="367" xfId="10" applyFont="1" applyFill="1" applyBorder="1">
      <alignment horizontal="center" vertical="center"/>
    </xf>
    <xf numFmtId="0" fontId="0" fillId="25" borderId="367" xfId="10" applyFont="1" applyFill="1" applyBorder="1">
      <alignment horizontal="center" vertical="center"/>
    </xf>
    <xf numFmtId="0" fontId="0" fillId="19" borderId="381" xfId="0" applyFill="1" applyBorder="1">
      <alignment horizontal="center" vertical="center"/>
    </xf>
    <xf numFmtId="0" fontId="0" fillId="22" borderId="365" xfId="0" applyFill="1" applyBorder="1" applyAlignment="1" applyProtection="1">
      <alignment horizontal="center"/>
      <protection locked="0"/>
    </xf>
    <xf numFmtId="0" fontId="0" fillId="0" borderId="363" xfId="0" applyBorder="1" applyAlignment="1">
      <alignment horizontal="left" vertical="center"/>
    </xf>
    <xf numFmtId="0" fontId="0" fillId="19" borderId="363" xfId="6" applyFont="1" applyFill="1" applyBorder="1">
      <alignment horizontal="center" vertical="center"/>
    </xf>
    <xf numFmtId="49" fontId="0" fillId="19" borderId="374" xfId="0" applyNumberFormat="1" applyFill="1" applyBorder="1">
      <alignment horizontal="center" vertical="center"/>
    </xf>
    <xf numFmtId="49" fontId="0" fillId="19" borderId="367" xfId="0" applyNumberFormat="1" applyFill="1" applyBorder="1">
      <alignment horizontal="center" vertical="center"/>
    </xf>
    <xf numFmtId="0" fontId="0" fillId="19" borderId="367" xfId="0" applyFill="1" applyBorder="1">
      <alignment horizontal="center" vertical="center"/>
    </xf>
    <xf numFmtId="0" fontId="17" fillId="29" borderId="367" xfId="11" applyBorder="1">
      <alignment horizontal="center" vertical="center"/>
    </xf>
    <xf numFmtId="49" fontId="0" fillId="19" borderId="381" xfId="0" applyNumberFormat="1" applyFill="1" applyBorder="1">
      <alignment horizontal="center" vertical="center"/>
    </xf>
    <xf numFmtId="0" fontId="0" fillId="0" borderId="363" xfId="0" applyBorder="1" applyAlignment="1">
      <alignment vertical="center"/>
    </xf>
    <xf numFmtId="0" fontId="0" fillId="27" borderId="363" xfId="6" applyFont="1" applyFill="1" applyBorder="1">
      <alignment horizontal="center" vertical="center"/>
    </xf>
    <xf numFmtId="0" fontId="45" fillId="23" borderId="367" xfId="5" applyBorder="1">
      <alignment horizontal="center" vertical="center"/>
    </xf>
    <xf numFmtId="0" fontId="17" fillId="29" borderId="363" xfId="11" applyBorder="1">
      <alignment horizontal="center" vertical="center"/>
    </xf>
    <xf numFmtId="0" fontId="0" fillId="19" borderId="374" xfId="6" applyFont="1" applyFill="1" applyBorder="1">
      <alignment horizontal="center" vertical="center"/>
    </xf>
    <xf numFmtId="0" fontId="4" fillId="0" borderId="367" xfId="0" applyFont="1" applyBorder="1" applyAlignment="1">
      <alignment horizontal="center"/>
    </xf>
    <xf numFmtId="0" fontId="0" fillId="0" borderId="367" xfId="0" applyBorder="1">
      <alignment horizontal="center" vertical="center"/>
    </xf>
    <xf numFmtId="0" fontId="6" fillId="0" borderId="367" xfId="0" applyFont="1" applyBorder="1">
      <alignment horizontal="center" vertical="center"/>
    </xf>
    <xf numFmtId="0" fontId="4" fillId="0" borderId="352" xfId="0" applyFont="1" applyBorder="1" applyAlignment="1">
      <alignment horizontal="center"/>
    </xf>
    <xf numFmtId="0" fontId="5" fillId="0" borderId="367" xfId="0" applyFont="1" applyBorder="1" applyAlignment="1">
      <alignment horizontal="left"/>
    </xf>
    <xf numFmtId="0" fontId="6" fillId="0" borderId="335" xfId="0" applyFont="1" applyBorder="1">
      <alignment horizontal="center" vertical="center"/>
    </xf>
    <xf numFmtId="0" fontId="0" fillId="0" borderId="367" xfId="0" applyBorder="1" applyAlignment="1">
      <alignment horizontal="center"/>
    </xf>
    <xf numFmtId="0" fontId="0" fillId="0" borderId="335" xfId="0" applyBorder="1" applyAlignment="1">
      <alignment horizontal="left"/>
    </xf>
    <xf numFmtId="0" fontId="0" fillId="22" borderId="367" xfId="0" applyFill="1" applyBorder="1" applyAlignment="1" applyProtection="1">
      <alignment horizontal="center"/>
      <protection locked="0"/>
    </xf>
    <xf numFmtId="0" fontId="0" fillId="0" borderId="362" xfId="0" applyBorder="1" applyAlignment="1">
      <alignment horizontal="left"/>
    </xf>
    <xf numFmtId="0" fontId="0" fillId="0" borderId="371" xfId="0" applyBorder="1" applyAlignment="1">
      <alignment horizontal="left"/>
    </xf>
    <xf numFmtId="0" fontId="6" fillId="0" borderId="372" xfId="0" applyFont="1" applyBorder="1" applyAlignment="1">
      <alignment horizontal="left"/>
    </xf>
    <xf numFmtId="0" fontId="6" fillId="0" borderId="371" xfId="0" applyFont="1" applyBorder="1" applyAlignment="1">
      <alignment horizontal="left"/>
    </xf>
    <xf numFmtId="0" fontId="6" fillId="0" borderId="337" xfId="0" applyFont="1" applyBorder="1" applyAlignment="1">
      <alignment horizontal="left"/>
    </xf>
    <xf numFmtId="0" fontId="5" fillId="0" borderId="335" xfId="0" applyFont="1" applyBorder="1" applyAlignment="1">
      <alignment horizontal="left"/>
    </xf>
    <xf numFmtId="0" fontId="11" fillId="0" borderId="367" xfId="0" applyFont="1" applyBorder="1" applyAlignment="1" applyProtection="1">
      <alignment horizontal="center"/>
      <protection locked="0"/>
    </xf>
    <xf numFmtId="0" fontId="0" fillId="0" borderId="367" xfId="0" applyBorder="1" applyAlignment="1">
      <alignment horizontal="left"/>
    </xf>
    <xf numFmtId="0" fontId="6" fillId="0" borderId="367" xfId="0" applyFont="1" applyBorder="1" applyAlignment="1">
      <alignment horizontal="left"/>
    </xf>
    <xf numFmtId="0" fontId="0" fillId="27" borderId="116" xfId="11" applyFont="1" applyFill="1" applyBorder="1">
      <alignment horizontal="center" vertical="center"/>
    </xf>
    <xf numFmtId="0" fontId="17" fillId="27" borderId="363" xfId="9" applyBorder="1">
      <alignment horizontal="center" vertical="center"/>
    </xf>
    <xf numFmtId="0" fontId="17" fillId="27" borderId="367" xfId="9" applyBorder="1">
      <alignment horizontal="center" vertical="center"/>
    </xf>
    <xf numFmtId="0" fontId="6" fillId="19" borderId="367" xfId="0" applyFont="1" applyFill="1" applyBorder="1">
      <alignment horizontal="center" vertical="center"/>
    </xf>
    <xf numFmtId="0" fontId="17" fillId="19" borderId="367" xfId="9" applyFill="1" applyBorder="1">
      <alignment horizontal="center" vertical="center"/>
    </xf>
    <xf numFmtId="49" fontId="6" fillId="19" borderId="367" xfId="7" applyNumberFormat="1" applyFill="1" applyBorder="1">
      <alignment horizontal="center" vertical="center"/>
    </xf>
    <xf numFmtId="49" fontId="6" fillId="19" borderId="367" xfId="3" applyNumberFormat="1" applyFont="1" applyFill="1" applyBorder="1" applyAlignment="1">
      <alignment horizontal="center" vertical="center"/>
    </xf>
    <xf numFmtId="0" fontId="0" fillId="28" borderId="275" xfId="12" applyFont="1" applyFill="1" applyBorder="1">
      <alignment horizontal="center" vertical="center"/>
    </xf>
    <xf numFmtId="0" fontId="17" fillId="29" borderId="275" xfId="11" applyBorder="1">
      <alignment horizontal="center" vertical="center"/>
    </xf>
    <xf numFmtId="0" fontId="17" fillId="28" borderId="367" xfId="10" applyBorder="1">
      <alignment horizontal="center" vertical="center"/>
    </xf>
    <xf numFmtId="0" fontId="17" fillId="28" borderId="222" xfId="10" applyBorder="1">
      <alignment horizontal="center" vertical="center"/>
    </xf>
    <xf numFmtId="0" fontId="0" fillId="19" borderId="275" xfId="0" applyFill="1" applyBorder="1" applyAlignment="1">
      <alignment vertical="center"/>
    </xf>
    <xf numFmtId="0" fontId="0" fillId="24" borderId="275" xfId="0" applyFill="1" applyBorder="1">
      <alignment horizontal="center" vertical="center"/>
    </xf>
    <xf numFmtId="0" fontId="6" fillId="0" borderId="382" xfId="7" applyBorder="1">
      <alignment horizontal="center" vertical="center"/>
    </xf>
    <xf numFmtId="0" fontId="6" fillId="0" borderId="383" xfId="7" applyBorder="1">
      <alignment horizontal="center" vertical="center"/>
    </xf>
    <xf numFmtId="0" fontId="6" fillId="0" borderId="384" xfId="7" applyBorder="1">
      <alignment horizontal="center" vertical="center"/>
    </xf>
    <xf numFmtId="0" fontId="0" fillId="19" borderId="367" xfId="12" applyFont="1" applyFill="1" applyBorder="1">
      <alignment horizontal="center" vertical="center"/>
    </xf>
    <xf numFmtId="0" fontId="0" fillId="19" borderId="367" xfId="1" applyFont="1" applyFill="1" applyBorder="1" applyAlignment="1">
      <alignment horizontal="center" vertical="center"/>
    </xf>
    <xf numFmtId="0" fontId="0" fillId="19" borderId="367" xfId="8" applyFont="1" applyFill="1" applyBorder="1">
      <alignment horizontal="center" vertical="center"/>
    </xf>
    <xf numFmtId="0" fontId="0" fillId="19" borderId="367" xfId="0" applyFill="1" applyBorder="1" applyAlignment="1">
      <alignment horizontal="left" vertical="center"/>
    </xf>
    <xf numFmtId="0" fontId="13" fillId="19" borderId="367" xfId="0" applyFont="1" applyFill="1" applyBorder="1" applyAlignment="1">
      <alignment horizontal="left" vertical="center"/>
    </xf>
    <xf numFmtId="0" fontId="4" fillId="0" borderId="367" xfId="0" applyFont="1" applyBorder="1" applyAlignment="1" applyProtection="1">
      <alignment horizontal="center"/>
      <protection locked="0"/>
    </xf>
    <xf numFmtId="0" fontId="0" fillId="19" borderId="352" xfId="0" applyFill="1" applyBorder="1" applyAlignment="1">
      <alignment horizontal="left" vertical="center"/>
    </xf>
    <xf numFmtId="0" fontId="6" fillId="0" borderId="352" xfId="7" applyBorder="1">
      <alignment horizontal="center" vertical="center"/>
    </xf>
    <xf numFmtId="0" fontId="0" fillId="19" borderId="352" xfId="12" applyFont="1" applyFill="1" applyBorder="1">
      <alignment horizontal="center" vertical="center"/>
    </xf>
    <xf numFmtId="0" fontId="0" fillId="19" borderId="353" xfId="12" applyFont="1" applyFill="1" applyBorder="1">
      <alignment horizontal="center" vertical="center"/>
    </xf>
    <xf numFmtId="0" fontId="4" fillId="0" borderId="335" xfId="0" applyFont="1" applyBorder="1" applyAlignment="1" applyProtection="1">
      <alignment horizontal="center"/>
      <protection locked="0"/>
    </xf>
    <xf numFmtId="0" fontId="12" fillId="0" borderId="275" xfId="14" applyBorder="1"/>
    <xf numFmtId="0" fontId="12" fillId="0" borderId="291" xfId="14" applyBorder="1"/>
    <xf numFmtId="0" fontId="12" fillId="0" borderId="385" xfId="14" applyBorder="1"/>
    <xf numFmtId="0" fontId="12" fillId="0" borderId="328" xfId="14" applyBorder="1"/>
    <xf numFmtId="0" fontId="0" fillId="0" borderId="386" xfId="0" applyBorder="1" applyAlignment="1">
      <alignment horizontal="left" vertical="center"/>
    </xf>
    <xf numFmtId="0" fontId="0" fillId="19" borderId="386" xfId="0" applyFill="1" applyBorder="1">
      <alignment horizontal="center" vertical="center"/>
    </xf>
    <xf numFmtId="0" fontId="0" fillId="19" borderId="387" xfId="7" applyFont="1" applyFill="1" applyBorder="1">
      <alignment horizontal="center" vertical="center"/>
    </xf>
    <xf numFmtId="0" fontId="0" fillId="19" borderId="388" xfId="0" applyFill="1" applyBorder="1">
      <alignment horizontal="center" vertical="center"/>
    </xf>
    <xf numFmtId="0" fontId="6" fillId="0" borderId="389" xfId="7" applyBorder="1" applyAlignment="1">
      <alignment horizontal="center"/>
    </xf>
    <xf numFmtId="0" fontId="4" fillId="0" borderId="335" xfId="7" applyFont="1" applyBorder="1" applyAlignment="1">
      <alignment horizontal="left"/>
    </xf>
    <xf numFmtId="0" fontId="6" fillId="0" borderId="336" xfId="7" applyBorder="1">
      <alignment horizontal="center" vertical="center"/>
    </xf>
    <xf numFmtId="0" fontId="6" fillId="0" borderId="337" xfId="7" applyBorder="1" applyAlignment="1">
      <alignment horizontal="left"/>
    </xf>
    <xf numFmtId="0" fontId="6" fillId="0" borderId="336" xfId="7" applyBorder="1" applyAlignment="1">
      <alignment horizontal="left"/>
    </xf>
    <xf numFmtId="0" fontId="4" fillId="0" borderId="336" xfId="7" applyFont="1" applyBorder="1" applyAlignment="1">
      <alignment horizontal="left"/>
    </xf>
    <xf numFmtId="0" fontId="6" fillId="0" borderId="335" xfId="7" applyBorder="1">
      <alignment horizontal="center" vertical="center"/>
    </xf>
    <xf numFmtId="0" fontId="6" fillId="0" borderId="336" xfId="7" applyBorder="1" applyAlignment="1">
      <alignment vertical="center"/>
    </xf>
    <xf numFmtId="0" fontId="6" fillId="0" borderId="336" xfId="7" applyBorder="1" applyAlignment="1">
      <alignment horizontal="left" vertical="center"/>
    </xf>
    <xf numFmtId="0" fontId="6" fillId="0" borderId="338" xfId="7" applyBorder="1" applyAlignment="1">
      <alignment vertical="center"/>
    </xf>
    <xf numFmtId="0" fontId="6" fillId="0" borderId="390" xfId="7" applyBorder="1">
      <alignment horizontal="center" vertical="center"/>
    </xf>
    <xf numFmtId="0" fontId="6" fillId="0" borderId="338" xfId="7" applyBorder="1">
      <alignment horizontal="center" vertical="center"/>
    </xf>
    <xf numFmtId="0" fontId="6" fillId="0" borderId="355" xfId="7" applyBorder="1" applyAlignment="1">
      <alignment horizontal="center"/>
    </xf>
    <xf numFmtId="0" fontId="4" fillId="0" borderId="364" xfId="7" applyFont="1" applyBorder="1" applyAlignment="1">
      <alignment horizontal="left"/>
    </xf>
    <xf numFmtId="0" fontId="6" fillId="0" borderId="391" xfId="7" applyBorder="1">
      <alignment horizontal="center" vertical="center"/>
    </xf>
    <xf numFmtId="0" fontId="6" fillId="0" borderId="356" xfId="7" applyBorder="1">
      <alignment horizontal="center" vertical="center"/>
    </xf>
    <xf numFmtId="0" fontId="6" fillId="0" borderId="378" xfId="7" applyBorder="1" applyAlignment="1">
      <alignment horizontal="left"/>
    </xf>
    <xf numFmtId="0" fontId="6" fillId="0" borderId="392" xfId="7" applyBorder="1" applyAlignment="1">
      <alignment horizontal="left"/>
    </xf>
    <xf numFmtId="0" fontId="4" fillId="0" borderId="393" xfId="7" applyFont="1" applyBorder="1" applyAlignment="1">
      <alignment horizontal="left"/>
    </xf>
    <xf numFmtId="0" fontId="6" fillId="0" borderId="356" xfId="7" applyBorder="1" applyAlignment="1">
      <alignment horizontal="left"/>
    </xf>
    <xf numFmtId="0" fontId="6" fillId="0" borderId="364" xfId="7" applyBorder="1">
      <alignment horizontal="center" vertical="center"/>
    </xf>
    <xf numFmtId="0" fontId="6" fillId="0" borderId="379" xfId="7" applyBorder="1">
      <alignment horizontal="center" vertical="center"/>
    </xf>
    <xf numFmtId="0" fontId="4" fillId="0" borderId="352" xfId="7" applyFont="1" applyBorder="1" applyProtection="1">
      <alignment horizontal="center" vertical="center"/>
      <protection locked="0"/>
    </xf>
    <xf numFmtId="0" fontId="5" fillId="0" borderId="352" xfId="7" applyFont="1" applyBorder="1">
      <alignment horizontal="center" vertical="center"/>
    </xf>
    <xf numFmtId="0" fontId="4" fillId="22" borderId="42" xfId="7" applyFont="1" applyFill="1" applyBorder="1">
      <alignment horizontal="center" vertical="center"/>
    </xf>
    <xf numFmtId="49" fontId="6" fillId="25" borderId="42" xfId="7" applyNumberFormat="1" applyFill="1" applyBorder="1">
      <alignment horizontal="center" vertical="center"/>
    </xf>
    <xf numFmtId="0" fontId="6" fillId="25" borderId="42" xfId="8" applyFont="1" applyBorder="1">
      <alignment horizontal="center" vertical="center"/>
    </xf>
    <xf numFmtId="0" fontId="4" fillId="22" borderId="367" xfId="7" applyFont="1" applyFill="1" applyBorder="1">
      <alignment horizontal="center" vertical="center"/>
    </xf>
    <xf numFmtId="0" fontId="6" fillId="19" borderId="367" xfId="6" applyFont="1" applyFill="1" applyBorder="1">
      <alignment horizontal="center" vertical="center"/>
    </xf>
    <xf numFmtId="0" fontId="6" fillId="19" borderId="367" xfId="7" applyFill="1" applyBorder="1">
      <alignment horizontal="center" vertical="center"/>
    </xf>
    <xf numFmtId="49" fontId="0" fillId="19" borderId="367" xfId="3" applyNumberFormat="1" applyFont="1" applyFill="1" applyBorder="1" applyAlignment="1">
      <alignment horizontal="center" vertical="center"/>
    </xf>
    <xf numFmtId="49" fontId="6" fillId="19" borderId="381" xfId="3" applyNumberFormat="1" applyFont="1" applyFill="1" applyBorder="1" applyAlignment="1">
      <alignment horizontal="center" vertical="center"/>
    </xf>
    <xf numFmtId="0" fontId="0" fillId="0" borderId="367" xfId="7" applyFont="1" applyBorder="1" applyAlignment="1">
      <alignment vertical="center"/>
    </xf>
    <xf numFmtId="49" fontId="6" fillId="27" borderId="367" xfId="7" applyNumberFormat="1" applyFill="1" applyBorder="1">
      <alignment horizontal="center" vertical="center"/>
    </xf>
    <xf numFmtId="0" fontId="6" fillId="27" borderId="367" xfId="7" applyFill="1" applyBorder="1">
      <alignment horizontal="center" vertical="center"/>
    </xf>
    <xf numFmtId="49" fontId="6" fillId="19" borderId="381" xfId="7" applyNumberFormat="1" applyFill="1" applyBorder="1">
      <alignment horizontal="center" vertical="center"/>
    </xf>
    <xf numFmtId="0" fontId="4" fillId="22" borderId="363" xfId="7" applyFont="1" applyFill="1" applyBorder="1">
      <alignment horizontal="center" vertical="center"/>
    </xf>
    <xf numFmtId="0" fontId="0" fillId="0" borderId="363" xfId="7" applyFont="1" applyBorder="1" applyAlignment="1">
      <alignment vertical="center"/>
    </xf>
    <xf numFmtId="0" fontId="6" fillId="19" borderId="363" xfId="13" applyFont="1" applyFill="1" applyBorder="1">
      <alignment horizontal="center" vertical="center"/>
    </xf>
    <xf numFmtId="49" fontId="6" fillId="19" borderId="374" xfId="7" applyNumberFormat="1" applyFill="1" applyBorder="1">
      <alignment horizontal="center" vertical="center"/>
    </xf>
    <xf numFmtId="0" fontId="4" fillId="0" borderId="380" xfId="0" applyFont="1" applyBorder="1" applyAlignment="1">
      <alignment horizontal="center"/>
    </xf>
    <xf numFmtId="0" fontId="6" fillId="0" borderId="335" xfId="0" applyFont="1" applyBorder="1" applyAlignment="1">
      <alignment horizontal="left" vertical="center"/>
    </xf>
    <xf numFmtId="0" fontId="6" fillId="0" borderId="336" xfId="0" applyFont="1" applyBorder="1" applyAlignment="1">
      <alignment horizontal="left" vertical="center"/>
    </xf>
    <xf numFmtId="0" fontId="6" fillId="0" borderId="338" xfId="0" applyFont="1" applyBorder="1" applyAlignment="1">
      <alignment horizontal="left" vertical="center"/>
    </xf>
    <xf numFmtId="0" fontId="0" fillId="0" borderId="389" xfId="0" applyBorder="1" applyAlignment="1">
      <alignment horizontal="center"/>
    </xf>
    <xf numFmtId="0" fontId="0" fillId="0" borderId="336" xfId="0" applyBorder="1" applyAlignment="1"/>
    <xf numFmtId="0" fontId="4" fillId="0" borderId="336" xfId="0" applyFont="1" applyBorder="1" applyAlignment="1"/>
    <xf numFmtId="0" fontId="4" fillId="0" borderId="337" xfId="0" applyFont="1" applyBorder="1" applyAlignment="1">
      <alignment horizontal="left"/>
    </xf>
    <xf numFmtId="0" fontId="0" fillId="0" borderId="335" xfId="0" applyBorder="1" applyAlignment="1">
      <alignment horizontal="center"/>
    </xf>
    <xf numFmtId="0" fontId="0" fillId="0" borderId="338" xfId="0" applyBorder="1" applyAlignment="1"/>
    <xf numFmtId="0" fontId="4" fillId="0" borderId="362" xfId="0" applyFont="1" applyBorder="1" applyAlignment="1">
      <alignment horizontal="left"/>
    </xf>
    <xf numFmtId="0" fontId="0" fillId="0" borderId="371" xfId="0" applyBorder="1" applyAlignment="1"/>
    <xf numFmtId="0" fontId="0" fillId="0" borderId="372" xfId="0" applyBorder="1" applyAlignment="1">
      <alignment horizontal="left"/>
    </xf>
    <xf numFmtId="0" fontId="9" fillId="0" borderId="362" xfId="0" applyFont="1" applyBorder="1" applyAlignment="1">
      <alignment horizontal="center"/>
    </xf>
    <xf numFmtId="0" fontId="0" fillId="0" borderId="377" xfId="0" applyBorder="1" applyAlignment="1"/>
    <xf numFmtId="0" fontId="0" fillId="0" borderId="355" xfId="0" applyBorder="1" applyAlignment="1">
      <alignment horizontal="center"/>
    </xf>
    <xf numFmtId="0" fontId="4" fillId="0" borderId="364" xfId="0" applyFont="1" applyBorder="1" applyAlignment="1">
      <alignment horizontal="left"/>
    </xf>
    <xf numFmtId="0" fontId="6" fillId="0" borderId="356" xfId="0" applyFont="1" applyBorder="1" applyAlignment="1">
      <alignment horizontal="left" vertical="center"/>
    </xf>
    <xf numFmtId="0" fontId="6" fillId="0" borderId="356" xfId="0" applyFont="1" applyBorder="1">
      <alignment horizontal="center" vertical="center"/>
    </xf>
    <xf numFmtId="0" fontId="6" fillId="0" borderId="378" xfId="0" applyFont="1" applyBorder="1">
      <alignment horizontal="center" vertical="center"/>
    </xf>
    <xf numFmtId="0" fontId="6" fillId="0" borderId="364" xfId="0" applyFont="1" applyBorder="1" applyAlignment="1">
      <alignment horizontal="left" vertical="center"/>
    </xf>
    <xf numFmtId="0" fontId="6" fillId="0" borderId="356" xfId="0" applyFont="1" applyBorder="1" applyAlignment="1">
      <alignment horizontal="left"/>
    </xf>
    <xf numFmtId="0" fontId="6" fillId="0" borderId="378" xfId="0" applyFont="1" applyBorder="1" applyAlignment="1">
      <alignment horizontal="left" vertical="center"/>
    </xf>
    <xf numFmtId="0" fontId="0" fillId="0" borderId="356" xfId="0" applyBorder="1" applyAlignment="1">
      <alignment horizontal="left"/>
    </xf>
    <xf numFmtId="0" fontId="0" fillId="0" borderId="379" xfId="0" applyBorder="1" applyAlignment="1"/>
    <xf numFmtId="0" fontId="4" fillId="22" borderId="367" xfId="0" applyFont="1" applyFill="1" applyBorder="1" applyAlignment="1">
      <alignment horizontal="center"/>
    </xf>
    <xf numFmtId="49" fontId="0" fillId="70" borderId="367" xfId="0" applyNumberFormat="1" applyFill="1" applyBorder="1">
      <alignment horizontal="center" vertical="center"/>
    </xf>
    <xf numFmtId="49" fontId="0" fillId="25" borderId="367" xfId="0" applyNumberFormat="1" applyFill="1" applyBorder="1">
      <alignment horizontal="center" vertical="center"/>
    </xf>
    <xf numFmtId="0" fontId="0" fillId="25" borderId="367" xfId="0" applyFill="1" applyBorder="1">
      <alignment horizontal="center" vertical="center"/>
    </xf>
    <xf numFmtId="0" fontId="0" fillId="19" borderId="381" xfId="6" applyFont="1" applyFill="1" applyBorder="1">
      <alignment horizontal="center" vertical="center"/>
    </xf>
    <xf numFmtId="0" fontId="0" fillId="60" borderId="367" xfId="0" applyFill="1" applyBorder="1">
      <alignment horizontal="center" vertical="center"/>
    </xf>
    <xf numFmtId="0" fontId="0" fillId="19" borderId="381" xfId="8" applyFont="1" applyFill="1" applyBorder="1">
      <alignment horizontal="center" vertical="center"/>
    </xf>
    <xf numFmtId="0" fontId="4" fillId="22" borderId="363" xfId="0" applyFont="1" applyFill="1" applyBorder="1" applyAlignment="1">
      <alignment horizontal="center"/>
    </xf>
    <xf numFmtId="0" fontId="0" fillId="19" borderId="363" xfId="0" applyFill="1" applyBorder="1" applyAlignment="1">
      <alignment horizontal="left" vertical="center"/>
    </xf>
    <xf numFmtId="0" fontId="0" fillId="19" borderId="363" xfId="12" applyFont="1" applyFill="1" applyBorder="1">
      <alignment horizontal="center" vertical="center"/>
    </xf>
    <xf numFmtId="0" fontId="0" fillId="19" borderId="363" xfId="1" applyFont="1" applyFill="1" applyBorder="1" applyAlignment="1">
      <alignment horizontal="center" vertical="center"/>
    </xf>
    <xf numFmtId="0" fontId="0" fillId="19" borderId="363" xfId="8" applyFont="1" applyFill="1" applyBorder="1">
      <alignment horizontal="center" vertical="center"/>
    </xf>
    <xf numFmtId="0" fontId="0" fillId="19" borderId="374" xfId="8" applyFont="1" applyFill="1" applyBorder="1">
      <alignment horizontal="center" vertical="center"/>
    </xf>
    <xf numFmtId="0" fontId="0" fillId="0" borderId="364" xfId="0" applyBorder="1" applyAlignment="1">
      <alignment horizontal="left"/>
    </xf>
    <xf numFmtId="0" fontId="0" fillId="0" borderId="356" xfId="0" applyBorder="1" applyAlignment="1"/>
    <xf numFmtId="0" fontId="0" fillId="0" borderId="378" xfId="0" applyBorder="1" applyAlignment="1">
      <alignment horizontal="left"/>
    </xf>
    <xf numFmtId="0" fontId="0" fillId="0" borderId="364" xfId="0" applyBorder="1" applyAlignment="1">
      <alignment horizontal="center"/>
    </xf>
    <xf numFmtId="0" fontId="0" fillId="24" borderId="275" xfId="6" applyFont="1" applyBorder="1">
      <alignment horizontal="center" vertical="center"/>
    </xf>
    <xf numFmtId="49" fontId="0" fillId="27" borderId="275" xfId="0" applyNumberFormat="1" applyFill="1" applyBorder="1">
      <alignment horizontal="center" vertical="center"/>
    </xf>
    <xf numFmtId="0" fontId="0" fillId="19" borderId="275" xfId="9" applyFont="1" applyFill="1" applyBorder="1">
      <alignment horizontal="center" vertical="center"/>
    </xf>
    <xf numFmtId="0" fontId="12" fillId="0" borderId="335" xfId="0" applyFont="1" applyBorder="1" applyAlignment="1">
      <alignment horizontal="left"/>
    </xf>
    <xf numFmtId="0" fontId="4" fillId="0" borderId="336" xfId="0" applyFont="1" applyBorder="1">
      <alignment horizontal="center" vertical="center"/>
    </xf>
    <xf numFmtId="164" fontId="9" fillId="0" borderId="364" xfId="0" applyNumberFormat="1" applyFont="1" applyBorder="1" applyAlignment="1">
      <alignment horizontal="center"/>
    </xf>
    <xf numFmtId="0" fontId="6" fillId="19" borderId="367" xfId="0" applyFont="1" applyFill="1" applyBorder="1" applyAlignment="1">
      <alignment vertical="center"/>
    </xf>
    <xf numFmtId="49" fontId="6" fillId="19" borderId="367" xfId="0" applyNumberFormat="1" applyFont="1" applyFill="1" applyBorder="1">
      <alignment horizontal="center" vertical="center"/>
    </xf>
    <xf numFmtId="0" fontId="6" fillId="19" borderId="381" xfId="0" applyFont="1" applyFill="1" applyBorder="1">
      <alignment horizontal="center" vertical="center"/>
    </xf>
    <xf numFmtId="0" fontId="0" fillId="19" borderId="367" xfId="0" applyFill="1" applyBorder="1" applyAlignment="1">
      <alignment vertical="center"/>
    </xf>
    <xf numFmtId="0" fontId="0" fillId="0" borderId="352" xfId="0" applyBorder="1" applyAlignment="1">
      <alignment horizontal="left" vertical="center"/>
    </xf>
    <xf numFmtId="0" fontId="6" fillId="19" borderId="352" xfId="0" applyFont="1" applyFill="1" applyBorder="1">
      <alignment horizontal="center" vertical="center"/>
    </xf>
    <xf numFmtId="0" fontId="17" fillId="25" borderId="352" xfId="8" applyBorder="1">
      <alignment horizontal="center" vertical="center"/>
    </xf>
    <xf numFmtId="0" fontId="6" fillId="19" borderId="353" xfId="0" applyFont="1" applyFill="1" applyBorder="1">
      <alignment horizontal="center" vertical="center"/>
    </xf>
    <xf numFmtId="0" fontId="0" fillId="0" borderId="275" xfId="0" applyBorder="1" applyAlignment="1"/>
    <xf numFmtId="49" fontId="6" fillId="0" borderId="275" xfId="0" applyNumberFormat="1" applyFont="1" applyBorder="1">
      <alignment horizontal="center" vertical="center"/>
    </xf>
    <xf numFmtId="0" fontId="4" fillId="0" borderId="275" xfId="0" applyFont="1" applyBorder="1" applyAlignment="1">
      <alignment horizontal="left"/>
    </xf>
    <xf numFmtId="49" fontId="18" fillId="0" borderId="275" xfId="0" applyNumberFormat="1" applyFont="1" applyBorder="1">
      <alignment horizontal="center" vertical="center"/>
    </xf>
    <xf numFmtId="0" fontId="18" fillId="0" borderId="275" xfId="0" applyFont="1" applyBorder="1" applyAlignment="1">
      <alignment horizontal="left" vertical="center"/>
    </xf>
    <xf numFmtId="0" fontId="18" fillId="0" borderId="275" xfId="0" applyFont="1" applyBorder="1">
      <alignment horizontal="center" vertical="center"/>
    </xf>
    <xf numFmtId="0" fontId="6" fillId="0" borderId="275" xfId="0" applyFont="1" applyBorder="1">
      <alignment horizontal="center" vertical="center"/>
    </xf>
    <xf numFmtId="49" fontId="0" fillId="0" borderId="275" xfId="0" applyNumberFormat="1" applyBorder="1">
      <alignment horizontal="center" vertical="center"/>
    </xf>
    <xf numFmtId="0" fontId="0" fillId="18" borderId="386" xfId="0" applyFill="1" applyBorder="1">
      <alignment horizontal="center" vertical="center"/>
    </xf>
    <xf numFmtId="0" fontId="6" fillId="32" borderId="275" xfId="15" applyBorder="1">
      <alignment horizontal="center" vertical="center"/>
    </xf>
    <xf numFmtId="49" fontId="0" fillId="25" borderId="275" xfId="0" applyNumberFormat="1" applyFill="1" applyBorder="1">
      <alignment horizontal="center" vertical="center"/>
    </xf>
    <xf numFmtId="0" fontId="0" fillId="19" borderId="258" xfId="0" applyFill="1" applyBorder="1" applyAlignment="1">
      <alignment horizontal="left" vertical="center"/>
    </xf>
    <xf numFmtId="49" fontId="0" fillId="19" borderId="258" xfId="0" applyNumberFormat="1" applyFill="1" applyBorder="1">
      <alignment horizontal="center" vertical="center"/>
    </xf>
    <xf numFmtId="49" fontId="0" fillId="19" borderId="394" xfId="0" applyNumberFormat="1" applyFill="1" applyBorder="1">
      <alignment horizontal="center" vertical="center"/>
    </xf>
    <xf numFmtId="0" fontId="0" fillId="0" borderId="395" xfId="0" applyBorder="1" applyAlignment="1">
      <alignment horizontal="left" vertical="center"/>
    </xf>
    <xf numFmtId="0" fontId="0" fillId="0" borderId="396" xfId="0" applyBorder="1" applyAlignment="1">
      <alignment horizontal="left" vertical="center"/>
    </xf>
    <xf numFmtId="0" fontId="4" fillId="0" borderId="397" xfId="0" applyFont="1" applyBorder="1" applyAlignment="1">
      <alignment horizontal="left" vertical="center"/>
    </xf>
    <xf numFmtId="0" fontId="0" fillId="0" borderId="398" xfId="0" applyBorder="1" applyAlignment="1">
      <alignment horizontal="left" vertical="center"/>
    </xf>
    <xf numFmtId="0" fontId="4" fillId="0" borderId="395" xfId="0" applyFont="1" applyBorder="1" applyAlignment="1">
      <alignment horizontal="left" vertical="center"/>
    </xf>
    <xf numFmtId="0" fontId="4" fillId="0" borderId="275" xfId="0" applyFont="1" applyBorder="1">
      <alignment horizontal="center" vertical="center"/>
    </xf>
    <xf numFmtId="0" fontId="0" fillId="0" borderId="291" xfId="0" applyBorder="1" applyAlignment="1">
      <alignment horizontal="left" vertical="center"/>
    </xf>
    <xf numFmtId="0" fontId="0" fillId="0" borderId="385" xfId="0" applyBorder="1" applyAlignment="1">
      <alignment horizontal="left" vertical="center"/>
    </xf>
    <xf numFmtId="0" fontId="0" fillId="0" borderId="255" xfId="0" applyBorder="1" applyAlignment="1">
      <alignment horizontal="left" vertical="center"/>
    </xf>
    <xf numFmtId="0" fontId="0" fillId="0" borderId="257" xfId="0" applyBorder="1" applyAlignment="1">
      <alignment horizontal="left" vertical="center"/>
    </xf>
    <xf numFmtId="0" fontId="0" fillId="0" borderId="399" xfId="0" applyBorder="1" applyAlignment="1">
      <alignment horizontal="left" vertical="center"/>
    </xf>
    <xf numFmtId="0" fontId="4" fillId="0" borderId="400" xfId="0" applyFont="1" applyBorder="1" applyAlignment="1">
      <alignment horizontal="left"/>
    </xf>
    <xf numFmtId="0" fontId="0" fillId="0" borderId="400" xfId="0" applyBorder="1" applyAlignment="1">
      <alignment horizontal="left" vertical="center"/>
    </xf>
    <xf numFmtId="0" fontId="0" fillId="0" borderId="401" xfId="0" applyBorder="1" applyAlignment="1">
      <alignment horizontal="left" vertical="center"/>
    </xf>
    <xf numFmtId="0" fontId="0" fillId="0" borderId="402" xfId="0" applyBorder="1" applyAlignment="1">
      <alignment horizontal="left" vertical="center"/>
    </xf>
    <xf numFmtId="49" fontId="0" fillId="0" borderId="403" xfId="0" applyNumberFormat="1" applyBorder="1" applyAlignment="1">
      <alignment horizontal="left"/>
    </xf>
    <xf numFmtId="0" fontId="0" fillId="0" borderId="392" xfId="0" applyBorder="1" applyAlignment="1">
      <alignment horizontal="left" vertical="center"/>
    </xf>
    <xf numFmtId="0" fontId="0" fillId="0" borderId="364" xfId="0" applyBorder="1" applyAlignment="1">
      <alignment horizontal="left" vertical="center"/>
    </xf>
    <xf numFmtId="49" fontId="0" fillId="0" borderId="364" xfId="0" applyNumberFormat="1" applyBorder="1" applyAlignment="1">
      <alignment horizontal="left"/>
    </xf>
    <xf numFmtId="0" fontId="4" fillId="0" borderId="305" xfId="0" applyFont="1" applyBorder="1" applyAlignment="1" applyProtection="1">
      <alignment horizontal="center"/>
      <protection locked="0"/>
    </xf>
    <xf numFmtId="0" fontId="0" fillId="0" borderId="305" xfId="0" applyBorder="1" applyAlignment="1">
      <alignment horizontal="left"/>
    </xf>
    <xf numFmtId="1" fontId="0" fillId="19" borderId="305" xfId="1" applyNumberFormat="1" applyFont="1" applyFill="1" applyBorder="1" applyAlignment="1">
      <alignment horizontal="center" vertical="center"/>
    </xf>
    <xf numFmtId="0" fontId="6" fillId="0" borderId="305" xfId="7" applyBorder="1">
      <alignment horizontal="center" vertical="center"/>
    </xf>
    <xf numFmtId="0" fontId="47" fillId="71" borderId="275" xfId="19" applyBorder="1" applyAlignment="1">
      <alignment horizontal="center" vertical="center"/>
    </xf>
    <xf numFmtId="0" fontId="45" fillId="23" borderId="275" xfId="5" applyBorder="1">
      <alignment horizontal="center" vertical="center"/>
    </xf>
    <xf numFmtId="0" fontId="0" fillId="19" borderId="275" xfId="15" applyFont="1" applyFill="1" applyBorder="1">
      <alignment horizontal="center" vertical="center"/>
    </xf>
    <xf numFmtId="0" fontId="4" fillId="0" borderId="389" xfId="0" applyFont="1" applyBorder="1" applyAlignment="1">
      <alignment horizontal="center"/>
    </xf>
    <xf numFmtId="0" fontId="0" fillId="0" borderId="391" xfId="0" applyBorder="1">
      <alignment horizontal="center" vertical="center"/>
    </xf>
    <xf numFmtId="0" fontId="0" fillId="0" borderId="404" xfId="0" applyBorder="1">
      <alignment horizontal="center" vertical="center"/>
    </xf>
    <xf numFmtId="0" fontId="4" fillId="0" borderId="391" xfId="0" applyFont="1" applyBorder="1" applyAlignment="1">
      <alignment horizontal="left"/>
    </xf>
    <xf numFmtId="0" fontId="0" fillId="0" borderId="405" xfId="0" applyBorder="1">
      <alignment horizontal="center" vertical="center"/>
    </xf>
    <xf numFmtId="0" fontId="0" fillId="0" borderId="391" xfId="0" applyBorder="1" applyAlignment="1">
      <alignment horizontal="left" vertical="center"/>
    </xf>
    <xf numFmtId="0" fontId="0" fillId="0" borderId="404" xfId="0" applyBorder="1" applyAlignment="1">
      <alignment horizontal="left" vertical="center"/>
    </xf>
    <xf numFmtId="0" fontId="0" fillId="0" borderId="405" xfId="0" applyBorder="1" applyAlignment="1">
      <alignment horizontal="left" vertical="center"/>
    </xf>
    <xf numFmtId="0" fontId="4" fillId="0" borderId="405" xfId="0" applyFont="1" applyBorder="1" applyAlignment="1">
      <alignment horizontal="left"/>
    </xf>
    <xf numFmtId="0" fontId="0" fillId="0" borderId="406" xfId="0" applyBorder="1">
      <alignment horizontal="center" vertical="center"/>
    </xf>
    <xf numFmtId="0" fontId="0" fillId="0" borderId="367" xfId="0" applyBorder="1" applyAlignment="1" applyProtection="1">
      <alignment horizontal="center"/>
      <protection locked="0"/>
    </xf>
    <xf numFmtId="0" fontId="0" fillId="19" borderId="367" xfId="11" applyFont="1" applyFill="1" applyBorder="1">
      <alignment horizontal="center" vertical="center"/>
    </xf>
    <xf numFmtId="49" fontId="0" fillId="19" borderId="367" xfId="1" applyNumberFormat="1" applyFont="1" applyFill="1" applyBorder="1" applyAlignment="1">
      <alignment horizontal="center" vertical="center"/>
    </xf>
    <xf numFmtId="0" fontId="0" fillId="22" borderId="367" xfId="0" applyFill="1" applyBorder="1" applyAlignment="1">
      <alignment horizontal="center"/>
    </xf>
    <xf numFmtId="0" fontId="0" fillId="11" borderId="367" xfId="0" applyFill="1" applyBorder="1" applyAlignment="1" applyProtection="1">
      <alignment horizontal="center"/>
      <protection locked="0"/>
    </xf>
    <xf numFmtId="0" fontId="17" fillId="25" borderId="363" xfId="8" applyBorder="1">
      <alignment horizontal="center" vertical="center"/>
    </xf>
    <xf numFmtId="0" fontId="0" fillId="0" borderId="405" xfId="0" applyBorder="1" applyAlignment="1">
      <alignment horizontal="left"/>
    </xf>
    <xf numFmtId="0" fontId="0" fillId="0" borderId="391" xfId="0" applyBorder="1" applyAlignment="1">
      <alignment horizontal="center"/>
    </xf>
    <xf numFmtId="0" fontId="4" fillId="0" borderId="407" xfId="0" applyFont="1" applyBorder="1" applyAlignment="1" applyProtection="1">
      <alignment horizontal="center"/>
      <protection locked="0"/>
    </xf>
    <xf numFmtId="0" fontId="0" fillId="0" borderId="335" xfId="0" applyBorder="1" applyAlignment="1" applyProtection="1">
      <alignment horizontal="center"/>
      <protection locked="0"/>
    </xf>
    <xf numFmtId="49" fontId="0" fillId="0" borderId="335" xfId="0" applyNumberFormat="1" applyBorder="1" applyAlignment="1"/>
    <xf numFmtId="0" fontId="5" fillId="6" borderId="335" xfId="0" applyFont="1" applyFill="1" applyBorder="1" applyAlignment="1">
      <alignment horizontal="left"/>
    </xf>
    <xf numFmtId="0" fontId="5" fillId="7" borderId="335" xfId="0" applyFont="1" applyFill="1" applyBorder="1">
      <alignment horizontal="center" vertical="center"/>
    </xf>
    <xf numFmtId="0" fontId="5" fillId="8" borderId="335" xfId="0" applyFont="1" applyFill="1" applyBorder="1" applyAlignment="1">
      <alignment horizontal="left"/>
    </xf>
    <xf numFmtId="0" fontId="5" fillId="14" borderId="367" xfId="0" applyFont="1" applyFill="1" applyBorder="1" applyAlignment="1">
      <alignment horizontal="left"/>
    </xf>
    <xf numFmtId="0" fontId="0" fillId="11" borderId="367" xfId="0" applyFill="1" applyBorder="1">
      <alignment horizontal="center" vertical="center"/>
    </xf>
    <xf numFmtId="0" fontId="0" fillId="11" borderId="381" xfId="0" applyFill="1" applyBorder="1">
      <alignment horizontal="center" vertical="center"/>
    </xf>
    <xf numFmtId="0" fontId="5" fillId="0" borderId="367" xfId="0" applyFont="1" applyBorder="1" applyAlignment="1">
      <alignment horizontal="left" vertical="center"/>
    </xf>
    <xf numFmtId="1" fontId="0" fillId="19" borderId="367" xfId="1" applyNumberFormat="1" applyFont="1" applyFill="1" applyBorder="1" applyAlignment="1">
      <alignment horizontal="center" vertical="center"/>
    </xf>
    <xf numFmtId="0" fontId="0" fillId="19" borderId="367" xfId="6" applyFont="1" applyFill="1" applyBorder="1">
      <alignment horizontal="center" vertical="center"/>
    </xf>
    <xf numFmtId="1" fontId="0" fillId="19" borderId="367" xfId="0" applyNumberFormat="1" applyFill="1" applyBorder="1">
      <alignment horizontal="center" vertical="center"/>
    </xf>
    <xf numFmtId="0" fontId="0" fillId="19" borderId="367" xfId="5" applyFont="1" applyFill="1" applyBorder="1">
      <alignment horizontal="center" vertical="center"/>
    </xf>
    <xf numFmtId="0" fontId="17" fillId="28" borderId="381" xfId="10" applyBorder="1">
      <alignment horizontal="center" vertical="center"/>
    </xf>
    <xf numFmtId="1" fontId="0" fillId="19" borderId="381" xfId="0" applyNumberFormat="1" applyFill="1" applyBorder="1">
      <alignment horizontal="center" vertical="center"/>
    </xf>
    <xf numFmtId="0" fontId="17" fillId="24" borderId="367" xfId="6" applyBorder="1">
      <alignment horizontal="center" vertical="center"/>
    </xf>
    <xf numFmtId="0" fontId="17" fillId="24" borderId="381" xfId="6" applyBorder="1">
      <alignment horizontal="center" vertical="center"/>
    </xf>
    <xf numFmtId="0" fontId="0" fillId="0" borderId="367" xfId="0" applyBorder="1" applyAlignment="1">
      <alignment horizontal="left" vertical="center"/>
    </xf>
    <xf numFmtId="1" fontId="0" fillId="56" borderId="367" xfId="1" applyNumberFormat="1" applyFont="1" applyFill="1" applyBorder="1" applyAlignment="1">
      <alignment horizontal="center" vertical="center"/>
    </xf>
    <xf numFmtId="1" fontId="3" fillId="3" borderId="408" xfId="2" applyNumberFormat="1" applyBorder="1" applyAlignment="1">
      <alignment horizontal="center" vertical="center"/>
    </xf>
    <xf numFmtId="1" fontId="0" fillId="26" borderId="367" xfId="0" applyNumberFormat="1" applyFill="1" applyBorder="1">
      <alignment horizontal="center" vertical="center"/>
    </xf>
    <xf numFmtId="1" fontId="0" fillId="19" borderId="367" xfId="6" applyNumberFormat="1" applyFont="1" applyFill="1" applyBorder="1">
      <alignment horizontal="center" vertical="center"/>
    </xf>
    <xf numFmtId="0" fontId="0" fillId="0" borderId="350" xfId="0" applyBorder="1" applyAlignment="1">
      <alignment horizontal="left" vertical="center"/>
    </xf>
    <xf numFmtId="0" fontId="0" fillId="19" borderId="350" xfId="7" applyFont="1" applyFill="1" applyBorder="1">
      <alignment horizontal="center" vertical="center"/>
    </xf>
    <xf numFmtId="0" fontId="0" fillId="19" borderId="350" xfId="0" applyFill="1" applyBorder="1">
      <alignment horizontal="center" vertical="center"/>
    </xf>
    <xf numFmtId="0" fontId="0" fillId="19" borderId="350" xfId="6" applyFont="1" applyFill="1" applyBorder="1">
      <alignment horizontal="center" vertical="center"/>
    </xf>
    <xf numFmtId="0" fontId="17" fillId="25" borderId="350" xfId="8" applyBorder="1">
      <alignment horizontal="center" vertical="center"/>
    </xf>
    <xf numFmtId="0" fontId="0" fillId="19" borderId="409" xfId="0" applyFill="1" applyBorder="1">
      <alignment horizontal="center" vertical="center"/>
    </xf>
    <xf numFmtId="0" fontId="0" fillId="22" borderId="350" xfId="0" applyFill="1" applyBorder="1" applyAlignment="1" applyProtection="1">
      <alignment horizontal="center"/>
      <protection locked="0"/>
    </xf>
    <xf numFmtId="0" fontId="0" fillId="0" borderId="350" xfId="7" applyFont="1" applyBorder="1" applyAlignment="1">
      <alignment vertical="center"/>
    </xf>
    <xf numFmtId="0" fontId="0" fillId="56" borderId="350" xfId="7" applyFont="1" applyFill="1" applyBorder="1">
      <alignment horizontal="center" vertical="center"/>
    </xf>
    <xf numFmtId="0" fontId="6" fillId="0" borderId="350" xfId="0" applyFont="1" applyBorder="1" applyAlignment="1">
      <alignment horizontal="left" vertical="center"/>
    </xf>
    <xf numFmtId="0" fontId="0" fillId="19" borderId="350" xfId="10" applyFont="1" applyFill="1" applyBorder="1">
      <alignment horizontal="center" vertical="center"/>
    </xf>
    <xf numFmtId="0" fontId="0" fillId="19" borderId="350" xfId="5" applyFont="1" applyFill="1" applyBorder="1">
      <alignment horizontal="center" vertical="center"/>
    </xf>
    <xf numFmtId="0" fontId="4" fillId="0" borderId="389" xfId="0" applyFont="1" applyBorder="1" applyAlignment="1">
      <alignment horizontal="left" vertical="center"/>
    </xf>
    <xf numFmtId="0" fontId="4" fillId="0" borderId="410" xfId="0" applyFont="1" applyBorder="1" applyAlignment="1">
      <alignment horizontal="left" vertical="center"/>
    </xf>
    <xf numFmtId="0" fontId="0" fillId="0" borderId="411" xfId="0" applyBorder="1">
      <alignment horizontal="center" vertical="center"/>
    </xf>
    <xf numFmtId="0" fontId="0" fillId="0" borderId="412" xfId="0" applyBorder="1" applyAlignment="1">
      <alignment vertical="center"/>
    </xf>
    <xf numFmtId="0" fontId="0" fillId="0" borderId="413" xfId="0" applyBorder="1">
      <alignment horizontal="center" vertical="center"/>
    </xf>
    <xf numFmtId="0" fontId="4" fillId="0" borderId="412" xfId="0" applyFont="1" applyBorder="1">
      <alignment horizontal="center" vertical="center"/>
    </xf>
    <xf numFmtId="0" fontId="0" fillId="0" borderId="411" xfId="0" applyBorder="1" applyAlignment="1">
      <alignment horizontal="left" vertical="center"/>
    </xf>
    <xf numFmtId="0" fontId="7" fillId="0" borderId="411" xfId="0" applyFont="1" applyBorder="1">
      <alignment horizontal="center" vertical="center"/>
    </xf>
    <xf numFmtId="0" fontId="4" fillId="0" borderId="411" xfId="0" applyFont="1" applyBorder="1" applyAlignment="1">
      <alignment horizontal="left" vertical="center"/>
    </xf>
    <xf numFmtId="0" fontId="0" fillId="0" borderId="414" xfId="0" applyBorder="1">
      <alignment horizontal="center" vertical="center"/>
    </xf>
    <xf numFmtId="0" fontId="0" fillId="11" borderId="280" xfId="0" applyFill="1" applyBorder="1" applyAlignment="1" applyProtection="1">
      <alignment horizontal="center"/>
      <protection locked="0"/>
    </xf>
    <xf numFmtId="0" fontId="0" fillId="0" borderId="118" xfId="0" applyBorder="1" applyAlignment="1">
      <alignment horizontal="left" vertical="center"/>
    </xf>
    <xf numFmtId="49" fontId="0" fillId="27" borderId="118" xfId="0" applyNumberFormat="1" applyFill="1" applyBorder="1">
      <alignment horizontal="center" vertical="center"/>
    </xf>
    <xf numFmtId="0" fontId="6" fillId="0" borderId="118" xfId="7" applyBorder="1">
      <alignment horizontal="center" vertical="center"/>
    </xf>
    <xf numFmtId="0" fontId="0" fillId="27" borderId="118" xfId="6" applyFont="1" applyFill="1" applyBorder="1">
      <alignment horizontal="center" vertical="center"/>
    </xf>
    <xf numFmtId="49" fontId="0" fillId="19" borderId="302" xfId="0" applyNumberFormat="1" applyFill="1" applyBorder="1">
      <alignment horizontal="center" vertical="center"/>
    </xf>
    <xf numFmtId="0" fontId="0" fillId="0" borderId="415" xfId="0" applyBorder="1" applyAlignment="1">
      <alignment vertical="center"/>
    </xf>
    <xf numFmtId="0" fontId="0" fillId="22" borderId="416" xfId="0" applyFill="1" applyBorder="1" applyAlignment="1" applyProtection="1">
      <alignment horizontal="center"/>
      <protection locked="0"/>
    </xf>
    <xf numFmtId="0" fontId="0" fillId="0" borderId="417" xfId="0" applyBorder="1" applyAlignment="1">
      <alignment horizontal="left" vertical="center"/>
    </xf>
    <xf numFmtId="49" fontId="0" fillId="19" borderId="417" xfId="0" applyNumberFormat="1" applyFill="1" applyBorder="1">
      <alignment horizontal="center" vertical="center"/>
    </xf>
    <xf numFmtId="0" fontId="0" fillId="19" borderId="417" xfId="6" applyFont="1" applyFill="1" applyBorder="1">
      <alignment horizontal="center" vertical="center"/>
    </xf>
    <xf numFmtId="49" fontId="0" fillId="19" borderId="418" xfId="0" applyNumberFormat="1" applyFill="1" applyBorder="1">
      <alignment horizontal="center" vertical="center"/>
    </xf>
    <xf numFmtId="0" fontId="0" fillId="19" borderId="367" xfId="9" applyFont="1" applyFill="1" applyBorder="1">
      <alignment horizontal="center" vertical="center"/>
    </xf>
    <xf numFmtId="0" fontId="0" fillId="0" borderId="417" xfId="0" applyBorder="1" applyAlignment="1">
      <alignment vertical="center"/>
    </xf>
    <xf numFmtId="0" fontId="17" fillId="24" borderId="417" xfId="8" applyFill="1" applyBorder="1">
      <alignment horizontal="center" vertical="center"/>
    </xf>
    <xf numFmtId="0" fontId="0" fillId="19" borderId="118" xfId="0" applyFill="1" applyBorder="1" applyAlignment="1">
      <alignment horizontal="left" vertical="center" wrapText="1"/>
    </xf>
    <xf numFmtId="0" fontId="0" fillId="25" borderId="118" xfId="6" applyFont="1" applyFill="1" applyBorder="1">
      <alignment horizontal="center" vertical="center"/>
    </xf>
    <xf numFmtId="49" fontId="0" fillId="25" borderId="118" xfId="0" applyNumberFormat="1" applyFill="1" applyBorder="1">
      <alignment horizontal="center" vertical="center"/>
    </xf>
    <xf numFmtId="0" fontId="17" fillId="28" borderId="118" xfId="10" applyBorder="1">
      <alignment horizontal="center" vertical="center"/>
    </xf>
    <xf numFmtId="0" fontId="0" fillId="28" borderId="118" xfId="10" applyFont="1" applyBorder="1">
      <alignment horizontal="center" vertical="center"/>
    </xf>
    <xf numFmtId="49" fontId="0" fillId="0" borderId="118" xfId="0" applyNumberFormat="1" applyBorder="1">
      <alignment horizontal="center" vertical="center"/>
    </xf>
    <xf numFmtId="1" fontId="0" fillId="28" borderId="118" xfId="1" applyNumberFormat="1" applyFont="1" applyFill="1" applyBorder="1" applyAlignment="1">
      <alignment horizontal="center" vertical="center"/>
    </xf>
    <xf numFmtId="49" fontId="0" fillId="28" borderId="118" xfId="0" applyNumberFormat="1" applyFill="1" applyBorder="1">
      <alignment horizontal="center" vertical="center"/>
    </xf>
    <xf numFmtId="0" fontId="6" fillId="0" borderId="302" xfId="7" applyBorder="1">
      <alignment horizontal="center" vertical="center"/>
    </xf>
    <xf numFmtId="49" fontId="0" fillId="28" borderId="367" xfId="0" applyNumberFormat="1" applyFill="1" applyBorder="1">
      <alignment horizontal="center" vertical="center"/>
    </xf>
    <xf numFmtId="0" fontId="0" fillId="28" borderId="367" xfId="10" applyFont="1" applyBorder="1">
      <alignment horizontal="center" vertical="center"/>
    </xf>
    <xf numFmtId="49" fontId="0" fillId="24" borderId="417" xfId="0" applyNumberFormat="1" applyFill="1" applyBorder="1">
      <alignment horizontal="center" vertical="center"/>
    </xf>
    <xf numFmtId="0" fontId="17" fillId="28" borderId="417" xfId="10" applyBorder="1">
      <alignment horizontal="center" vertical="center"/>
    </xf>
    <xf numFmtId="0" fontId="0" fillId="28" borderId="417" xfId="10" applyFont="1" applyBorder="1">
      <alignment horizontal="center" vertical="center"/>
    </xf>
    <xf numFmtId="0" fontId="0" fillId="0" borderId="417" xfId="0" applyBorder="1">
      <alignment horizontal="center" vertical="center"/>
    </xf>
    <xf numFmtId="0" fontId="0" fillId="26" borderId="367" xfId="0" applyFill="1" applyBorder="1">
      <alignment horizontal="center" vertical="center"/>
    </xf>
    <xf numFmtId="49" fontId="0" fillId="26" borderId="367" xfId="0" applyNumberFormat="1" applyFill="1" applyBorder="1">
      <alignment horizontal="center" vertical="center"/>
    </xf>
    <xf numFmtId="0" fontId="17" fillId="25" borderId="118" xfId="8" applyBorder="1">
      <alignment horizontal="center" vertical="center"/>
    </xf>
    <xf numFmtId="0" fontId="17" fillId="24" borderId="302" xfId="6" applyBorder="1">
      <alignment horizontal="center" vertical="center"/>
    </xf>
    <xf numFmtId="49" fontId="0" fillId="26" borderId="417" xfId="0" applyNumberFormat="1" applyFill="1" applyBorder="1">
      <alignment horizontal="center" vertical="center"/>
    </xf>
    <xf numFmtId="0" fontId="0" fillId="19" borderId="418" xfId="6" applyFont="1" applyFill="1" applyBorder="1">
      <alignment horizontal="center" vertical="center"/>
    </xf>
    <xf numFmtId="0" fontId="0" fillId="0" borderId="305" xfId="0" applyBorder="1" applyAlignment="1">
      <alignment vertical="center"/>
    </xf>
    <xf numFmtId="0" fontId="0" fillId="19" borderId="305" xfId="11" applyFont="1" applyFill="1" applyBorder="1">
      <alignment horizontal="center" vertical="center"/>
    </xf>
    <xf numFmtId="0" fontId="0" fillId="19" borderId="305" xfId="6" applyFont="1" applyFill="1" applyBorder="1">
      <alignment horizontal="center" vertical="center"/>
    </xf>
    <xf numFmtId="0" fontId="0" fillId="19" borderId="305" xfId="12" applyFont="1" applyFill="1" applyBorder="1">
      <alignment horizontal="center" vertical="center"/>
    </xf>
    <xf numFmtId="0" fontId="0" fillId="19" borderId="305" xfId="9" applyFont="1" applyFill="1" applyBorder="1">
      <alignment horizontal="center" vertical="center"/>
    </xf>
    <xf numFmtId="0" fontId="0" fillId="19" borderId="415" xfId="0" applyFill="1" applyBorder="1" applyAlignment="1" applyProtection="1">
      <alignment horizontal="left" vertical="center"/>
      <protection locked="0"/>
    </xf>
    <xf numFmtId="0" fontId="0" fillId="19" borderId="415" xfId="0" applyFill="1" applyBorder="1">
      <alignment horizontal="center" vertical="center"/>
    </xf>
    <xf numFmtId="0" fontId="0" fillId="25" borderId="415" xfId="0" applyFill="1" applyBorder="1">
      <alignment horizontal="center" vertical="center"/>
    </xf>
    <xf numFmtId="49" fontId="0" fillId="25" borderId="415" xfId="0" applyNumberFormat="1" applyFill="1" applyBorder="1">
      <alignment horizontal="center" vertical="center"/>
    </xf>
    <xf numFmtId="0" fontId="0" fillId="19" borderId="415" xfId="6" applyFont="1" applyFill="1" applyBorder="1">
      <alignment horizontal="center" vertical="center"/>
    </xf>
    <xf numFmtId="0" fontId="0" fillId="19" borderId="415" xfId="12" applyFont="1" applyFill="1" applyBorder="1">
      <alignment horizontal="center" vertical="center"/>
    </xf>
    <xf numFmtId="0" fontId="0" fillId="0" borderId="415" xfId="0" applyBorder="1" applyAlignment="1">
      <alignment horizontal="left" vertical="center"/>
    </xf>
    <xf numFmtId="0" fontId="0" fillId="19" borderId="415" xfId="7" applyFont="1" applyFill="1" applyBorder="1">
      <alignment horizontal="center" vertical="center"/>
    </xf>
    <xf numFmtId="0" fontId="0" fillId="28" borderId="415" xfId="7" applyFont="1" applyFill="1" applyBorder="1">
      <alignment horizontal="center" vertical="center"/>
    </xf>
    <xf numFmtId="0" fontId="0" fillId="28" borderId="415" xfId="6" applyFont="1" applyFill="1" applyBorder="1">
      <alignment horizontal="center" vertical="center"/>
    </xf>
    <xf numFmtId="0" fontId="17" fillId="28" borderId="415" xfId="10" applyBorder="1">
      <alignment horizontal="center" vertical="center"/>
    </xf>
    <xf numFmtId="49" fontId="0" fillId="19" borderId="415" xfId="3" applyNumberFormat="1" applyFont="1" applyFill="1" applyBorder="1" applyAlignment="1">
      <alignment horizontal="center" vertical="center"/>
    </xf>
    <xf numFmtId="0" fontId="0" fillId="0" borderId="415" xfId="0" applyBorder="1">
      <alignment horizontal="center" vertical="center"/>
    </xf>
    <xf numFmtId="49" fontId="0" fillId="19" borderId="415" xfId="0" applyNumberFormat="1" applyFill="1" applyBorder="1">
      <alignment horizontal="center" vertical="center"/>
    </xf>
    <xf numFmtId="1" fontId="0" fillId="19" borderId="415" xfId="1" applyNumberFormat="1" applyFont="1" applyFill="1" applyBorder="1" applyAlignment="1">
      <alignment horizontal="center" vertical="center"/>
    </xf>
    <xf numFmtId="49" fontId="0" fillId="19" borderId="409" xfId="0" applyNumberFormat="1" applyFill="1" applyBorder="1">
      <alignment horizontal="center" vertical="center"/>
    </xf>
    <xf numFmtId="0" fontId="0" fillId="19" borderId="415" xfId="0" applyFill="1" applyBorder="1" applyAlignment="1">
      <alignment horizontal="left" vertical="center"/>
    </xf>
    <xf numFmtId="49" fontId="0" fillId="19" borderId="415" xfId="7" applyNumberFormat="1" applyFont="1" applyFill="1" applyBorder="1">
      <alignment horizontal="center" vertical="center"/>
    </xf>
    <xf numFmtId="0" fontId="0" fillId="19" borderId="415" xfId="8" applyFont="1" applyFill="1" applyBorder="1">
      <alignment horizontal="center" vertical="center"/>
    </xf>
    <xf numFmtId="0" fontId="17" fillId="27" borderId="415" xfId="9" applyBorder="1">
      <alignment horizontal="center" vertical="center"/>
    </xf>
    <xf numFmtId="1" fontId="0" fillId="27" borderId="415" xfId="1" applyNumberFormat="1" applyFont="1" applyFill="1" applyBorder="1" applyAlignment="1">
      <alignment horizontal="center" vertical="center"/>
    </xf>
    <xf numFmtId="0" fontId="0" fillId="19" borderId="409" xfId="7" applyFont="1" applyFill="1" applyBorder="1">
      <alignment horizontal="center" vertical="center"/>
    </xf>
    <xf numFmtId="0" fontId="0" fillId="19" borderId="415" xfId="1" applyFont="1" applyFill="1" applyBorder="1" applyAlignment="1">
      <alignment horizontal="center" vertical="center"/>
    </xf>
    <xf numFmtId="0" fontId="0" fillId="30" borderId="415" xfId="1" applyFont="1" applyFill="1" applyBorder="1" applyAlignment="1">
      <alignment horizontal="center" vertical="center"/>
    </xf>
    <xf numFmtId="0" fontId="0" fillId="30" borderId="415" xfId="0" applyFill="1" applyBorder="1">
      <alignment horizontal="center" vertical="center"/>
    </xf>
    <xf numFmtId="0" fontId="0" fillId="30" borderId="409" xfId="0" applyFill="1" applyBorder="1">
      <alignment horizontal="center" vertical="center"/>
    </xf>
    <xf numFmtId="0" fontId="27" fillId="2" borderId="415" xfId="16" applyBorder="1" applyAlignment="1">
      <alignment horizontal="center" vertical="center"/>
    </xf>
    <xf numFmtId="0" fontId="0" fillId="0" borderId="409" xfId="0" applyBorder="1">
      <alignment horizontal="center" vertical="center"/>
    </xf>
    <xf numFmtId="0" fontId="0" fillId="0" borderId="415" xfId="7" applyFont="1" applyBorder="1" applyAlignment="1">
      <alignment horizontal="left" vertical="center"/>
    </xf>
    <xf numFmtId="0" fontId="6" fillId="0" borderId="415" xfId="7" applyBorder="1">
      <alignment horizontal="center" vertical="center"/>
    </xf>
    <xf numFmtId="0" fontId="0" fillId="19" borderId="415" xfId="10" applyFont="1" applyFill="1" applyBorder="1">
      <alignment horizontal="center" vertical="center"/>
    </xf>
    <xf numFmtId="0" fontId="0" fillId="19" borderId="415" xfId="0" applyFill="1" applyBorder="1" applyAlignment="1">
      <alignment vertical="center"/>
    </xf>
    <xf numFmtId="0" fontId="6" fillId="41" borderId="415" xfId="10" applyFont="1" applyFill="1" applyBorder="1">
      <alignment horizontal="center" vertical="center"/>
    </xf>
    <xf numFmtId="0" fontId="6" fillId="32" borderId="415" xfId="15" applyBorder="1">
      <alignment horizontal="center" vertical="center"/>
    </xf>
    <xf numFmtId="0" fontId="0" fillId="0" borderId="415" xfId="7" applyFont="1" applyBorder="1" applyAlignment="1">
      <alignment vertical="center"/>
    </xf>
    <xf numFmtId="0" fontId="0" fillId="0" borderId="415" xfId="7" applyFont="1" applyBorder="1">
      <alignment horizontal="center" vertical="center"/>
    </xf>
    <xf numFmtId="0" fontId="6" fillId="25" borderId="415" xfId="7" applyFill="1" applyBorder="1">
      <alignment horizontal="center" vertical="center"/>
    </xf>
    <xf numFmtId="0" fontId="0" fillId="25" borderId="415" xfId="7" applyFont="1" applyFill="1" applyBorder="1">
      <alignment horizontal="center" vertical="center"/>
    </xf>
    <xf numFmtId="0" fontId="0" fillId="0" borderId="409" xfId="7" applyFont="1" applyBorder="1">
      <alignment horizontal="center" vertical="center"/>
    </xf>
    <xf numFmtId="0" fontId="6" fillId="0" borderId="419" xfId="7" applyBorder="1">
      <alignment horizontal="center" vertical="center"/>
    </xf>
    <xf numFmtId="0" fontId="6" fillId="0" borderId="420" xfId="7" applyBorder="1">
      <alignment horizontal="center" vertical="center"/>
    </xf>
    <xf numFmtId="0" fontId="6" fillId="0" borderId="421" xfId="7" applyBorder="1">
      <alignment horizontal="center" vertical="center"/>
    </xf>
    <xf numFmtId="0" fontId="0" fillId="19" borderId="422" xfId="0" applyFill="1" applyBorder="1" applyAlignment="1">
      <alignment horizontal="left" vertical="center"/>
    </xf>
    <xf numFmtId="0" fontId="13" fillId="19" borderId="422" xfId="0" applyFont="1" applyFill="1" applyBorder="1" applyAlignment="1">
      <alignment horizontal="left" vertical="center"/>
    </xf>
    <xf numFmtId="0" fontId="0" fillId="19" borderId="417" xfId="0" applyFill="1" applyBorder="1">
      <alignment horizontal="center" vertical="center"/>
    </xf>
    <xf numFmtId="0" fontId="0" fillId="18" borderId="417" xfId="0" applyFill="1" applyBorder="1">
      <alignment horizontal="center" vertical="center"/>
    </xf>
    <xf numFmtId="0" fontId="0" fillId="19" borderId="418" xfId="0" applyFill="1" applyBorder="1">
      <alignment horizontal="center" vertical="center"/>
    </xf>
    <xf numFmtId="0" fontId="0" fillId="19" borderId="305" xfId="0" applyFill="1" applyBorder="1" applyAlignment="1">
      <alignment horizontal="left" vertical="center"/>
    </xf>
    <xf numFmtId="0" fontId="0" fillId="0" borderId="350" xfId="0" applyBorder="1">
      <alignment horizontal="center" vertical="center"/>
    </xf>
    <xf numFmtId="0" fontId="17" fillId="30" borderId="350" xfId="12" applyBorder="1">
      <alignment horizontal="center" vertical="center"/>
    </xf>
    <xf numFmtId="0" fontId="17" fillId="27" borderId="350" xfId="9" applyBorder="1">
      <alignment horizontal="center" vertical="center"/>
    </xf>
    <xf numFmtId="0" fontId="6" fillId="0" borderId="350" xfId="7" applyBorder="1">
      <alignment horizontal="center" vertical="center"/>
    </xf>
    <xf numFmtId="0" fontId="0" fillId="19" borderId="350" xfId="0" applyFill="1" applyBorder="1" applyAlignment="1">
      <alignment horizontal="left" vertical="center"/>
    </xf>
    <xf numFmtId="0" fontId="0" fillId="0" borderId="305" xfId="7" applyFont="1" applyBorder="1">
      <alignment horizontal="center" vertical="center"/>
    </xf>
    <xf numFmtId="0" fontId="14" fillId="0" borderId="350" xfId="0" applyFont="1" applyBorder="1" applyAlignment="1" applyProtection="1">
      <alignment horizontal="center"/>
      <protection locked="0"/>
    </xf>
    <xf numFmtId="0" fontId="4" fillId="0" borderId="118" xfId="0" applyFont="1" applyBorder="1" applyAlignment="1" applyProtection="1">
      <alignment horizontal="center"/>
      <protection locked="0"/>
    </xf>
    <xf numFmtId="0" fontId="15" fillId="19" borderId="118" xfId="0" applyFont="1" applyFill="1" applyBorder="1" applyAlignment="1">
      <alignment horizontal="left" vertical="center"/>
    </xf>
    <xf numFmtId="1" fontId="0" fillId="19" borderId="118" xfId="1" applyNumberFormat="1" applyFont="1" applyFill="1" applyBorder="1" applyAlignment="1">
      <alignment horizontal="center" vertical="center"/>
    </xf>
    <xf numFmtId="0" fontId="0" fillId="19" borderId="118" xfId="0" applyFill="1" applyBorder="1" applyAlignment="1">
      <alignment horizontal="left" vertical="center"/>
    </xf>
    <xf numFmtId="0" fontId="0" fillId="30" borderId="118" xfId="12" applyFont="1" applyBorder="1">
      <alignment horizontal="center" vertical="center"/>
    </xf>
    <xf numFmtId="0" fontId="0" fillId="28" borderId="118" xfId="12" applyFont="1" applyFill="1" applyBorder="1">
      <alignment horizontal="center" vertical="center"/>
    </xf>
    <xf numFmtId="0" fontId="0" fillId="30" borderId="302" xfId="12" applyFont="1" applyBorder="1">
      <alignment horizontal="center" vertical="center"/>
    </xf>
    <xf numFmtId="0" fontId="0" fillId="30" borderId="367" xfId="0" applyFill="1" applyBorder="1">
      <alignment horizontal="center" vertical="center"/>
    </xf>
    <xf numFmtId="0" fontId="0" fillId="30" borderId="367" xfId="12" applyFont="1" applyBorder="1">
      <alignment horizontal="center" vertical="center"/>
    </xf>
    <xf numFmtId="0" fontId="6" fillId="0" borderId="367" xfId="7" applyBorder="1">
      <alignment horizontal="center" vertical="center"/>
    </xf>
    <xf numFmtId="0" fontId="0" fillId="19" borderId="423" xfId="7" applyFont="1" applyFill="1" applyBorder="1">
      <alignment horizontal="center" vertical="center"/>
    </xf>
    <xf numFmtId="0" fontId="6" fillId="0" borderId="424" xfId="7" applyBorder="1" applyAlignment="1">
      <alignment horizontal="center"/>
    </xf>
    <xf numFmtId="0" fontId="6" fillId="0" borderId="425" xfId="7" applyBorder="1" applyAlignment="1">
      <alignment horizontal="left"/>
    </xf>
    <xf numFmtId="0" fontId="6" fillId="0" borderId="426" xfId="7" applyBorder="1">
      <alignment horizontal="center" vertical="center"/>
    </xf>
    <xf numFmtId="0" fontId="4" fillId="0" borderId="427" xfId="7" applyFont="1" applyBorder="1" applyAlignment="1">
      <alignment horizontal="left"/>
    </xf>
    <xf numFmtId="0" fontId="6" fillId="0" borderId="410" xfId="7" applyBorder="1" applyAlignment="1">
      <alignment horizontal="center"/>
    </xf>
    <xf numFmtId="0" fontId="4" fillId="0" borderId="412" xfId="7" applyFont="1" applyBorder="1" applyAlignment="1">
      <alignment horizontal="left"/>
    </xf>
    <xf numFmtId="0" fontId="6" fillId="0" borderId="428" xfId="7" applyBorder="1">
      <alignment horizontal="center" vertical="center"/>
    </xf>
    <xf numFmtId="0" fontId="6" fillId="0" borderId="411" xfId="7" applyBorder="1">
      <alignment horizontal="center" vertical="center"/>
    </xf>
    <xf numFmtId="0" fontId="6" fillId="0" borderId="413" xfId="7" applyBorder="1" applyAlignment="1">
      <alignment horizontal="left"/>
    </xf>
    <xf numFmtId="0" fontId="6" fillId="0" borderId="429" xfId="7" applyBorder="1" applyAlignment="1">
      <alignment horizontal="left"/>
    </xf>
    <xf numFmtId="0" fontId="4" fillId="0" borderId="430" xfId="7" applyFont="1" applyBorder="1" applyAlignment="1">
      <alignment horizontal="left"/>
    </xf>
    <xf numFmtId="0" fontId="6" fillId="0" borderId="411" xfId="7" applyBorder="1" applyAlignment="1">
      <alignment horizontal="left"/>
    </xf>
    <xf numFmtId="0" fontId="6" fillId="0" borderId="412" xfId="7" applyBorder="1">
      <alignment horizontal="center" vertical="center"/>
    </xf>
    <xf numFmtId="0" fontId="6" fillId="0" borderId="414" xfId="7" applyBorder="1">
      <alignment horizontal="center" vertical="center"/>
    </xf>
    <xf numFmtId="0" fontId="4" fillId="0" borderId="352" xfId="7" applyFont="1" applyBorder="1" applyAlignment="1" applyProtection="1">
      <alignment horizontal="center"/>
      <protection locked="0"/>
    </xf>
    <xf numFmtId="0" fontId="5" fillId="0" borderId="352" xfId="7" applyFont="1" applyBorder="1" applyAlignment="1">
      <alignment horizontal="center"/>
    </xf>
    <xf numFmtId="0" fontId="4" fillId="22" borderId="118" xfId="7" applyFont="1" applyFill="1" applyBorder="1" applyAlignment="1">
      <alignment horizontal="center"/>
    </xf>
    <xf numFmtId="49" fontId="6" fillId="19" borderId="118" xfId="7" applyNumberFormat="1" applyFill="1" applyBorder="1">
      <alignment horizontal="center" vertical="center"/>
    </xf>
    <xf numFmtId="0" fontId="6" fillId="19" borderId="118" xfId="8" applyFont="1" applyFill="1" applyBorder="1">
      <alignment horizontal="center" vertical="center"/>
    </xf>
    <xf numFmtId="49" fontId="6" fillId="19" borderId="118" xfId="3" applyNumberFormat="1" applyFont="1" applyFill="1" applyBorder="1" applyAlignment="1">
      <alignment horizontal="center" vertical="center"/>
    </xf>
    <xf numFmtId="49" fontId="6" fillId="19" borderId="302" xfId="7" applyNumberFormat="1" applyFill="1" applyBorder="1">
      <alignment horizontal="center" vertical="center"/>
    </xf>
    <xf numFmtId="0" fontId="4" fillId="22" borderId="367" xfId="7" applyFont="1" applyFill="1" applyBorder="1" applyAlignment="1">
      <alignment horizontal="center"/>
    </xf>
    <xf numFmtId="0" fontId="6" fillId="19" borderId="367" xfId="8" applyFont="1" applyFill="1" applyBorder="1">
      <alignment horizontal="center" vertical="center"/>
    </xf>
    <xf numFmtId="49" fontId="0" fillId="19" borderId="367" xfId="7" applyNumberFormat="1" applyFont="1" applyFill="1" applyBorder="1">
      <alignment horizontal="center" vertical="center"/>
    </xf>
    <xf numFmtId="0" fontId="6" fillId="0" borderId="367" xfId="7" applyBorder="1" applyAlignment="1">
      <alignment vertical="center"/>
    </xf>
    <xf numFmtId="49" fontId="6" fillId="19" borderId="367" xfId="2" applyNumberFormat="1" applyFont="1" applyFill="1" applyBorder="1" applyAlignment="1">
      <alignment horizontal="center" vertical="center"/>
    </xf>
    <xf numFmtId="0" fontId="6" fillId="19" borderId="367" xfId="5" applyFont="1" applyFill="1" applyBorder="1">
      <alignment horizontal="center" vertical="center"/>
    </xf>
    <xf numFmtId="0" fontId="6" fillId="19" borderId="367" xfId="9" applyFont="1" applyFill="1" applyBorder="1">
      <alignment horizontal="center" vertical="center"/>
    </xf>
    <xf numFmtId="0" fontId="17" fillId="0" borderId="367" xfId="9" applyFill="1" applyBorder="1">
      <alignment horizontal="center" vertical="center"/>
    </xf>
    <xf numFmtId="0" fontId="6" fillId="25" borderId="367" xfId="7" applyFill="1" applyBorder="1">
      <alignment horizontal="center" vertical="center"/>
    </xf>
    <xf numFmtId="49" fontId="6" fillId="25" borderId="367" xfId="7" applyNumberFormat="1" applyFill="1" applyBorder="1">
      <alignment horizontal="center" vertical="center"/>
    </xf>
    <xf numFmtId="0" fontId="4" fillId="22" borderId="417" xfId="7" applyFont="1" applyFill="1" applyBorder="1" applyAlignment="1">
      <alignment horizontal="center"/>
    </xf>
    <xf numFmtId="0" fontId="6" fillId="0" borderId="417" xfId="7" applyBorder="1" applyAlignment="1">
      <alignment vertical="center"/>
    </xf>
    <xf numFmtId="0" fontId="6" fillId="19" borderId="417" xfId="13" applyFont="1" applyFill="1" applyBorder="1">
      <alignment horizontal="center" vertical="center"/>
    </xf>
    <xf numFmtId="49" fontId="6" fillId="19" borderId="418" xfId="7" applyNumberFormat="1" applyFill="1" applyBorder="1">
      <alignment horizontal="center" vertical="center"/>
    </xf>
    <xf numFmtId="0" fontId="6" fillId="0" borderId="118" xfId="0" applyFont="1" applyBorder="1">
      <alignment horizontal="center" vertical="center"/>
    </xf>
    <xf numFmtId="0" fontId="6" fillId="0" borderId="118" xfId="0" applyFont="1" applyBorder="1" applyAlignment="1">
      <alignment horizontal="left" vertical="center"/>
    </xf>
    <xf numFmtId="0" fontId="0" fillId="25" borderId="118" xfId="0" applyFill="1" applyBorder="1">
      <alignment horizontal="center" vertical="center"/>
    </xf>
    <xf numFmtId="0" fontId="0" fillId="0" borderId="410" xfId="0" applyBorder="1" applyAlignment="1">
      <alignment horizontal="center"/>
    </xf>
    <xf numFmtId="0" fontId="4" fillId="0" borderId="412" xfId="0" applyFont="1" applyBorder="1" applyAlignment="1">
      <alignment horizontal="left"/>
    </xf>
    <xf numFmtId="0" fontId="6" fillId="0" borderId="411" xfId="0" applyFont="1" applyBorder="1" applyAlignment="1">
      <alignment horizontal="left" vertical="center"/>
    </xf>
    <xf numFmtId="0" fontId="6" fillId="0" borderId="411" xfId="0" applyFont="1" applyBorder="1">
      <alignment horizontal="center" vertical="center"/>
    </xf>
    <xf numFmtId="0" fontId="6" fillId="0" borderId="413" xfId="0" applyFont="1" applyBorder="1">
      <alignment horizontal="center" vertical="center"/>
    </xf>
    <xf numFmtId="0" fontId="6" fillId="0" borderId="412" xfId="0" applyFont="1" applyBorder="1" applyAlignment="1">
      <alignment horizontal="left" vertical="center"/>
    </xf>
    <xf numFmtId="0" fontId="6" fillId="0" borderId="411" xfId="0" applyFont="1" applyBorder="1" applyAlignment="1">
      <alignment horizontal="left"/>
    </xf>
    <xf numFmtId="0" fontId="6" fillId="0" borderId="413" xfId="0" applyFont="1" applyBorder="1" applyAlignment="1">
      <alignment horizontal="left" vertical="center"/>
    </xf>
    <xf numFmtId="0" fontId="0" fillId="0" borderId="411" xfId="0" applyBorder="1" applyAlignment="1">
      <alignment horizontal="left"/>
    </xf>
    <xf numFmtId="0" fontId="0" fillId="0" borderId="414" xfId="0" applyBorder="1" applyAlignment="1"/>
    <xf numFmtId="0" fontId="4" fillId="22" borderId="118" xfId="0" applyFont="1" applyFill="1" applyBorder="1" applyAlignment="1">
      <alignment horizontal="center"/>
    </xf>
    <xf numFmtId="49" fontId="0" fillId="41" borderId="118" xfId="0" applyNumberFormat="1" applyFill="1" applyBorder="1">
      <alignment horizontal="center" vertical="center"/>
    </xf>
    <xf numFmtId="0" fontId="17" fillId="31" borderId="367" xfId="13" applyBorder="1">
      <alignment horizontal="center" vertical="center"/>
    </xf>
    <xf numFmtId="0" fontId="17" fillId="31" borderId="381" xfId="13" applyBorder="1">
      <alignment horizontal="center" vertical="center"/>
    </xf>
    <xf numFmtId="0" fontId="4" fillId="22" borderId="417" xfId="0" applyFont="1" applyFill="1" applyBorder="1" applyAlignment="1">
      <alignment horizontal="center"/>
    </xf>
    <xf numFmtId="0" fontId="0" fillId="19" borderId="417" xfId="0" applyFill="1" applyBorder="1" applyAlignment="1">
      <alignment horizontal="left" vertical="center"/>
    </xf>
    <xf numFmtId="0" fontId="0" fillId="19" borderId="417" xfId="12" applyFont="1" applyFill="1" applyBorder="1">
      <alignment horizontal="center" vertical="center"/>
    </xf>
    <xf numFmtId="0" fontId="17" fillId="27" borderId="417" xfId="9" applyBorder="1">
      <alignment horizontal="center" vertical="center"/>
    </xf>
    <xf numFmtId="0" fontId="0" fillId="19" borderId="417" xfId="1" applyFont="1" applyFill="1" applyBorder="1" applyAlignment="1">
      <alignment horizontal="center" vertical="center"/>
    </xf>
    <xf numFmtId="0" fontId="0" fillId="19" borderId="417" xfId="8" applyFont="1" applyFill="1" applyBorder="1">
      <alignment horizontal="center" vertical="center"/>
    </xf>
    <xf numFmtId="0" fontId="0" fillId="19" borderId="418" xfId="8" applyFont="1" applyFill="1" applyBorder="1">
      <alignment horizontal="center" vertical="center"/>
    </xf>
    <xf numFmtId="0" fontId="0" fillId="0" borderId="412" xfId="0" applyBorder="1" applyAlignment="1">
      <alignment horizontal="left"/>
    </xf>
    <xf numFmtId="0" fontId="0" fillId="0" borderId="411" xfId="0" applyBorder="1" applyAlignment="1"/>
    <xf numFmtId="0" fontId="0" fillId="0" borderId="413" xfId="0" applyBorder="1" applyAlignment="1">
      <alignment horizontal="left"/>
    </xf>
    <xf numFmtId="0" fontId="0" fillId="0" borderId="412" xfId="0" applyBorder="1" applyAlignment="1">
      <alignment horizontal="center"/>
    </xf>
    <xf numFmtId="0" fontId="4" fillId="22" borderId="305" xfId="0" applyFont="1" applyFill="1" applyBorder="1" applyAlignment="1">
      <alignment horizontal="center"/>
    </xf>
    <xf numFmtId="0" fontId="17" fillId="0" borderId="350" xfId="0" applyFont="1" applyBorder="1" applyAlignment="1">
      <alignment vertical="center"/>
    </xf>
    <xf numFmtId="49" fontId="0" fillId="19" borderId="305" xfId="0" applyNumberFormat="1" applyFill="1" applyBorder="1">
      <alignment horizontal="center" vertical="center"/>
    </xf>
    <xf numFmtId="0" fontId="4" fillId="22" borderId="350" xfId="0" applyFont="1" applyFill="1" applyBorder="1" applyAlignment="1">
      <alignment horizontal="center"/>
    </xf>
    <xf numFmtId="49" fontId="0" fillId="19" borderId="350" xfId="0" applyNumberFormat="1" applyFill="1" applyBorder="1">
      <alignment horizontal="center" vertical="center"/>
    </xf>
    <xf numFmtId="0" fontId="0" fillId="19" borderId="350" xfId="9" applyFont="1" applyFill="1" applyBorder="1">
      <alignment horizontal="center" vertical="center"/>
    </xf>
    <xf numFmtId="0" fontId="17" fillId="24" borderId="350" xfId="6" applyBorder="1">
      <alignment horizontal="center" vertical="center"/>
    </xf>
    <xf numFmtId="0" fontId="0" fillId="0" borderId="431" xfId="0" applyBorder="1" applyAlignment="1">
      <alignment horizontal="center"/>
    </xf>
    <xf numFmtId="164" fontId="9" fillId="0" borderId="412" xfId="0" applyNumberFormat="1" applyFont="1" applyBorder="1" applyAlignment="1">
      <alignment horizontal="center"/>
    </xf>
    <xf numFmtId="0" fontId="6" fillId="19" borderId="118" xfId="0" applyFont="1" applyFill="1" applyBorder="1" applyAlignment="1">
      <alignment vertical="center"/>
    </xf>
    <xf numFmtId="0" fontId="6" fillId="19" borderId="118" xfId="0" applyFont="1" applyFill="1" applyBorder="1">
      <alignment horizontal="center" vertical="center"/>
    </xf>
    <xf numFmtId="0" fontId="6" fillId="19" borderId="302" xfId="0" applyFont="1" applyFill="1" applyBorder="1">
      <alignment horizontal="center" vertical="center"/>
    </xf>
    <xf numFmtId="0" fontId="6" fillId="27" borderId="367" xfId="0" applyFont="1" applyFill="1" applyBorder="1">
      <alignment horizontal="center" vertical="center"/>
    </xf>
    <xf numFmtId="0" fontId="17" fillId="25" borderId="367" xfId="8" applyBorder="1">
      <alignment horizontal="center" vertical="center"/>
    </xf>
    <xf numFmtId="0" fontId="6" fillId="19" borderId="417" xfId="0" applyFont="1" applyFill="1" applyBorder="1">
      <alignment horizontal="center" vertical="center"/>
    </xf>
    <xf numFmtId="0" fontId="17" fillId="24" borderId="417" xfId="6" applyBorder="1">
      <alignment horizontal="center" vertical="center"/>
    </xf>
    <xf numFmtId="0" fontId="6" fillId="19" borderId="418" xfId="0" applyFont="1" applyFill="1" applyBorder="1">
      <alignment horizontal="center" vertical="center"/>
    </xf>
    <xf numFmtId="0" fontId="4" fillId="0" borderId="432" xfId="0" applyFont="1" applyBorder="1" applyAlignment="1">
      <alignment horizontal="center"/>
    </xf>
    <xf numFmtId="49" fontId="6" fillId="0" borderId="433" xfId="0" applyNumberFormat="1" applyFont="1" applyBorder="1">
      <alignment horizontal="center" vertical="center"/>
    </xf>
    <xf numFmtId="0" fontId="4" fillId="0" borderId="434" xfId="0" applyFont="1" applyBorder="1" applyAlignment="1">
      <alignment horizontal="left"/>
    </xf>
    <xf numFmtId="0" fontId="0" fillId="0" borderId="434" xfId="0" applyBorder="1">
      <alignment horizontal="center" vertical="center"/>
    </xf>
    <xf numFmtId="0" fontId="0" fillId="0" borderId="435" xfId="0" applyBorder="1">
      <alignment horizontal="center" vertical="center"/>
    </xf>
    <xf numFmtId="0" fontId="0" fillId="0" borderId="436" xfId="0" applyBorder="1">
      <alignment horizontal="center" vertical="center"/>
    </xf>
    <xf numFmtId="0" fontId="4" fillId="0" borderId="436" xfId="0" applyFont="1" applyBorder="1" applyAlignment="1">
      <alignment horizontal="left"/>
    </xf>
    <xf numFmtId="0" fontId="0" fillId="0" borderId="437" xfId="0" applyBorder="1">
      <alignment horizontal="center" vertical="center"/>
    </xf>
    <xf numFmtId="0" fontId="0" fillId="0" borderId="438" xfId="0" applyBorder="1">
      <alignment horizontal="center" vertical="center"/>
    </xf>
    <xf numFmtId="49" fontId="6" fillId="0" borderId="439" xfId="0" applyNumberFormat="1" applyFont="1" applyBorder="1">
      <alignment horizontal="center" vertical="center"/>
    </xf>
    <xf numFmtId="0" fontId="6" fillId="0" borderId="385" xfId="0" applyFont="1" applyBorder="1" applyAlignment="1">
      <alignment horizontal="left" vertical="center"/>
    </xf>
    <xf numFmtId="0" fontId="6" fillId="0" borderId="385" xfId="0" applyFont="1" applyBorder="1">
      <alignment horizontal="center" vertical="center"/>
    </xf>
    <xf numFmtId="0" fontId="6" fillId="0" borderId="328" xfId="0" applyFont="1" applyBorder="1">
      <alignment horizontal="center" vertical="center"/>
    </xf>
    <xf numFmtId="0" fontId="9" fillId="0" borderId="385" xfId="0" applyFont="1" applyBorder="1">
      <alignment horizontal="center" vertical="center"/>
    </xf>
    <xf numFmtId="0" fontId="9" fillId="0" borderId="440" xfId="0" applyFont="1" applyBorder="1">
      <alignment horizontal="center" vertical="center"/>
    </xf>
    <xf numFmtId="0" fontId="0" fillId="0" borderId="441" xfId="0" applyBorder="1">
      <alignment horizontal="center" vertical="center"/>
    </xf>
    <xf numFmtId="0" fontId="0" fillId="0" borderId="442" xfId="0" applyBorder="1">
      <alignment horizontal="center" vertical="center"/>
    </xf>
    <xf numFmtId="49" fontId="0" fillId="0" borderId="439" xfId="0" applyNumberFormat="1" applyBorder="1">
      <alignment horizontal="center" vertical="center"/>
    </xf>
    <xf numFmtId="0" fontId="6" fillId="0" borderId="439" xfId="0" applyFont="1" applyBorder="1">
      <alignment horizontal="center" vertical="center"/>
    </xf>
    <xf numFmtId="49" fontId="0" fillId="0" borderId="443" xfId="0" applyNumberFormat="1" applyBorder="1">
      <alignment horizontal="center" vertical="center"/>
    </xf>
    <xf numFmtId="0" fontId="6" fillId="0" borderId="444" xfId="0" applyFont="1" applyBorder="1" applyAlignment="1">
      <alignment horizontal="left" vertical="center"/>
    </xf>
    <xf numFmtId="0" fontId="6" fillId="0" borderId="444" xfId="0" applyFont="1" applyBorder="1">
      <alignment horizontal="center" vertical="center"/>
    </xf>
    <xf numFmtId="0" fontId="6" fillId="0" borderId="445" xfId="0" applyFont="1" applyBorder="1">
      <alignment horizontal="center" vertical="center"/>
    </xf>
    <xf numFmtId="49" fontId="6" fillId="0" borderId="443" xfId="0" applyNumberFormat="1" applyFont="1" applyBorder="1">
      <alignment horizontal="center" vertical="center"/>
    </xf>
    <xf numFmtId="0" fontId="0" fillId="0" borderId="444" xfId="0" applyBorder="1" applyAlignment="1">
      <alignment horizontal="left" vertical="center"/>
    </xf>
    <xf numFmtId="0" fontId="6" fillId="0" borderId="443" xfId="0" applyFont="1" applyBorder="1">
      <alignment horizontal="center" vertical="center"/>
    </xf>
    <xf numFmtId="49" fontId="6" fillId="0" borderId="446" xfId="0" applyNumberFormat="1" applyFont="1" applyBorder="1">
      <alignment horizontal="center" vertical="center"/>
    </xf>
    <xf numFmtId="0" fontId="6" fillId="0" borderId="446" xfId="0" applyFont="1" applyBorder="1">
      <alignment horizontal="center" vertical="center"/>
    </xf>
    <xf numFmtId="0" fontId="9" fillId="0" borderId="446" xfId="0" applyFont="1" applyBorder="1">
      <alignment horizontal="center" vertical="center"/>
    </xf>
    <xf numFmtId="0" fontId="9" fillId="0" borderId="421" xfId="0" applyFont="1" applyBorder="1">
      <alignment horizontal="center" vertical="center"/>
    </xf>
    <xf numFmtId="0" fontId="0" fillId="19" borderId="305" xfId="0" applyFill="1" applyBorder="1" applyAlignment="1">
      <alignment horizontal="left" vertical="center" wrapText="1"/>
    </xf>
    <xf numFmtId="49" fontId="0" fillId="19" borderId="306" xfId="0" applyNumberFormat="1" applyFill="1" applyBorder="1">
      <alignment horizontal="center" vertical="center"/>
    </xf>
    <xf numFmtId="0" fontId="0" fillId="19" borderId="415" xfId="0" applyFill="1" applyBorder="1" applyAlignment="1">
      <alignment horizontal="left" vertical="center" wrapText="1"/>
    </xf>
    <xf numFmtId="49" fontId="0" fillId="28" borderId="415" xfId="0" applyNumberFormat="1" applyFill="1" applyBorder="1">
      <alignment horizontal="center" vertical="center"/>
    </xf>
    <xf numFmtId="0" fontId="0" fillId="19" borderId="415" xfId="15" applyFont="1" applyFill="1" applyBorder="1">
      <alignment horizontal="center" vertical="center"/>
    </xf>
    <xf numFmtId="49" fontId="0" fillId="57" borderId="409" xfId="0" applyNumberFormat="1" applyFill="1" applyBorder="1">
      <alignment horizontal="center" vertical="center"/>
    </xf>
    <xf numFmtId="49" fontId="0" fillId="32" borderId="415" xfId="0" applyNumberFormat="1" applyFill="1" applyBorder="1">
      <alignment horizontal="center" vertical="center"/>
    </xf>
    <xf numFmtId="0" fontId="45" fillId="23" borderId="415" xfId="5" applyBorder="1">
      <alignment horizontal="center" vertical="center"/>
    </xf>
    <xf numFmtId="0" fontId="6" fillId="0" borderId="409" xfId="7" applyBorder="1">
      <alignment horizontal="center" vertical="center"/>
    </xf>
    <xf numFmtId="49" fontId="3" fillId="3" borderId="447" xfId="2" applyNumberFormat="1" applyBorder="1" applyAlignment="1">
      <alignment horizontal="center" vertical="center"/>
    </xf>
    <xf numFmtId="0" fontId="17" fillId="24" borderId="415" xfId="6" applyBorder="1">
      <alignment horizontal="center" vertical="center"/>
    </xf>
    <xf numFmtId="49" fontId="0" fillId="19" borderId="415" xfId="2" applyNumberFormat="1" applyFont="1" applyFill="1" applyBorder="1" applyAlignment="1">
      <alignment horizontal="center" vertical="center"/>
    </xf>
    <xf numFmtId="0" fontId="0" fillId="28" borderId="415" xfId="10" applyFont="1" applyBorder="1">
      <alignment horizontal="center" vertical="center"/>
    </xf>
    <xf numFmtId="0" fontId="4" fillId="0" borderId="415" xfId="0" applyFont="1" applyBorder="1" applyAlignment="1">
      <alignment horizontal="center"/>
    </xf>
    <xf numFmtId="0" fontId="0" fillId="0" borderId="448" xfId="0" applyBorder="1" applyAlignment="1">
      <alignment horizontal="left" vertical="center"/>
    </xf>
    <xf numFmtId="0" fontId="0" fillId="0" borderId="449" xfId="0" applyBorder="1" applyAlignment="1">
      <alignment horizontal="left" vertical="center"/>
    </xf>
    <xf numFmtId="0" fontId="4" fillId="0" borderId="450" xfId="0" applyFont="1" applyBorder="1" applyAlignment="1">
      <alignment horizontal="left" vertical="center"/>
    </xf>
    <xf numFmtId="0" fontId="0" fillId="0" borderId="451" xfId="0" applyBorder="1" applyAlignment="1">
      <alignment horizontal="left" vertical="center"/>
    </xf>
    <xf numFmtId="0" fontId="4" fillId="0" borderId="448" xfId="0" applyFont="1" applyBorder="1" applyAlignment="1">
      <alignment horizontal="left" vertical="center"/>
    </xf>
    <xf numFmtId="0" fontId="0" fillId="0" borderId="452" xfId="0" applyBorder="1" applyAlignment="1">
      <alignment horizontal="left" vertical="center"/>
    </xf>
    <xf numFmtId="0" fontId="4" fillId="0" borderId="453" xfId="0" applyFont="1" applyBorder="1" applyAlignment="1">
      <alignment horizontal="left"/>
    </xf>
    <xf numFmtId="0" fontId="0" fillId="0" borderId="454" xfId="0" applyBorder="1" applyAlignment="1">
      <alignment horizontal="left" vertical="center"/>
    </xf>
    <xf numFmtId="0" fontId="4" fillId="0" borderId="415" xfId="0" applyFont="1" applyBorder="1">
      <alignment horizontal="center" vertical="center"/>
    </xf>
    <xf numFmtId="0" fontId="0" fillId="0" borderId="439" xfId="0" applyBorder="1" applyAlignment="1">
      <alignment horizontal="left" vertical="center"/>
    </xf>
    <xf numFmtId="0" fontId="0" fillId="0" borderId="455" xfId="0" applyBorder="1" applyAlignment="1">
      <alignment horizontal="left" vertical="center"/>
    </xf>
    <xf numFmtId="0" fontId="0" fillId="0" borderId="456" xfId="0" applyBorder="1" applyAlignment="1">
      <alignment horizontal="left" vertical="center"/>
    </xf>
    <xf numFmtId="0" fontId="0" fillId="0" borderId="457" xfId="0" applyBorder="1" applyAlignment="1">
      <alignment horizontal="left" vertical="center"/>
    </xf>
    <xf numFmtId="0" fontId="0" fillId="0" borderId="458" xfId="0" applyBorder="1" applyAlignment="1">
      <alignment horizontal="left" vertical="center"/>
    </xf>
    <xf numFmtId="0" fontId="0" fillId="0" borderId="459" xfId="0" applyBorder="1" applyAlignment="1">
      <alignment horizontal="left" vertical="center"/>
    </xf>
    <xf numFmtId="0" fontId="4" fillId="0" borderId="460" xfId="0" applyFont="1" applyBorder="1" applyAlignment="1">
      <alignment horizontal="left"/>
    </xf>
    <xf numFmtId="0" fontId="0" fillId="0" borderId="460" xfId="0" applyBorder="1" applyAlignment="1">
      <alignment horizontal="left" vertical="center"/>
    </xf>
    <xf numFmtId="0" fontId="0" fillId="0" borderId="461" xfId="0" applyBorder="1" applyAlignment="1">
      <alignment horizontal="left" vertical="center"/>
    </xf>
    <xf numFmtId="0" fontId="0" fillId="0" borderId="462" xfId="0" applyBorder="1" applyAlignment="1">
      <alignment horizontal="left" vertical="center"/>
    </xf>
    <xf numFmtId="49" fontId="0" fillId="0" borderId="452" xfId="0" applyNumberFormat="1" applyBorder="1" applyAlignment="1">
      <alignment horizontal="left"/>
    </xf>
    <xf numFmtId="0" fontId="12" fillId="0" borderId="463" xfId="0" applyFont="1" applyBorder="1" applyAlignment="1">
      <alignment horizontal="center"/>
    </xf>
    <xf numFmtId="0" fontId="0" fillId="0" borderId="464" xfId="0" applyBorder="1" applyAlignment="1">
      <alignment horizontal="left" vertical="center"/>
    </xf>
    <xf numFmtId="0" fontId="0" fillId="0" borderId="465" xfId="0" applyBorder="1" applyAlignment="1">
      <alignment horizontal="left" vertical="center"/>
    </xf>
    <xf numFmtId="49" fontId="0" fillId="0" borderId="465" xfId="0" applyNumberFormat="1" applyBorder="1" applyAlignment="1">
      <alignment horizontal="left"/>
    </xf>
    <xf numFmtId="0" fontId="17" fillId="25" borderId="305" xfId="8" applyBorder="1">
      <alignment horizontal="center" vertical="center"/>
    </xf>
    <xf numFmtId="0" fontId="4" fillId="0" borderId="415" xfId="0" applyFont="1" applyBorder="1" applyAlignment="1" applyProtection="1">
      <alignment horizontal="center"/>
      <protection locked="0"/>
    </xf>
    <xf numFmtId="0" fontId="0" fillId="0" borderId="415" xfId="0" applyBorder="1" applyAlignment="1">
      <alignment horizontal="left"/>
    </xf>
    <xf numFmtId="0" fontId="0" fillId="19" borderId="466" xfId="0" applyFill="1" applyBorder="1">
      <alignment horizontal="center" vertical="center"/>
    </xf>
    <xf numFmtId="0" fontId="0" fillId="0" borderId="415" xfId="0" applyBorder="1" applyAlignment="1" applyProtection="1">
      <alignment horizontal="center"/>
      <protection locked="0"/>
    </xf>
    <xf numFmtId="0" fontId="6" fillId="25" borderId="415" xfId="8" applyFont="1" applyBorder="1">
      <alignment horizontal="center" vertical="center"/>
    </xf>
    <xf numFmtId="0" fontId="12" fillId="0" borderId="415" xfId="0" applyFont="1" applyBorder="1" applyAlignment="1" applyProtection="1">
      <alignment horizontal="center"/>
      <protection locked="0"/>
    </xf>
    <xf numFmtId="0" fontId="0" fillId="19" borderId="415" xfId="11" applyFont="1" applyFill="1" applyBorder="1">
      <alignment horizontal="center" vertical="center"/>
    </xf>
    <xf numFmtId="0" fontId="0" fillId="19" borderId="466" xfId="8" applyFont="1" applyFill="1" applyBorder="1">
      <alignment horizontal="center" vertical="center"/>
    </xf>
    <xf numFmtId="0" fontId="0" fillId="19" borderId="415" xfId="13" applyFont="1" applyFill="1" applyBorder="1">
      <alignment horizontal="center" vertical="center"/>
    </xf>
    <xf numFmtId="0" fontId="0" fillId="19" borderId="466" xfId="13" applyFont="1" applyFill="1" applyBorder="1">
      <alignment horizontal="center" vertical="center"/>
    </xf>
    <xf numFmtId="0" fontId="6" fillId="0" borderId="415" xfId="0" applyFont="1" applyBorder="1" applyAlignment="1">
      <alignment vertical="center"/>
    </xf>
    <xf numFmtId="0" fontId="6" fillId="0" borderId="466" xfId="7" applyBorder="1">
      <alignment horizontal="center" vertical="center"/>
    </xf>
    <xf numFmtId="0" fontId="25" fillId="0" borderId="415" xfId="0" applyFont="1" applyBorder="1" applyAlignment="1">
      <alignment vertical="center"/>
    </xf>
    <xf numFmtId="0" fontId="17" fillId="28" borderId="305" xfId="10" applyBorder="1">
      <alignment horizontal="center" vertical="center"/>
    </xf>
    <xf numFmtId="0" fontId="0" fillId="0" borderId="305" xfId="0" applyBorder="1">
      <alignment horizontal="center" vertical="center"/>
    </xf>
    <xf numFmtId="49" fontId="0" fillId="19" borderId="466" xfId="0" applyNumberFormat="1" applyFill="1" applyBorder="1">
      <alignment horizontal="center" vertical="center"/>
    </xf>
    <xf numFmtId="0" fontId="6" fillId="19" borderId="415" xfId="0" applyFont="1" applyFill="1" applyBorder="1" applyAlignment="1">
      <alignment vertical="center"/>
    </xf>
    <xf numFmtId="0" fontId="4" fillId="0" borderId="467" xfId="0" applyFont="1" applyBorder="1" applyAlignment="1">
      <alignment horizontal="center"/>
    </xf>
    <xf numFmtId="0" fontId="4" fillId="0" borderId="468" xfId="0" applyFont="1" applyBorder="1" applyAlignment="1">
      <alignment horizontal="center"/>
    </xf>
    <xf numFmtId="0" fontId="0" fillId="0" borderId="469" xfId="0" applyBorder="1" applyAlignment="1">
      <alignment horizontal="center"/>
    </xf>
    <xf numFmtId="0" fontId="0" fillId="0" borderId="428" xfId="0" applyBorder="1">
      <alignment horizontal="center" vertical="center"/>
    </xf>
    <xf numFmtId="0" fontId="0" fillId="0" borderId="470" xfId="0" applyBorder="1">
      <alignment horizontal="center" vertical="center"/>
    </xf>
    <xf numFmtId="0" fontId="4" fillId="0" borderId="428" xfId="0" applyFont="1" applyBorder="1" applyAlignment="1">
      <alignment horizontal="left"/>
    </xf>
    <xf numFmtId="0" fontId="0" fillId="0" borderId="471" xfId="0" applyBorder="1">
      <alignment horizontal="center" vertical="center"/>
    </xf>
    <xf numFmtId="0" fontId="0" fillId="0" borderId="428" xfId="0" applyBorder="1" applyAlignment="1">
      <alignment horizontal="left" vertical="center"/>
    </xf>
    <xf numFmtId="0" fontId="0" fillId="0" borderId="470" xfId="0" applyBorder="1" applyAlignment="1">
      <alignment horizontal="left" vertical="center"/>
    </xf>
    <xf numFmtId="0" fontId="0" fillId="0" borderId="471" xfId="0" applyBorder="1" applyAlignment="1">
      <alignment horizontal="left" vertical="center"/>
    </xf>
    <xf numFmtId="0" fontId="4" fillId="0" borderId="471" xfId="0" applyFont="1" applyBorder="1" applyAlignment="1">
      <alignment horizontal="left"/>
    </xf>
    <xf numFmtId="0" fontId="0" fillId="0" borderId="472" xfId="0" applyBorder="1">
      <alignment horizontal="center" vertical="center"/>
    </xf>
    <xf numFmtId="0" fontId="4" fillId="0" borderId="473" xfId="0" applyFont="1" applyBorder="1" applyAlignment="1" applyProtection="1">
      <alignment horizontal="center"/>
      <protection locked="0"/>
    </xf>
    <xf numFmtId="0" fontId="5" fillId="0" borderId="473" xfId="0" applyFont="1" applyBorder="1" applyAlignment="1">
      <alignment horizontal="center"/>
    </xf>
    <xf numFmtId="0" fontId="0" fillId="0" borderId="474" xfId="0" applyBorder="1" applyAlignment="1" applyProtection="1">
      <alignment horizontal="center"/>
      <protection locked="0"/>
    </xf>
    <xf numFmtId="0" fontId="0" fillId="19" borderId="474" xfId="11" applyFont="1" applyFill="1" applyBorder="1">
      <alignment horizontal="center" vertical="center"/>
    </xf>
    <xf numFmtId="49" fontId="0" fillId="19" borderId="452" xfId="0" applyNumberFormat="1" applyFill="1" applyBorder="1">
      <alignment horizontal="center" vertical="center"/>
    </xf>
    <xf numFmtId="49" fontId="0" fillId="19" borderId="474" xfId="1" applyNumberFormat="1" applyFont="1" applyFill="1" applyBorder="1" applyAlignment="1">
      <alignment horizontal="center" vertical="center"/>
    </xf>
    <xf numFmtId="0" fontId="0" fillId="22" borderId="474" xfId="0" applyFill="1" applyBorder="1" applyAlignment="1">
      <alignment horizontal="center"/>
    </xf>
    <xf numFmtId="0" fontId="0" fillId="19" borderId="474" xfId="0" applyFill="1" applyBorder="1">
      <alignment horizontal="center" vertical="center"/>
    </xf>
    <xf numFmtId="0" fontId="0" fillId="19" borderId="452" xfId="0" applyFill="1" applyBorder="1">
      <alignment horizontal="center" vertical="center"/>
    </xf>
    <xf numFmtId="0" fontId="0" fillId="11" borderId="474" xfId="0" applyFill="1" applyBorder="1" applyAlignment="1" applyProtection="1">
      <alignment horizontal="center"/>
      <protection locked="0"/>
    </xf>
    <xf numFmtId="0" fontId="0" fillId="11" borderId="475" xfId="0" applyFill="1" applyBorder="1">
      <alignment horizontal="center" vertical="center"/>
    </xf>
    <xf numFmtId="0" fontId="0" fillId="11" borderId="476" xfId="0" applyFill="1" applyBorder="1">
      <alignment horizontal="center" vertical="center"/>
    </xf>
    <xf numFmtId="0" fontId="0" fillId="19" borderId="474" xfId="6" applyFont="1" applyFill="1" applyBorder="1">
      <alignment horizontal="center" vertical="center"/>
    </xf>
    <xf numFmtId="0" fontId="0" fillId="19" borderId="474" xfId="8" applyFont="1" applyFill="1" applyBorder="1">
      <alignment horizontal="center" vertical="center"/>
    </xf>
    <xf numFmtId="0" fontId="0" fillId="28" borderId="452" xfId="10" applyFont="1" applyBorder="1">
      <alignment horizontal="center" vertical="center"/>
    </xf>
    <xf numFmtId="0" fontId="0" fillId="0" borderId="473" xfId="0" applyBorder="1" applyAlignment="1" applyProtection="1">
      <alignment horizontal="center"/>
      <protection locked="0"/>
    </xf>
    <xf numFmtId="49" fontId="0" fillId="19" borderId="477" xfId="0" applyNumberFormat="1" applyFill="1" applyBorder="1">
      <alignment horizontal="center" vertical="center"/>
    </xf>
    <xf numFmtId="1" fontId="0" fillId="19" borderId="477" xfId="1" applyNumberFormat="1" applyFont="1" applyFill="1" applyBorder="1" applyAlignment="1">
      <alignment horizontal="center" vertical="center"/>
    </xf>
    <xf numFmtId="49" fontId="0" fillId="28" borderId="477" xfId="0" applyNumberFormat="1" applyFill="1" applyBorder="1">
      <alignment horizontal="center" vertical="center"/>
    </xf>
    <xf numFmtId="0" fontId="0" fillId="19" borderId="477" xfId="9" applyFont="1" applyFill="1" applyBorder="1">
      <alignment horizontal="center" vertical="center"/>
    </xf>
    <xf numFmtId="49" fontId="0" fillId="19" borderId="465" xfId="0" applyNumberFormat="1" applyFill="1" applyBorder="1">
      <alignment horizontal="center" vertical="center"/>
    </xf>
    <xf numFmtId="0" fontId="4" fillId="0" borderId="478" xfId="0" applyFont="1" applyBorder="1" applyAlignment="1">
      <alignment horizontal="center"/>
    </xf>
    <xf numFmtId="0" fontId="0" fillId="0" borderId="471" xfId="0" applyBorder="1" applyAlignment="1">
      <alignment horizontal="left"/>
    </xf>
    <xf numFmtId="0" fontId="0" fillId="0" borderId="428" xfId="0" applyBorder="1" applyAlignment="1">
      <alignment horizontal="center"/>
    </xf>
    <xf numFmtId="0" fontId="4" fillId="0" borderId="459" xfId="0" applyFont="1" applyBorder="1" applyAlignment="1" applyProtection="1">
      <alignment horizontal="center"/>
      <protection locked="0"/>
    </xf>
    <xf numFmtId="0" fontId="0" fillId="28" borderId="305" xfId="10" applyFont="1" applyBorder="1">
      <alignment horizontal="center" vertical="center"/>
    </xf>
    <xf numFmtId="0" fontId="0" fillId="0" borderId="474" xfId="0" applyBorder="1" applyAlignment="1">
      <alignment vertical="center"/>
    </xf>
    <xf numFmtId="0" fontId="0" fillId="0" borderId="452" xfId="0" applyBorder="1" applyAlignment="1" applyProtection="1">
      <alignment horizontal="center"/>
      <protection locked="0"/>
    </xf>
    <xf numFmtId="0" fontId="0" fillId="28" borderId="415" xfId="0" applyFill="1" applyBorder="1">
      <alignment horizontal="center" vertical="center"/>
    </xf>
    <xf numFmtId="0" fontId="21" fillId="0" borderId="474" xfId="0" applyFont="1" applyBorder="1" applyAlignment="1">
      <alignment vertical="center"/>
    </xf>
    <xf numFmtId="0" fontId="0" fillId="0" borderId="439" xfId="0" applyBorder="1">
      <alignment horizontal="center" vertical="center"/>
    </xf>
    <xf numFmtId="0" fontId="0" fillId="22" borderId="439" xfId="0" applyFill="1" applyBorder="1" applyAlignment="1" applyProtection="1">
      <alignment horizontal="center"/>
      <protection locked="0"/>
    </xf>
    <xf numFmtId="0" fontId="20" fillId="0" borderId="479" xfId="0" applyFont="1" applyBorder="1" applyAlignment="1">
      <alignment vertical="center"/>
    </xf>
    <xf numFmtId="49" fontId="0" fillId="19" borderId="480" xfId="0" applyNumberFormat="1" applyFill="1" applyBorder="1">
      <alignment horizontal="center" vertical="center"/>
    </xf>
    <xf numFmtId="49" fontId="0" fillId="19" borderId="473" xfId="0" applyNumberFormat="1" applyFill="1" applyBorder="1">
      <alignment horizontal="center" vertical="center"/>
    </xf>
    <xf numFmtId="0" fontId="0" fillId="19" borderId="473" xfId="0" applyFill="1" applyBorder="1">
      <alignment horizontal="center" vertical="center"/>
    </xf>
    <xf numFmtId="49" fontId="0" fillId="19" borderId="481" xfId="0" applyNumberFormat="1" applyFill="1" applyBorder="1">
      <alignment horizontal="center" vertical="center"/>
    </xf>
    <xf numFmtId="49" fontId="0" fillId="0" borderId="452" xfId="0" applyNumberFormat="1" applyBorder="1" applyAlignment="1"/>
    <xf numFmtId="0" fontId="0" fillId="0" borderId="474" xfId="0" applyBorder="1" applyAlignment="1" applyProtection="1">
      <alignment horizontal="left"/>
      <protection locked="0"/>
    </xf>
    <xf numFmtId="0" fontId="19" fillId="0" borderId="474" xfId="0" applyFont="1" applyBorder="1" applyAlignment="1">
      <alignment vertical="center"/>
    </xf>
    <xf numFmtId="0" fontId="43" fillId="19" borderId="415" xfId="0" applyFont="1" applyFill="1" applyBorder="1">
      <alignment horizontal="center" vertical="center"/>
    </xf>
    <xf numFmtId="0" fontId="0" fillId="0" borderId="475" xfId="0" applyBorder="1" applyAlignment="1">
      <alignment vertical="center"/>
    </xf>
    <xf numFmtId="0" fontId="0" fillId="57" borderId="415" xfId="0" applyFill="1" applyBorder="1">
      <alignment horizontal="center" vertical="center"/>
    </xf>
    <xf numFmtId="0" fontId="5" fillId="6" borderId="452" xfId="0" applyFont="1" applyFill="1" applyBorder="1" applyAlignment="1">
      <alignment horizontal="left"/>
    </xf>
    <xf numFmtId="0" fontId="5" fillId="7" borderId="452" xfId="0" applyFont="1" applyFill="1" applyBorder="1">
      <alignment horizontal="center" vertical="center"/>
    </xf>
    <xf numFmtId="0" fontId="6" fillId="7" borderId="453" xfId="0" applyFont="1" applyFill="1" applyBorder="1">
      <alignment horizontal="center" vertical="center"/>
    </xf>
    <xf numFmtId="0" fontId="5" fillId="8" borderId="452" xfId="0" applyFont="1" applyFill="1" applyBorder="1" applyAlignment="1">
      <alignment horizontal="left"/>
    </xf>
    <xf numFmtId="0" fontId="5" fillId="8" borderId="453" xfId="0" applyFont="1" applyFill="1" applyBorder="1" applyAlignment="1">
      <alignment horizontal="left"/>
    </xf>
    <xf numFmtId="0" fontId="6" fillId="8" borderId="453" xfId="0" applyFont="1" applyFill="1" applyBorder="1">
      <alignment horizontal="center" vertical="center"/>
    </xf>
    <xf numFmtId="0" fontId="6" fillId="8" borderId="454" xfId="0" applyFont="1" applyFill="1" applyBorder="1">
      <alignment horizontal="center" vertical="center"/>
    </xf>
    <xf numFmtId="0" fontId="5" fillId="9" borderId="452" xfId="0" applyFont="1" applyFill="1" applyBorder="1" applyAlignment="1">
      <alignment horizontal="left"/>
    </xf>
    <xf numFmtId="0" fontId="5" fillId="9" borderId="453" xfId="0" applyFont="1" applyFill="1" applyBorder="1" applyAlignment="1">
      <alignment horizontal="left"/>
    </xf>
    <xf numFmtId="0" fontId="0" fillId="9" borderId="453" xfId="0" applyFill="1" applyBorder="1">
      <alignment horizontal="center" vertical="center"/>
    </xf>
    <xf numFmtId="0" fontId="5" fillId="10" borderId="452" xfId="0" applyFont="1" applyFill="1" applyBorder="1" applyAlignment="1">
      <alignment horizontal="left"/>
    </xf>
    <xf numFmtId="0" fontId="0" fillId="10" borderId="453" xfId="0" applyFill="1" applyBorder="1">
      <alignment horizontal="center" vertical="center"/>
    </xf>
    <xf numFmtId="0" fontId="6" fillId="10" borderId="453" xfId="0" applyFont="1" applyFill="1" applyBorder="1">
      <alignment horizontal="center" vertical="center"/>
    </xf>
    <xf numFmtId="0" fontId="6" fillId="10" borderId="454" xfId="0" applyFont="1" applyFill="1" applyBorder="1">
      <alignment horizontal="center" vertical="center"/>
    </xf>
    <xf numFmtId="0" fontId="5" fillId="11" borderId="452" xfId="0" applyFont="1" applyFill="1" applyBorder="1">
      <alignment horizontal="center" vertical="center"/>
    </xf>
    <xf numFmtId="0" fontId="0" fillId="11" borderId="453" xfId="0" applyFill="1" applyBorder="1">
      <alignment horizontal="center" vertical="center"/>
    </xf>
    <xf numFmtId="0" fontId="6" fillId="11" borderId="453" xfId="0" applyFont="1" applyFill="1" applyBorder="1">
      <alignment horizontal="center" vertical="center"/>
    </xf>
    <xf numFmtId="0" fontId="5" fillId="12" borderId="452" xfId="0" applyFont="1" applyFill="1" applyBorder="1" applyAlignment="1">
      <alignment horizontal="left"/>
    </xf>
    <xf numFmtId="0" fontId="6" fillId="12" borderId="453" xfId="0" applyFont="1" applyFill="1" applyBorder="1">
      <alignment horizontal="center" vertical="center"/>
    </xf>
    <xf numFmtId="0" fontId="0" fillId="12" borderId="454" xfId="0" applyFill="1" applyBorder="1">
      <alignment horizontal="center" vertical="center"/>
    </xf>
    <xf numFmtId="0" fontId="0" fillId="13" borderId="482" xfId="0" applyFill="1" applyBorder="1">
      <alignment horizontal="center" vertical="center"/>
    </xf>
    <xf numFmtId="0" fontId="6" fillId="13" borderId="482" xfId="0" applyFont="1" applyFill="1" applyBorder="1">
      <alignment horizontal="center" vertical="center"/>
    </xf>
    <xf numFmtId="0" fontId="6" fillId="13" borderId="483" xfId="0" applyFont="1" applyFill="1" applyBorder="1">
      <alignment horizontal="center" vertical="center"/>
    </xf>
    <xf numFmtId="0" fontId="5" fillId="0" borderId="476" xfId="0" applyFont="1" applyBorder="1" applyAlignment="1">
      <alignment horizontal="left" vertical="center"/>
    </xf>
    <xf numFmtId="0" fontId="6" fillId="0" borderId="482" xfId="0" applyFont="1" applyBorder="1">
      <alignment horizontal="center" vertical="center"/>
    </xf>
    <xf numFmtId="0" fontId="6" fillId="0" borderId="483" xfId="0" applyFont="1" applyBorder="1">
      <alignment horizontal="center" vertical="center"/>
    </xf>
    <xf numFmtId="0" fontId="5" fillId="14" borderId="474" xfId="0" applyFont="1" applyFill="1" applyBorder="1" applyAlignment="1">
      <alignment horizontal="left"/>
    </xf>
    <xf numFmtId="0" fontId="5" fillId="15" borderId="452" xfId="0" applyFont="1" applyFill="1" applyBorder="1">
      <alignment horizontal="center" vertical="center"/>
    </xf>
    <xf numFmtId="0" fontId="6" fillId="15" borderId="453" xfId="0" applyFont="1" applyFill="1" applyBorder="1">
      <alignment horizontal="center" vertical="center"/>
    </xf>
    <xf numFmtId="0" fontId="6" fillId="0" borderId="452" xfId="0" applyFont="1" applyBorder="1" applyAlignment="1">
      <alignment horizontal="left"/>
    </xf>
    <xf numFmtId="0" fontId="0" fillId="0" borderId="453" xfId="0" applyBorder="1">
      <alignment horizontal="center" vertical="center"/>
    </xf>
    <xf numFmtId="0" fontId="6" fillId="0" borderId="453" xfId="0" applyFont="1" applyBorder="1" applyAlignment="1">
      <alignment horizontal="left"/>
    </xf>
    <xf numFmtId="0" fontId="6" fillId="0" borderId="453" xfId="0" applyFont="1" applyBorder="1">
      <alignment horizontal="center" vertical="center"/>
    </xf>
    <xf numFmtId="0" fontId="6" fillId="0" borderId="454" xfId="0" applyFont="1" applyBorder="1">
      <alignment horizontal="center" vertical="center"/>
    </xf>
    <xf numFmtId="0" fontId="6" fillId="17" borderId="452" xfId="0" applyFont="1" applyFill="1" applyBorder="1" applyAlignment="1">
      <alignment horizontal="left" vertical="center"/>
    </xf>
    <xf numFmtId="0" fontId="6" fillId="17" borderId="453" xfId="0" applyFont="1" applyFill="1" applyBorder="1">
      <alignment horizontal="center" vertical="center"/>
    </xf>
    <xf numFmtId="0" fontId="6" fillId="17" borderId="454" xfId="0" applyFont="1" applyFill="1" applyBorder="1">
      <alignment horizontal="center" vertical="center"/>
    </xf>
    <xf numFmtId="0" fontId="4" fillId="0" borderId="452" xfId="0" applyFont="1" applyBorder="1" applyAlignment="1">
      <alignment horizontal="left" vertical="center"/>
    </xf>
    <xf numFmtId="0" fontId="0" fillId="0" borderId="454" xfId="0" applyBorder="1">
      <alignment horizontal="center" vertical="center"/>
    </xf>
    <xf numFmtId="0" fontId="0" fillId="0" borderId="484" xfId="0" applyBorder="1">
      <alignment horizontal="center" vertical="center"/>
    </xf>
    <xf numFmtId="0" fontId="4" fillId="0" borderId="453" xfId="0" applyFont="1" applyBorder="1" applyAlignment="1">
      <alignment horizontal="left" vertical="center"/>
    </xf>
    <xf numFmtId="0" fontId="0" fillId="0" borderId="485" xfId="0" applyBorder="1">
      <alignment horizontal="center" vertical="center"/>
    </xf>
    <xf numFmtId="0" fontId="7" fillId="0" borderId="476" xfId="0" applyFont="1" applyBorder="1">
      <alignment horizontal="center" vertical="center"/>
    </xf>
    <xf numFmtId="0" fontId="0" fillId="0" borderId="482" xfId="0" applyBorder="1">
      <alignment horizontal="center" vertical="center"/>
    </xf>
    <xf numFmtId="0" fontId="0" fillId="0" borderId="483" xfId="0" applyBorder="1">
      <alignment horizontal="center" vertical="center"/>
    </xf>
    <xf numFmtId="0" fontId="4" fillId="0" borderId="452" xfId="0" applyFont="1" applyBorder="1">
      <alignment horizontal="center" vertical="center"/>
    </xf>
    <xf numFmtId="0" fontId="0" fillId="0" borderId="477" xfId="0" applyBorder="1" applyAlignment="1" applyProtection="1">
      <alignment horizontal="center"/>
      <protection locked="0"/>
    </xf>
    <xf numFmtId="0" fontId="5" fillId="0" borderId="477" xfId="0" applyFont="1" applyBorder="1" applyAlignment="1">
      <alignment horizontal="center"/>
    </xf>
    <xf numFmtId="0" fontId="0" fillId="19" borderId="477" xfId="0" applyFill="1" applyBorder="1">
      <alignment horizontal="center" vertical="center"/>
    </xf>
    <xf numFmtId="0" fontId="0" fillId="18" borderId="477" xfId="0" applyFill="1" applyBorder="1">
      <alignment horizontal="center" vertical="center"/>
    </xf>
    <xf numFmtId="0" fontId="0" fillId="19" borderId="486" xfId="0" applyFill="1" applyBorder="1">
      <alignment horizontal="center" vertical="center"/>
    </xf>
    <xf numFmtId="0" fontId="0" fillId="22" borderId="476" xfId="0" applyFill="1" applyBorder="1" applyAlignment="1" applyProtection="1">
      <alignment horizontal="left"/>
      <protection locked="0"/>
    </xf>
    <xf numFmtId="0" fontId="4" fillId="11" borderId="452" xfId="0" applyFont="1" applyFill="1" applyBorder="1" applyAlignment="1">
      <alignment horizontal="left" vertical="center"/>
    </xf>
    <xf numFmtId="0" fontId="0" fillId="11" borderId="474" xfId="0" applyFill="1" applyBorder="1">
      <alignment horizontal="center" vertical="center"/>
    </xf>
    <xf numFmtId="0" fontId="0" fillId="11" borderId="487" xfId="0" applyFill="1" applyBorder="1">
      <alignment horizontal="center" vertical="center"/>
    </xf>
    <xf numFmtId="0" fontId="5" fillId="0" borderId="474" xfId="0" applyFont="1" applyBorder="1" applyAlignment="1">
      <alignment horizontal="left" vertical="center"/>
    </xf>
    <xf numFmtId="0" fontId="17" fillId="28" borderId="474" xfId="10" applyBorder="1">
      <alignment horizontal="center" vertical="center"/>
    </xf>
    <xf numFmtId="0" fontId="0" fillId="28" borderId="474" xfId="10" applyFont="1" applyBorder="1">
      <alignment horizontal="center" vertical="center"/>
    </xf>
    <xf numFmtId="1" fontId="0" fillId="19" borderId="474" xfId="0" applyNumberFormat="1" applyFill="1" applyBorder="1">
      <alignment horizontal="center" vertical="center"/>
    </xf>
    <xf numFmtId="1" fontId="0" fillId="19" borderId="474" xfId="1" applyNumberFormat="1" applyFont="1" applyFill="1" applyBorder="1" applyAlignment="1">
      <alignment horizontal="center" vertical="center"/>
    </xf>
    <xf numFmtId="0" fontId="0" fillId="0" borderId="474" xfId="0" applyBorder="1">
      <alignment horizontal="center" vertical="center"/>
    </xf>
    <xf numFmtId="0" fontId="17" fillId="24" borderId="474" xfId="6" applyBorder="1">
      <alignment horizontal="center" vertical="center"/>
    </xf>
    <xf numFmtId="0" fontId="0" fillId="19" borderId="474" xfId="5" applyFont="1" applyFill="1" applyBorder="1">
      <alignment horizontal="center" vertical="center"/>
    </xf>
    <xf numFmtId="1" fontId="0" fillId="19" borderId="487" xfId="0" applyNumberFormat="1" applyFill="1" applyBorder="1">
      <alignment horizontal="center" vertical="center"/>
    </xf>
    <xf numFmtId="0" fontId="0" fillId="22" borderId="452" xfId="0" applyFill="1" applyBorder="1" applyAlignment="1" applyProtection="1">
      <alignment horizontal="center"/>
      <protection locked="0"/>
    </xf>
    <xf numFmtId="0" fontId="0" fillId="0" borderId="474" xfId="0" applyBorder="1" applyAlignment="1">
      <alignment horizontal="left" vertical="center"/>
    </xf>
    <xf numFmtId="1" fontId="0" fillId="26" borderId="474" xfId="0" applyNumberFormat="1" applyFill="1" applyBorder="1">
      <alignment horizontal="center" vertical="center"/>
    </xf>
    <xf numFmtId="1" fontId="0" fillId="28" borderId="474" xfId="0" applyNumberFormat="1" applyFill="1" applyBorder="1">
      <alignment horizontal="center" vertical="center"/>
    </xf>
    <xf numFmtId="1" fontId="0" fillId="28" borderId="474" xfId="1" applyNumberFormat="1" applyFont="1" applyFill="1" applyBorder="1" applyAlignment="1">
      <alignment horizontal="center" vertical="center"/>
    </xf>
    <xf numFmtId="0" fontId="17" fillId="19" borderId="474" xfId="10" applyFill="1" applyBorder="1">
      <alignment horizontal="center" vertical="center"/>
    </xf>
    <xf numFmtId="0" fontId="6" fillId="25" borderId="474" xfId="17" applyFill="1" applyBorder="1">
      <alignment horizontal="center" vertical="center"/>
    </xf>
    <xf numFmtId="1" fontId="0" fillId="19" borderId="474" xfId="6" applyNumberFormat="1" applyFont="1" applyFill="1" applyBorder="1">
      <alignment horizontal="center" vertical="center"/>
    </xf>
    <xf numFmtId="0" fontId="4" fillId="11" borderId="476" xfId="0" applyFont="1" applyFill="1" applyBorder="1" applyAlignment="1" applyProtection="1">
      <alignment horizontal="left"/>
      <protection locked="0"/>
    </xf>
    <xf numFmtId="0" fontId="4" fillId="11" borderId="475" xfId="0" applyFont="1" applyFill="1" applyBorder="1">
      <alignment horizontal="center" vertical="center"/>
    </xf>
    <xf numFmtId="1" fontId="0" fillId="11" borderId="475" xfId="0" applyNumberFormat="1" applyFill="1" applyBorder="1">
      <alignment horizontal="center" vertical="center"/>
    </xf>
    <xf numFmtId="0" fontId="0" fillId="11" borderId="488" xfId="0" applyFill="1" applyBorder="1">
      <alignment horizontal="center" vertical="center"/>
    </xf>
    <xf numFmtId="0" fontId="17" fillId="24" borderId="305" xfId="6" applyBorder="1">
      <alignment horizontal="center" vertical="center"/>
    </xf>
    <xf numFmtId="0" fontId="0" fillId="22" borderId="415" xfId="0" applyFill="1" applyBorder="1" applyAlignment="1" applyProtection="1">
      <alignment horizontal="center"/>
      <protection locked="0"/>
    </xf>
    <xf numFmtId="0" fontId="0" fillId="26" borderId="415" xfId="7" applyFont="1" applyFill="1" applyBorder="1">
      <alignment horizontal="center" vertical="center"/>
    </xf>
    <xf numFmtId="0" fontId="0" fillId="25" borderId="305" xfId="7" applyFont="1" applyFill="1" applyBorder="1">
      <alignment horizontal="center" vertical="center"/>
    </xf>
    <xf numFmtId="0" fontId="6" fillId="0" borderId="415" xfId="0" applyFont="1" applyBorder="1" applyAlignment="1">
      <alignment horizontal="left" vertical="center"/>
    </xf>
    <xf numFmtId="0" fontId="0" fillId="19" borderId="415" xfId="5" applyFont="1" applyFill="1" applyBorder="1">
      <alignment horizontal="center" vertical="center"/>
    </xf>
    <xf numFmtId="0" fontId="4" fillId="0" borderId="489" xfId="0" applyFont="1" applyBorder="1" applyAlignment="1">
      <alignment horizontal="left" vertical="center"/>
    </xf>
    <xf numFmtId="0" fontId="4" fillId="0" borderId="452" xfId="0" applyFont="1" applyBorder="1" applyAlignment="1">
      <alignment vertical="center"/>
    </xf>
    <xf numFmtId="0" fontId="7" fillId="0" borderId="453" xfId="0" applyFont="1" applyBorder="1">
      <alignment horizontal="center" vertical="center"/>
    </xf>
    <xf numFmtId="0" fontId="4" fillId="0" borderId="476" xfId="0" applyFont="1" applyBorder="1" applyAlignment="1">
      <alignment horizontal="left" vertical="center"/>
    </xf>
    <xf numFmtId="0" fontId="7" fillId="0" borderId="482" xfId="0" applyFont="1" applyBorder="1">
      <alignment horizontal="center" vertical="center"/>
    </xf>
    <xf numFmtId="0" fontId="4" fillId="0" borderId="482" xfId="0" applyFont="1" applyBorder="1">
      <alignment horizontal="center" vertical="center"/>
    </xf>
    <xf numFmtId="0" fontId="4" fillId="0" borderId="467" xfId="0" applyFont="1" applyBorder="1" applyAlignment="1">
      <alignment horizontal="left" vertical="center"/>
    </xf>
    <xf numFmtId="0" fontId="0" fillId="0" borderId="452" xfId="0" applyBorder="1" applyAlignment="1">
      <alignment vertical="center"/>
    </xf>
    <xf numFmtId="0" fontId="0" fillId="0" borderId="453" xfId="0" applyBorder="1" applyAlignment="1">
      <alignment horizontal="left" vertical="center"/>
    </xf>
    <xf numFmtId="0" fontId="0" fillId="0" borderId="490" xfId="0" applyBorder="1">
      <alignment horizontal="center" vertical="center"/>
    </xf>
    <xf numFmtId="0" fontId="4" fillId="0" borderId="468" xfId="0" applyFont="1" applyBorder="1" applyAlignment="1">
      <alignment horizontal="left" vertical="center"/>
    </xf>
    <xf numFmtId="0" fontId="0" fillId="0" borderId="469" xfId="0" applyBorder="1">
      <alignment horizontal="center" vertical="center"/>
    </xf>
    <xf numFmtId="0" fontId="0" fillId="0" borderId="465" xfId="0" applyBorder="1" applyAlignment="1">
      <alignment vertical="center"/>
    </xf>
    <xf numFmtId="0" fontId="0" fillId="0" borderId="491" xfId="0" applyBorder="1">
      <alignment horizontal="center" vertical="center"/>
    </xf>
    <xf numFmtId="0" fontId="4" fillId="0" borderId="465" xfId="0" applyFont="1" applyBorder="1">
      <alignment horizontal="center" vertical="center"/>
    </xf>
    <xf numFmtId="0" fontId="0" fillId="0" borderId="469" xfId="0" applyBorder="1" applyAlignment="1">
      <alignment horizontal="left" vertical="center"/>
    </xf>
    <xf numFmtId="0" fontId="7" fillId="0" borderId="469" xfId="0" applyFont="1" applyBorder="1">
      <alignment horizontal="center" vertical="center"/>
    </xf>
    <xf numFmtId="0" fontId="4" fillId="0" borderId="469" xfId="0" applyFont="1" applyBorder="1" applyAlignment="1">
      <alignment horizontal="left" vertical="center"/>
    </xf>
    <xf numFmtId="0" fontId="0" fillId="0" borderId="492" xfId="0" applyBorder="1">
      <alignment horizontal="center" vertical="center"/>
    </xf>
    <xf numFmtId="0" fontId="0" fillId="0" borderId="475" xfId="0" applyBorder="1" applyAlignment="1" applyProtection="1">
      <alignment horizontal="center"/>
      <protection locked="0"/>
    </xf>
    <xf numFmtId="0" fontId="5" fillId="0" borderId="475" xfId="0" applyFont="1" applyBorder="1" applyAlignment="1">
      <alignment horizontal="center"/>
    </xf>
    <xf numFmtId="0" fontId="17" fillId="27" borderId="118" xfId="9" applyBorder="1">
      <alignment horizontal="center" vertical="center"/>
    </xf>
    <xf numFmtId="0" fontId="0" fillId="22" borderId="493" xfId="0" applyFill="1" applyBorder="1" applyAlignment="1" applyProtection="1">
      <alignment horizontal="center"/>
      <protection locked="0"/>
    </xf>
    <xf numFmtId="0" fontId="0" fillId="19" borderId="474" xfId="10" applyFont="1" applyFill="1" applyBorder="1">
      <alignment horizontal="center" vertical="center"/>
    </xf>
    <xf numFmtId="0" fontId="0" fillId="61" borderId="474" xfId="10" applyFont="1" applyFill="1" applyBorder="1">
      <alignment horizontal="center" vertical="center"/>
    </xf>
    <xf numFmtId="0" fontId="0" fillId="19" borderId="487" xfId="0" applyFill="1" applyBorder="1">
      <alignment horizontal="center" vertical="center"/>
    </xf>
    <xf numFmtId="0" fontId="0" fillId="22" borderId="478" xfId="0" applyFill="1" applyBorder="1" applyAlignment="1" applyProtection="1">
      <alignment horizontal="center"/>
      <protection locked="0"/>
    </xf>
    <xf numFmtId="0" fontId="0" fillId="0" borderId="477" xfId="0" applyBorder="1" applyAlignment="1">
      <alignment horizontal="left" vertical="center"/>
    </xf>
    <xf numFmtId="0" fontId="0" fillId="24" borderId="477" xfId="0" applyFill="1" applyBorder="1">
      <alignment horizontal="center" vertical="center"/>
    </xf>
    <xf numFmtId="0" fontId="17" fillId="28" borderId="477" xfId="10" applyBorder="1">
      <alignment horizontal="center" vertical="center"/>
    </xf>
    <xf numFmtId="0" fontId="0" fillId="19" borderId="477" xfId="6" applyFont="1" applyFill="1" applyBorder="1">
      <alignment horizontal="center" vertical="center"/>
    </xf>
    <xf numFmtId="49" fontId="0" fillId="19" borderId="486" xfId="0" applyNumberFormat="1" applyFill="1" applyBorder="1">
      <alignment horizontal="center" vertical="center"/>
    </xf>
    <xf numFmtId="49" fontId="0" fillId="19" borderId="474" xfId="0" applyNumberFormat="1" applyFill="1" applyBorder="1">
      <alignment horizontal="center" vertical="center"/>
    </xf>
    <xf numFmtId="0" fontId="0" fillId="19" borderId="474" xfId="9" applyFont="1" applyFill="1" applyBorder="1">
      <alignment horizontal="center" vertical="center"/>
    </xf>
    <xf numFmtId="0" fontId="17" fillId="27" borderId="474" xfId="9" applyBorder="1">
      <alignment horizontal="center" vertical="center"/>
    </xf>
    <xf numFmtId="49" fontId="0" fillId="19" borderId="487" xfId="0" applyNumberFormat="1" applyFill="1" applyBorder="1">
      <alignment horizontal="center" vertical="center"/>
    </xf>
    <xf numFmtId="0" fontId="0" fillId="0" borderId="477" xfId="0" applyBorder="1" applyAlignment="1">
      <alignment vertical="center"/>
    </xf>
    <xf numFmtId="0" fontId="0" fillId="25" borderId="477" xfId="0" applyFill="1" applyBorder="1">
      <alignment horizontal="center" vertical="center"/>
    </xf>
    <xf numFmtId="49" fontId="0" fillId="25" borderId="477" xfId="0" applyNumberFormat="1" applyFill="1" applyBorder="1">
      <alignment horizontal="center" vertical="center"/>
    </xf>
    <xf numFmtId="0" fontId="6" fillId="0" borderId="477" xfId="7" applyBorder="1">
      <alignment horizontal="center" vertical="center"/>
    </xf>
    <xf numFmtId="0" fontId="45" fillId="23" borderId="474" xfId="5" applyBorder="1">
      <alignment horizontal="center" vertical="center"/>
    </xf>
    <xf numFmtId="0" fontId="0" fillId="0" borderId="118" xfId="0" applyBorder="1">
      <alignment horizontal="center" vertical="center"/>
    </xf>
    <xf numFmtId="0" fontId="0" fillId="28" borderId="118" xfId="0" applyFill="1" applyBorder="1">
      <alignment horizontal="center" vertical="center"/>
    </xf>
    <xf numFmtId="0" fontId="0" fillId="28" borderId="118" xfId="6" applyFont="1" applyFill="1" applyBorder="1">
      <alignment horizontal="center" vertical="center"/>
    </xf>
    <xf numFmtId="0" fontId="0" fillId="19" borderId="118" xfId="7" applyFont="1" applyFill="1" applyBorder="1">
      <alignment horizontal="center" vertical="center"/>
    </xf>
    <xf numFmtId="0" fontId="0" fillId="19" borderId="302" xfId="7" applyFont="1" applyFill="1" applyBorder="1">
      <alignment horizontal="center" vertical="center"/>
    </xf>
    <xf numFmtId="0" fontId="17" fillId="24" borderId="477" xfId="6" applyBorder="1">
      <alignment horizontal="center" vertical="center"/>
    </xf>
    <xf numFmtId="0" fontId="0" fillId="19" borderId="486" xfId="6" applyFont="1" applyFill="1" applyBorder="1">
      <alignment horizontal="center" vertical="center"/>
    </xf>
    <xf numFmtId="0" fontId="4" fillId="0" borderId="474" xfId="0" applyFont="1" applyBorder="1" applyAlignment="1">
      <alignment horizontal="center"/>
    </xf>
    <xf numFmtId="0" fontId="6" fillId="0" borderId="474" xfId="0" applyFont="1" applyBorder="1">
      <alignment horizontal="center" vertical="center"/>
    </xf>
    <xf numFmtId="0" fontId="0" fillId="0" borderId="475" xfId="0" applyBorder="1">
      <alignment horizontal="center" vertical="center"/>
    </xf>
    <xf numFmtId="0" fontId="4" fillId="0" borderId="475" xfId="0" applyFont="1" applyBorder="1" applyAlignment="1">
      <alignment horizontal="center"/>
    </xf>
    <xf numFmtId="0" fontId="5" fillId="0" borderId="474" xfId="0" applyFont="1" applyBorder="1" applyAlignment="1">
      <alignment horizontal="left"/>
    </xf>
    <xf numFmtId="0" fontId="6" fillId="0" borderId="452" xfId="0" applyFont="1" applyBorder="1">
      <alignment horizontal="center" vertical="center"/>
    </xf>
    <xf numFmtId="0" fontId="0" fillId="0" borderId="474" xfId="0" applyBorder="1" applyAlignment="1">
      <alignment horizontal="center"/>
    </xf>
    <xf numFmtId="0" fontId="0" fillId="0" borderId="452" xfId="0" applyBorder="1" applyAlignment="1">
      <alignment horizontal="left"/>
    </xf>
    <xf numFmtId="0" fontId="0" fillId="0" borderId="453" xfId="0" applyBorder="1" applyAlignment="1">
      <alignment horizontal="left"/>
    </xf>
    <xf numFmtId="0" fontId="0" fillId="22" borderId="474" xfId="0" applyFill="1" applyBorder="1" applyAlignment="1" applyProtection="1">
      <alignment horizontal="center"/>
      <protection locked="0"/>
    </xf>
    <xf numFmtId="0" fontId="0" fillId="0" borderId="476" xfId="0" applyBorder="1" applyAlignment="1">
      <alignment horizontal="left"/>
    </xf>
    <xf numFmtId="0" fontId="0" fillId="0" borderId="482" xfId="0" applyBorder="1" applyAlignment="1">
      <alignment horizontal="left"/>
    </xf>
    <xf numFmtId="0" fontId="6" fillId="0" borderId="483" xfId="0" applyFont="1" applyBorder="1" applyAlignment="1">
      <alignment horizontal="left"/>
    </xf>
    <xf numFmtId="0" fontId="6" fillId="0" borderId="482" xfId="0" applyFont="1" applyBorder="1" applyAlignment="1">
      <alignment horizontal="left"/>
    </xf>
    <xf numFmtId="0" fontId="6" fillId="0" borderId="454" xfId="0" applyFont="1" applyBorder="1" applyAlignment="1">
      <alignment horizontal="left"/>
    </xf>
    <xf numFmtId="0" fontId="5" fillId="0" borderId="452" xfId="0" applyFont="1" applyBorder="1" applyAlignment="1">
      <alignment horizontal="left"/>
    </xf>
    <xf numFmtId="0" fontId="11" fillId="0" borderId="474" xfId="0" applyFont="1" applyBorder="1" applyAlignment="1" applyProtection="1">
      <alignment horizontal="center"/>
      <protection locked="0"/>
    </xf>
    <xf numFmtId="0" fontId="0" fillId="0" borderId="474" xfId="0" applyBorder="1" applyAlignment="1">
      <alignment horizontal="left"/>
    </xf>
    <xf numFmtId="0" fontId="6" fillId="0" borderId="474" xfId="0" applyFont="1" applyBorder="1" applyAlignment="1">
      <alignment horizontal="left"/>
    </xf>
    <xf numFmtId="0" fontId="4" fillId="0" borderId="475" xfId="0" applyFont="1" applyBorder="1" applyAlignment="1" applyProtection="1">
      <alignment horizontal="center"/>
      <protection locked="0"/>
    </xf>
    <xf numFmtId="0" fontId="0" fillId="19" borderId="475" xfId="0" applyFill="1" applyBorder="1">
      <alignment horizontal="center" vertical="center"/>
    </xf>
    <xf numFmtId="0" fontId="0" fillId="18" borderId="475" xfId="0" applyFill="1" applyBorder="1">
      <alignment horizontal="center" vertical="center"/>
    </xf>
    <xf numFmtId="0" fontId="0" fillId="19" borderId="488" xfId="0" applyFill="1" applyBorder="1">
      <alignment horizontal="center" vertical="center"/>
    </xf>
    <xf numFmtId="0" fontId="0" fillId="27" borderId="415" xfId="9" applyFont="1" applyBorder="1">
      <alignment horizontal="center" vertical="center"/>
    </xf>
    <xf numFmtId="0" fontId="0" fillId="19" borderId="415" xfId="3" applyNumberFormat="1" applyFont="1" applyFill="1" applyBorder="1" applyAlignment="1">
      <alignment horizontal="center" vertical="center"/>
    </xf>
    <xf numFmtId="0" fontId="17" fillId="30" borderId="415" xfId="12" applyBorder="1">
      <alignment horizontal="center" vertical="center"/>
    </xf>
    <xf numFmtId="0" fontId="0" fillId="27" borderId="415" xfId="0" applyFill="1" applyBorder="1">
      <alignment horizontal="center" vertical="center"/>
    </xf>
    <xf numFmtId="0" fontId="0" fillId="27" borderId="415" xfId="7" applyFont="1" applyFill="1" applyBorder="1">
      <alignment horizontal="center" vertical="center"/>
    </xf>
    <xf numFmtId="0" fontId="0" fillId="24" borderId="415" xfId="0" applyFill="1" applyBorder="1">
      <alignment horizontal="center" vertical="center"/>
    </xf>
    <xf numFmtId="49" fontId="27" fillId="2" borderId="415" xfId="16" applyNumberFormat="1" applyBorder="1" applyAlignment="1">
      <alignment horizontal="center" vertical="center"/>
    </xf>
    <xf numFmtId="0" fontId="17" fillId="29" borderId="415" xfId="11" applyBorder="1">
      <alignment horizontal="center" vertical="center"/>
    </xf>
    <xf numFmtId="0" fontId="0" fillId="26" borderId="415" xfId="0" applyFill="1" applyBorder="1">
      <alignment horizontal="center" vertical="center"/>
    </xf>
    <xf numFmtId="0" fontId="44" fillId="19" borderId="415" xfId="7" applyFont="1" applyFill="1" applyBorder="1">
      <alignment horizontal="center" vertical="center"/>
    </xf>
    <xf numFmtId="0" fontId="6" fillId="0" borderId="474" xfId="7" applyBorder="1">
      <alignment horizontal="center" vertical="center"/>
    </xf>
    <xf numFmtId="0" fontId="6" fillId="0" borderId="494" xfId="7" applyBorder="1">
      <alignment horizontal="center" vertical="center"/>
    </xf>
    <xf numFmtId="0" fontId="6" fillId="0" borderId="495" xfId="7" applyBorder="1">
      <alignment horizontal="center" vertical="center"/>
    </xf>
    <xf numFmtId="0" fontId="0" fillId="27" borderId="474" xfId="0" applyFill="1" applyBorder="1">
      <alignment horizontal="center" vertical="center"/>
    </xf>
    <xf numFmtId="49" fontId="0" fillId="27" borderId="474" xfId="0" applyNumberFormat="1" applyFill="1" applyBorder="1">
      <alignment horizontal="center" vertical="center"/>
    </xf>
    <xf numFmtId="0" fontId="14" fillId="0" borderId="415" xfId="0" applyFont="1" applyBorder="1" applyAlignment="1" applyProtection="1">
      <alignment horizontal="center"/>
      <protection locked="0"/>
    </xf>
    <xf numFmtId="0" fontId="4" fillId="0" borderId="474" xfId="0" applyFont="1" applyBorder="1" applyAlignment="1" applyProtection="1">
      <alignment horizontal="center"/>
      <protection locked="0"/>
    </xf>
    <xf numFmtId="0" fontId="0" fillId="19" borderId="474" xfId="0" applyFill="1" applyBorder="1" applyAlignment="1">
      <alignment horizontal="left" vertical="center"/>
    </xf>
    <xf numFmtId="0" fontId="0" fillId="30" borderId="475" xfId="0" applyFill="1" applyBorder="1">
      <alignment horizontal="center" vertical="center"/>
    </xf>
    <xf numFmtId="0" fontId="17" fillId="28" borderId="475" xfId="10" applyBorder="1">
      <alignment horizontal="center" vertical="center"/>
    </xf>
    <xf numFmtId="0" fontId="0" fillId="30" borderId="475" xfId="12" applyFont="1" applyBorder="1">
      <alignment horizontal="center" vertical="center"/>
    </xf>
    <xf numFmtId="0" fontId="0" fillId="19" borderId="474" xfId="12" applyFont="1" applyFill="1" applyBorder="1">
      <alignment horizontal="center" vertical="center"/>
    </xf>
    <xf numFmtId="0" fontId="0" fillId="19" borderId="487" xfId="12" applyFont="1" applyFill="1" applyBorder="1">
      <alignment horizontal="center" vertical="center"/>
    </xf>
    <xf numFmtId="0" fontId="0" fillId="19" borderId="452" xfId="0" applyFill="1" applyBorder="1" applyAlignment="1">
      <alignment horizontal="left" vertical="center"/>
    </xf>
    <xf numFmtId="0" fontId="12" fillId="0" borderId="463" xfId="14" applyBorder="1"/>
    <xf numFmtId="0" fontId="0" fillId="19" borderId="454" xfId="0" applyFill="1" applyBorder="1">
      <alignment horizontal="center" vertical="center"/>
    </xf>
    <xf numFmtId="0" fontId="0" fillId="19" borderId="496" xfId="0" applyFill="1" applyBorder="1">
      <alignment horizontal="center" vertical="center"/>
    </xf>
    <xf numFmtId="0" fontId="0" fillId="19" borderId="497" xfId="7" applyFont="1" applyFill="1" applyBorder="1">
      <alignment horizontal="center" vertical="center"/>
    </xf>
    <xf numFmtId="0" fontId="6" fillId="0" borderId="467" xfId="7" applyBorder="1" applyAlignment="1">
      <alignment horizontal="center"/>
    </xf>
    <xf numFmtId="0" fontId="4" fillId="0" borderId="452" xfId="7" applyFont="1" applyBorder="1" applyAlignment="1">
      <alignment horizontal="left"/>
    </xf>
    <xf numFmtId="0" fontId="6" fillId="0" borderId="453" xfId="7" applyBorder="1">
      <alignment horizontal="center" vertical="center"/>
    </xf>
    <xf numFmtId="0" fontId="6" fillId="0" borderId="454" xfId="7" applyBorder="1" applyAlignment="1">
      <alignment horizontal="left"/>
    </xf>
    <xf numFmtId="0" fontId="6" fillId="0" borderId="453" xfId="7" applyBorder="1" applyAlignment="1">
      <alignment horizontal="left"/>
    </xf>
    <xf numFmtId="0" fontId="4" fillId="0" borderId="453" xfId="7" applyFont="1" applyBorder="1" applyAlignment="1">
      <alignment horizontal="left"/>
    </xf>
    <xf numFmtId="0" fontId="6" fillId="0" borderId="452" xfId="7" applyBorder="1">
      <alignment horizontal="center" vertical="center"/>
    </xf>
    <xf numFmtId="0" fontId="6" fillId="0" borderId="453" xfId="7" applyBorder="1" applyAlignment="1">
      <alignment vertical="center"/>
    </xf>
    <xf numFmtId="0" fontId="6" fillId="0" borderId="453" xfId="7" applyBorder="1" applyAlignment="1">
      <alignment horizontal="left" vertical="center"/>
    </xf>
    <xf numFmtId="0" fontId="6" fillId="0" borderId="484" xfId="7" applyBorder="1" applyAlignment="1">
      <alignment vertical="center"/>
    </xf>
    <xf numFmtId="0" fontId="6" fillId="0" borderId="462" xfId="7" applyBorder="1">
      <alignment horizontal="center" vertical="center"/>
    </xf>
    <xf numFmtId="0" fontId="6" fillId="0" borderId="484" xfId="7" applyBorder="1">
      <alignment horizontal="center" vertical="center"/>
    </xf>
    <xf numFmtId="0" fontId="6" fillId="0" borderId="468" xfId="7" applyBorder="1" applyAlignment="1">
      <alignment horizontal="center"/>
    </xf>
    <xf numFmtId="0" fontId="4" fillId="0" borderId="465" xfId="7" applyFont="1" applyBorder="1" applyAlignment="1">
      <alignment horizontal="left"/>
    </xf>
    <xf numFmtId="0" fontId="6" fillId="0" borderId="469" xfId="7" applyBorder="1">
      <alignment horizontal="center" vertical="center"/>
    </xf>
    <xf numFmtId="0" fontId="6" fillId="0" borderId="491" xfId="7" applyBorder="1" applyAlignment="1">
      <alignment horizontal="left"/>
    </xf>
    <xf numFmtId="0" fontId="6" fillId="0" borderId="464" xfId="7" applyBorder="1" applyAlignment="1">
      <alignment horizontal="left"/>
    </xf>
    <xf numFmtId="0" fontId="4" fillId="0" borderId="498" xfId="7" applyFont="1" applyBorder="1" applyAlignment="1">
      <alignment horizontal="left"/>
    </xf>
    <xf numFmtId="0" fontId="6" fillId="0" borderId="469" xfId="7" applyBorder="1" applyAlignment="1">
      <alignment horizontal="left"/>
    </xf>
    <xf numFmtId="0" fontId="6" fillId="0" borderId="465" xfId="7" applyBorder="1">
      <alignment horizontal="center" vertical="center"/>
    </xf>
    <xf numFmtId="0" fontId="6" fillId="0" borderId="492" xfId="7" applyBorder="1">
      <alignment horizontal="center" vertical="center"/>
    </xf>
    <xf numFmtId="0" fontId="4" fillId="0" borderId="475" xfId="7" applyFont="1" applyBorder="1" applyAlignment="1" applyProtection="1">
      <alignment horizontal="center"/>
      <protection locked="0"/>
    </xf>
    <xf numFmtId="0" fontId="5" fillId="0" borderId="475" xfId="7" applyFont="1" applyBorder="1" applyAlignment="1">
      <alignment horizontal="center"/>
    </xf>
    <xf numFmtId="49" fontId="0" fillId="19" borderId="118" xfId="7" applyNumberFormat="1" applyFont="1" applyFill="1" applyBorder="1">
      <alignment horizontal="center" vertical="center"/>
    </xf>
    <xf numFmtId="0" fontId="4" fillId="22" borderId="474" xfId="7" applyFont="1" applyFill="1" applyBorder="1" applyAlignment="1">
      <alignment horizontal="center"/>
    </xf>
    <xf numFmtId="49" fontId="6" fillId="19" borderId="474" xfId="3" applyNumberFormat="1" applyFont="1" applyFill="1" applyBorder="1" applyAlignment="1">
      <alignment horizontal="center" vertical="center"/>
    </xf>
    <xf numFmtId="0" fontId="6" fillId="19" borderId="474" xfId="6" applyFont="1" applyFill="1" applyBorder="1">
      <alignment horizontal="center" vertical="center"/>
    </xf>
    <xf numFmtId="49" fontId="6" fillId="19" borderId="474" xfId="7" applyNumberFormat="1" applyFill="1" applyBorder="1">
      <alignment horizontal="center" vertical="center"/>
    </xf>
    <xf numFmtId="0" fontId="6" fillId="19" borderId="474" xfId="7" applyFill="1" applyBorder="1">
      <alignment horizontal="center" vertical="center"/>
    </xf>
    <xf numFmtId="0" fontId="6" fillId="19" borderId="474" xfId="8" applyFont="1" applyFill="1" applyBorder="1">
      <alignment horizontal="center" vertical="center"/>
    </xf>
    <xf numFmtId="49" fontId="6" fillId="26" borderId="474" xfId="7" applyNumberFormat="1" applyFill="1" applyBorder="1">
      <alignment horizontal="center" vertical="center"/>
    </xf>
    <xf numFmtId="49" fontId="6" fillId="19" borderId="487" xfId="3" applyNumberFormat="1" applyFont="1" applyFill="1" applyBorder="1" applyAlignment="1">
      <alignment horizontal="center" vertical="center"/>
    </xf>
    <xf numFmtId="0" fontId="6" fillId="0" borderId="474" xfId="7" applyBorder="1" applyAlignment="1">
      <alignment vertical="center"/>
    </xf>
    <xf numFmtId="49" fontId="6" fillId="19" borderId="474" xfId="2" applyNumberFormat="1" applyFont="1" applyFill="1" applyBorder="1" applyAlignment="1">
      <alignment horizontal="center" vertical="center"/>
    </xf>
    <xf numFmtId="0" fontId="6" fillId="19" borderId="474" xfId="5" applyFont="1" applyFill="1" applyBorder="1">
      <alignment horizontal="center" vertical="center"/>
    </xf>
    <xf numFmtId="0" fontId="17" fillId="0" borderId="474" xfId="9" applyFill="1" applyBorder="1">
      <alignment horizontal="center" vertical="center"/>
    </xf>
    <xf numFmtId="0" fontId="6" fillId="19" borderId="474" xfId="9" applyFont="1" applyFill="1" applyBorder="1">
      <alignment horizontal="center" vertical="center"/>
    </xf>
    <xf numFmtId="0" fontId="17" fillId="25" borderId="474" xfId="8" applyBorder="1">
      <alignment horizontal="center" vertical="center"/>
    </xf>
    <xf numFmtId="0" fontId="0" fillId="19" borderId="463" xfId="7" applyFont="1" applyFill="1" applyBorder="1">
      <alignment horizontal="center" vertical="center"/>
    </xf>
    <xf numFmtId="49" fontId="0" fillId="19" borderId="474" xfId="7" applyNumberFormat="1" applyFont="1" applyFill="1" applyBorder="1">
      <alignment horizontal="center" vertical="center"/>
    </xf>
    <xf numFmtId="0" fontId="6" fillId="27" borderId="474" xfId="7" applyFill="1" applyBorder="1">
      <alignment horizontal="center" vertical="center"/>
    </xf>
    <xf numFmtId="49" fontId="6" fillId="19" borderId="487" xfId="7" applyNumberFormat="1" applyFill="1" applyBorder="1">
      <alignment horizontal="center" vertical="center"/>
    </xf>
    <xf numFmtId="0" fontId="4" fillId="22" borderId="477" xfId="7" applyFont="1" applyFill="1" applyBorder="1" applyAlignment="1">
      <alignment horizontal="center"/>
    </xf>
    <xf numFmtId="0" fontId="6" fillId="0" borderId="477" xfId="7" applyBorder="1" applyAlignment="1">
      <alignment vertical="center"/>
    </xf>
    <xf numFmtId="0" fontId="6" fillId="19" borderId="477" xfId="13" applyFont="1" applyFill="1" applyBorder="1">
      <alignment horizontal="center" vertical="center"/>
    </xf>
    <xf numFmtId="49" fontId="6" fillId="19" borderId="486" xfId="7" applyNumberFormat="1" applyFill="1" applyBorder="1">
      <alignment horizontal="center" vertical="center"/>
    </xf>
    <xf numFmtId="0" fontId="4" fillId="0" borderId="493" xfId="0" applyFont="1" applyBorder="1" applyAlignment="1">
      <alignment horizontal="center"/>
    </xf>
    <xf numFmtId="0" fontId="6" fillId="0" borderId="452" xfId="0" applyFont="1" applyBorder="1" applyAlignment="1">
      <alignment horizontal="left" vertical="center"/>
    </xf>
    <xf numFmtId="0" fontId="6" fillId="0" borderId="453" xfId="0" applyFont="1" applyBorder="1" applyAlignment="1">
      <alignment horizontal="left" vertical="center"/>
    </xf>
    <xf numFmtId="0" fontId="6" fillId="0" borderId="484" xfId="0" applyFont="1" applyBorder="1" applyAlignment="1">
      <alignment horizontal="left" vertical="center"/>
    </xf>
    <xf numFmtId="0" fontId="0" fillId="0" borderId="467" xfId="0" applyBorder="1" applyAlignment="1">
      <alignment horizontal="center"/>
    </xf>
    <xf numFmtId="0" fontId="4" fillId="0" borderId="452" xfId="0" applyFont="1" applyBorder="1" applyAlignment="1">
      <alignment horizontal="left"/>
    </xf>
    <xf numFmtId="0" fontId="0" fillId="0" borderId="453" xfId="0" applyBorder="1" applyAlignment="1"/>
    <xf numFmtId="0" fontId="0" fillId="0" borderId="454" xfId="0" applyBorder="1" applyAlignment="1">
      <alignment horizontal="left"/>
    </xf>
    <xf numFmtId="0" fontId="4" fillId="0" borderId="453" xfId="0" applyFont="1" applyBorder="1" applyAlignment="1"/>
    <xf numFmtId="0" fontId="4" fillId="0" borderId="454" xfId="0" applyFont="1" applyBorder="1" applyAlignment="1">
      <alignment horizontal="left"/>
    </xf>
    <xf numFmtId="0" fontId="0" fillId="0" borderId="452" xfId="0" applyBorder="1" applyAlignment="1">
      <alignment horizontal="center"/>
    </xf>
    <xf numFmtId="0" fontId="0" fillId="0" borderId="484" xfId="0" applyBorder="1" applyAlignment="1"/>
    <xf numFmtId="0" fontId="4" fillId="0" borderId="476" xfId="0" applyFont="1" applyBorder="1" applyAlignment="1">
      <alignment horizontal="left"/>
    </xf>
    <xf numFmtId="0" fontId="0" fillId="0" borderId="482" xfId="0" applyBorder="1" applyAlignment="1"/>
    <xf numFmtId="0" fontId="0" fillId="0" borderId="483" xfId="0" applyBorder="1" applyAlignment="1">
      <alignment horizontal="left"/>
    </xf>
    <xf numFmtId="0" fontId="9" fillId="0" borderId="476" xfId="0" applyFont="1" applyBorder="1" applyAlignment="1">
      <alignment horizontal="center"/>
    </xf>
    <xf numFmtId="0" fontId="0" fillId="0" borderId="490" xfId="0" applyBorder="1" applyAlignment="1"/>
    <xf numFmtId="0" fontId="0" fillId="0" borderId="468" xfId="0" applyBorder="1" applyAlignment="1">
      <alignment horizontal="center"/>
    </xf>
    <xf numFmtId="0" fontId="4" fillId="0" borderId="465" xfId="0" applyFont="1" applyBorder="1" applyAlignment="1">
      <alignment horizontal="left"/>
    </xf>
    <xf numFmtId="0" fontId="6" fillId="0" borderId="469" xfId="0" applyFont="1" applyBorder="1" applyAlignment="1">
      <alignment horizontal="left" vertical="center"/>
    </xf>
    <xf numFmtId="0" fontId="6" fillId="0" borderId="469" xfId="0" applyFont="1" applyBorder="1">
      <alignment horizontal="center" vertical="center"/>
    </xf>
    <xf numFmtId="0" fontId="6" fillId="0" borderId="491" xfId="0" applyFont="1" applyBorder="1">
      <alignment horizontal="center" vertical="center"/>
    </xf>
    <xf numFmtId="0" fontId="6" fillId="0" borderId="465" xfId="0" applyFont="1" applyBorder="1" applyAlignment="1">
      <alignment horizontal="left" vertical="center"/>
    </xf>
    <xf numFmtId="0" fontId="6" fillId="0" borderId="469" xfId="0" applyFont="1" applyBorder="1" applyAlignment="1">
      <alignment horizontal="left"/>
    </xf>
    <xf numFmtId="0" fontId="6" fillId="0" borderId="491" xfId="0" applyFont="1" applyBorder="1" applyAlignment="1">
      <alignment horizontal="left" vertical="center"/>
    </xf>
    <xf numFmtId="0" fontId="0" fillId="0" borderId="469" xfId="0" applyBorder="1" applyAlignment="1">
      <alignment horizontal="left"/>
    </xf>
    <xf numFmtId="0" fontId="0" fillId="0" borderId="492" xfId="0" applyBorder="1" applyAlignment="1"/>
    <xf numFmtId="0" fontId="4" fillId="22" borderId="474" xfId="0" applyFont="1" applyFill="1" applyBorder="1" applyAlignment="1">
      <alignment horizontal="center"/>
    </xf>
    <xf numFmtId="0" fontId="0" fillId="19" borderId="487" xfId="6" applyFont="1" applyFill="1" applyBorder="1">
      <alignment horizontal="center" vertical="center"/>
    </xf>
    <xf numFmtId="0" fontId="17" fillId="31" borderId="474" xfId="13" applyBorder="1">
      <alignment horizontal="center" vertical="center"/>
    </xf>
    <xf numFmtId="0" fontId="17" fillId="31" borderId="487" xfId="13" applyBorder="1">
      <alignment horizontal="center" vertical="center"/>
    </xf>
    <xf numFmtId="0" fontId="0" fillId="27" borderId="474" xfId="12" applyFont="1" applyFill="1" applyBorder="1">
      <alignment horizontal="center" vertical="center"/>
    </xf>
    <xf numFmtId="0" fontId="0" fillId="19" borderId="487" xfId="8" applyFont="1" applyFill="1" applyBorder="1">
      <alignment horizontal="center" vertical="center"/>
    </xf>
    <xf numFmtId="0" fontId="4" fillId="22" borderId="477" xfId="0" applyFont="1" applyFill="1" applyBorder="1" applyAlignment="1">
      <alignment horizontal="center"/>
    </xf>
    <xf numFmtId="0" fontId="0" fillId="19" borderId="477" xfId="0" applyFill="1" applyBorder="1" applyAlignment="1">
      <alignment horizontal="left" vertical="center"/>
    </xf>
    <xf numFmtId="0" fontId="0" fillId="19" borderId="477" xfId="12" applyFont="1" applyFill="1" applyBorder="1">
      <alignment horizontal="center" vertical="center"/>
    </xf>
    <xf numFmtId="0" fontId="0" fillId="19" borderId="477" xfId="1" applyFont="1" applyFill="1" applyBorder="1" applyAlignment="1">
      <alignment horizontal="center" vertical="center"/>
    </xf>
    <xf numFmtId="0" fontId="0" fillId="19" borderId="477" xfId="8" applyFont="1" applyFill="1" applyBorder="1">
      <alignment horizontal="center" vertical="center"/>
    </xf>
    <xf numFmtId="0" fontId="0" fillId="19" borderId="486" xfId="8" applyFont="1" applyFill="1" applyBorder="1">
      <alignment horizontal="center" vertical="center"/>
    </xf>
    <xf numFmtId="0" fontId="0" fillId="0" borderId="465" xfId="0" applyBorder="1" applyAlignment="1">
      <alignment horizontal="left"/>
    </xf>
    <xf numFmtId="0" fontId="0" fillId="0" borderId="469" xfId="0" applyBorder="1" applyAlignment="1"/>
    <xf numFmtId="0" fontId="0" fillId="0" borderId="491" xfId="0" applyBorder="1" applyAlignment="1">
      <alignment horizontal="left"/>
    </xf>
    <xf numFmtId="0" fontId="0" fillId="0" borderId="465" xfId="0" applyBorder="1" applyAlignment="1">
      <alignment horizontal="center"/>
    </xf>
    <xf numFmtId="0" fontId="17" fillId="0" borderId="463" xfId="0" applyFont="1" applyBorder="1" applyAlignment="1">
      <alignment vertical="center"/>
    </xf>
    <xf numFmtId="0" fontId="4" fillId="22" borderId="463" xfId="0" applyFont="1" applyFill="1" applyBorder="1" applyAlignment="1">
      <alignment horizontal="center"/>
    </xf>
    <xf numFmtId="0" fontId="0" fillId="0" borderId="463" xfId="0" applyBorder="1" applyAlignment="1">
      <alignment horizontal="left" vertical="center"/>
    </xf>
    <xf numFmtId="0" fontId="0" fillId="19" borderId="463" xfId="0" applyFill="1" applyBorder="1">
      <alignment horizontal="center" vertical="center"/>
    </xf>
    <xf numFmtId="49" fontId="0" fillId="19" borderId="463" xfId="0" applyNumberFormat="1" applyFill="1" applyBorder="1">
      <alignment horizontal="center" vertical="center"/>
    </xf>
    <xf numFmtId="0" fontId="17" fillId="24" borderId="463" xfId="6" applyBorder="1">
      <alignment horizontal="center" vertical="center"/>
    </xf>
    <xf numFmtId="0" fontId="0" fillId="19" borderId="463" xfId="6" applyFont="1" applyFill="1" applyBorder="1">
      <alignment horizontal="center" vertical="center"/>
    </xf>
    <xf numFmtId="0" fontId="0" fillId="24" borderId="463" xfId="0" applyFill="1" applyBorder="1">
      <alignment horizontal="center" vertical="center"/>
    </xf>
    <xf numFmtId="0" fontId="45" fillId="23" borderId="463" xfId="5" applyBorder="1">
      <alignment horizontal="center" vertical="center"/>
    </xf>
    <xf numFmtId="0" fontId="0" fillId="19" borderId="463" xfId="9" applyFont="1" applyFill="1" applyBorder="1">
      <alignment horizontal="center" vertical="center"/>
    </xf>
    <xf numFmtId="0" fontId="6" fillId="0" borderId="463" xfId="7" applyBorder="1">
      <alignment horizontal="center" vertical="center"/>
    </xf>
    <xf numFmtId="0" fontId="0" fillId="26" borderId="463" xfId="0" applyFill="1" applyBorder="1">
      <alignment horizontal="center" vertical="center"/>
    </xf>
    <xf numFmtId="0" fontId="12" fillId="0" borderId="452" xfId="0" applyFont="1" applyBorder="1" applyAlignment="1">
      <alignment horizontal="left"/>
    </xf>
    <xf numFmtId="0" fontId="4" fillId="0" borderId="453" xfId="0" applyFont="1" applyBorder="1">
      <alignment horizontal="center" vertical="center"/>
    </xf>
    <xf numFmtId="164" fontId="9" fillId="0" borderId="465" xfId="0" applyNumberFormat="1" applyFont="1" applyBorder="1" applyAlignment="1">
      <alignment horizontal="center"/>
    </xf>
    <xf numFmtId="0" fontId="6" fillId="19" borderId="474" xfId="0" applyFont="1" applyFill="1" applyBorder="1" applyAlignment="1">
      <alignment vertical="center"/>
    </xf>
    <xf numFmtId="0" fontId="6" fillId="19" borderId="474" xfId="0" applyFont="1" applyFill="1" applyBorder="1">
      <alignment horizontal="center" vertical="center"/>
    </xf>
    <xf numFmtId="49" fontId="6" fillId="19" borderId="474" xfId="0" applyNumberFormat="1" applyFont="1" applyFill="1" applyBorder="1">
      <alignment horizontal="center" vertical="center"/>
    </xf>
    <xf numFmtId="0" fontId="6" fillId="19" borderId="487" xfId="0" applyFont="1" applyFill="1" applyBorder="1">
      <alignment horizontal="center" vertical="center"/>
    </xf>
    <xf numFmtId="0" fontId="0" fillId="19" borderId="474" xfId="0" applyFill="1" applyBorder="1" applyAlignment="1">
      <alignment vertical="center"/>
    </xf>
    <xf numFmtId="0" fontId="6" fillId="28" borderId="474" xfId="7" applyFill="1" applyBorder="1">
      <alignment horizontal="center" vertical="center"/>
    </xf>
    <xf numFmtId="0" fontId="6" fillId="28" borderId="474" xfId="0" applyFont="1" applyFill="1" applyBorder="1">
      <alignment horizontal="center" vertical="center"/>
    </xf>
    <xf numFmtId="0" fontId="4" fillId="22" borderId="475" xfId="0" applyFont="1" applyFill="1" applyBorder="1" applyAlignment="1">
      <alignment horizontal="center"/>
    </xf>
    <xf numFmtId="0" fontId="0" fillId="0" borderId="475" xfId="0" applyBorder="1" applyAlignment="1">
      <alignment horizontal="left" vertical="center"/>
    </xf>
    <xf numFmtId="0" fontId="6" fillId="19" borderId="475" xfId="0" applyFont="1" applyFill="1" applyBorder="1">
      <alignment horizontal="center" vertical="center"/>
    </xf>
    <xf numFmtId="0" fontId="17" fillId="24" borderId="475" xfId="6" applyBorder="1">
      <alignment horizontal="center" vertical="center"/>
    </xf>
    <xf numFmtId="0" fontId="0" fillId="28" borderId="475" xfId="10" applyFont="1" applyBorder="1">
      <alignment horizontal="center" vertical="center"/>
    </xf>
    <xf numFmtId="0" fontId="6" fillId="19" borderId="488" xfId="0" applyFont="1" applyFill="1" applyBorder="1">
      <alignment horizontal="center" vertical="center"/>
    </xf>
    <xf numFmtId="0" fontId="4" fillId="22" borderId="415" xfId="0" applyFont="1" applyFill="1" applyBorder="1" applyAlignment="1">
      <alignment horizontal="center"/>
    </xf>
    <xf numFmtId="0" fontId="0" fillId="0" borderId="415" xfId="0" applyBorder="1" applyAlignment="1"/>
    <xf numFmtId="0" fontId="6" fillId="0" borderId="499" xfId="0" applyFont="1" applyBorder="1" applyAlignment="1">
      <alignment horizontal="left" vertical="center"/>
    </xf>
    <xf numFmtId="0" fontId="6" fillId="0" borderId="499" xfId="0" applyFont="1" applyBorder="1">
      <alignment horizontal="center" vertical="center"/>
    </xf>
    <xf numFmtId="0" fontId="6" fillId="0" borderId="455" xfId="0" applyFont="1" applyBorder="1">
      <alignment horizontal="center" vertical="center"/>
    </xf>
    <xf numFmtId="0" fontId="9" fillId="0" borderId="499" xfId="0" applyFont="1" applyBorder="1">
      <alignment horizontal="center" vertical="center"/>
    </xf>
    <xf numFmtId="0" fontId="0" fillId="0" borderId="499" xfId="0" applyBorder="1" applyAlignment="1">
      <alignment horizontal="left" vertical="center"/>
    </xf>
    <xf numFmtId="0" fontId="0" fillId="0" borderId="500" xfId="0" applyBorder="1">
      <alignment horizontal="center" vertical="center"/>
    </xf>
    <xf numFmtId="49" fontId="6" fillId="0" borderId="383" xfId="0" applyNumberFormat="1" applyFont="1" applyBorder="1">
      <alignment horizontal="center" vertical="center"/>
    </xf>
    <xf numFmtId="0" fontId="6" fillId="0" borderId="383" xfId="0" applyFont="1" applyBorder="1">
      <alignment horizontal="center" vertical="center"/>
    </xf>
    <xf numFmtId="0" fontId="9" fillId="0" borderId="383" xfId="0" applyFont="1" applyBorder="1">
      <alignment horizontal="center" vertical="center"/>
    </xf>
    <xf numFmtId="0" fontId="17" fillId="25" borderId="415" xfId="8" applyBorder="1">
      <alignment horizontal="center" vertical="center"/>
    </xf>
    <xf numFmtId="49" fontId="0" fillId="57" borderId="415" xfId="0" applyNumberFormat="1" applyFill="1" applyBorder="1">
      <alignment horizontal="center" vertical="center"/>
    </xf>
    <xf numFmtId="49" fontId="0" fillId="19" borderId="501" xfId="0" applyNumberFormat="1" applyFill="1" applyBorder="1">
      <alignment horizontal="center" vertical="center"/>
    </xf>
    <xf numFmtId="49" fontId="6" fillId="0" borderId="415" xfId="0" applyNumberFormat="1" applyFont="1" applyBorder="1">
      <alignment horizontal="center" vertical="center"/>
    </xf>
    <xf numFmtId="49" fontId="0" fillId="0" borderId="415" xfId="0" applyNumberFormat="1" applyBorder="1">
      <alignment horizontal="center" vertical="center"/>
    </xf>
    <xf numFmtId="0" fontId="0" fillId="0" borderId="502" xfId="0" applyBorder="1" applyAlignment="1">
      <alignment horizontal="left" vertical="center"/>
    </xf>
    <xf numFmtId="0" fontId="0" fillId="0" borderId="503" xfId="0" applyBorder="1" applyAlignment="1">
      <alignment horizontal="left" vertical="center"/>
    </xf>
    <xf numFmtId="0" fontId="4" fillId="0" borderId="504" xfId="0" applyFont="1" applyBorder="1" applyAlignment="1">
      <alignment horizontal="left"/>
    </xf>
    <xf numFmtId="0" fontId="0" fillId="0" borderId="505" xfId="0" applyBorder="1" applyAlignment="1">
      <alignment horizontal="left" vertical="center"/>
    </xf>
    <xf numFmtId="0" fontId="0" fillId="0" borderId="443" xfId="0" applyBorder="1" applyAlignment="1">
      <alignment horizontal="left" vertical="center"/>
    </xf>
    <xf numFmtId="0" fontId="0" fillId="0" borderId="445" xfId="0" applyBorder="1" applyAlignment="1">
      <alignment horizontal="left" vertical="center"/>
    </xf>
    <xf numFmtId="0" fontId="0" fillId="0" borderId="506" xfId="0" applyBorder="1" applyAlignment="1">
      <alignment horizontal="left" vertical="center"/>
    </xf>
    <xf numFmtId="0" fontId="4" fillId="0" borderId="507" xfId="0" applyFont="1" applyBorder="1" applyAlignment="1">
      <alignment horizontal="left"/>
    </xf>
    <xf numFmtId="0" fontId="0" fillId="0" borderId="507" xfId="0" applyBorder="1" applyAlignment="1">
      <alignment horizontal="left" vertical="center"/>
    </xf>
    <xf numFmtId="0" fontId="0" fillId="0" borderId="508" xfId="0" applyBorder="1" applyAlignment="1">
      <alignment horizontal="left" vertical="center"/>
    </xf>
    <xf numFmtId="0" fontId="0" fillId="0" borderId="509" xfId="0" applyBorder="1" applyAlignment="1">
      <alignment horizontal="left" vertical="center"/>
    </xf>
    <xf numFmtId="49" fontId="0" fillId="0" borderId="510" xfId="0" applyNumberFormat="1" applyBorder="1" applyAlignment="1">
      <alignment horizontal="left"/>
    </xf>
    <xf numFmtId="0" fontId="12" fillId="0" borderId="511" xfId="0" applyFont="1" applyBorder="1" applyAlignment="1">
      <alignment horizontal="center"/>
    </xf>
    <xf numFmtId="0" fontId="0" fillId="0" borderId="512" xfId="0" applyBorder="1" applyAlignment="1">
      <alignment horizontal="left" vertical="center"/>
    </xf>
    <xf numFmtId="0" fontId="0" fillId="0" borderId="513" xfId="0" applyBorder="1" applyAlignment="1">
      <alignment horizontal="left" vertical="center"/>
    </xf>
    <xf numFmtId="49" fontId="0" fillId="0" borderId="513" xfId="0" applyNumberFormat="1" applyBorder="1" applyAlignment="1">
      <alignment horizontal="left"/>
    </xf>
    <xf numFmtId="0" fontId="0" fillId="19" borderId="305" xfId="8" applyFont="1" applyFill="1" applyBorder="1">
      <alignment horizontal="center" vertical="center"/>
    </xf>
    <xf numFmtId="0" fontId="4" fillId="0" borderId="511" xfId="0" applyFont="1" applyBorder="1" applyAlignment="1" applyProtection="1">
      <alignment horizontal="center"/>
      <protection locked="0"/>
    </xf>
    <xf numFmtId="0" fontId="0" fillId="0" borderId="511" xfId="0" applyBorder="1" applyAlignment="1">
      <alignment horizontal="left"/>
    </xf>
    <xf numFmtId="0" fontId="0" fillId="19" borderId="514" xfId="0" applyFill="1" applyBorder="1">
      <alignment horizontal="center" vertical="center"/>
    </xf>
    <xf numFmtId="0" fontId="0" fillId="0" borderId="511" xfId="0" applyBorder="1" applyAlignment="1" applyProtection="1">
      <alignment horizontal="center"/>
      <protection locked="0"/>
    </xf>
    <xf numFmtId="0" fontId="12" fillId="0" borderId="511" xfId="0" applyFont="1" applyBorder="1" applyAlignment="1" applyProtection="1">
      <alignment horizontal="center"/>
      <protection locked="0"/>
    </xf>
    <xf numFmtId="0" fontId="0" fillId="19" borderId="514" xfId="8" applyFont="1" applyFill="1" applyBorder="1">
      <alignment horizontal="center" vertical="center"/>
    </xf>
    <xf numFmtId="0" fontId="0" fillId="19" borderId="514" xfId="13" applyFont="1" applyFill="1" applyBorder="1">
      <alignment horizontal="center" vertical="center"/>
    </xf>
    <xf numFmtId="0" fontId="6" fillId="0" borderId="511" xfId="0" applyFont="1" applyBorder="1" applyAlignment="1">
      <alignment vertical="center"/>
    </xf>
    <xf numFmtId="0" fontId="0" fillId="28" borderId="511" xfId="0" applyFill="1" applyBorder="1">
      <alignment horizontal="center" vertical="center"/>
    </xf>
    <xf numFmtId="0" fontId="0" fillId="28" borderId="511" xfId="7" applyFont="1" applyFill="1" applyBorder="1">
      <alignment horizontal="center" vertical="center"/>
    </xf>
    <xf numFmtId="0" fontId="0" fillId="28" borderId="514" xfId="0" applyFill="1" applyBorder="1">
      <alignment horizontal="center" vertical="center"/>
    </xf>
    <xf numFmtId="0" fontId="18" fillId="0" borderId="511" xfId="0" applyFont="1" applyBorder="1" applyAlignment="1">
      <alignment vertical="center"/>
    </xf>
    <xf numFmtId="49" fontId="0" fillId="19" borderId="514" xfId="0" applyNumberFormat="1" applyFill="1" applyBorder="1">
      <alignment horizontal="center" vertical="center"/>
    </xf>
    <xf numFmtId="0" fontId="25" fillId="0" borderId="511" xfId="0" applyFont="1" applyBorder="1" applyAlignment="1">
      <alignment vertical="center"/>
    </xf>
    <xf numFmtId="0" fontId="6" fillId="19" borderId="511" xfId="0" applyFont="1" applyFill="1" applyBorder="1" applyAlignment="1">
      <alignment vertical="center"/>
    </xf>
    <xf numFmtId="0" fontId="4" fillId="0" borderId="515" xfId="0" applyFont="1" applyBorder="1" applyAlignment="1">
      <alignment horizontal="center"/>
    </xf>
    <xf numFmtId="0" fontId="4" fillId="0" borderId="516" xfId="0" applyFont="1" applyBorder="1" applyAlignment="1">
      <alignment horizontal="center"/>
    </xf>
    <xf numFmtId="0" fontId="0" fillId="0" borderId="517" xfId="0" applyBorder="1" applyAlignment="1">
      <alignment horizontal="center"/>
    </xf>
    <xf numFmtId="0" fontId="4" fillId="0" borderId="518" xfId="0" applyFont="1" applyBorder="1" applyAlignment="1" applyProtection="1">
      <alignment horizontal="center"/>
      <protection locked="0"/>
    </xf>
    <xf numFmtId="0" fontId="5" fillId="0" borderId="518" xfId="0" applyFont="1" applyBorder="1" applyAlignment="1">
      <alignment horizontal="center"/>
    </xf>
    <xf numFmtId="0" fontId="0" fillId="0" borderId="518" xfId="0" applyBorder="1" applyAlignment="1" applyProtection="1">
      <alignment horizontal="center"/>
      <protection locked="0"/>
    </xf>
    <xf numFmtId="49" fontId="0" fillId="19" borderId="519" xfId="0" applyNumberFormat="1" applyFill="1" applyBorder="1">
      <alignment horizontal="center" vertical="center"/>
    </xf>
    <xf numFmtId="49" fontId="0" fillId="25" borderId="519" xfId="0" applyNumberFormat="1" applyFill="1" applyBorder="1">
      <alignment horizontal="center" vertical="center"/>
    </xf>
    <xf numFmtId="0" fontId="0" fillId="19" borderId="519" xfId="9" applyFont="1" applyFill="1" applyBorder="1">
      <alignment horizontal="center" vertical="center"/>
    </xf>
    <xf numFmtId="49" fontId="0" fillId="19" borderId="513" xfId="0" applyNumberFormat="1" applyFill="1" applyBorder="1">
      <alignment horizontal="center" vertical="center"/>
    </xf>
    <xf numFmtId="0" fontId="4" fillId="0" borderId="520" xfId="0" applyFont="1" applyBorder="1" applyAlignment="1">
      <alignment horizontal="center"/>
    </xf>
    <xf numFmtId="0" fontId="4" fillId="0" borderId="521" xfId="0" applyFont="1" applyBorder="1" applyAlignment="1" applyProtection="1">
      <alignment horizontal="center"/>
      <protection locked="0"/>
    </xf>
    <xf numFmtId="0" fontId="0" fillId="28" borderId="305" xfId="0" applyFill="1" applyBorder="1">
      <alignment horizontal="center" vertical="center"/>
    </xf>
    <xf numFmtId="0" fontId="47" fillId="19" borderId="511" xfId="0" applyFont="1" applyFill="1" applyBorder="1">
      <alignment horizontal="center" vertical="center"/>
    </xf>
    <xf numFmtId="0" fontId="0" fillId="0" borderId="522" xfId="0" applyBorder="1">
      <alignment horizontal="center" vertical="center"/>
    </xf>
    <xf numFmtId="0" fontId="0" fillId="22" borderId="522" xfId="0" applyFill="1" applyBorder="1" applyAlignment="1" applyProtection="1">
      <alignment horizontal="center"/>
      <protection locked="0"/>
    </xf>
    <xf numFmtId="0" fontId="20" fillId="0" borderId="523" xfId="0" applyFont="1" applyBorder="1" applyAlignment="1">
      <alignment vertical="center"/>
    </xf>
    <xf numFmtId="49" fontId="0" fillId="19" borderId="524" xfId="0" applyNumberFormat="1" applyFill="1" applyBorder="1">
      <alignment horizontal="center" vertical="center"/>
    </xf>
    <xf numFmtId="49" fontId="0" fillId="19" borderId="518" xfId="0" applyNumberFormat="1" applyFill="1" applyBorder="1">
      <alignment horizontal="center" vertical="center"/>
    </xf>
    <xf numFmtId="0" fontId="0" fillId="19" borderId="518" xfId="0" applyFill="1" applyBorder="1">
      <alignment horizontal="center" vertical="center"/>
    </xf>
    <xf numFmtId="49" fontId="0" fillId="19" borderId="525" xfId="0" applyNumberFormat="1" applyFill="1" applyBorder="1">
      <alignment horizontal="center" vertical="center"/>
    </xf>
    <xf numFmtId="1" fontId="0" fillId="19" borderId="511" xfId="1" applyNumberFormat="1" applyFont="1" applyFill="1" applyBorder="1" applyAlignment="1">
      <alignment horizontal="center" vertical="center"/>
    </xf>
    <xf numFmtId="0" fontId="0" fillId="19" borderId="511" xfId="8" applyFont="1" applyFill="1" applyBorder="1">
      <alignment horizontal="center" vertical="center"/>
    </xf>
    <xf numFmtId="0" fontId="0" fillId="64" borderId="511" xfId="0" applyFill="1" applyBorder="1">
      <alignment horizontal="center" vertical="center"/>
    </xf>
    <xf numFmtId="0" fontId="0" fillId="0" borderId="526" xfId="0" applyBorder="1">
      <alignment horizontal="center" vertical="center"/>
    </xf>
    <xf numFmtId="0" fontId="0" fillId="0" borderId="519" xfId="0" applyBorder="1" applyAlignment="1" applyProtection="1">
      <alignment horizontal="center"/>
      <protection locked="0"/>
    </xf>
    <xf numFmtId="0" fontId="5" fillId="0" borderId="519" xfId="0" applyFont="1" applyBorder="1" applyAlignment="1">
      <alignment horizontal="center"/>
    </xf>
    <xf numFmtId="0" fontId="0" fillId="18" borderId="519" xfId="0" applyFill="1" applyBorder="1">
      <alignment horizontal="center" vertical="center"/>
    </xf>
    <xf numFmtId="0" fontId="0" fillId="19" borderId="519" xfId="0" applyFill="1" applyBorder="1">
      <alignment horizontal="center" vertical="center"/>
    </xf>
    <xf numFmtId="0" fontId="0" fillId="18" borderId="527" xfId="0" applyFill="1" applyBorder="1">
      <alignment horizontal="center" vertical="center"/>
    </xf>
    <xf numFmtId="1" fontId="0" fillId="25" borderId="474" xfId="0" applyNumberFormat="1" applyFill="1" applyBorder="1">
      <alignment horizontal="center" vertical="center"/>
    </xf>
    <xf numFmtId="0" fontId="0" fillId="22" borderId="511" xfId="0" applyFill="1" applyBorder="1" applyAlignment="1" applyProtection="1">
      <alignment horizontal="center"/>
      <protection locked="0"/>
    </xf>
    <xf numFmtId="0" fontId="0" fillId="0" borderId="511" xfId="0" applyBorder="1" applyAlignment="1">
      <alignment horizontal="left" vertical="center"/>
    </xf>
    <xf numFmtId="0" fontId="0" fillId="19" borderId="511" xfId="7" applyFont="1" applyFill="1" applyBorder="1">
      <alignment horizontal="center" vertical="center"/>
    </xf>
    <xf numFmtId="0" fontId="0" fillId="19" borderId="511" xfId="0" applyFill="1" applyBorder="1">
      <alignment horizontal="center" vertical="center"/>
    </xf>
    <xf numFmtId="0" fontId="0" fillId="19" borderId="511" xfId="6" applyFont="1" applyFill="1" applyBorder="1">
      <alignment horizontal="center" vertical="center"/>
    </xf>
    <xf numFmtId="0" fontId="17" fillId="24" borderId="511" xfId="6" applyBorder="1">
      <alignment horizontal="center" vertical="center"/>
    </xf>
    <xf numFmtId="0" fontId="0" fillId="28" borderId="511" xfId="8" applyFont="1" applyFill="1" applyBorder="1">
      <alignment horizontal="center" vertical="center"/>
    </xf>
    <xf numFmtId="0" fontId="0" fillId="19" borderId="528" xfId="0" applyFill="1" applyBorder="1">
      <alignment horizontal="center" vertical="center"/>
    </xf>
    <xf numFmtId="0" fontId="0" fillId="0" borderId="511" xfId="7" applyFont="1" applyBorder="1" applyAlignment="1">
      <alignment vertical="center"/>
    </xf>
    <xf numFmtId="0" fontId="0" fillId="26" borderId="511" xfId="8" applyFont="1" applyFill="1" applyBorder="1">
      <alignment horizontal="center" vertical="center"/>
    </xf>
    <xf numFmtId="0" fontId="17" fillId="25" borderId="511" xfId="8" applyBorder="1">
      <alignment horizontal="center" vertical="center"/>
    </xf>
    <xf numFmtId="0" fontId="0" fillId="26" borderId="511" xfId="0" applyFill="1" applyBorder="1">
      <alignment horizontal="center" vertical="center"/>
    </xf>
    <xf numFmtId="0" fontId="0" fillId="19" borderId="419" xfId="0" applyFill="1" applyBorder="1">
      <alignment horizontal="center" vertical="center"/>
    </xf>
    <xf numFmtId="0" fontId="4" fillId="0" borderId="515" xfId="0" applyFont="1" applyBorder="1" applyAlignment="1">
      <alignment horizontal="left" vertical="center"/>
    </xf>
    <xf numFmtId="0" fontId="4" fillId="0" borderId="516" xfId="0" applyFont="1" applyBorder="1" applyAlignment="1">
      <alignment horizontal="left" vertical="center"/>
    </xf>
    <xf numFmtId="0" fontId="0" fillId="0" borderId="517" xfId="0" applyBorder="1">
      <alignment horizontal="center" vertical="center"/>
    </xf>
    <xf numFmtId="0" fontId="0" fillId="0" borderId="513" xfId="0" applyBorder="1" applyAlignment="1">
      <alignment vertical="center"/>
    </xf>
    <xf numFmtId="0" fontId="0" fillId="0" borderId="529" xfId="0" applyBorder="1">
      <alignment horizontal="center" vertical="center"/>
    </xf>
    <xf numFmtId="0" fontId="4" fillId="0" borderId="513" xfId="0" applyFont="1" applyBorder="1">
      <alignment horizontal="center" vertical="center"/>
    </xf>
    <xf numFmtId="0" fontId="0" fillId="0" borderId="517" xfId="0" applyBorder="1" applyAlignment="1">
      <alignment horizontal="left" vertical="center"/>
    </xf>
    <xf numFmtId="0" fontId="7" fillId="0" borderId="517" xfId="0" applyFont="1" applyBorder="1">
      <alignment horizontal="center" vertical="center"/>
    </xf>
    <xf numFmtId="0" fontId="4" fillId="0" borderId="517" xfId="0" applyFont="1" applyBorder="1" applyAlignment="1">
      <alignment horizontal="left" vertical="center"/>
    </xf>
    <xf numFmtId="0" fontId="0" fillId="0" borderId="530" xfId="0" applyBorder="1">
      <alignment horizontal="center" vertical="center"/>
    </xf>
    <xf numFmtId="0" fontId="0" fillId="22" borderId="531" xfId="0" applyFill="1" applyBorder="1" applyAlignment="1" applyProtection="1">
      <alignment horizontal="center"/>
      <protection locked="0"/>
    </xf>
    <xf numFmtId="0" fontId="0" fillId="0" borderId="511" xfId="0" applyBorder="1" applyAlignment="1">
      <alignment vertical="center"/>
    </xf>
    <xf numFmtId="0" fontId="0" fillId="22" borderId="520" xfId="0" applyFill="1" applyBorder="1" applyAlignment="1" applyProtection="1">
      <alignment horizontal="center"/>
      <protection locked="0"/>
    </xf>
    <xf numFmtId="0" fontId="0" fillId="0" borderId="519" xfId="0" applyBorder="1" applyAlignment="1">
      <alignment horizontal="left" vertical="center"/>
    </xf>
    <xf numFmtId="49" fontId="0" fillId="26" borderId="519" xfId="0" applyNumberFormat="1" applyFill="1" applyBorder="1">
      <alignment horizontal="center" vertical="center"/>
    </xf>
    <xf numFmtId="0" fontId="0" fillId="19" borderId="519" xfId="6" applyFont="1" applyFill="1" applyBorder="1">
      <alignment horizontal="center" vertical="center"/>
    </xf>
    <xf numFmtId="49" fontId="0" fillId="19" borderId="527" xfId="0" applyNumberFormat="1" applyFill="1" applyBorder="1">
      <alignment horizontal="center" vertical="center"/>
    </xf>
    <xf numFmtId="0" fontId="0" fillId="0" borderId="519" xfId="0" applyBorder="1" applyAlignment="1">
      <alignment vertical="center"/>
    </xf>
    <xf numFmtId="0" fontId="17" fillId="27" borderId="519" xfId="9" applyBorder="1">
      <alignment horizontal="center" vertical="center"/>
    </xf>
    <xf numFmtId="0" fontId="0" fillId="19" borderId="527" xfId="0" applyFill="1" applyBorder="1">
      <alignment horizontal="center" vertical="center"/>
    </xf>
    <xf numFmtId="0" fontId="17" fillId="24" borderId="487" xfId="6" applyBorder="1">
      <alignment horizontal="center" vertical="center"/>
    </xf>
    <xf numFmtId="0" fontId="17" fillId="24" borderId="519" xfId="6" applyBorder="1">
      <alignment horizontal="center" vertical="center"/>
    </xf>
    <xf numFmtId="0" fontId="0" fillId="25" borderId="474" xfId="10" applyFont="1" applyFill="1" applyBorder="1">
      <alignment horizontal="center" vertical="center"/>
    </xf>
    <xf numFmtId="0" fontId="0" fillId="25" borderId="519" xfId="0" applyFill="1" applyBorder="1">
      <alignment horizontal="center" vertical="center"/>
    </xf>
    <xf numFmtId="0" fontId="0" fillId="19" borderId="527" xfId="6" applyFont="1" applyFill="1" applyBorder="1">
      <alignment horizontal="center" vertical="center"/>
    </xf>
    <xf numFmtId="0" fontId="6" fillId="0" borderId="532" xfId="0" applyFont="1" applyBorder="1" applyAlignment="1">
      <alignment horizontal="left"/>
    </xf>
    <xf numFmtId="0" fontId="0" fillId="18" borderId="488" xfId="0" applyFill="1" applyBorder="1">
      <alignment horizontal="center" vertical="center"/>
    </xf>
    <xf numFmtId="0" fontId="0" fillId="19" borderId="511" xfId="0" applyFill="1" applyBorder="1" applyAlignment="1" applyProtection="1">
      <alignment horizontal="left" vertical="center"/>
      <protection locked="0"/>
    </xf>
    <xf numFmtId="0" fontId="0" fillId="0" borderId="511" xfId="0" applyBorder="1">
      <alignment horizontal="center" vertical="center"/>
    </xf>
    <xf numFmtId="0" fontId="0" fillId="25" borderId="511" xfId="0" applyFill="1" applyBorder="1">
      <alignment horizontal="center" vertical="center"/>
    </xf>
    <xf numFmtId="49" fontId="0" fillId="25" borderId="511" xfId="0" applyNumberFormat="1" applyFill="1" applyBorder="1">
      <alignment horizontal="center" vertical="center"/>
    </xf>
    <xf numFmtId="0" fontId="0" fillId="25" borderId="511" xfId="6" applyFont="1" applyFill="1" applyBorder="1">
      <alignment horizontal="center" vertical="center"/>
    </xf>
    <xf numFmtId="49" fontId="0" fillId="19" borderId="511" xfId="0" applyNumberFormat="1" applyFill="1" applyBorder="1">
      <alignment horizontal="center" vertical="center"/>
    </xf>
    <xf numFmtId="0" fontId="0" fillId="19" borderId="511" xfId="12" applyFont="1" applyFill="1" applyBorder="1">
      <alignment horizontal="center" vertical="center"/>
    </xf>
    <xf numFmtId="0" fontId="0" fillId="19" borderId="511" xfId="0" applyFill="1" applyBorder="1" applyAlignment="1">
      <alignment horizontal="left" vertical="center"/>
    </xf>
    <xf numFmtId="49" fontId="0" fillId="19" borderId="511" xfId="7" applyNumberFormat="1" applyFont="1" applyFill="1" applyBorder="1">
      <alignment horizontal="center" vertical="center"/>
    </xf>
    <xf numFmtId="0" fontId="17" fillId="27" borderId="511" xfId="9" applyBorder="1">
      <alignment horizontal="center" vertical="center"/>
    </xf>
    <xf numFmtId="0" fontId="6" fillId="0" borderId="511" xfId="7" applyBorder="1">
      <alignment horizontal="center" vertical="center"/>
    </xf>
    <xf numFmtId="0" fontId="0" fillId="19" borderId="511" xfId="1" applyFont="1" applyFill="1" applyBorder="1" applyAlignment="1">
      <alignment horizontal="center" vertical="center"/>
    </xf>
    <xf numFmtId="0" fontId="2" fillId="2" borderId="511" xfId="1" applyBorder="1" applyAlignment="1">
      <alignment horizontal="center" vertical="center"/>
    </xf>
    <xf numFmtId="0" fontId="0" fillId="19" borderId="528" xfId="7" applyFont="1" applyFill="1" applyBorder="1">
      <alignment horizontal="center" vertical="center"/>
    </xf>
    <xf numFmtId="0" fontId="0" fillId="0" borderId="511" xfId="7" applyFont="1" applyBorder="1" applyAlignment="1">
      <alignment horizontal="left" vertical="center"/>
    </xf>
    <xf numFmtId="0" fontId="17" fillId="30" borderId="511" xfId="12" applyBorder="1">
      <alignment horizontal="center" vertical="center"/>
    </xf>
    <xf numFmtId="0" fontId="0" fillId="19" borderId="519" xfId="13" applyFont="1" applyFill="1" applyBorder="1">
      <alignment horizontal="center" vertical="center"/>
    </xf>
    <xf numFmtId="49" fontId="0" fillId="19" borderId="527" xfId="7" applyNumberFormat="1" applyFont="1" applyFill="1" applyBorder="1">
      <alignment horizontal="center" vertical="center"/>
    </xf>
    <xf numFmtId="0" fontId="0" fillId="19" borderId="511" xfId="0" applyFill="1" applyBorder="1" applyAlignment="1">
      <alignment vertical="center"/>
    </xf>
    <xf numFmtId="0" fontId="0" fillId="0" borderId="511" xfId="7" applyFont="1" applyBorder="1">
      <alignment horizontal="center" vertical="center"/>
    </xf>
    <xf numFmtId="0" fontId="0" fillId="0" borderId="528" xfId="0" applyBorder="1">
      <alignment horizontal="center" vertical="center"/>
    </xf>
    <xf numFmtId="0" fontId="0" fillId="19" borderId="511" xfId="0" applyFill="1" applyBorder="1" applyAlignment="1">
      <alignment horizontal="left" vertical="center" wrapText="1"/>
    </xf>
    <xf numFmtId="0" fontId="12" fillId="0" borderId="511" xfId="14" applyBorder="1"/>
    <xf numFmtId="0" fontId="0" fillId="19" borderId="511" xfId="10" applyFont="1" applyFill="1" applyBorder="1">
      <alignment horizontal="center" vertical="center"/>
    </xf>
    <xf numFmtId="0" fontId="46" fillId="57" borderId="511" xfId="0" applyFont="1" applyFill="1" applyBorder="1">
      <alignment horizontal="center" vertical="center"/>
    </xf>
    <xf numFmtId="0" fontId="6" fillId="60" borderId="511" xfId="7" applyFill="1" applyBorder="1">
      <alignment horizontal="center" vertical="center"/>
    </xf>
    <xf numFmtId="0" fontId="6" fillId="0" borderId="528" xfId="7" applyBorder="1">
      <alignment horizontal="center" vertical="center"/>
    </xf>
    <xf numFmtId="49" fontId="0" fillId="19" borderId="528" xfId="0" applyNumberFormat="1" applyFill="1" applyBorder="1">
      <alignment horizontal="center" vertical="center"/>
    </xf>
    <xf numFmtId="0" fontId="14" fillId="0" borderId="511" xfId="0" applyFont="1" applyBorder="1" applyAlignment="1" applyProtection="1">
      <alignment horizontal="center"/>
      <protection locked="0"/>
    </xf>
    <xf numFmtId="0" fontId="0" fillId="19" borderId="118" xfId="12" applyFont="1" applyFill="1" applyBorder="1">
      <alignment horizontal="center" vertical="center"/>
    </xf>
    <xf numFmtId="0" fontId="0" fillId="19" borderId="302" xfId="12" applyFont="1" applyFill="1" applyBorder="1">
      <alignment horizontal="center" vertical="center"/>
    </xf>
    <xf numFmtId="0" fontId="15" fillId="19" borderId="474" xfId="0" applyFont="1" applyFill="1" applyBorder="1" applyAlignment="1">
      <alignment horizontal="left" vertical="center"/>
    </xf>
    <xf numFmtId="0" fontId="0" fillId="19" borderId="533" xfId="7" applyFont="1" applyFill="1" applyBorder="1">
      <alignment horizontal="center" vertical="center"/>
    </xf>
    <xf numFmtId="0" fontId="6" fillId="0" borderId="515" xfId="7" applyBorder="1" applyAlignment="1">
      <alignment horizontal="center"/>
    </xf>
    <xf numFmtId="0" fontId="6" fillId="0" borderId="516" xfId="7" applyBorder="1" applyAlignment="1">
      <alignment horizontal="center"/>
    </xf>
    <xf numFmtId="0" fontId="4" fillId="0" borderId="513" xfId="7" applyFont="1" applyBorder="1" applyAlignment="1">
      <alignment horizontal="left"/>
    </xf>
    <xf numFmtId="0" fontId="6" fillId="0" borderId="534" xfId="7" applyBorder="1">
      <alignment horizontal="center" vertical="center"/>
    </xf>
    <xf numFmtId="0" fontId="6" fillId="0" borderId="517" xfId="7" applyBorder="1">
      <alignment horizontal="center" vertical="center"/>
    </xf>
    <xf numFmtId="0" fontId="6" fillId="0" borderId="529" xfId="7" applyBorder="1" applyAlignment="1">
      <alignment horizontal="left"/>
    </xf>
    <xf numFmtId="0" fontId="6" fillId="0" borderId="512" xfId="7" applyBorder="1" applyAlignment="1">
      <alignment horizontal="left"/>
    </xf>
    <xf numFmtId="0" fontId="4" fillId="0" borderId="535" xfId="7" applyFont="1" applyBorder="1" applyAlignment="1">
      <alignment horizontal="left"/>
    </xf>
    <xf numFmtId="0" fontId="6" fillId="0" borderId="517" xfId="7" applyBorder="1" applyAlignment="1">
      <alignment horizontal="left"/>
    </xf>
    <xf numFmtId="0" fontId="6" fillId="0" borderId="513" xfId="7" applyBorder="1">
      <alignment horizontal="center" vertical="center"/>
    </xf>
    <xf numFmtId="0" fontId="6" fillId="0" borderId="530" xfId="7" applyBorder="1">
      <alignment horizontal="center" vertical="center"/>
    </xf>
    <xf numFmtId="49" fontId="6" fillId="25" borderId="474" xfId="3" applyNumberFormat="1" applyFont="1" applyFill="1" applyBorder="1" applyAlignment="1">
      <alignment horizontal="center" vertical="center"/>
    </xf>
    <xf numFmtId="49" fontId="6" fillId="25" borderId="474" xfId="7" applyNumberFormat="1" applyFill="1" applyBorder="1">
      <alignment horizontal="center" vertical="center"/>
    </xf>
    <xf numFmtId="0" fontId="0" fillId="25" borderId="474" xfId="8" applyFont="1" applyBorder="1">
      <alignment horizontal="center" vertical="center"/>
    </xf>
    <xf numFmtId="0" fontId="0" fillId="0" borderId="474" xfId="7" applyFont="1" applyBorder="1" applyAlignment="1">
      <alignment vertical="center"/>
    </xf>
    <xf numFmtId="49" fontId="0" fillId="19" borderId="474" xfId="3" applyNumberFormat="1" applyFont="1" applyFill="1" applyBorder="1" applyAlignment="1">
      <alignment horizontal="center" vertical="center"/>
    </xf>
    <xf numFmtId="0" fontId="4" fillId="22" borderId="519" xfId="7" applyFont="1" applyFill="1" applyBorder="1" applyAlignment="1">
      <alignment horizontal="center"/>
    </xf>
    <xf numFmtId="0" fontId="0" fillId="0" borderId="519" xfId="7" applyFont="1" applyBorder="1" applyAlignment="1">
      <alignment vertical="center"/>
    </xf>
    <xf numFmtId="0" fontId="6" fillId="19" borderId="519" xfId="13" applyFont="1" applyFill="1" applyBorder="1">
      <alignment horizontal="center" vertical="center"/>
    </xf>
    <xf numFmtId="0" fontId="0" fillId="0" borderId="519" xfId="0" applyBorder="1">
      <alignment horizontal="center" vertical="center"/>
    </xf>
    <xf numFmtId="0" fontId="0" fillId="0" borderId="527" xfId="0" applyBorder="1">
      <alignment horizontal="center" vertical="center"/>
    </xf>
    <xf numFmtId="0" fontId="4" fillId="0" borderId="531" xfId="0" applyFont="1" applyBorder="1" applyAlignment="1">
      <alignment horizontal="center"/>
    </xf>
    <xf numFmtId="0" fontId="0" fillId="0" borderId="515" xfId="0" applyBorder="1" applyAlignment="1">
      <alignment horizontal="center"/>
    </xf>
    <xf numFmtId="0" fontId="0" fillId="0" borderId="516" xfId="0" applyBorder="1" applyAlignment="1">
      <alignment horizontal="center"/>
    </xf>
    <xf numFmtId="0" fontId="4" fillId="0" borderId="513" xfId="0" applyFont="1" applyBorder="1" applyAlignment="1">
      <alignment horizontal="left"/>
    </xf>
    <xf numFmtId="0" fontId="6" fillId="0" borderId="517" xfId="0" applyFont="1" applyBorder="1" applyAlignment="1">
      <alignment horizontal="left" vertical="center"/>
    </xf>
    <xf numFmtId="0" fontId="6" fillId="0" borderId="517" xfId="0" applyFont="1" applyBorder="1">
      <alignment horizontal="center" vertical="center"/>
    </xf>
    <xf numFmtId="0" fontId="6" fillId="0" borderId="529" xfId="0" applyFont="1" applyBorder="1">
      <alignment horizontal="center" vertical="center"/>
    </xf>
    <xf numFmtId="0" fontId="6" fillId="0" borderId="513" xfId="0" applyFont="1" applyBorder="1" applyAlignment="1">
      <alignment horizontal="left" vertical="center"/>
    </xf>
    <xf numFmtId="0" fontId="6" fillId="0" borderId="517" xfId="0" applyFont="1" applyBorder="1" applyAlignment="1">
      <alignment horizontal="left"/>
    </xf>
    <xf numFmtId="0" fontId="6" fillId="0" borderId="529" xfId="0" applyFont="1" applyBorder="1" applyAlignment="1">
      <alignment horizontal="left" vertical="center"/>
    </xf>
    <xf numFmtId="0" fontId="0" fillId="0" borderId="517" xfId="0" applyBorder="1" applyAlignment="1">
      <alignment horizontal="left"/>
    </xf>
    <xf numFmtId="0" fontId="0" fillId="0" borderId="530" xfId="0" applyBorder="1" applyAlignment="1"/>
    <xf numFmtId="0" fontId="17" fillId="63" borderId="118" xfId="11" applyFill="1" applyBorder="1">
      <alignment horizontal="center" vertical="center"/>
    </xf>
    <xf numFmtId="0" fontId="17" fillId="29" borderId="118" xfId="11" applyBorder="1">
      <alignment horizontal="center" vertical="center"/>
    </xf>
    <xf numFmtId="49" fontId="0" fillId="63" borderId="474" xfId="0" applyNumberFormat="1" applyFill="1" applyBorder="1">
      <alignment horizontal="center" vertical="center"/>
    </xf>
    <xf numFmtId="0" fontId="0" fillId="63" borderId="474" xfId="6" applyFont="1" applyFill="1" applyBorder="1">
      <alignment horizontal="center" vertical="center"/>
    </xf>
    <xf numFmtId="0" fontId="12" fillId="0" borderId="474" xfId="14" applyBorder="1" applyAlignment="1">
      <alignment horizontal="center" vertical="center"/>
    </xf>
    <xf numFmtId="0" fontId="12" fillId="0" borderId="452" xfId="14" applyBorder="1" applyAlignment="1">
      <alignment horizontal="center" vertical="center"/>
    </xf>
    <xf numFmtId="0" fontId="4" fillId="22" borderId="519" xfId="0" applyFont="1" applyFill="1" applyBorder="1" applyAlignment="1">
      <alignment horizontal="center"/>
    </xf>
    <xf numFmtId="0" fontId="0" fillId="19" borderId="519" xfId="0" applyFill="1" applyBorder="1" applyAlignment="1">
      <alignment horizontal="left" vertical="center"/>
    </xf>
    <xf numFmtId="0" fontId="0" fillId="19" borderId="519" xfId="12" applyFont="1" applyFill="1" applyBorder="1">
      <alignment horizontal="center" vertical="center"/>
    </xf>
    <xf numFmtId="0" fontId="0" fillId="19" borderId="519" xfId="1" applyFont="1" applyFill="1" applyBorder="1" applyAlignment="1">
      <alignment horizontal="center" vertical="center"/>
    </xf>
    <xf numFmtId="0" fontId="0" fillId="19" borderId="519" xfId="8" applyFont="1" applyFill="1" applyBorder="1">
      <alignment horizontal="center" vertical="center"/>
    </xf>
    <xf numFmtId="0" fontId="0" fillId="19" borderId="527" xfId="8" applyFont="1" applyFill="1" applyBorder="1">
      <alignment horizontal="center" vertical="center"/>
    </xf>
    <xf numFmtId="0" fontId="0" fillId="0" borderId="513" xfId="0" applyBorder="1" applyAlignment="1">
      <alignment horizontal="left"/>
    </xf>
    <xf numFmtId="0" fontId="0" fillId="0" borderId="517" xfId="0" applyBorder="1" applyAlignment="1"/>
    <xf numFmtId="0" fontId="0" fillId="0" borderId="529" xfId="0" applyBorder="1" applyAlignment="1">
      <alignment horizontal="left"/>
    </xf>
    <xf numFmtId="0" fontId="0" fillId="0" borderId="513" xfId="0" applyBorder="1" applyAlignment="1">
      <alignment horizontal="center"/>
    </xf>
    <xf numFmtId="0" fontId="17" fillId="0" borderId="511" xfId="0" applyFont="1" applyBorder="1" applyAlignment="1">
      <alignment vertical="center"/>
    </xf>
    <xf numFmtId="0" fontId="4" fillId="22" borderId="511" xfId="0" applyFont="1" applyFill="1" applyBorder="1" applyAlignment="1">
      <alignment horizontal="center"/>
    </xf>
    <xf numFmtId="0" fontId="0" fillId="24" borderId="511" xfId="0" applyFill="1" applyBorder="1">
      <alignment horizontal="center" vertical="center"/>
    </xf>
    <xf numFmtId="0" fontId="17" fillId="28" borderId="511" xfId="10" applyBorder="1">
      <alignment horizontal="center" vertical="center"/>
    </xf>
    <xf numFmtId="0" fontId="0" fillId="19" borderId="511" xfId="9" applyFont="1" applyFill="1" applyBorder="1">
      <alignment horizontal="center" vertical="center"/>
    </xf>
    <xf numFmtId="0" fontId="0" fillId="57" borderId="511" xfId="0" applyFill="1" applyBorder="1">
      <alignment horizontal="center" vertical="center"/>
    </xf>
    <xf numFmtId="49" fontId="0" fillId="57" borderId="511" xfId="0" applyNumberFormat="1" applyFill="1" applyBorder="1">
      <alignment horizontal="center" vertical="center"/>
    </xf>
    <xf numFmtId="0" fontId="0" fillId="0" borderId="536" xfId="0" applyBorder="1" applyAlignment="1">
      <alignment horizontal="center"/>
    </xf>
    <xf numFmtId="164" fontId="9" fillId="0" borderId="513" xfId="0" applyNumberFormat="1" applyFont="1" applyBorder="1" applyAlignment="1">
      <alignment horizontal="center"/>
    </xf>
    <xf numFmtId="0" fontId="6" fillId="28" borderId="118" xfId="0" applyFont="1" applyFill="1" applyBorder="1">
      <alignment horizontal="center" vertical="center"/>
    </xf>
    <xf numFmtId="0" fontId="6" fillId="24" borderId="118" xfId="0" applyFont="1" applyFill="1" applyBorder="1">
      <alignment horizontal="center" vertical="center"/>
    </xf>
    <xf numFmtId="0" fontId="0" fillId="62" borderId="474" xfId="0" applyFill="1" applyBorder="1">
      <alignment horizontal="center" vertical="center"/>
    </xf>
    <xf numFmtId="0" fontId="0" fillId="28" borderId="474" xfId="0" applyFill="1" applyBorder="1">
      <alignment horizontal="center" vertical="center"/>
    </xf>
    <xf numFmtId="0" fontId="0" fillId="23" borderId="474" xfId="5" applyFont="1" applyBorder="1">
      <alignment horizontal="center" vertical="center"/>
    </xf>
    <xf numFmtId="0" fontId="6" fillId="33" borderId="474" xfId="0" applyFont="1" applyFill="1" applyBorder="1">
      <alignment horizontal="center" vertical="center"/>
    </xf>
    <xf numFmtId="0" fontId="17" fillId="25" borderId="475" xfId="8" applyBorder="1">
      <alignment horizontal="center" vertical="center"/>
    </xf>
    <xf numFmtId="0" fontId="0" fillId="0" borderId="511" xfId="0" applyBorder="1" applyAlignment="1"/>
    <xf numFmtId="0" fontId="0" fillId="0" borderId="537" xfId="0" applyBorder="1">
      <alignment horizontal="center" vertical="center"/>
    </xf>
    <xf numFmtId="49" fontId="6" fillId="0" borderId="522" xfId="0" applyNumberFormat="1" applyFont="1" applyBorder="1">
      <alignment horizontal="center" vertical="center"/>
    </xf>
    <xf numFmtId="0" fontId="9" fillId="0" borderId="538" xfId="0" applyFont="1" applyBorder="1">
      <alignment horizontal="center" vertical="center"/>
    </xf>
    <xf numFmtId="0" fontId="0" fillId="0" borderId="539" xfId="0" applyBorder="1">
      <alignment horizontal="center" vertical="center"/>
    </xf>
    <xf numFmtId="49" fontId="0" fillId="0" borderId="522" xfId="0" applyNumberFormat="1" applyBorder="1">
      <alignment horizontal="center" vertical="center"/>
    </xf>
    <xf numFmtId="0" fontId="6" fillId="0" borderId="522" xfId="0" applyFont="1" applyBorder="1">
      <alignment horizontal="center" vertical="center"/>
    </xf>
    <xf numFmtId="49" fontId="0" fillId="0" borderId="540" xfId="0" applyNumberFormat="1" applyBorder="1">
      <alignment horizontal="center" vertical="center"/>
    </xf>
    <xf numFmtId="0" fontId="6" fillId="0" borderId="541" xfId="0" applyFont="1" applyBorder="1" applyAlignment="1">
      <alignment horizontal="left" vertical="center"/>
    </xf>
    <xf numFmtId="0" fontId="6" fillId="0" borderId="541" xfId="0" applyFont="1" applyBorder="1">
      <alignment horizontal="center" vertical="center"/>
    </xf>
    <xf numFmtId="0" fontId="6" fillId="0" borderId="542" xfId="0" applyFont="1" applyBorder="1">
      <alignment horizontal="center" vertical="center"/>
    </xf>
    <xf numFmtId="49" fontId="6" fillId="0" borderId="540" xfId="0" applyNumberFormat="1" applyFont="1" applyBorder="1">
      <alignment horizontal="center" vertical="center"/>
    </xf>
    <xf numFmtId="0" fontId="0" fillId="0" borderId="541" xfId="0" applyBorder="1" applyAlignment="1">
      <alignment horizontal="left" vertical="center"/>
    </xf>
    <xf numFmtId="0" fontId="6" fillId="0" borderId="540" xfId="0" applyFont="1" applyBorder="1">
      <alignment horizontal="center" vertical="center"/>
    </xf>
    <xf numFmtId="49" fontId="6" fillId="0" borderId="543" xfId="0" applyNumberFormat="1" applyFont="1" applyBorder="1">
      <alignment horizontal="center" vertical="center"/>
    </xf>
    <xf numFmtId="0" fontId="6" fillId="0" borderId="543" xfId="0" applyFont="1" applyBorder="1">
      <alignment horizontal="center" vertical="center"/>
    </xf>
    <xf numFmtId="0" fontId="9" fillId="0" borderId="543" xfId="0" applyFont="1" applyBorder="1">
      <alignment horizontal="center" vertical="center"/>
    </xf>
    <xf numFmtId="0" fontId="9" fillId="0" borderId="495" xfId="0" applyFont="1" applyBorder="1">
      <alignment horizontal="center" vertical="center"/>
    </xf>
    <xf numFmtId="0" fontId="0" fillId="0" borderId="541" xfId="0" applyBorder="1">
      <alignment horizontal="center" vertical="center"/>
    </xf>
    <xf numFmtId="0" fontId="0" fillId="18" borderId="544" xfId="0" applyFill="1" applyBorder="1">
      <alignment horizontal="center" vertical="center"/>
    </xf>
    <xf numFmtId="0" fontId="0" fillId="19" borderId="544" xfId="0" applyFill="1" applyBorder="1">
      <alignment horizontal="center" vertical="center"/>
    </xf>
    <xf numFmtId="0" fontId="0" fillId="18" borderId="545" xfId="0" applyFill="1" applyBorder="1">
      <alignment horizontal="center" vertical="center"/>
    </xf>
    <xf numFmtId="0" fontId="0" fillId="19" borderId="546" xfId="0" applyFill="1" applyBorder="1" applyAlignment="1">
      <alignment horizontal="left" vertical="center" wrapText="1"/>
    </xf>
    <xf numFmtId="49" fontId="0" fillId="28" borderId="546" xfId="0" applyNumberFormat="1" applyFill="1" applyBorder="1">
      <alignment horizontal="center" vertical="center"/>
    </xf>
    <xf numFmtId="0" fontId="17" fillId="28" borderId="546" xfId="10" applyBorder="1">
      <alignment horizontal="center" vertical="center"/>
    </xf>
    <xf numFmtId="0" fontId="0" fillId="19" borderId="546" xfId="15" applyFont="1" applyFill="1" applyBorder="1">
      <alignment horizontal="center" vertical="center"/>
    </xf>
    <xf numFmtId="0" fontId="17" fillId="33" borderId="546" xfId="8" applyFill="1" applyBorder="1">
      <alignment horizontal="center" vertical="center"/>
    </xf>
    <xf numFmtId="0" fontId="0" fillId="0" borderId="546" xfId="0" applyBorder="1" applyAlignment="1">
      <alignment vertical="center"/>
    </xf>
    <xf numFmtId="49" fontId="0" fillId="25" borderId="546" xfId="0" applyNumberFormat="1" applyFill="1" applyBorder="1">
      <alignment horizontal="center" vertical="center"/>
    </xf>
    <xf numFmtId="0" fontId="0" fillId="25" borderId="546" xfId="12" applyFont="1" applyFill="1" applyBorder="1">
      <alignment horizontal="center" vertical="center"/>
    </xf>
    <xf numFmtId="0" fontId="0" fillId="19" borderId="546" xfId="8" applyFont="1" applyFill="1" applyBorder="1">
      <alignment horizontal="center" vertical="center"/>
    </xf>
    <xf numFmtId="0" fontId="17" fillId="0" borderId="546" xfId="8" applyFill="1" applyBorder="1">
      <alignment horizontal="center" vertical="center"/>
    </xf>
    <xf numFmtId="0" fontId="17" fillId="25" borderId="546" xfId="8" applyBorder="1">
      <alignment horizontal="center" vertical="center"/>
    </xf>
    <xf numFmtId="49" fontId="0" fillId="19" borderId="546" xfId="2" applyNumberFormat="1" applyFont="1" applyFill="1" applyBorder="1" applyAlignment="1">
      <alignment horizontal="center" vertical="center"/>
    </xf>
    <xf numFmtId="49" fontId="0" fillId="57" borderId="546" xfId="0" applyNumberFormat="1" applyFill="1" applyBorder="1">
      <alignment horizontal="center" vertical="center"/>
    </xf>
    <xf numFmtId="0" fontId="0" fillId="0" borderId="546" xfId="0" applyBorder="1">
      <alignment horizontal="center" vertical="center"/>
    </xf>
    <xf numFmtId="0" fontId="45" fillId="23" borderId="546" xfId="5" applyBorder="1">
      <alignment horizontal="center" vertical="center"/>
    </xf>
    <xf numFmtId="0" fontId="0" fillId="19" borderId="546" xfId="7" applyFont="1" applyFill="1" applyBorder="1">
      <alignment horizontal="center" vertical="center"/>
    </xf>
    <xf numFmtId="0" fontId="17" fillId="24" borderId="546" xfId="6" applyBorder="1">
      <alignment horizontal="center" vertical="center"/>
    </xf>
    <xf numFmtId="0" fontId="0" fillId="19" borderId="546" xfId="6" applyFont="1" applyFill="1" applyBorder="1">
      <alignment horizontal="center" vertical="center"/>
    </xf>
    <xf numFmtId="0" fontId="4" fillId="0" borderId="546" xfId="0" applyFont="1" applyBorder="1" applyAlignment="1">
      <alignment horizontal="center"/>
    </xf>
    <xf numFmtId="0" fontId="0" fillId="0" borderId="547" xfId="0" applyBorder="1" applyAlignment="1">
      <alignment horizontal="left" vertical="center"/>
    </xf>
    <xf numFmtId="0" fontId="4" fillId="0" borderId="548" xfId="0" applyFont="1" applyBorder="1" applyAlignment="1">
      <alignment horizontal="left"/>
    </xf>
    <xf numFmtId="0" fontId="0" fillId="0" borderId="548" xfId="0" applyBorder="1" applyAlignment="1">
      <alignment horizontal="left" vertical="center"/>
    </xf>
    <xf numFmtId="0" fontId="0" fillId="0" borderId="549" xfId="0" applyBorder="1" applyAlignment="1">
      <alignment horizontal="left" vertical="center"/>
    </xf>
    <xf numFmtId="0" fontId="4" fillId="0" borderId="547" xfId="0" applyFont="1" applyBorder="1" applyAlignment="1">
      <alignment horizontal="left"/>
    </xf>
    <xf numFmtId="0" fontId="0" fillId="0" borderId="550" xfId="0" applyBorder="1">
      <alignment horizontal="center" vertical="center"/>
    </xf>
    <xf numFmtId="0" fontId="4" fillId="0" borderId="546" xfId="0" applyFont="1" applyBorder="1">
      <alignment horizontal="center" vertical="center"/>
    </xf>
    <xf numFmtId="0" fontId="0" fillId="0" borderId="551" xfId="0" applyBorder="1" applyAlignment="1">
      <alignment horizontal="left" vertical="center"/>
    </xf>
    <xf numFmtId="0" fontId="0" fillId="0" borderId="552" xfId="0" applyBorder="1" applyAlignment="1">
      <alignment horizontal="left" vertical="center"/>
    </xf>
    <xf numFmtId="0" fontId="0" fillId="0" borderId="553" xfId="0" applyBorder="1" applyAlignment="1">
      <alignment horizontal="left" vertical="center"/>
    </xf>
    <xf numFmtId="0" fontId="0" fillId="0" borderId="554" xfId="0" applyBorder="1" applyAlignment="1">
      <alignment horizontal="left" vertical="center"/>
    </xf>
    <xf numFmtId="0" fontId="0" fillId="0" borderId="555" xfId="0" applyBorder="1" applyAlignment="1">
      <alignment horizontal="left" vertical="center"/>
    </xf>
    <xf numFmtId="0" fontId="4" fillId="0" borderId="556" xfId="0" applyFont="1" applyBorder="1" applyAlignment="1">
      <alignment horizontal="left"/>
    </xf>
    <xf numFmtId="0" fontId="0" fillId="0" borderId="556" xfId="0" applyBorder="1" applyAlignment="1">
      <alignment horizontal="left" vertical="center"/>
    </xf>
    <xf numFmtId="0" fontId="0" fillId="0" borderId="557" xfId="0" applyBorder="1" applyAlignment="1">
      <alignment horizontal="left" vertical="center"/>
    </xf>
    <xf numFmtId="0" fontId="4" fillId="0" borderId="558" xfId="0" applyFont="1" applyBorder="1" applyAlignment="1">
      <alignment horizontal="left"/>
    </xf>
    <xf numFmtId="0" fontId="0" fillId="0" borderId="559" xfId="0" applyBorder="1" applyAlignment="1">
      <alignment horizontal="left" vertical="center"/>
    </xf>
    <xf numFmtId="0" fontId="0" fillId="0" borderId="560" xfId="0" applyBorder="1">
      <alignment horizontal="center" vertical="center"/>
    </xf>
    <xf numFmtId="0" fontId="0" fillId="0" borderId="561" xfId="0" applyBorder="1" applyAlignment="1">
      <alignment horizontal="left" vertical="center"/>
    </xf>
    <xf numFmtId="0" fontId="0" fillId="0" borderId="562" xfId="0" applyBorder="1" applyAlignment="1">
      <alignment horizontal="left"/>
    </xf>
    <xf numFmtId="0" fontId="0" fillId="0" borderId="563" xfId="0" applyBorder="1" applyAlignment="1">
      <alignment horizontal="left"/>
    </xf>
    <xf numFmtId="49" fontId="0" fillId="0" borderId="564" xfId="0" applyNumberFormat="1" applyBorder="1" applyAlignment="1">
      <alignment horizontal="left"/>
    </xf>
    <xf numFmtId="0" fontId="0" fillId="0" borderId="564" xfId="0" applyBorder="1" applyAlignment="1">
      <alignment horizontal="left"/>
    </xf>
    <xf numFmtId="0" fontId="12" fillId="0" borderId="546" xfId="0" applyFont="1" applyBorder="1" applyAlignment="1">
      <alignment horizontal="center"/>
    </xf>
    <xf numFmtId="0" fontId="0" fillId="0" borderId="565" xfId="0" applyBorder="1" applyAlignment="1">
      <alignment horizontal="left" vertical="center"/>
    </xf>
    <xf numFmtId="0" fontId="0" fillId="0" borderId="566" xfId="0" applyBorder="1" applyAlignment="1">
      <alignment horizontal="left" vertical="center"/>
    </xf>
    <xf numFmtId="49" fontId="0" fillId="0" borderId="566" xfId="0" applyNumberFormat="1" applyBorder="1" applyAlignment="1">
      <alignment horizontal="left"/>
    </xf>
    <xf numFmtId="0" fontId="0" fillId="25" borderId="305" xfId="0" applyFill="1" applyBorder="1">
      <alignment horizontal="center" vertical="center"/>
    </xf>
    <xf numFmtId="0" fontId="4" fillId="0" borderId="546" xfId="0" applyFont="1" applyBorder="1" applyAlignment="1" applyProtection="1">
      <alignment horizontal="center"/>
      <protection locked="0"/>
    </xf>
    <xf numFmtId="0" fontId="0" fillId="0" borderId="546" xfId="0" applyBorder="1" applyAlignment="1">
      <alignment horizontal="left"/>
    </xf>
    <xf numFmtId="1" fontId="0" fillId="19" borderId="546" xfId="1" applyNumberFormat="1" applyFont="1" applyFill="1" applyBorder="1" applyAlignment="1">
      <alignment horizontal="center" vertical="center"/>
    </xf>
    <xf numFmtId="0" fontId="0" fillId="19" borderId="567" xfId="0" applyFill="1" applyBorder="1">
      <alignment horizontal="center" vertical="center"/>
    </xf>
    <xf numFmtId="0" fontId="0" fillId="0" borderId="546" xfId="0" applyBorder="1" applyAlignment="1" applyProtection="1">
      <alignment horizontal="center"/>
      <protection locked="0"/>
    </xf>
    <xf numFmtId="0" fontId="0" fillId="59" borderId="546" xfId="0" applyFill="1" applyBorder="1">
      <alignment horizontal="center" vertical="center"/>
    </xf>
    <xf numFmtId="0" fontId="17" fillId="19" borderId="546" xfId="10" applyFill="1" applyBorder="1">
      <alignment horizontal="center" vertical="center"/>
    </xf>
    <xf numFmtId="0" fontId="12" fillId="0" borderId="546" xfId="0" applyFont="1" applyBorder="1" applyAlignment="1" applyProtection="1">
      <alignment horizontal="center"/>
      <protection locked="0"/>
    </xf>
    <xf numFmtId="0" fontId="0" fillId="67" borderId="546" xfId="0" applyFill="1" applyBorder="1">
      <alignment horizontal="center" vertical="center"/>
    </xf>
    <xf numFmtId="0" fontId="0" fillId="19" borderId="546" xfId="11" applyFont="1" applyFill="1" applyBorder="1">
      <alignment horizontal="center" vertical="center"/>
    </xf>
    <xf numFmtId="0" fontId="0" fillId="25" borderId="546" xfId="8" applyFont="1" applyBorder="1">
      <alignment horizontal="center" vertical="center"/>
    </xf>
    <xf numFmtId="0" fontId="0" fillId="19" borderId="567" xfId="8" applyFont="1" applyFill="1" applyBorder="1">
      <alignment horizontal="center" vertical="center"/>
    </xf>
    <xf numFmtId="0" fontId="0" fillId="19" borderId="546" xfId="13" applyFont="1" applyFill="1" applyBorder="1">
      <alignment horizontal="center" vertical="center"/>
    </xf>
    <xf numFmtId="0" fontId="0" fillId="28" borderId="546" xfId="13" applyFont="1" applyFill="1" applyBorder="1">
      <alignment horizontal="center" vertical="center"/>
    </xf>
    <xf numFmtId="0" fontId="0" fillId="65" borderId="546" xfId="0" applyFill="1" applyBorder="1">
      <alignment horizontal="center" vertical="center"/>
    </xf>
    <xf numFmtId="0" fontId="0" fillId="19" borderId="567" xfId="13" applyFont="1" applyFill="1" applyBorder="1">
      <alignment horizontal="center" vertical="center"/>
    </xf>
    <xf numFmtId="0" fontId="6" fillId="0" borderId="546" xfId="0" applyFont="1" applyBorder="1" applyAlignment="1">
      <alignment vertical="center"/>
    </xf>
    <xf numFmtId="0" fontId="0" fillId="28" borderId="546" xfId="10" applyFont="1" applyBorder="1">
      <alignment horizontal="center" vertical="center"/>
    </xf>
    <xf numFmtId="0" fontId="18" fillId="0" borderId="546" xfId="0" applyFont="1" applyBorder="1" applyAlignment="1">
      <alignment vertical="center"/>
    </xf>
    <xf numFmtId="49" fontId="0" fillId="19" borderId="567" xfId="0" applyNumberFormat="1" applyFill="1" applyBorder="1">
      <alignment horizontal="center" vertical="center"/>
    </xf>
    <xf numFmtId="0" fontId="6" fillId="19" borderId="546" xfId="0" applyFont="1" applyFill="1" applyBorder="1" applyAlignment="1">
      <alignment vertical="center"/>
    </xf>
    <xf numFmtId="0" fontId="4" fillId="0" borderId="568" xfId="0" applyFont="1" applyBorder="1" applyAlignment="1">
      <alignment horizontal="center"/>
    </xf>
    <xf numFmtId="0" fontId="4" fillId="0" borderId="569" xfId="0" applyFont="1" applyBorder="1" applyAlignment="1">
      <alignment horizontal="center"/>
    </xf>
    <xf numFmtId="0" fontId="4" fillId="0" borderId="570" xfId="0" applyFont="1" applyBorder="1" applyAlignment="1">
      <alignment horizontal="center"/>
    </xf>
    <xf numFmtId="0" fontId="0" fillId="0" borderId="571" xfId="0" applyBorder="1" applyAlignment="1">
      <alignment horizontal="center"/>
    </xf>
    <xf numFmtId="0" fontId="0" fillId="0" borderId="534" xfId="0" applyBorder="1">
      <alignment horizontal="center" vertical="center"/>
    </xf>
    <xf numFmtId="0" fontId="0" fillId="0" borderId="572" xfId="0" applyBorder="1">
      <alignment horizontal="center" vertical="center"/>
    </xf>
    <xf numFmtId="0" fontId="4" fillId="0" borderId="534" xfId="0" applyFont="1" applyBorder="1" applyAlignment="1">
      <alignment horizontal="left"/>
    </xf>
    <xf numFmtId="0" fontId="0" fillId="0" borderId="573" xfId="0" applyBorder="1">
      <alignment horizontal="center" vertical="center"/>
    </xf>
    <xf numFmtId="0" fontId="0" fillId="0" borderId="534" xfId="0" applyBorder="1" applyAlignment="1">
      <alignment horizontal="left" vertical="center"/>
    </xf>
    <xf numFmtId="0" fontId="0" fillId="0" borderId="572" xfId="0" applyBorder="1" applyAlignment="1">
      <alignment horizontal="left" vertical="center"/>
    </xf>
    <xf numFmtId="0" fontId="0" fillId="0" borderId="573" xfId="0" applyBorder="1" applyAlignment="1">
      <alignment horizontal="left" vertical="center"/>
    </xf>
    <xf numFmtId="0" fontId="4" fillId="0" borderId="573" xfId="0" applyFont="1" applyBorder="1" applyAlignment="1">
      <alignment horizontal="left"/>
    </xf>
    <xf numFmtId="0" fontId="0" fillId="0" borderId="574" xfId="0" applyBorder="1">
      <alignment horizontal="center" vertical="center"/>
    </xf>
    <xf numFmtId="0" fontId="4" fillId="0" borderId="575" xfId="0" applyFont="1" applyBorder="1" applyAlignment="1" applyProtection="1">
      <alignment horizontal="center"/>
      <protection locked="0"/>
    </xf>
    <xf numFmtId="0" fontId="5" fillId="0" borderId="575" xfId="0" applyFont="1" applyBorder="1" applyAlignment="1">
      <alignment horizontal="center"/>
    </xf>
    <xf numFmtId="0" fontId="0" fillId="0" borderId="576" xfId="0" applyBorder="1" applyAlignment="1" applyProtection="1">
      <alignment horizontal="center"/>
      <protection locked="0"/>
    </xf>
    <xf numFmtId="0" fontId="0" fillId="19" borderId="576" xfId="11" applyFont="1" applyFill="1" applyBorder="1">
      <alignment horizontal="center" vertical="center"/>
    </xf>
    <xf numFmtId="49" fontId="0" fillId="19" borderId="547" xfId="0" applyNumberFormat="1" applyFill="1" applyBorder="1">
      <alignment horizontal="center" vertical="center"/>
    </xf>
    <xf numFmtId="49" fontId="0" fillId="25" borderId="576" xfId="0" applyNumberFormat="1" applyFill="1" applyBorder="1">
      <alignment horizontal="center" vertical="center"/>
    </xf>
    <xf numFmtId="49" fontId="0" fillId="19" borderId="576" xfId="1" applyNumberFormat="1" applyFont="1" applyFill="1" applyBorder="1" applyAlignment="1">
      <alignment horizontal="center" vertical="center"/>
    </xf>
    <xf numFmtId="0" fontId="0" fillId="22" borderId="576" xfId="0" applyFill="1" applyBorder="1" applyAlignment="1">
      <alignment horizontal="center"/>
    </xf>
    <xf numFmtId="0" fontId="0" fillId="19" borderId="547" xfId="0" applyFill="1" applyBorder="1">
      <alignment horizontal="center" vertical="center"/>
    </xf>
    <xf numFmtId="0" fontId="0" fillId="11" borderId="576" xfId="0" applyFill="1" applyBorder="1" applyAlignment="1" applyProtection="1">
      <alignment horizontal="center"/>
      <protection locked="0"/>
    </xf>
    <xf numFmtId="0" fontId="0" fillId="11" borderId="577" xfId="0" applyFill="1" applyBorder="1">
      <alignment horizontal="center" vertical="center"/>
    </xf>
    <xf numFmtId="0" fontId="0" fillId="11" borderId="578" xfId="0" applyFill="1" applyBorder="1">
      <alignment horizontal="center" vertical="center"/>
    </xf>
    <xf numFmtId="49" fontId="0" fillId="28" borderId="576" xfId="0" applyNumberFormat="1" applyFill="1" applyBorder="1">
      <alignment horizontal="center" vertical="center"/>
    </xf>
    <xf numFmtId="49" fontId="0" fillId="24" borderId="576" xfId="0" applyNumberFormat="1" applyFill="1" applyBorder="1">
      <alignment horizontal="center" vertical="center"/>
    </xf>
    <xf numFmtId="49" fontId="0" fillId="64" borderId="576" xfId="0" applyNumberFormat="1" applyFill="1" applyBorder="1">
      <alignment horizontal="center" vertical="center"/>
    </xf>
    <xf numFmtId="0" fontId="0" fillId="0" borderId="575" xfId="0" applyBorder="1" applyAlignment="1" applyProtection="1">
      <alignment horizontal="center"/>
      <protection locked="0"/>
    </xf>
    <xf numFmtId="49" fontId="0" fillId="19" borderId="544" xfId="0" applyNumberFormat="1" applyFill="1" applyBorder="1">
      <alignment horizontal="center" vertical="center"/>
    </xf>
    <xf numFmtId="49" fontId="0" fillId="25" borderId="544" xfId="0" applyNumberFormat="1" applyFill="1" applyBorder="1">
      <alignment horizontal="center" vertical="center"/>
    </xf>
    <xf numFmtId="0" fontId="0" fillId="19" borderId="544" xfId="9" applyFont="1" applyFill="1" applyBorder="1">
      <alignment horizontal="center" vertical="center"/>
    </xf>
    <xf numFmtId="49" fontId="0" fillId="19" borderId="566" xfId="0" applyNumberFormat="1" applyFill="1" applyBorder="1">
      <alignment horizontal="center" vertical="center"/>
    </xf>
    <xf numFmtId="0" fontId="4" fillId="0" borderId="579" xfId="0" applyFont="1" applyBorder="1" applyAlignment="1">
      <alignment horizontal="center"/>
    </xf>
    <xf numFmtId="0" fontId="0" fillId="0" borderId="573" xfId="0" applyBorder="1" applyAlignment="1">
      <alignment horizontal="left"/>
    </xf>
    <xf numFmtId="0" fontId="0" fillId="0" borderId="534" xfId="0" applyBorder="1" applyAlignment="1">
      <alignment horizontal="center"/>
    </xf>
    <xf numFmtId="0" fontId="4" fillId="0" borderId="580" xfId="0" applyFont="1" applyBorder="1" applyAlignment="1" applyProtection="1">
      <alignment horizontal="center"/>
      <protection locked="0"/>
    </xf>
    <xf numFmtId="0" fontId="0" fillId="0" borderId="576" xfId="0" applyBorder="1" applyAlignment="1">
      <alignment vertical="center"/>
    </xf>
    <xf numFmtId="0" fontId="0" fillId="25" borderId="546" xfId="0" applyFill="1" applyBorder="1">
      <alignment horizontal="center" vertical="center"/>
    </xf>
    <xf numFmtId="0" fontId="0" fillId="0" borderId="547" xfId="0" applyBorder="1" applyAlignment="1" applyProtection="1">
      <alignment horizontal="center"/>
      <protection locked="0"/>
    </xf>
    <xf numFmtId="0" fontId="0" fillId="61" borderId="546" xfId="0" applyFill="1" applyBorder="1">
      <alignment horizontal="center" vertical="center"/>
    </xf>
    <xf numFmtId="0" fontId="0" fillId="0" borderId="551" xfId="0" applyBorder="1">
      <alignment horizontal="center" vertical="center"/>
    </xf>
    <xf numFmtId="0" fontId="21" fillId="0" borderId="576" xfId="0" applyFont="1" applyBorder="1" applyAlignment="1">
      <alignment vertical="center"/>
    </xf>
    <xf numFmtId="0" fontId="0" fillId="22" borderId="551" xfId="0" applyFill="1" applyBorder="1" applyAlignment="1" applyProtection="1">
      <alignment horizontal="center"/>
      <protection locked="0"/>
    </xf>
    <xf numFmtId="0" fontId="20" fillId="0" borderId="581" xfId="0" applyFont="1" applyBorder="1" applyAlignment="1">
      <alignment vertical="center"/>
    </xf>
    <xf numFmtId="49" fontId="0" fillId="19" borderId="582" xfId="0" applyNumberFormat="1" applyFill="1" applyBorder="1">
      <alignment horizontal="center" vertical="center"/>
    </xf>
    <xf numFmtId="49" fontId="0" fillId="19" borderId="575" xfId="0" applyNumberFormat="1" applyFill="1" applyBorder="1">
      <alignment horizontal="center" vertical="center"/>
    </xf>
    <xf numFmtId="0" fontId="0" fillId="19" borderId="575" xfId="0" applyFill="1" applyBorder="1">
      <alignment horizontal="center" vertical="center"/>
    </xf>
    <xf numFmtId="49" fontId="0" fillId="19" borderId="583" xfId="0" applyNumberFormat="1" applyFill="1" applyBorder="1">
      <alignment horizontal="center" vertical="center"/>
    </xf>
    <xf numFmtId="49" fontId="0" fillId="0" borderId="547" xfId="0" applyNumberFormat="1" applyBorder="1" applyAlignment="1"/>
    <xf numFmtId="0" fontId="0" fillId="28" borderId="584" xfId="0" applyFill="1" applyBorder="1">
      <alignment horizontal="center" vertical="center"/>
    </xf>
    <xf numFmtId="0" fontId="0" fillId="0" borderId="584" xfId="0" applyBorder="1">
      <alignment horizontal="center" vertical="center"/>
    </xf>
    <xf numFmtId="0" fontId="0" fillId="0" borderId="576" xfId="0" applyBorder="1" applyAlignment="1" applyProtection="1">
      <alignment horizontal="left"/>
      <protection locked="0"/>
    </xf>
    <xf numFmtId="0" fontId="19" fillId="0" borderId="576" xfId="0" applyFont="1" applyBorder="1" applyAlignment="1">
      <alignment vertical="center"/>
    </xf>
    <xf numFmtId="0" fontId="0" fillId="64" borderId="546" xfId="0" applyFill="1" applyBorder="1">
      <alignment horizontal="center" vertical="center"/>
    </xf>
    <xf numFmtId="49" fontId="0" fillId="61" borderId="576" xfId="0" applyNumberFormat="1" applyFill="1" applyBorder="1">
      <alignment horizontal="center" vertical="center"/>
    </xf>
    <xf numFmtId="0" fontId="0" fillId="0" borderId="577" xfId="0" applyBorder="1" applyAlignment="1">
      <alignment vertical="center"/>
    </xf>
    <xf numFmtId="0" fontId="5" fillId="6" borderId="547" xfId="0" applyFont="1" applyFill="1" applyBorder="1" applyAlignment="1">
      <alignment horizontal="left"/>
    </xf>
    <xf numFmtId="0" fontId="5" fillId="7" borderId="547" xfId="0" applyFont="1" applyFill="1" applyBorder="1">
      <alignment horizontal="center" vertical="center"/>
    </xf>
    <xf numFmtId="0" fontId="6" fillId="7" borderId="548" xfId="0" applyFont="1" applyFill="1" applyBorder="1">
      <alignment horizontal="center" vertical="center"/>
    </xf>
    <xf numFmtId="0" fontId="5" fillId="8" borderId="547" xfId="0" applyFont="1" applyFill="1" applyBorder="1" applyAlignment="1">
      <alignment horizontal="left"/>
    </xf>
    <xf numFmtId="0" fontId="5" fillId="8" borderId="548" xfId="0" applyFont="1" applyFill="1" applyBorder="1" applyAlignment="1">
      <alignment horizontal="left"/>
    </xf>
    <xf numFmtId="0" fontId="6" fillId="8" borderId="548" xfId="0" applyFont="1" applyFill="1" applyBorder="1">
      <alignment horizontal="center" vertical="center"/>
    </xf>
    <xf numFmtId="0" fontId="6" fillId="8" borderId="549" xfId="0" applyFont="1" applyFill="1" applyBorder="1">
      <alignment horizontal="center" vertical="center"/>
    </xf>
    <xf numFmtId="0" fontId="5" fillId="9" borderId="547" xfId="0" applyFont="1" applyFill="1" applyBorder="1" applyAlignment="1">
      <alignment horizontal="left"/>
    </xf>
    <xf numFmtId="0" fontId="5" fillId="9" borderId="548" xfId="0" applyFont="1" applyFill="1" applyBorder="1" applyAlignment="1">
      <alignment horizontal="left"/>
    </xf>
    <xf numFmtId="0" fontId="0" fillId="9" borderId="548" xfId="0" applyFill="1" applyBorder="1">
      <alignment horizontal="center" vertical="center"/>
    </xf>
    <xf numFmtId="0" fontId="5" fillId="10" borderId="547" xfId="0" applyFont="1" applyFill="1" applyBorder="1" applyAlignment="1">
      <alignment horizontal="left"/>
    </xf>
    <xf numFmtId="0" fontId="0" fillId="10" borderId="548" xfId="0" applyFill="1" applyBorder="1">
      <alignment horizontal="center" vertical="center"/>
    </xf>
    <xf numFmtId="0" fontId="6" fillId="10" borderId="548" xfId="0" applyFont="1" applyFill="1" applyBorder="1">
      <alignment horizontal="center" vertical="center"/>
    </xf>
    <xf numFmtId="0" fontId="6" fillId="10" borderId="549" xfId="0" applyFont="1" applyFill="1" applyBorder="1">
      <alignment horizontal="center" vertical="center"/>
    </xf>
    <xf numFmtId="0" fontId="5" fillId="11" borderId="547" xfId="0" applyFont="1" applyFill="1" applyBorder="1">
      <alignment horizontal="center" vertical="center"/>
    </xf>
    <xf numFmtId="0" fontId="0" fillId="11" borderId="548" xfId="0" applyFill="1" applyBorder="1">
      <alignment horizontal="center" vertical="center"/>
    </xf>
    <xf numFmtId="0" fontId="6" fillId="11" borderId="548" xfId="0" applyFont="1" applyFill="1" applyBorder="1">
      <alignment horizontal="center" vertical="center"/>
    </xf>
    <xf numFmtId="0" fontId="5" fillId="12" borderId="547" xfId="0" applyFont="1" applyFill="1" applyBorder="1" applyAlignment="1">
      <alignment horizontal="left"/>
    </xf>
    <xf numFmtId="0" fontId="6" fillId="12" borderId="548" xfId="0" applyFont="1" applyFill="1" applyBorder="1">
      <alignment horizontal="center" vertical="center"/>
    </xf>
    <xf numFmtId="0" fontId="0" fillId="12" borderId="549" xfId="0" applyFill="1" applyBorder="1">
      <alignment horizontal="center" vertical="center"/>
    </xf>
    <xf numFmtId="0" fontId="0" fillId="13" borderId="585" xfId="0" applyFill="1" applyBorder="1">
      <alignment horizontal="center" vertical="center"/>
    </xf>
    <xf numFmtId="0" fontId="6" fillId="13" borderId="585" xfId="0" applyFont="1" applyFill="1" applyBorder="1">
      <alignment horizontal="center" vertical="center"/>
    </xf>
    <xf numFmtId="0" fontId="6" fillId="13" borderId="586" xfId="0" applyFont="1" applyFill="1" applyBorder="1">
      <alignment horizontal="center" vertical="center"/>
    </xf>
    <xf numFmtId="0" fontId="5" fillId="0" borderId="578" xfId="0" applyFont="1" applyBorder="1" applyAlignment="1">
      <alignment horizontal="left" vertical="center"/>
    </xf>
    <xf numFmtId="0" fontId="6" fillId="0" borderId="585" xfId="0" applyFont="1" applyBorder="1">
      <alignment horizontal="center" vertical="center"/>
    </xf>
    <xf numFmtId="0" fontId="6" fillId="0" borderId="586" xfId="0" applyFont="1" applyBorder="1">
      <alignment horizontal="center" vertical="center"/>
    </xf>
    <xf numFmtId="0" fontId="5" fillId="14" borderId="576" xfId="0" applyFont="1" applyFill="1" applyBorder="1" applyAlignment="1">
      <alignment horizontal="left"/>
    </xf>
    <xf numFmtId="0" fontId="5" fillId="15" borderId="547" xfId="0" applyFont="1" applyFill="1" applyBorder="1">
      <alignment horizontal="center" vertical="center"/>
    </xf>
    <xf numFmtId="0" fontId="6" fillId="15" borderId="548" xfId="0" applyFont="1" applyFill="1" applyBorder="1">
      <alignment horizontal="center" vertical="center"/>
    </xf>
    <xf numFmtId="0" fontId="6" fillId="0" borderId="547" xfId="0" applyFont="1" applyBorder="1" applyAlignment="1">
      <alignment horizontal="left"/>
    </xf>
    <xf numFmtId="0" fontId="0" fillId="0" borderId="548" xfId="0" applyBorder="1">
      <alignment horizontal="center" vertical="center"/>
    </xf>
    <xf numFmtId="0" fontId="6" fillId="0" borderId="548" xfId="0" applyFont="1" applyBorder="1" applyAlignment="1">
      <alignment horizontal="left"/>
    </xf>
    <xf numFmtId="0" fontId="6" fillId="0" borderId="548" xfId="0" applyFont="1" applyBorder="1">
      <alignment horizontal="center" vertical="center"/>
    </xf>
    <xf numFmtId="0" fontId="6" fillId="0" borderId="549" xfId="0" applyFont="1" applyBorder="1">
      <alignment horizontal="center" vertical="center"/>
    </xf>
    <xf numFmtId="0" fontId="6" fillId="17" borderId="547" xfId="0" applyFont="1" applyFill="1" applyBorder="1" applyAlignment="1">
      <alignment horizontal="left" vertical="center"/>
    </xf>
    <xf numFmtId="0" fontId="6" fillId="17" borderId="548" xfId="0" applyFont="1" applyFill="1" applyBorder="1">
      <alignment horizontal="center" vertical="center"/>
    </xf>
    <xf numFmtId="0" fontId="6" fillId="17" borderId="549" xfId="0" applyFont="1" applyFill="1" applyBorder="1">
      <alignment horizontal="center" vertical="center"/>
    </xf>
    <xf numFmtId="0" fontId="4" fillId="0" borderId="547" xfId="0" applyFont="1" applyBorder="1" applyAlignment="1">
      <alignment horizontal="left" vertical="center"/>
    </xf>
    <xf numFmtId="0" fontId="0" fillId="0" borderId="549" xfId="0" applyBorder="1">
      <alignment horizontal="center" vertical="center"/>
    </xf>
    <xf numFmtId="0" fontId="4" fillId="0" borderId="548" xfId="0" applyFont="1" applyBorder="1" applyAlignment="1">
      <alignment horizontal="left" vertical="center"/>
    </xf>
    <xf numFmtId="0" fontId="0" fillId="0" borderId="587" xfId="0" applyBorder="1">
      <alignment horizontal="center" vertical="center"/>
    </xf>
    <xf numFmtId="0" fontId="7" fillId="0" borderId="578" xfId="0" applyFont="1" applyBorder="1">
      <alignment horizontal="center" vertical="center"/>
    </xf>
    <xf numFmtId="0" fontId="0" fillId="0" borderId="585" xfId="0" applyBorder="1">
      <alignment horizontal="center" vertical="center"/>
    </xf>
    <xf numFmtId="0" fontId="0" fillId="0" borderId="586" xfId="0" applyBorder="1">
      <alignment horizontal="center" vertical="center"/>
    </xf>
    <xf numFmtId="0" fontId="4" fillId="0" borderId="547" xfId="0" applyFont="1" applyBorder="1">
      <alignment horizontal="center" vertical="center"/>
    </xf>
    <xf numFmtId="0" fontId="0" fillId="0" borderId="544" xfId="0" applyBorder="1" applyAlignment="1" applyProtection="1">
      <alignment horizontal="center"/>
      <protection locked="0"/>
    </xf>
    <xf numFmtId="0" fontId="5" fillId="0" borderId="544" xfId="0" applyFont="1" applyBorder="1" applyAlignment="1">
      <alignment horizontal="center"/>
    </xf>
    <xf numFmtId="0" fontId="0" fillId="19" borderId="545" xfId="0" applyFill="1" applyBorder="1">
      <alignment horizontal="center" vertical="center"/>
    </xf>
    <xf numFmtId="0" fontId="0" fillId="22" borderId="578" xfId="0" applyFill="1" applyBorder="1" applyAlignment="1" applyProtection="1">
      <alignment horizontal="left"/>
      <protection locked="0"/>
    </xf>
    <xf numFmtId="0" fontId="0" fillId="0" borderId="588" xfId="0" applyBorder="1" applyAlignment="1">
      <alignment vertical="center"/>
    </xf>
    <xf numFmtId="0" fontId="17" fillId="25" borderId="588" xfId="8" applyBorder="1">
      <alignment horizontal="center" vertical="center"/>
    </xf>
    <xf numFmtId="0" fontId="17" fillId="24" borderId="588" xfId="6" applyBorder="1">
      <alignment horizontal="center" vertical="center"/>
    </xf>
    <xf numFmtId="0" fontId="0" fillId="19" borderId="588" xfId="0" applyFill="1" applyBorder="1">
      <alignment horizontal="center" vertical="center"/>
    </xf>
    <xf numFmtId="0" fontId="0" fillId="19" borderId="589" xfId="0" applyFill="1" applyBorder="1">
      <alignment horizontal="center" vertical="center"/>
    </xf>
    <xf numFmtId="0" fontId="4" fillId="11" borderId="547" xfId="0" applyFont="1" applyFill="1" applyBorder="1" applyAlignment="1">
      <alignment horizontal="left" vertical="center"/>
    </xf>
    <xf numFmtId="0" fontId="0" fillId="11" borderId="576" xfId="0" applyFill="1" applyBorder="1">
      <alignment horizontal="center" vertical="center"/>
    </xf>
    <xf numFmtId="0" fontId="0" fillId="11" borderId="590" xfId="0" applyFill="1" applyBorder="1">
      <alignment horizontal="center" vertical="center"/>
    </xf>
    <xf numFmtId="0" fontId="5" fillId="0" borderId="576" xfId="0" applyFont="1" applyBorder="1" applyAlignment="1">
      <alignment horizontal="left" vertical="center"/>
    </xf>
    <xf numFmtId="1" fontId="0" fillId="19" borderId="576" xfId="1" applyNumberFormat="1" applyFont="1" applyFill="1" applyBorder="1" applyAlignment="1">
      <alignment horizontal="center" vertical="center"/>
    </xf>
    <xf numFmtId="0" fontId="0" fillId="19" borderId="576" xfId="6" applyFont="1" applyFill="1" applyBorder="1">
      <alignment horizontal="center" vertical="center"/>
    </xf>
    <xf numFmtId="1" fontId="0" fillId="19" borderId="576" xfId="0" applyNumberFormat="1" applyFill="1" applyBorder="1">
      <alignment horizontal="center" vertical="center"/>
    </xf>
    <xf numFmtId="0" fontId="0" fillId="19" borderId="576" xfId="5" applyFont="1" applyFill="1" applyBorder="1">
      <alignment horizontal="center" vertical="center"/>
    </xf>
    <xf numFmtId="0" fontId="17" fillId="25" borderId="576" xfId="8" applyBorder="1">
      <alignment horizontal="center" vertical="center"/>
    </xf>
    <xf numFmtId="0" fontId="17" fillId="25" borderId="590" xfId="8" applyBorder="1">
      <alignment horizontal="center" vertical="center"/>
    </xf>
    <xf numFmtId="0" fontId="0" fillId="22" borderId="547" xfId="0" applyFill="1" applyBorder="1" applyAlignment="1" applyProtection="1">
      <alignment horizontal="center"/>
      <protection locked="0"/>
    </xf>
    <xf numFmtId="0" fontId="17" fillId="24" borderId="576" xfId="6" applyBorder="1">
      <alignment horizontal="center" vertical="center"/>
    </xf>
    <xf numFmtId="1" fontId="0" fillId="19" borderId="590" xfId="0" applyNumberFormat="1" applyFill="1" applyBorder="1">
      <alignment horizontal="center" vertical="center"/>
    </xf>
    <xf numFmtId="0" fontId="17" fillId="28" borderId="576" xfId="10" applyBorder="1">
      <alignment horizontal="center" vertical="center"/>
    </xf>
    <xf numFmtId="0" fontId="0" fillId="0" borderId="576" xfId="0" applyBorder="1" applyAlignment="1">
      <alignment horizontal="left" vertical="center"/>
    </xf>
    <xf numFmtId="0" fontId="6" fillId="0" borderId="576" xfId="7" applyBorder="1">
      <alignment horizontal="center" vertical="center"/>
    </xf>
    <xf numFmtId="0" fontId="6" fillId="27" borderId="576" xfId="9" applyFont="1" applyBorder="1">
      <alignment horizontal="center" vertical="center"/>
    </xf>
    <xf numFmtId="0" fontId="4" fillId="11" borderId="578" xfId="0" applyFont="1" applyFill="1" applyBorder="1" applyAlignment="1" applyProtection="1">
      <alignment horizontal="left"/>
      <protection locked="0"/>
    </xf>
    <xf numFmtId="0" fontId="4" fillId="11" borderId="577" xfId="0" applyFont="1" applyFill="1" applyBorder="1">
      <alignment horizontal="center" vertical="center"/>
    </xf>
    <xf numFmtId="1" fontId="0" fillId="11" borderId="577" xfId="0" applyNumberFormat="1" applyFill="1" applyBorder="1">
      <alignment horizontal="center" vertical="center"/>
    </xf>
    <xf numFmtId="0" fontId="0" fillId="11" borderId="591" xfId="0" applyFill="1" applyBorder="1">
      <alignment horizontal="center" vertical="center"/>
    </xf>
    <xf numFmtId="0" fontId="0" fillId="22" borderId="584" xfId="0" applyFill="1" applyBorder="1" applyAlignment="1" applyProtection="1">
      <alignment horizontal="center"/>
      <protection locked="0"/>
    </xf>
    <xf numFmtId="0" fontId="0" fillId="0" borderId="584" xfId="0" applyBorder="1" applyAlignment="1">
      <alignment horizontal="left" vertical="center"/>
    </xf>
    <xf numFmtId="0" fontId="17" fillId="25" borderId="584" xfId="8" applyBorder="1">
      <alignment horizontal="center" vertical="center"/>
    </xf>
    <xf numFmtId="0" fontId="0" fillId="19" borderId="584" xfId="7" applyFont="1" applyFill="1" applyBorder="1">
      <alignment horizontal="center" vertical="center"/>
    </xf>
    <xf numFmtId="0" fontId="0" fillId="19" borderId="592" xfId="0" applyFill="1" applyBorder="1">
      <alignment horizontal="center" vertical="center"/>
    </xf>
    <xf numFmtId="0" fontId="0" fillId="22" borderId="546" xfId="0" applyFill="1" applyBorder="1" applyAlignment="1" applyProtection="1">
      <alignment horizontal="center"/>
      <protection locked="0"/>
    </xf>
    <xf numFmtId="0" fontId="0" fillId="0" borderId="546" xfId="0" applyBorder="1" applyAlignment="1">
      <alignment horizontal="left" vertical="center"/>
    </xf>
    <xf numFmtId="0" fontId="6" fillId="24" borderId="546" xfId="6" applyFont="1" applyBorder="1">
      <alignment horizontal="center" vertical="center"/>
    </xf>
    <xf numFmtId="0" fontId="0" fillId="19" borderId="546" xfId="0" applyFill="1" applyBorder="1">
      <alignment horizontal="center" vertical="center"/>
    </xf>
    <xf numFmtId="49" fontId="0" fillId="19" borderId="546" xfId="7" applyNumberFormat="1" applyFont="1" applyFill="1" applyBorder="1">
      <alignment horizontal="center" vertical="center"/>
    </xf>
    <xf numFmtId="0" fontId="6" fillId="0" borderId="546" xfId="7" applyBorder="1">
      <alignment horizontal="center" vertical="center"/>
    </xf>
    <xf numFmtId="0" fontId="0" fillId="19" borderId="593" xfId="0" applyFill="1" applyBorder="1">
      <alignment horizontal="center" vertical="center"/>
    </xf>
    <xf numFmtId="0" fontId="0" fillId="0" borderId="546" xfId="7" applyFont="1" applyBorder="1" applyAlignment="1">
      <alignment vertical="center"/>
    </xf>
    <xf numFmtId="0" fontId="17" fillId="27" borderId="546" xfId="9" applyBorder="1">
      <alignment horizontal="center" vertical="center"/>
    </xf>
    <xf numFmtId="0" fontId="17" fillId="25" borderId="593" xfId="8" applyBorder="1">
      <alignment horizontal="center" vertical="center"/>
    </xf>
    <xf numFmtId="0" fontId="6" fillId="0" borderId="546" xfId="0" applyFont="1" applyBorder="1" applyAlignment="1">
      <alignment horizontal="left" vertical="center"/>
    </xf>
    <xf numFmtId="0" fontId="0" fillId="0" borderId="419" xfId="0" applyBorder="1" applyAlignment="1">
      <alignment horizontal="left" vertical="center"/>
    </xf>
    <xf numFmtId="0" fontId="4" fillId="0" borderId="594" xfId="0" applyFont="1" applyBorder="1" applyAlignment="1">
      <alignment horizontal="left" vertical="center"/>
    </xf>
    <xf numFmtId="0" fontId="0" fillId="0" borderId="595" xfId="0" applyBorder="1" applyAlignment="1">
      <alignment horizontal="left"/>
    </xf>
    <xf numFmtId="0" fontId="4" fillId="0" borderId="450" xfId="0" applyFont="1" applyBorder="1" applyAlignment="1">
      <alignment vertical="center"/>
    </xf>
    <xf numFmtId="0" fontId="0" fillId="0" borderId="595" xfId="0" applyBorder="1">
      <alignment horizontal="center" vertical="center"/>
    </xf>
    <xf numFmtId="0" fontId="4" fillId="0" borderId="596" xfId="0" applyFont="1" applyBorder="1" applyAlignment="1">
      <alignment horizontal="left" vertical="center"/>
    </xf>
    <xf numFmtId="0" fontId="4" fillId="0" borderId="596" xfId="0" applyFont="1" applyBorder="1" applyAlignment="1">
      <alignment horizontal="left"/>
    </xf>
    <xf numFmtId="0" fontId="4" fillId="0" borderId="450" xfId="0" applyFont="1" applyBorder="1" applyAlignment="1">
      <alignment wrapText="1"/>
    </xf>
    <xf numFmtId="0" fontId="4" fillId="0" borderId="448" xfId="0" applyFont="1" applyBorder="1" applyAlignment="1">
      <alignment wrapText="1"/>
    </xf>
    <xf numFmtId="0" fontId="4" fillId="0" borderId="451" xfId="0" applyFont="1" applyBorder="1" applyAlignment="1">
      <alignment wrapText="1"/>
    </xf>
    <xf numFmtId="0" fontId="4" fillId="0" borderId="448" xfId="0" applyFont="1" applyBorder="1" applyAlignment="1">
      <alignment vertical="center"/>
    </xf>
    <xf numFmtId="0" fontId="0" fillId="0" borderId="448" xfId="0" applyBorder="1">
      <alignment horizontal="center" vertical="center"/>
    </xf>
    <xf numFmtId="0" fontId="0" fillId="0" borderId="597" xfId="0" applyBorder="1">
      <alignment horizontal="center" vertical="center"/>
    </xf>
    <xf numFmtId="0" fontId="4" fillId="0" borderId="598" xfId="0" applyFont="1" applyBorder="1" applyAlignment="1">
      <alignment horizontal="left" vertical="center"/>
    </xf>
    <xf numFmtId="0" fontId="4" fillId="0" borderId="547" xfId="0" applyFont="1" applyBorder="1" applyAlignment="1">
      <alignment vertical="center"/>
    </xf>
    <xf numFmtId="0" fontId="7" fillId="0" borderId="548" xfId="0" applyFont="1" applyBorder="1">
      <alignment horizontal="center" vertical="center"/>
    </xf>
    <xf numFmtId="0" fontId="4" fillId="0" borderId="578" xfId="0" applyFont="1" applyBorder="1" applyAlignment="1">
      <alignment horizontal="left" vertical="center"/>
    </xf>
    <xf numFmtId="0" fontId="7" fillId="0" borderId="585" xfId="0" applyFont="1" applyBorder="1">
      <alignment horizontal="center" vertical="center"/>
    </xf>
    <xf numFmtId="0" fontId="4" fillId="0" borderId="585" xfId="0" applyFont="1" applyBorder="1">
      <alignment horizontal="center" vertical="center"/>
    </xf>
    <xf numFmtId="0" fontId="4" fillId="0" borderId="569" xfId="0" applyFont="1" applyBorder="1" applyAlignment="1">
      <alignment horizontal="left" vertical="center"/>
    </xf>
    <xf numFmtId="0" fontId="0" fillId="0" borderId="547" xfId="0" applyBorder="1" applyAlignment="1">
      <alignment vertical="center"/>
    </xf>
    <xf numFmtId="0" fontId="0" fillId="0" borderId="599" xfId="0" applyBorder="1">
      <alignment horizontal="center" vertical="center"/>
    </xf>
    <xf numFmtId="0" fontId="4" fillId="0" borderId="570" xfId="0" applyFont="1" applyBorder="1" applyAlignment="1">
      <alignment horizontal="left" vertical="center"/>
    </xf>
    <xf numFmtId="0" fontId="0" fillId="0" borderId="571" xfId="0" applyBorder="1">
      <alignment horizontal="center" vertical="center"/>
    </xf>
    <xf numFmtId="0" fontId="0" fillId="0" borderId="566" xfId="0" applyBorder="1" applyAlignment="1">
      <alignment vertical="center"/>
    </xf>
    <xf numFmtId="0" fontId="0" fillId="0" borderId="600" xfId="0" applyBorder="1">
      <alignment horizontal="center" vertical="center"/>
    </xf>
    <xf numFmtId="0" fontId="4" fillId="0" borderId="566" xfId="0" applyFont="1" applyBorder="1">
      <alignment horizontal="center" vertical="center"/>
    </xf>
    <xf numFmtId="0" fontId="0" fillId="0" borderId="571" xfId="0" applyBorder="1" applyAlignment="1">
      <alignment horizontal="left" vertical="center"/>
    </xf>
    <xf numFmtId="0" fontId="7" fillId="0" borderId="571" xfId="0" applyFont="1" applyBorder="1">
      <alignment horizontal="center" vertical="center"/>
    </xf>
    <xf numFmtId="0" fontId="4" fillId="0" borderId="571" xfId="0" applyFont="1" applyBorder="1" applyAlignment="1">
      <alignment horizontal="left" vertical="center"/>
    </xf>
    <xf numFmtId="0" fontId="0" fillId="0" borderId="601" xfId="0" applyBorder="1">
      <alignment horizontal="center" vertical="center"/>
    </xf>
    <xf numFmtId="0" fontId="0" fillId="0" borderId="577" xfId="0" applyBorder="1" applyAlignment="1" applyProtection="1">
      <alignment horizontal="center"/>
      <protection locked="0"/>
    </xf>
    <xf numFmtId="0" fontId="5" fillId="0" borderId="577" xfId="0" applyFont="1" applyBorder="1" applyAlignment="1">
      <alignment horizontal="center"/>
    </xf>
    <xf numFmtId="0" fontId="0" fillId="11" borderId="568" xfId="0" applyFill="1" applyBorder="1" applyAlignment="1" applyProtection="1">
      <alignment horizontal="center"/>
      <protection locked="0"/>
    </xf>
    <xf numFmtId="0" fontId="0" fillId="0" borderId="588" xfId="0" applyBorder="1" applyAlignment="1">
      <alignment horizontal="left" vertical="center"/>
    </xf>
    <xf numFmtId="49" fontId="0" fillId="19" borderId="588" xfId="0" applyNumberFormat="1" applyFill="1" applyBorder="1">
      <alignment horizontal="center" vertical="center"/>
    </xf>
    <xf numFmtId="49" fontId="0" fillId="19" borderId="589" xfId="0" applyNumberFormat="1" applyFill="1" applyBorder="1">
      <alignment horizontal="center" vertical="center"/>
    </xf>
    <xf numFmtId="0" fontId="0" fillId="22" borderId="602" xfId="0" applyFill="1" applyBorder="1" applyAlignment="1" applyProtection="1">
      <alignment horizontal="center"/>
      <protection locked="0"/>
    </xf>
    <xf numFmtId="0" fontId="0" fillId="19" borderId="576" xfId="10" applyFont="1" applyFill="1" applyBorder="1">
      <alignment horizontal="center" vertical="center"/>
    </xf>
    <xf numFmtId="0" fontId="0" fillId="22" borderId="579" xfId="0" applyFill="1" applyBorder="1" applyAlignment="1" applyProtection="1">
      <alignment horizontal="center"/>
      <protection locked="0"/>
    </xf>
    <xf numFmtId="0" fontId="0" fillId="0" borderId="544" xfId="0" applyBorder="1" applyAlignment="1">
      <alignment horizontal="left" vertical="center"/>
    </xf>
    <xf numFmtId="0" fontId="17" fillId="28" borderId="544" xfId="10" applyBorder="1">
      <alignment horizontal="center" vertical="center"/>
    </xf>
    <xf numFmtId="0" fontId="0" fillId="28" borderId="544" xfId="10" applyFont="1" applyBorder="1">
      <alignment horizontal="center" vertical="center"/>
    </xf>
    <xf numFmtId="0" fontId="6" fillId="0" borderId="544" xfId="7" applyBorder="1">
      <alignment horizontal="center" vertical="center"/>
    </xf>
    <xf numFmtId="0" fontId="0" fillId="19" borderId="544" xfId="6" applyFont="1" applyFill="1" applyBorder="1">
      <alignment horizontal="center" vertical="center"/>
    </xf>
    <xf numFmtId="0" fontId="6" fillId="0" borderId="545" xfId="7" applyBorder="1">
      <alignment horizontal="center" vertical="center"/>
    </xf>
    <xf numFmtId="0" fontId="0" fillId="19" borderId="588" xfId="6" applyFont="1" applyFill="1" applyBorder="1">
      <alignment horizontal="center" vertical="center"/>
    </xf>
    <xf numFmtId="0" fontId="17" fillId="25" borderId="589" xfId="8" applyBorder="1">
      <alignment horizontal="center" vertical="center"/>
    </xf>
    <xf numFmtId="49" fontId="0" fillId="19" borderId="576" xfId="0" applyNumberFormat="1" applyFill="1" applyBorder="1">
      <alignment horizontal="center" vertical="center"/>
    </xf>
    <xf numFmtId="49" fontId="0" fillId="19" borderId="590" xfId="0" applyNumberFormat="1" applyFill="1" applyBorder="1">
      <alignment horizontal="center" vertical="center"/>
    </xf>
    <xf numFmtId="0" fontId="0" fillId="0" borderId="544" xfId="0" applyBorder="1" applyAlignment="1">
      <alignment vertical="center"/>
    </xf>
    <xf numFmtId="0" fontId="0" fillId="19" borderId="588" xfId="0" applyFill="1" applyBorder="1" applyAlignment="1">
      <alignment horizontal="left" vertical="center" wrapText="1"/>
    </xf>
    <xf numFmtId="1" fontId="0" fillId="19" borderId="588" xfId="1" applyNumberFormat="1" applyFont="1" applyFill="1" applyBorder="1" applyAlignment="1">
      <alignment horizontal="center" vertical="center"/>
    </xf>
    <xf numFmtId="0" fontId="0" fillId="28" borderId="576" xfId="6" applyFont="1" applyFill="1" applyBorder="1">
      <alignment horizontal="center" vertical="center"/>
    </xf>
    <xf numFmtId="0" fontId="17" fillId="27" borderId="576" xfId="9" applyBorder="1">
      <alignment horizontal="center" vertical="center"/>
    </xf>
    <xf numFmtId="0" fontId="0" fillId="19" borderId="576" xfId="0" applyFill="1" applyBorder="1">
      <alignment horizontal="center" vertical="center"/>
    </xf>
    <xf numFmtId="0" fontId="17" fillId="24" borderId="544" xfId="6" applyBorder="1">
      <alignment horizontal="center" vertical="center"/>
    </xf>
    <xf numFmtId="49" fontId="0" fillId="19" borderId="545" xfId="0" applyNumberFormat="1" applyFill="1" applyBorder="1">
      <alignment horizontal="center" vertical="center"/>
    </xf>
    <xf numFmtId="0" fontId="17" fillId="27" borderId="588" xfId="9" applyBorder="1">
      <alignment horizontal="center" vertical="center"/>
    </xf>
    <xf numFmtId="0" fontId="17" fillId="25" borderId="544" xfId="8" applyBorder="1">
      <alignment horizontal="center" vertical="center"/>
    </xf>
    <xf numFmtId="49" fontId="0" fillId="28" borderId="588" xfId="0" applyNumberFormat="1" applyFill="1" applyBorder="1">
      <alignment horizontal="center" vertical="center"/>
    </xf>
    <xf numFmtId="0" fontId="0" fillId="19" borderId="545" xfId="6" applyFont="1" applyFill="1" applyBorder="1">
      <alignment horizontal="center" vertical="center"/>
    </xf>
    <xf numFmtId="0" fontId="4" fillId="0" borderId="576" xfId="0" applyFont="1" applyBorder="1" applyAlignment="1">
      <alignment horizontal="center"/>
    </xf>
    <xf numFmtId="0" fontId="0" fillId="0" borderId="576" xfId="0" applyBorder="1">
      <alignment horizontal="center" vertical="center"/>
    </xf>
    <xf numFmtId="0" fontId="6" fillId="0" borderId="576" xfId="0" applyFont="1" applyBorder="1">
      <alignment horizontal="center" vertical="center"/>
    </xf>
    <xf numFmtId="0" fontId="0" fillId="0" borderId="577" xfId="0" applyBorder="1">
      <alignment horizontal="center" vertical="center"/>
    </xf>
    <xf numFmtId="0" fontId="4" fillId="0" borderId="577" xfId="0" applyFont="1" applyBorder="1" applyAlignment="1">
      <alignment horizontal="center"/>
    </xf>
    <xf numFmtId="0" fontId="5" fillId="0" borderId="576" xfId="0" applyFont="1" applyBorder="1" applyAlignment="1">
      <alignment horizontal="left"/>
    </xf>
    <xf numFmtId="0" fontId="6" fillId="0" borderId="547" xfId="0" applyFont="1" applyBorder="1">
      <alignment horizontal="center" vertical="center"/>
    </xf>
    <xf numFmtId="0" fontId="0" fillId="0" borderId="576" xfId="0" applyBorder="1" applyAlignment="1">
      <alignment horizontal="center"/>
    </xf>
    <xf numFmtId="0" fontId="0" fillId="0" borderId="547" xfId="0" applyBorder="1" applyAlignment="1">
      <alignment horizontal="left"/>
    </xf>
    <xf numFmtId="0" fontId="0" fillId="0" borderId="548" xfId="0" applyBorder="1" applyAlignment="1">
      <alignment horizontal="left"/>
    </xf>
    <xf numFmtId="0" fontId="0" fillId="22" borderId="576" xfId="0" applyFill="1" applyBorder="1" applyAlignment="1" applyProtection="1">
      <alignment horizontal="center"/>
      <protection locked="0"/>
    </xf>
    <xf numFmtId="0" fontId="0" fillId="0" borderId="578" xfId="0" applyBorder="1" applyAlignment="1">
      <alignment horizontal="left"/>
    </xf>
    <xf numFmtId="0" fontId="0" fillId="0" borderId="585" xfId="0" applyBorder="1" applyAlignment="1">
      <alignment horizontal="left"/>
    </xf>
    <xf numFmtId="0" fontId="6" fillId="0" borderId="586" xfId="0" applyFont="1" applyBorder="1" applyAlignment="1">
      <alignment horizontal="left"/>
    </xf>
    <xf numFmtId="0" fontId="6" fillId="0" borderId="585" xfId="0" applyFont="1" applyBorder="1" applyAlignment="1">
      <alignment horizontal="left"/>
    </xf>
    <xf numFmtId="0" fontId="6" fillId="0" borderId="549" xfId="0" applyFont="1" applyBorder="1" applyAlignment="1">
      <alignment horizontal="left"/>
    </xf>
    <xf numFmtId="0" fontId="5" fillId="0" borderId="547" xfId="0" applyFont="1" applyBorder="1" applyAlignment="1">
      <alignment horizontal="left"/>
    </xf>
    <xf numFmtId="0" fontId="11" fillId="0" borderId="576" xfId="0" applyFont="1" applyBorder="1" applyAlignment="1" applyProtection="1">
      <alignment horizontal="center"/>
      <protection locked="0"/>
    </xf>
    <xf numFmtId="0" fontId="0" fillId="0" borderId="576" xfId="0" applyBorder="1" applyAlignment="1">
      <alignment horizontal="left"/>
    </xf>
    <xf numFmtId="0" fontId="6" fillId="0" borderId="576" xfId="0" applyFont="1" applyBorder="1" applyAlignment="1">
      <alignment horizontal="left"/>
    </xf>
    <xf numFmtId="0" fontId="4" fillId="0" borderId="577" xfId="0" applyFont="1" applyBorder="1" applyAlignment="1" applyProtection="1">
      <alignment horizontal="center"/>
      <protection locked="0"/>
    </xf>
    <xf numFmtId="0" fontId="0" fillId="19" borderId="577" xfId="0" applyFill="1" applyBorder="1">
      <alignment horizontal="center" vertical="center"/>
    </xf>
    <xf numFmtId="0" fontId="0" fillId="18" borderId="577" xfId="0" applyFill="1" applyBorder="1">
      <alignment horizontal="center" vertical="center"/>
    </xf>
    <xf numFmtId="0" fontId="0" fillId="19" borderId="591" xfId="0" applyFill="1" applyBorder="1">
      <alignment horizontal="center" vertical="center"/>
    </xf>
    <xf numFmtId="0" fontId="0" fillId="0" borderId="584" xfId="0" applyBorder="1" applyAlignment="1">
      <alignment vertical="center"/>
    </xf>
    <xf numFmtId="0" fontId="0" fillId="19" borderId="584" xfId="11" applyFont="1" applyFill="1" applyBorder="1">
      <alignment horizontal="center" vertical="center"/>
    </xf>
    <xf numFmtId="0" fontId="0" fillId="19" borderId="584" xfId="12" applyFont="1" applyFill="1" applyBorder="1">
      <alignment horizontal="center" vertical="center"/>
    </xf>
    <xf numFmtId="0" fontId="0" fillId="19" borderId="584" xfId="0" applyFill="1" applyBorder="1">
      <alignment horizontal="center" vertical="center"/>
    </xf>
    <xf numFmtId="0" fontId="0" fillId="19" borderId="546" xfId="0" applyFill="1" applyBorder="1" applyAlignment="1" applyProtection="1">
      <alignment horizontal="left" vertical="center"/>
      <protection locked="0"/>
    </xf>
    <xf numFmtId="49" fontId="0" fillId="19" borderId="546" xfId="0" applyNumberFormat="1" applyFill="1" applyBorder="1">
      <alignment horizontal="center" vertical="center"/>
    </xf>
    <xf numFmtId="49" fontId="0" fillId="19" borderId="546" xfId="3" applyNumberFormat="1" applyFont="1" applyFill="1" applyBorder="1" applyAlignment="1">
      <alignment horizontal="center" vertical="center"/>
    </xf>
    <xf numFmtId="0" fontId="0" fillId="19" borderId="546" xfId="12" applyFont="1" applyFill="1" applyBorder="1">
      <alignment horizontal="center" vertical="center"/>
    </xf>
    <xf numFmtId="0" fontId="0" fillId="28" borderId="546" xfId="12" applyFont="1" applyFill="1" applyBorder="1">
      <alignment horizontal="center" vertical="center"/>
    </xf>
    <xf numFmtId="0" fontId="6" fillId="0" borderId="593" xfId="7" applyBorder="1">
      <alignment horizontal="center" vertical="center"/>
    </xf>
    <xf numFmtId="49" fontId="6" fillId="19" borderId="546" xfId="3" applyNumberFormat="1" applyFont="1" applyFill="1" applyBorder="1" applyAlignment="1">
      <alignment horizontal="center" vertical="center"/>
    </xf>
    <xf numFmtId="0" fontId="0" fillId="19" borderId="546" xfId="0" applyFill="1" applyBorder="1" applyAlignment="1">
      <alignment horizontal="left" vertical="center"/>
    </xf>
    <xf numFmtId="0" fontId="0" fillId="0" borderId="546" xfId="7" applyFont="1" applyBorder="1">
      <alignment horizontal="center" vertical="center"/>
    </xf>
    <xf numFmtId="0" fontId="0" fillId="27" borderId="546" xfId="7" applyFont="1" applyFill="1" applyBorder="1">
      <alignment horizontal="center" vertical="center"/>
    </xf>
    <xf numFmtId="49" fontId="0" fillId="19" borderId="593" xfId="3" applyNumberFormat="1" applyFont="1" applyFill="1" applyBorder="1" applyAlignment="1">
      <alignment horizontal="center" vertical="center"/>
    </xf>
    <xf numFmtId="0" fontId="0" fillId="19" borderId="546" xfId="1" applyFont="1" applyFill="1" applyBorder="1" applyAlignment="1">
      <alignment horizontal="center" vertical="center"/>
    </xf>
    <xf numFmtId="0" fontId="0" fillId="19" borderId="593" xfId="7" applyFont="1" applyFill="1" applyBorder="1">
      <alignment horizontal="center" vertical="center"/>
    </xf>
    <xf numFmtId="0" fontId="0" fillId="19" borderId="546" xfId="10" applyFont="1" applyFill="1" applyBorder="1">
      <alignment horizontal="center" vertical="center"/>
    </xf>
    <xf numFmtId="0" fontId="17" fillId="0" borderId="546" xfId="0" applyFont="1" applyBorder="1">
      <alignment horizontal="center" vertical="center"/>
    </xf>
    <xf numFmtId="0" fontId="17" fillId="30" borderId="546" xfId="12" applyBorder="1">
      <alignment horizontal="center" vertical="center"/>
    </xf>
    <xf numFmtId="0" fontId="0" fillId="30" borderId="546" xfId="12" applyFont="1" applyBorder="1">
      <alignment horizontal="center" vertical="center"/>
    </xf>
    <xf numFmtId="0" fontId="0" fillId="30" borderId="593" xfId="12" applyFont="1" applyBorder="1">
      <alignment horizontal="center" vertical="center"/>
    </xf>
    <xf numFmtId="0" fontId="0" fillId="19" borderId="455" xfId="7" applyFont="1" applyFill="1" applyBorder="1">
      <alignment horizontal="center" vertical="center"/>
    </xf>
    <xf numFmtId="49" fontId="0" fillId="19" borderId="593" xfId="0" applyNumberFormat="1" applyFill="1" applyBorder="1">
      <alignment horizontal="center" vertical="center"/>
    </xf>
    <xf numFmtId="0" fontId="0" fillId="19" borderId="584" xfId="0" applyFill="1" applyBorder="1" applyAlignment="1">
      <alignment horizontal="left" vertical="center"/>
    </xf>
    <xf numFmtId="0" fontId="0" fillId="0" borderId="584" xfId="7" applyFont="1" applyBorder="1">
      <alignment horizontal="center" vertical="center"/>
    </xf>
    <xf numFmtId="0" fontId="0" fillId="30" borderId="584" xfId="12" applyFont="1" applyBorder="1">
      <alignment horizontal="center" vertical="center"/>
    </xf>
    <xf numFmtId="0" fontId="0" fillId="27" borderId="584" xfId="9" applyFont="1" applyBorder="1">
      <alignment horizontal="center" vertical="center"/>
    </xf>
    <xf numFmtId="49" fontId="0" fillId="19" borderId="584" xfId="3" applyNumberFormat="1" applyFont="1" applyFill="1" applyBorder="1" applyAlignment="1">
      <alignment horizontal="center" vertical="center"/>
    </xf>
    <xf numFmtId="49" fontId="0" fillId="19" borderId="584" xfId="0" applyNumberFormat="1" applyFill="1" applyBorder="1">
      <alignment horizontal="center" vertical="center"/>
    </xf>
    <xf numFmtId="0" fontId="5" fillId="19" borderId="144" xfId="0" applyFont="1" applyFill="1" applyBorder="1" applyAlignment="1">
      <alignment horizontal="left" vertical="center"/>
    </xf>
    <xf numFmtId="0" fontId="6" fillId="0" borderId="584" xfId="7" applyBorder="1">
      <alignment horizontal="center" vertical="center"/>
    </xf>
    <xf numFmtId="0" fontId="17" fillId="30" borderId="584" xfId="12" applyBorder="1">
      <alignment horizontal="center" vertical="center"/>
    </xf>
    <xf numFmtId="0" fontId="14" fillId="0" borderId="546" xfId="0" applyFont="1" applyBorder="1" applyAlignment="1" applyProtection="1">
      <alignment horizontal="center"/>
      <protection locked="0"/>
    </xf>
    <xf numFmtId="0" fontId="6" fillId="28" borderId="546" xfId="10" applyFont="1" applyBorder="1">
      <alignment horizontal="center" vertical="center"/>
    </xf>
    <xf numFmtId="0" fontId="17" fillId="0" borderId="546" xfId="0" applyFont="1" applyBorder="1" applyAlignment="1">
      <alignment vertical="center"/>
    </xf>
    <xf numFmtId="0" fontId="15" fillId="0" borderId="543" xfId="0" applyFont="1" applyBorder="1" applyAlignment="1">
      <alignment vertical="center"/>
    </xf>
    <xf numFmtId="0" fontId="0" fillId="19" borderId="543" xfId="0" applyFill="1" applyBorder="1">
      <alignment horizontal="center" vertical="center"/>
    </xf>
    <xf numFmtId="1" fontId="0" fillId="19" borderId="543" xfId="1" applyNumberFormat="1" applyFont="1" applyFill="1" applyBorder="1" applyAlignment="1">
      <alignment horizontal="center" vertical="center"/>
    </xf>
    <xf numFmtId="0" fontId="0" fillId="19" borderId="543" xfId="10" applyFont="1" applyFill="1" applyBorder="1">
      <alignment horizontal="center" vertical="center"/>
    </xf>
    <xf numFmtId="0" fontId="0" fillId="19" borderId="543" xfId="7" applyFont="1" applyFill="1" applyBorder="1">
      <alignment horizontal="center" vertical="center"/>
    </xf>
    <xf numFmtId="0" fontId="0" fillId="19" borderId="495" xfId="0" applyFill="1" applyBorder="1">
      <alignment horizontal="center" vertical="center"/>
    </xf>
    <xf numFmtId="0" fontId="4" fillId="0" borderId="588" xfId="0" applyFont="1" applyBorder="1" applyAlignment="1" applyProtection="1">
      <alignment horizontal="center"/>
      <protection locked="0"/>
    </xf>
    <xf numFmtId="0" fontId="15" fillId="19" borderId="588" xfId="0" applyFont="1" applyFill="1" applyBorder="1" applyAlignment="1">
      <alignment horizontal="left" vertical="center"/>
    </xf>
    <xf numFmtId="0" fontId="4" fillId="0" borderId="576" xfId="0" applyFont="1" applyBorder="1" applyAlignment="1" applyProtection="1">
      <alignment horizontal="center"/>
      <protection locked="0"/>
    </xf>
    <xf numFmtId="0" fontId="0" fillId="19" borderId="588" xfId="0" applyFill="1" applyBorder="1" applyAlignment="1">
      <alignment horizontal="left" vertical="center"/>
    </xf>
    <xf numFmtId="0" fontId="0" fillId="19" borderId="588" xfId="12" applyFont="1" applyFill="1" applyBorder="1">
      <alignment horizontal="center" vertical="center"/>
    </xf>
    <xf numFmtId="0" fontId="0" fillId="19" borderId="589" xfId="12" applyFont="1" applyFill="1" applyBorder="1">
      <alignment horizontal="center" vertical="center"/>
    </xf>
    <xf numFmtId="0" fontId="0" fillId="19" borderId="576" xfId="0" applyFill="1" applyBorder="1" applyAlignment="1">
      <alignment horizontal="left" vertical="center"/>
    </xf>
    <xf numFmtId="0" fontId="0" fillId="19" borderId="576" xfId="12" applyFont="1" applyFill="1" applyBorder="1">
      <alignment horizontal="center" vertical="center"/>
    </xf>
    <xf numFmtId="0" fontId="0" fillId="19" borderId="590" xfId="12" applyFont="1" applyFill="1" applyBorder="1">
      <alignment horizontal="center" vertical="center"/>
    </xf>
    <xf numFmtId="0" fontId="15" fillId="19" borderId="576" xfId="0" applyFont="1" applyFill="1" applyBorder="1" applyAlignment="1">
      <alignment horizontal="left" vertical="center"/>
    </xf>
    <xf numFmtId="0" fontId="0" fillId="19" borderId="590" xfId="0" applyFill="1" applyBorder="1">
      <alignment horizontal="center" vertical="center"/>
    </xf>
    <xf numFmtId="0" fontId="0" fillId="19" borderId="603" xfId="7" applyFont="1" applyFill="1" applyBorder="1">
      <alignment horizontal="center" vertical="center"/>
    </xf>
    <xf numFmtId="0" fontId="4" fillId="0" borderId="594" xfId="7" applyFont="1" applyBorder="1" applyAlignment="1">
      <alignment horizontal="center"/>
    </xf>
    <xf numFmtId="0" fontId="6" fillId="0" borderId="596" xfId="7" applyBorder="1">
      <alignment horizontal="center" vertical="center"/>
    </xf>
    <xf numFmtId="0" fontId="4" fillId="0" borderId="595" xfId="7" applyFont="1" applyBorder="1" applyAlignment="1">
      <alignment horizontal="left"/>
    </xf>
    <xf numFmtId="0" fontId="6" fillId="0" borderId="595" xfId="7" applyBorder="1">
      <alignment horizontal="center" vertical="center"/>
    </xf>
    <xf numFmtId="0" fontId="6" fillId="0" borderId="604" xfId="7" applyBorder="1">
      <alignment horizontal="center" vertical="center"/>
    </xf>
    <xf numFmtId="0" fontId="6" fillId="0" borderId="595" xfId="7" applyBorder="1" applyAlignment="1">
      <alignment horizontal="left" vertical="center"/>
    </xf>
    <xf numFmtId="0" fontId="6" fillId="0" borderId="605" xfId="7" applyBorder="1">
      <alignment horizontal="center" vertical="center"/>
    </xf>
    <xf numFmtId="0" fontId="6" fillId="0" borderId="606" xfId="7" applyBorder="1" applyAlignment="1">
      <alignment horizontal="center"/>
    </xf>
    <xf numFmtId="0" fontId="4" fillId="0" borderId="450" xfId="7" applyFont="1" applyBorder="1" applyAlignment="1">
      <alignment horizontal="left"/>
    </xf>
    <xf numFmtId="0" fontId="6" fillId="0" borderId="448" xfId="7" applyBorder="1">
      <alignment horizontal="center" vertical="center"/>
    </xf>
    <xf numFmtId="0" fontId="6" fillId="0" borderId="451" xfId="7" applyBorder="1" applyAlignment="1">
      <alignment horizontal="left"/>
    </xf>
    <xf numFmtId="0" fontId="4" fillId="0" borderId="596" xfId="7" applyFont="1" applyBorder="1" applyAlignment="1">
      <alignment horizontal="left"/>
    </xf>
    <xf numFmtId="0" fontId="6" fillId="0" borderId="604" xfId="7" applyBorder="1" applyAlignment="1">
      <alignment horizontal="left"/>
    </xf>
    <xf numFmtId="0" fontId="6" fillId="0" borderId="448" xfId="7" applyBorder="1" applyAlignment="1">
      <alignment horizontal="left"/>
    </xf>
    <xf numFmtId="0" fontId="6" fillId="0" borderId="607" xfId="7" applyBorder="1" applyAlignment="1">
      <alignment horizontal="left"/>
    </xf>
    <xf numFmtId="0" fontId="6" fillId="0" borderId="608" xfId="7" applyBorder="1">
      <alignment horizontal="center" vertical="center"/>
    </xf>
    <xf numFmtId="0" fontId="4" fillId="0" borderId="609" xfId="7" applyFont="1" applyBorder="1" applyAlignment="1">
      <alignment horizontal="left"/>
    </xf>
    <xf numFmtId="0" fontId="6" fillId="0" borderId="450" xfId="7" applyBorder="1">
      <alignment horizontal="center" vertical="center"/>
    </xf>
    <xf numFmtId="0" fontId="6" fillId="0" borderId="597" xfId="7" applyBorder="1">
      <alignment horizontal="center" vertical="center"/>
    </xf>
    <xf numFmtId="0" fontId="6" fillId="0" borderId="569" xfId="7" applyBorder="1" applyAlignment="1">
      <alignment horizontal="center"/>
    </xf>
    <xf numFmtId="0" fontId="4" fillId="0" borderId="547" xfId="7" applyFont="1" applyBorder="1" applyAlignment="1">
      <alignment horizontal="left"/>
    </xf>
    <xf numFmtId="0" fontId="6" fillId="0" borderId="548" xfId="7" applyBorder="1">
      <alignment horizontal="center" vertical="center"/>
    </xf>
    <xf numFmtId="0" fontId="6" fillId="0" borderId="549" xfId="7" applyBorder="1" applyAlignment="1">
      <alignment horizontal="left"/>
    </xf>
    <xf numFmtId="0" fontId="6" fillId="0" borderId="548" xfId="7" applyBorder="1" applyAlignment="1">
      <alignment horizontal="left"/>
    </xf>
    <xf numFmtId="0" fontId="4" fillId="0" borderId="548" xfId="7" applyFont="1" applyBorder="1" applyAlignment="1">
      <alignment horizontal="left"/>
    </xf>
    <xf numFmtId="0" fontId="6" fillId="0" borderId="547" xfId="7" applyBorder="1">
      <alignment horizontal="center" vertical="center"/>
    </xf>
    <xf numFmtId="0" fontId="6" fillId="0" borderId="548" xfId="7" applyBorder="1" applyAlignment="1">
      <alignment vertical="center"/>
    </xf>
    <xf numFmtId="0" fontId="6" fillId="0" borderId="548" xfId="7" applyBorder="1" applyAlignment="1">
      <alignment horizontal="left" vertical="center"/>
    </xf>
    <xf numFmtId="0" fontId="6" fillId="0" borderId="550" xfId="7" applyBorder="1" applyAlignment="1">
      <alignment vertical="center"/>
    </xf>
    <xf numFmtId="0" fontId="6" fillId="0" borderId="610" xfId="7" applyBorder="1">
      <alignment horizontal="center" vertical="center"/>
    </xf>
    <xf numFmtId="0" fontId="6" fillId="0" borderId="550" xfId="7" applyBorder="1">
      <alignment horizontal="center" vertical="center"/>
    </xf>
    <xf numFmtId="0" fontId="6" fillId="0" borderId="570" xfId="7" applyBorder="1" applyAlignment="1">
      <alignment horizontal="center"/>
    </xf>
    <xf numFmtId="0" fontId="4" fillId="0" borderId="566" xfId="7" applyFont="1" applyBorder="1" applyAlignment="1">
      <alignment horizontal="left"/>
    </xf>
    <xf numFmtId="0" fontId="6" fillId="0" borderId="571" xfId="7" applyBorder="1">
      <alignment horizontal="center" vertical="center"/>
    </xf>
    <xf numFmtId="0" fontId="6" fillId="0" borderId="600" xfId="7" applyBorder="1" applyAlignment="1">
      <alignment horizontal="left"/>
    </xf>
    <xf numFmtId="0" fontId="6" fillId="0" borderId="571" xfId="7" applyBorder="1" applyAlignment="1">
      <alignment horizontal="left"/>
    </xf>
    <xf numFmtId="0" fontId="6" fillId="0" borderId="565" xfId="7" applyBorder="1" applyAlignment="1">
      <alignment horizontal="left"/>
    </xf>
    <xf numFmtId="0" fontId="4" fillId="0" borderId="611" xfId="7" applyFont="1" applyBorder="1" applyAlignment="1">
      <alignment horizontal="left"/>
    </xf>
    <xf numFmtId="0" fontId="6" fillId="0" borderId="566" xfId="7" applyBorder="1">
      <alignment horizontal="center" vertical="center"/>
    </xf>
    <xf numFmtId="0" fontId="6" fillId="0" borderId="601" xfId="7" applyBorder="1">
      <alignment horizontal="center" vertical="center"/>
    </xf>
    <xf numFmtId="0" fontId="4" fillId="0" borderId="577" xfId="7" applyFont="1" applyBorder="1" applyAlignment="1" applyProtection="1">
      <alignment horizontal="center"/>
      <protection locked="0"/>
    </xf>
    <xf numFmtId="0" fontId="5" fillId="0" borderId="577" xfId="7" applyFont="1" applyBorder="1" applyAlignment="1">
      <alignment horizontal="center"/>
    </xf>
    <xf numFmtId="0" fontId="4" fillId="22" borderId="588" xfId="7" applyFont="1" applyFill="1" applyBorder="1" applyAlignment="1">
      <alignment horizontal="center"/>
    </xf>
    <xf numFmtId="0" fontId="0" fillId="0" borderId="588" xfId="7" applyFont="1" applyBorder="1">
      <alignment horizontal="center" vertical="center"/>
    </xf>
    <xf numFmtId="49" fontId="6" fillId="19" borderId="588" xfId="7" applyNumberFormat="1" applyFill="1" applyBorder="1">
      <alignment horizontal="center" vertical="center"/>
    </xf>
    <xf numFmtId="49" fontId="0" fillId="19" borderId="588" xfId="7" applyNumberFormat="1" applyFont="1" applyFill="1" applyBorder="1">
      <alignment horizontal="center" vertical="center"/>
    </xf>
    <xf numFmtId="0" fontId="6" fillId="19" borderId="588" xfId="8" applyFont="1" applyFill="1" applyBorder="1">
      <alignment horizontal="center" vertical="center"/>
    </xf>
    <xf numFmtId="49" fontId="6" fillId="19" borderId="588" xfId="3" applyNumberFormat="1" applyFont="1" applyFill="1" applyBorder="1" applyAlignment="1">
      <alignment horizontal="center" vertical="center"/>
    </xf>
    <xf numFmtId="0" fontId="17" fillId="27" borderId="589" xfId="9" applyBorder="1">
      <alignment horizontal="center" vertical="center"/>
    </xf>
    <xf numFmtId="0" fontId="4" fillId="22" borderId="576" xfId="7" applyFont="1" applyFill="1" applyBorder="1" applyAlignment="1">
      <alignment horizontal="center"/>
    </xf>
    <xf numFmtId="49" fontId="6" fillId="19" borderId="576" xfId="3" applyNumberFormat="1" applyFont="1" applyFill="1" applyBorder="1" applyAlignment="1">
      <alignment horizontal="center" vertical="center"/>
    </xf>
    <xf numFmtId="49" fontId="6" fillId="19" borderId="576" xfId="7" applyNumberFormat="1" applyFill="1" applyBorder="1">
      <alignment horizontal="center" vertical="center"/>
    </xf>
    <xf numFmtId="0" fontId="6" fillId="19" borderId="576" xfId="6" applyFont="1" applyFill="1" applyBorder="1">
      <alignment horizontal="center" vertical="center"/>
    </xf>
    <xf numFmtId="0" fontId="6" fillId="19" borderId="576" xfId="7" applyFill="1" applyBorder="1">
      <alignment horizontal="center" vertical="center"/>
    </xf>
    <xf numFmtId="0" fontId="6" fillId="19" borderId="576" xfId="8" applyFont="1" applyFill="1" applyBorder="1">
      <alignment horizontal="center" vertical="center"/>
    </xf>
    <xf numFmtId="49" fontId="6" fillId="19" borderId="590" xfId="3" applyNumberFormat="1" applyFont="1" applyFill="1" applyBorder="1" applyAlignment="1">
      <alignment horizontal="center" vertical="center"/>
    </xf>
    <xf numFmtId="0" fontId="6" fillId="0" borderId="576" xfId="7" applyBorder="1" applyAlignment="1">
      <alignment vertical="center"/>
    </xf>
    <xf numFmtId="0" fontId="0" fillId="0" borderId="576" xfId="7" applyFont="1" applyBorder="1">
      <alignment horizontal="center" vertical="center"/>
    </xf>
    <xf numFmtId="0" fontId="0" fillId="19" borderId="576" xfId="7" applyFont="1" applyFill="1" applyBorder="1">
      <alignment horizontal="center" vertical="center"/>
    </xf>
    <xf numFmtId="0" fontId="6" fillId="32" borderId="590" xfId="15" applyBorder="1">
      <alignment horizontal="center" vertical="center"/>
    </xf>
    <xf numFmtId="0" fontId="4" fillId="22" borderId="544" xfId="7" applyFont="1" applyFill="1" applyBorder="1" applyAlignment="1">
      <alignment horizontal="center"/>
    </xf>
    <xf numFmtId="0" fontId="6" fillId="0" borderId="544" xfId="7" applyBorder="1" applyAlignment="1">
      <alignment vertical="center"/>
    </xf>
    <xf numFmtId="0" fontId="6" fillId="19" borderId="544" xfId="13" applyFont="1" applyFill="1" applyBorder="1">
      <alignment horizontal="center" vertical="center"/>
    </xf>
    <xf numFmtId="0" fontId="6" fillId="24" borderId="545" xfId="6" applyFont="1" applyBorder="1">
      <alignment horizontal="center" vertical="center"/>
    </xf>
    <xf numFmtId="0" fontId="4" fillId="0" borderId="594" xfId="0" applyFont="1" applyBorder="1" applyAlignment="1">
      <alignment horizontal="center"/>
    </xf>
    <xf numFmtId="0" fontId="0" fillId="0" borderId="450" xfId="0" applyBorder="1">
      <alignment horizontal="center" vertical="center"/>
    </xf>
    <xf numFmtId="0" fontId="4" fillId="0" borderId="450" xfId="0" applyFont="1" applyBorder="1" applyAlignment="1">
      <alignment horizontal="center"/>
    </xf>
    <xf numFmtId="0" fontId="4" fillId="0" borderId="451" xfId="0" applyFont="1" applyBorder="1" applyAlignment="1">
      <alignment horizontal="left"/>
    </xf>
    <xf numFmtId="0" fontId="5" fillId="0" borderId="450" xfId="0" applyFont="1" applyBorder="1" applyAlignment="1">
      <alignment horizontal="center"/>
    </xf>
    <xf numFmtId="0" fontId="0" fillId="0" borderId="451" xfId="0" applyBorder="1">
      <alignment horizontal="center" vertical="center"/>
    </xf>
    <xf numFmtId="0" fontId="0" fillId="0" borderId="450" xfId="0" applyBorder="1" applyAlignment="1">
      <alignment horizontal="center"/>
    </xf>
    <xf numFmtId="0" fontId="4" fillId="0" borderId="451" xfId="0" applyFont="1" applyBorder="1" applyAlignment="1">
      <alignment horizontal="center"/>
    </xf>
    <xf numFmtId="0" fontId="5" fillId="0" borderId="448" xfId="0" applyFont="1" applyBorder="1" applyAlignment="1">
      <alignment horizontal="center"/>
    </xf>
    <xf numFmtId="0" fontId="5" fillId="0" borderId="451" xfId="0" applyFont="1" applyBorder="1" applyAlignment="1">
      <alignment horizontal="center"/>
    </xf>
    <xf numFmtId="0" fontId="0" fillId="0" borderId="451" xfId="0" applyBorder="1" applyAlignment="1">
      <alignment horizontal="center"/>
    </xf>
    <xf numFmtId="0" fontId="6" fillId="0" borderId="448" xfId="0" applyFont="1" applyBorder="1" applyAlignment="1">
      <alignment horizontal="left" vertical="center"/>
    </xf>
    <xf numFmtId="0" fontId="5" fillId="0" borderId="448" xfId="0" applyFont="1" applyBorder="1">
      <alignment horizontal="center" vertical="center"/>
    </xf>
    <xf numFmtId="0" fontId="5" fillId="0" borderId="451" xfId="0" applyFont="1" applyBorder="1">
      <alignment horizontal="center" vertical="center"/>
    </xf>
    <xf numFmtId="0" fontId="0" fillId="0" borderId="596" xfId="0" applyBorder="1" applyAlignment="1">
      <alignment horizontal="left" vertical="center"/>
    </xf>
    <xf numFmtId="0" fontId="5" fillId="0" borderId="595" xfId="0" applyFont="1" applyBorder="1">
      <alignment horizontal="center" vertical="center"/>
    </xf>
    <xf numFmtId="0" fontId="6" fillId="0" borderId="595" xfId="0" applyFont="1" applyBorder="1">
      <alignment horizontal="center" vertical="center"/>
    </xf>
    <xf numFmtId="0" fontId="6" fillId="0" borderId="605" xfId="0" applyFont="1" applyBorder="1">
      <alignment horizontal="center" vertical="center"/>
    </xf>
    <xf numFmtId="0" fontId="4" fillId="0" borderId="602" xfId="0" applyFont="1" applyBorder="1" applyAlignment="1">
      <alignment horizontal="center"/>
    </xf>
    <xf numFmtId="0" fontId="6" fillId="0" borderId="547" xfId="0" applyFont="1" applyBorder="1" applyAlignment="1">
      <alignment horizontal="left" vertical="center"/>
    </xf>
    <xf numFmtId="0" fontId="6" fillId="0" borderId="548" xfId="0" applyFont="1" applyBorder="1" applyAlignment="1">
      <alignment horizontal="left" vertical="center"/>
    </xf>
    <xf numFmtId="0" fontId="6" fillId="0" borderId="550" xfId="0" applyFont="1" applyBorder="1" applyAlignment="1">
      <alignment horizontal="left" vertical="center"/>
    </xf>
    <xf numFmtId="0" fontId="6" fillId="0" borderId="588" xfId="0" applyFont="1" applyBorder="1">
      <alignment horizontal="center" vertical="center"/>
    </xf>
    <xf numFmtId="0" fontId="6" fillId="0" borderId="588" xfId="0" applyFont="1" applyBorder="1" applyAlignment="1">
      <alignment horizontal="left" vertical="center"/>
    </xf>
    <xf numFmtId="0" fontId="0" fillId="0" borderId="450" xfId="0" applyBorder="1" applyAlignment="1"/>
    <xf numFmtId="0" fontId="4" fillId="0" borderId="448" xfId="0" applyFont="1" applyBorder="1" applyAlignment="1">
      <alignment horizontal="left"/>
    </xf>
    <xf numFmtId="0" fontId="0" fillId="0" borderId="448" xfId="0" applyBorder="1" applyAlignment="1"/>
    <xf numFmtId="0" fontId="0" fillId="0" borderId="451" xfId="0" applyBorder="1" applyAlignment="1"/>
    <xf numFmtId="0" fontId="4" fillId="0" borderId="450" xfId="0" applyFont="1" applyBorder="1" applyAlignment="1">
      <alignment horizontal="left"/>
    </xf>
    <xf numFmtId="0" fontId="0" fillId="0" borderId="597" xfId="0" applyBorder="1" applyAlignment="1"/>
    <xf numFmtId="0" fontId="0" fillId="0" borderId="569" xfId="0" applyBorder="1" applyAlignment="1">
      <alignment horizontal="center"/>
    </xf>
    <xf numFmtId="0" fontId="0" fillId="0" borderId="548" xfId="0" applyBorder="1" applyAlignment="1"/>
    <xf numFmtId="0" fontId="0" fillId="0" borderId="549" xfId="0" applyBorder="1" applyAlignment="1">
      <alignment horizontal="left"/>
    </xf>
    <xf numFmtId="0" fontId="4" fillId="0" borderId="548" xfId="0" applyFont="1" applyBorder="1" applyAlignment="1"/>
    <xf numFmtId="0" fontId="4" fillId="0" borderId="549" xfId="0" applyFont="1" applyBorder="1" applyAlignment="1">
      <alignment horizontal="left"/>
    </xf>
    <xf numFmtId="0" fontId="0" fillId="0" borderId="547" xfId="0" applyBorder="1" applyAlignment="1">
      <alignment horizontal="center"/>
    </xf>
    <xf numFmtId="0" fontId="0" fillId="0" borderId="550" xfId="0" applyBorder="1" applyAlignment="1"/>
    <xf numFmtId="0" fontId="4" fillId="0" borderId="578" xfId="0" applyFont="1" applyBorder="1" applyAlignment="1">
      <alignment horizontal="left"/>
    </xf>
    <xf numFmtId="0" fontId="0" fillId="0" borderId="585" xfId="0" applyBorder="1" applyAlignment="1"/>
    <xf numFmtId="0" fontId="0" fillId="0" borderId="586" xfId="0" applyBorder="1" applyAlignment="1">
      <alignment horizontal="left"/>
    </xf>
    <xf numFmtId="0" fontId="9" fillId="0" borderId="578" xfId="0" applyFont="1" applyBorder="1" applyAlignment="1">
      <alignment horizontal="center"/>
    </xf>
    <xf numFmtId="0" fontId="0" fillId="0" borderId="599" xfId="0" applyBorder="1" applyAlignment="1"/>
    <xf numFmtId="0" fontId="0" fillId="0" borderId="570" xfId="0" applyBorder="1" applyAlignment="1">
      <alignment horizontal="center"/>
    </xf>
    <xf numFmtId="0" fontId="4" fillId="0" borderId="566" xfId="0" applyFont="1" applyBorder="1" applyAlignment="1">
      <alignment horizontal="left"/>
    </xf>
    <xf numFmtId="0" fontId="6" fillId="0" borderId="571" xfId="0" applyFont="1" applyBorder="1" applyAlignment="1">
      <alignment horizontal="left" vertical="center"/>
    </xf>
    <xf numFmtId="0" fontId="6" fillId="0" borderId="571" xfId="0" applyFont="1" applyBorder="1">
      <alignment horizontal="center" vertical="center"/>
    </xf>
    <xf numFmtId="0" fontId="6" fillId="0" borderId="600" xfId="0" applyFont="1" applyBorder="1">
      <alignment horizontal="center" vertical="center"/>
    </xf>
    <xf numFmtId="0" fontId="6" fillId="0" borderId="566" xfId="0" applyFont="1" applyBorder="1" applyAlignment="1">
      <alignment horizontal="left" vertical="center"/>
    </xf>
    <xf numFmtId="0" fontId="6" fillId="0" borderId="571" xfId="0" applyFont="1" applyBorder="1" applyAlignment="1">
      <alignment horizontal="left"/>
    </xf>
    <xf numFmtId="0" fontId="6" fillId="0" borderId="600" xfId="0" applyFont="1" applyBorder="1" applyAlignment="1">
      <alignment horizontal="left" vertical="center"/>
    </xf>
    <xf numFmtId="0" fontId="0" fillId="0" borderId="571" xfId="0" applyBorder="1" applyAlignment="1">
      <alignment horizontal="left"/>
    </xf>
    <xf numFmtId="0" fontId="0" fillId="0" borderId="601" xfId="0" applyBorder="1" applyAlignment="1"/>
    <xf numFmtId="0" fontId="4" fillId="22" borderId="588" xfId="0" applyFont="1" applyFill="1" applyBorder="1" applyAlignment="1">
      <alignment horizontal="center"/>
    </xf>
    <xf numFmtId="0" fontId="6" fillId="25" borderId="588" xfId="8" applyFont="1" applyBorder="1">
      <alignment horizontal="center" vertical="center"/>
    </xf>
    <xf numFmtId="0" fontId="4" fillId="22" borderId="576" xfId="0" applyFont="1" applyFill="1" applyBorder="1" applyAlignment="1">
      <alignment horizontal="center"/>
    </xf>
    <xf numFmtId="0" fontId="17" fillId="31" borderId="576" xfId="13" applyBorder="1">
      <alignment horizontal="center" vertical="center"/>
    </xf>
    <xf numFmtId="0" fontId="0" fillId="19" borderId="590" xfId="6" applyFont="1" applyFill="1" applyBorder="1">
      <alignment horizontal="center" vertical="center"/>
    </xf>
    <xf numFmtId="0" fontId="0" fillId="19" borderId="576" xfId="1" applyFont="1" applyFill="1" applyBorder="1" applyAlignment="1">
      <alignment horizontal="center" vertical="center"/>
    </xf>
    <xf numFmtId="0" fontId="0" fillId="19" borderId="576" xfId="8" applyFont="1" applyFill="1" applyBorder="1">
      <alignment horizontal="center" vertical="center"/>
    </xf>
    <xf numFmtId="0" fontId="0" fillId="19" borderId="590" xfId="8" applyFont="1" applyFill="1" applyBorder="1">
      <alignment horizontal="center" vertical="center"/>
    </xf>
    <xf numFmtId="0" fontId="4" fillId="22" borderId="544" xfId="0" applyFont="1" applyFill="1" applyBorder="1" applyAlignment="1">
      <alignment horizontal="center"/>
    </xf>
    <xf numFmtId="0" fontId="0" fillId="19" borderId="544" xfId="0" applyFill="1" applyBorder="1" applyAlignment="1">
      <alignment horizontal="left" vertical="center"/>
    </xf>
    <xf numFmtId="0" fontId="0" fillId="19" borderId="544" xfId="12" applyFont="1" applyFill="1" applyBorder="1">
      <alignment horizontal="center" vertical="center"/>
    </xf>
    <xf numFmtId="0" fontId="0" fillId="19" borderId="544" xfId="8" applyFont="1" applyFill="1" applyBorder="1">
      <alignment horizontal="center" vertical="center"/>
    </xf>
    <xf numFmtId="0" fontId="0" fillId="19" borderId="545" xfId="8" applyFont="1" applyFill="1" applyBorder="1">
      <alignment horizontal="center" vertical="center"/>
    </xf>
    <xf numFmtId="0" fontId="0" fillId="0" borderId="566" xfId="0" applyBorder="1" applyAlignment="1">
      <alignment horizontal="left"/>
    </xf>
    <xf numFmtId="0" fontId="0" fillId="0" borderId="571" xfId="0" applyBorder="1" applyAlignment="1"/>
    <xf numFmtId="0" fontId="0" fillId="0" borderId="600" xfId="0" applyBorder="1" applyAlignment="1">
      <alignment horizontal="left"/>
    </xf>
    <xf numFmtId="0" fontId="0" fillId="0" borderId="566" xfId="0" applyBorder="1" applyAlignment="1">
      <alignment horizontal="center"/>
    </xf>
    <xf numFmtId="0" fontId="4" fillId="22" borderId="584" xfId="0" applyFont="1" applyFill="1" applyBorder="1" applyAlignment="1">
      <alignment horizontal="center"/>
    </xf>
    <xf numFmtId="0" fontId="4" fillId="22" borderId="546" xfId="0" applyFont="1" applyFill="1" applyBorder="1" applyAlignment="1">
      <alignment horizontal="center"/>
    </xf>
    <xf numFmtId="0" fontId="0" fillId="19" borderId="546" xfId="9" applyFont="1" applyFill="1" applyBorder="1">
      <alignment horizontal="center" vertical="center"/>
    </xf>
    <xf numFmtId="0" fontId="0" fillId="27" borderId="546" xfId="0" applyFill="1" applyBorder="1">
      <alignment horizontal="center" vertical="center"/>
    </xf>
    <xf numFmtId="0" fontId="0" fillId="27" borderId="546" xfId="6" applyFont="1" applyFill="1" applyBorder="1">
      <alignment horizontal="center" vertical="center"/>
    </xf>
    <xf numFmtId="0" fontId="12" fillId="0" borderId="547" xfId="0" applyFont="1" applyBorder="1" applyAlignment="1">
      <alignment horizontal="left"/>
    </xf>
    <xf numFmtId="0" fontId="4" fillId="0" borderId="548" xfId="0" applyFont="1" applyBorder="1">
      <alignment horizontal="center" vertical="center"/>
    </xf>
    <xf numFmtId="164" fontId="9" fillId="0" borderId="566" xfId="0" applyNumberFormat="1" applyFont="1" applyBorder="1" applyAlignment="1">
      <alignment horizontal="center"/>
    </xf>
    <xf numFmtId="0" fontId="6" fillId="19" borderId="588" xfId="0" applyFont="1" applyFill="1" applyBorder="1" applyAlignment="1">
      <alignment vertical="center"/>
    </xf>
    <xf numFmtId="0" fontId="6" fillId="19" borderId="588" xfId="0" applyFont="1" applyFill="1" applyBorder="1">
      <alignment horizontal="center" vertical="center"/>
    </xf>
    <xf numFmtId="0" fontId="6" fillId="24" borderId="588" xfId="6" applyFont="1" applyBorder="1">
      <alignment horizontal="center" vertical="center"/>
    </xf>
    <xf numFmtId="0" fontId="6" fillId="28" borderId="588" xfId="0" applyFont="1" applyFill="1" applyBorder="1">
      <alignment horizontal="center" vertical="center"/>
    </xf>
    <xf numFmtId="0" fontId="0" fillId="28" borderId="588" xfId="6" applyFont="1" applyFill="1" applyBorder="1">
      <alignment horizontal="center" vertical="center"/>
    </xf>
    <xf numFmtId="0" fontId="6" fillId="19" borderId="589" xfId="0" applyFont="1" applyFill="1" applyBorder="1">
      <alignment horizontal="center" vertical="center"/>
    </xf>
    <xf numFmtId="0" fontId="6" fillId="19" borderId="576" xfId="0" applyFont="1" applyFill="1" applyBorder="1" applyAlignment="1">
      <alignment vertical="center"/>
    </xf>
    <xf numFmtId="0" fontId="6" fillId="19" borderId="576" xfId="0" applyFont="1" applyFill="1" applyBorder="1">
      <alignment horizontal="center" vertical="center"/>
    </xf>
    <xf numFmtId="49" fontId="6" fillId="19" borderId="576" xfId="0" applyNumberFormat="1" applyFont="1" applyFill="1" applyBorder="1">
      <alignment horizontal="center" vertical="center"/>
    </xf>
    <xf numFmtId="0" fontId="6" fillId="19" borderId="590" xfId="0" applyFont="1" applyFill="1" applyBorder="1">
      <alignment horizontal="center" vertical="center"/>
    </xf>
    <xf numFmtId="0" fontId="0" fillId="19" borderId="576" xfId="0" applyFill="1" applyBorder="1" applyAlignment="1">
      <alignment vertical="center"/>
    </xf>
    <xf numFmtId="0" fontId="6" fillId="28" borderId="576" xfId="10" applyFont="1" applyBorder="1">
      <alignment horizontal="center" vertical="center"/>
    </xf>
    <xf numFmtId="0" fontId="17" fillId="19" borderId="576" xfId="10" applyFill="1" applyBorder="1">
      <alignment horizontal="center" vertical="center"/>
    </xf>
    <xf numFmtId="0" fontId="6" fillId="32" borderId="544" xfId="15" applyBorder="1">
      <alignment horizontal="center" vertical="center"/>
    </xf>
    <xf numFmtId="0" fontId="6" fillId="25" borderId="576" xfId="8" applyFont="1" applyBorder="1">
      <alignment horizontal="center" vertical="center"/>
    </xf>
    <xf numFmtId="0" fontId="6" fillId="19" borderId="544" xfId="0" applyFont="1" applyFill="1" applyBorder="1">
      <alignment horizontal="center" vertical="center"/>
    </xf>
    <xf numFmtId="0" fontId="6" fillId="25" borderId="545" xfId="8" applyFont="1" applyBorder="1">
      <alignment horizontal="center" vertical="center"/>
    </xf>
    <xf numFmtId="0" fontId="4" fillId="0" borderId="612" xfId="0" applyFont="1" applyBorder="1" applyAlignment="1">
      <alignment horizontal="center"/>
    </xf>
    <xf numFmtId="49" fontId="6" fillId="0" borderId="613" xfId="0" applyNumberFormat="1" applyFont="1" applyBorder="1">
      <alignment horizontal="center" vertical="center"/>
    </xf>
    <xf numFmtId="0" fontId="4" fillId="0" borderId="614" xfId="0" applyFont="1" applyBorder="1" applyAlignment="1">
      <alignment horizontal="left"/>
    </xf>
    <xf numFmtId="0" fontId="0" fillId="0" borderId="614" xfId="0" applyBorder="1">
      <alignment horizontal="center" vertical="center"/>
    </xf>
    <xf numFmtId="0" fontId="0" fillId="0" borderId="615" xfId="0" applyBorder="1">
      <alignment horizontal="center" vertical="center"/>
    </xf>
    <xf numFmtId="0" fontId="0" fillId="0" borderId="616" xfId="0" applyBorder="1">
      <alignment horizontal="center" vertical="center"/>
    </xf>
    <xf numFmtId="0" fontId="4" fillId="0" borderId="616" xfId="0" applyFont="1" applyBorder="1" applyAlignment="1">
      <alignment horizontal="left"/>
    </xf>
    <xf numFmtId="0" fontId="0" fillId="0" borderId="617" xfId="0" applyBorder="1">
      <alignment horizontal="center" vertical="center"/>
    </xf>
    <xf numFmtId="0" fontId="0" fillId="0" borderId="618" xfId="0" applyBorder="1">
      <alignment horizontal="center" vertical="center"/>
    </xf>
    <xf numFmtId="49" fontId="6" fillId="0" borderId="551" xfId="0" applyNumberFormat="1" applyFont="1" applyBorder="1">
      <alignment horizontal="center" vertical="center"/>
    </xf>
    <xf numFmtId="0" fontId="9" fillId="0" borderId="619" xfId="0" applyFont="1" applyBorder="1">
      <alignment horizontal="center" vertical="center"/>
    </xf>
    <xf numFmtId="0" fontId="0" fillId="0" borderId="620" xfId="0" applyBorder="1">
      <alignment horizontal="center" vertical="center"/>
    </xf>
    <xf numFmtId="49" fontId="0" fillId="0" borderId="551" xfId="0" applyNumberFormat="1" applyBorder="1">
      <alignment horizontal="center" vertical="center"/>
    </xf>
    <xf numFmtId="0" fontId="6" fillId="0" borderId="551" xfId="0" applyFont="1" applyBorder="1">
      <alignment horizontal="center" vertical="center"/>
    </xf>
    <xf numFmtId="49" fontId="0" fillId="0" borderId="552" xfId="0" applyNumberFormat="1" applyBorder="1">
      <alignment horizontal="center" vertical="center"/>
    </xf>
    <xf numFmtId="0" fontId="6" fillId="0" borderId="553" xfId="0" applyFont="1" applyBorder="1" applyAlignment="1">
      <alignment horizontal="left" vertical="center"/>
    </xf>
    <xf numFmtId="0" fontId="6" fillId="0" borderId="553" xfId="0" applyFont="1" applyBorder="1">
      <alignment horizontal="center" vertical="center"/>
    </xf>
    <xf numFmtId="0" fontId="6" fillId="0" borderId="554" xfId="0" applyFont="1" applyBorder="1">
      <alignment horizontal="center" vertical="center"/>
    </xf>
    <xf numFmtId="49" fontId="6" fillId="0" borderId="552" xfId="0" applyNumberFormat="1" applyFont="1" applyBorder="1">
      <alignment horizontal="center" vertical="center"/>
    </xf>
    <xf numFmtId="0" fontId="6" fillId="0" borderId="552" xfId="0" applyFont="1" applyBorder="1">
      <alignment horizontal="center" vertical="center"/>
    </xf>
    <xf numFmtId="0" fontId="0" fillId="19" borderId="584" xfId="0" applyFill="1" applyBorder="1" applyAlignment="1">
      <alignment horizontal="left" vertical="center" wrapText="1"/>
    </xf>
    <xf numFmtId="49" fontId="0" fillId="19" borderId="592" xfId="0" applyNumberFormat="1" applyFill="1" applyBorder="1">
      <alignment horizontal="center" vertical="center"/>
    </xf>
    <xf numFmtId="0" fontId="6" fillId="25" borderId="546" xfId="8" applyFont="1" applyBorder="1">
      <alignment horizontal="center" vertical="center"/>
    </xf>
    <xf numFmtId="49" fontId="0" fillId="32" borderId="546" xfId="0" applyNumberFormat="1" applyFill="1" applyBorder="1">
      <alignment horizontal="center" vertical="center"/>
    </xf>
    <xf numFmtId="0" fontId="6" fillId="32" borderId="546" xfId="15" applyBorder="1">
      <alignment horizontal="center" vertical="center"/>
    </xf>
    <xf numFmtId="0" fontId="0" fillId="0" borderId="621" xfId="0" applyBorder="1" applyAlignment="1">
      <alignment horizontal="left" vertical="center"/>
    </xf>
    <xf numFmtId="0" fontId="0" fillId="0" borderId="622" xfId="0" applyBorder="1" applyAlignment="1">
      <alignment horizontal="left" vertical="center"/>
    </xf>
    <xf numFmtId="0" fontId="4" fillId="0" borderId="623" xfId="0" applyFont="1" applyBorder="1" applyAlignment="1">
      <alignment horizontal="left" vertical="center"/>
    </xf>
    <xf numFmtId="0" fontId="0" fillId="0" borderId="624" xfId="0" applyBorder="1" applyAlignment="1">
      <alignment horizontal="left" vertical="center"/>
    </xf>
    <xf numFmtId="0" fontId="4" fillId="0" borderId="621" xfId="0" applyFont="1" applyBorder="1" applyAlignment="1">
      <alignment horizontal="left" vertical="center"/>
    </xf>
    <xf numFmtId="0" fontId="0" fillId="0" borderId="625" xfId="0" applyBorder="1" applyAlignment="1">
      <alignment horizontal="left" vertical="center"/>
    </xf>
    <xf numFmtId="0" fontId="0" fillId="0" borderId="626" xfId="0" applyBorder="1" applyAlignment="1">
      <alignment horizontal="left" vertical="center"/>
    </xf>
    <xf numFmtId="49" fontId="0" fillId="0" borderId="626" xfId="0" applyNumberFormat="1" applyBorder="1" applyAlignment="1">
      <alignment horizontal="left"/>
    </xf>
    <xf numFmtId="0" fontId="4" fillId="0" borderId="584" xfId="0" applyFont="1" applyBorder="1" applyAlignment="1" applyProtection="1">
      <alignment horizontal="center"/>
      <protection locked="0"/>
    </xf>
    <xf numFmtId="0" fontId="0" fillId="0" borderId="584" xfId="0" applyBorder="1" applyAlignment="1">
      <alignment horizontal="left"/>
    </xf>
    <xf numFmtId="1" fontId="0" fillId="19" borderId="584" xfId="1" applyNumberFormat="1" applyFont="1" applyFill="1" applyBorder="1" applyAlignment="1">
      <alignment horizontal="center" vertical="center"/>
    </xf>
    <xf numFmtId="0" fontId="17" fillId="25" borderId="567" xfId="8" applyBorder="1">
      <alignment horizontal="center" vertical="center"/>
    </xf>
    <xf numFmtId="0" fontId="6" fillId="24" borderId="567" xfId="6" applyFont="1" applyBorder="1">
      <alignment horizontal="center" vertical="center"/>
    </xf>
    <xf numFmtId="0" fontId="17" fillId="28" borderId="567" xfId="10" applyBorder="1">
      <alignment horizontal="center" vertical="center"/>
    </xf>
    <xf numFmtId="0" fontId="6" fillId="25" borderId="567" xfId="8" applyFont="1" applyBorder="1">
      <alignment horizontal="center" vertical="center"/>
    </xf>
    <xf numFmtId="0" fontId="4" fillId="0" borderId="627" xfId="0" applyFont="1" applyBorder="1" applyAlignment="1">
      <alignment horizontal="center"/>
    </xf>
    <xf numFmtId="0" fontId="4" fillId="0" borderId="628" xfId="0" applyFont="1" applyBorder="1" applyAlignment="1">
      <alignment horizontal="center"/>
    </xf>
    <xf numFmtId="0" fontId="0" fillId="0" borderId="629" xfId="0" applyBorder="1" applyAlignment="1">
      <alignment horizontal="center"/>
    </xf>
    <xf numFmtId="0" fontId="4" fillId="0" borderId="630" xfId="0" applyFont="1" applyBorder="1" applyAlignment="1" applyProtection="1">
      <alignment horizontal="center"/>
      <protection locked="0"/>
    </xf>
    <xf numFmtId="0" fontId="5" fillId="0" borderId="630" xfId="0" applyFont="1" applyBorder="1" applyAlignment="1">
      <alignment horizontal="center"/>
    </xf>
    <xf numFmtId="0" fontId="0" fillId="0" borderId="631" xfId="0" applyBorder="1" applyAlignment="1" applyProtection="1">
      <alignment horizontal="center"/>
      <protection locked="0"/>
    </xf>
    <xf numFmtId="0" fontId="0" fillId="28" borderId="631" xfId="10" applyFont="1" applyBorder="1">
      <alignment horizontal="center" vertical="center"/>
    </xf>
    <xf numFmtId="0" fontId="0" fillId="19" borderId="631" xfId="11" applyFont="1" applyFill="1" applyBorder="1">
      <alignment horizontal="center" vertical="center"/>
    </xf>
    <xf numFmtId="0" fontId="17" fillId="28" borderId="503" xfId="10" applyBorder="1">
      <alignment horizontal="center" vertical="center"/>
    </xf>
    <xf numFmtId="49" fontId="0" fillId="19" borderId="503" xfId="0" applyNumberFormat="1" applyFill="1" applyBorder="1">
      <alignment horizontal="center" vertical="center"/>
    </xf>
    <xf numFmtId="49" fontId="0" fillId="19" borderId="631" xfId="1" applyNumberFormat="1" applyFont="1" applyFill="1" applyBorder="1" applyAlignment="1">
      <alignment horizontal="center" vertical="center"/>
    </xf>
    <xf numFmtId="0" fontId="0" fillId="22" borderId="631" xfId="0" applyFill="1" applyBorder="1" applyAlignment="1">
      <alignment horizontal="center"/>
    </xf>
    <xf numFmtId="0" fontId="0" fillId="19" borderId="503" xfId="0" applyFill="1" applyBorder="1">
      <alignment horizontal="center" vertical="center"/>
    </xf>
    <xf numFmtId="0" fontId="0" fillId="11" borderId="631" xfId="0" applyFill="1" applyBorder="1" applyAlignment="1" applyProtection="1">
      <alignment horizontal="center"/>
      <protection locked="0"/>
    </xf>
    <xf numFmtId="0" fontId="0" fillId="11" borderId="632" xfId="0" applyFill="1" applyBorder="1">
      <alignment horizontal="center" vertical="center"/>
    </xf>
    <xf numFmtId="0" fontId="0" fillId="11" borderId="633" xfId="0" applyFill="1" applyBorder="1">
      <alignment horizontal="center" vertical="center"/>
    </xf>
    <xf numFmtId="49" fontId="0" fillId="41" borderId="631" xfId="0" applyNumberFormat="1" applyFill="1" applyBorder="1">
      <alignment horizontal="center" vertical="center"/>
    </xf>
    <xf numFmtId="0" fontId="0" fillId="0" borderId="630" xfId="0" applyBorder="1" applyAlignment="1" applyProtection="1">
      <alignment horizontal="center"/>
      <protection locked="0"/>
    </xf>
    <xf numFmtId="49" fontId="0" fillId="19" borderId="634" xfId="0" applyNumberFormat="1" applyFill="1" applyBorder="1">
      <alignment horizontal="center" vertical="center"/>
    </xf>
    <xf numFmtId="0" fontId="4" fillId="0" borderId="635" xfId="0" applyFont="1" applyBorder="1" applyAlignment="1">
      <alignment horizontal="center"/>
    </xf>
    <xf numFmtId="0" fontId="4" fillId="0" borderId="636" xfId="0" applyFont="1" applyBorder="1" applyAlignment="1" applyProtection="1">
      <alignment horizontal="center"/>
      <protection locked="0"/>
    </xf>
    <xf numFmtId="0" fontId="0" fillId="0" borderId="631" xfId="0" applyBorder="1" applyAlignment="1">
      <alignment vertical="center"/>
    </xf>
    <xf numFmtId="0" fontId="0" fillId="0" borderId="503" xfId="0" applyBorder="1" applyAlignment="1" applyProtection="1">
      <alignment horizontal="center"/>
      <protection locked="0"/>
    </xf>
    <xf numFmtId="0" fontId="21" fillId="0" borderId="631" xfId="0" applyFont="1" applyBorder="1" applyAlignment="1">
      <alignment vertical="center"/>
    </xf>
    <xf numFmtId="0" fontId="20" fillId="0" borderId="637" xfId="0" applyFont="1" applyBorder="1" applyAlignment="1">
      <alignment vertical="center"/>
    </xf>
    <xf numFmtId="49" fontId="0" fillId="19" borderId="638" xfId="0" applyNumberFormat="1" applyFill="1" applyBorder="1">
      <alignment horizontal="center" vertical="center"/>
    </xf>
    <xf numFmtId="49" fontId="0" fillId="19" borderId="630" xfId="0" applyNumberFormat="1" applyFill="1" applyBorder="1">
      <alignment horizontal="center" vertical="center"/>
    </xf>
    <xf numFmtId="0" fontId="0" fillId="19" borderId="630" xfId="0" applyFill="1" applyBorder="1">
      <alignment horizontal="center" vertical="center"/>
    </xf>
    <xf numFmtId="49" fontId="0" fillId="19" borderId="639" xfId="0" applyNumberFormat="1" applyFill="1" applyBorder="1">
      <alignment horizontal="center" vertical="center"/>
    </xf>
    <xf numFmtId="49" fontId="0" fillId="0" borderId="503" xfId="0" applyNumberFormat="1" applyBorder="1" applyAlignment="1"/>
    <xf numFmtId="0" fontId="0" fillId="0" borderId="631" xfId="0" applyBorder="1" applyAlignment="1" applyProtection="1">
      <alignment horizontal="left"/>
      <protection locked="0"/>
    </xf>
    <xf numFmtId="0" fontId="19" fillId="0" borderId="631" xfId="0" applyFont="1" applyBorder="1" applyAlignment="1">
      <alignment vertical="center"/>
    </xf>
    <xf numFmtId="0" fontId="0" fillId="19" borderId="640" xfId="8" applyFont="1" applyFill="1" applyBorder="1">
      <alignment horizontal="center" vertical="center"/>
    </xf>
    <xf numFmtId="0" fontId="0" fillId="0" borderId="632" xfId="0" applyBorder="1" applyAlignment="1">
      <alignment vertical="center"/>
    </xf>
    <xf numFmtId="0" fontId="5" fillId="6" borderId="503" xfId="0" applyFont="1" applyFill="1" applyBorder="1" applyAlignment="1">
      <alignment horizontal="left"/>
    </xf>
    <xf numFmtId="0" fontId="5" fillId="7" borderId="503" xfId="0" applyFont="1" applyFill="1" applyBorder="1">
      <alignment horizontal="center" vertical="center"/>
    </xf>
    <xf numFmtId="0" fontId="6" fillId="7" borderId="504" xfId="0" applyFont="1" applyFill="1" applyBorder="1">
      <alignment horizontal="center" vertical="center"/>
    </xf>
    <xf numFmtId="0" fontId="5" fillId="8" borderId="503" xfId="0" applyFont="1" applyFill="1" applyBorder="1" applyAlignment="1">
      <alignment horizontal="left"/>
    </xf>
    <xf numFmtId="0" fontId="5" fillId="8" borderId="504" xfId="0" applyFont="1" applyFill="1" applyBorder="1" applyAlignment="1">
      <alignment horizontal="left"/>
    </xf>
    <xf numFmtId="0" fontId="6" fillId="8" borderId="504" xfId="0" applyFont="1" applyFill="1" applyBorder="1">
      <alignment horizontal="center" vertical="center"/>
    </xf>
    <xf numFmtId="0" fontId="6" fillId="8" borderId="505" xfId="0" applyFont="1" applyFill="1" applyBorder="1">
      <alignment horizontal="center" vertical="center"/>
    </xf>
    <xf numFmtId="0" fontId="5" fillId="9" borderId="503" xfId="0" applyFont="1" applyFill="1" applyBorder="1" applyAlignment="1">
      <alignment horizontal="left"/>
    </xf>
    <xf numFmtId="0" fontId="5" fillId="9" borderId="504" xfId="0" applyFont="1" applyFill="1" applyBorder="1" applyAlignment="1">
      <alignment horizontal="left"/>
    </xf>
    <xf numFmtId="0" fontId="0" fillId="9" borderId="504" xfId="0" applyFill="1" applyBorder="1">
      <alignment horizontal="center" vertical="center"/>
    </xf>
    <xf numFmtId="0" fontId="5" fillId="10" borderId="503" xfId="0" applyFont="1" applyFill="1" applyBorder="1" applyAlignment="1">
      <alignment horizontal="left"/>
    </xf>
    <xf numFmtId="0" fontId="0" fillId="10" borderId="504" xfId="0" applyFill="1" applyBorder="1">
      <alignment horizontal="center" vertical="center"/>
    </xf>
    <xf numFmtId="0" fontId="6" fillId="10" borderId="504" xfId="0" applyFont="1" applyFill="1" applyBorder="1">
      <alignment horizontal="center" vertical="center"/>
    </xf>
    <xf numFmtId="0" fontId="6" fillId="10" borderId="505" xfId="0" applyFont="1" applyFill="1" applyBorder="1">
      <alignment horizontal="center" vertical="center"/>
    </xf>
    <xf numFmtId="0" fontId="5" fillId="11" borderId="503" xfId="0" applyFont="1" applyFill="1" applyBorder="1">
      <alignment horizontal="center" vertical="center"/>
    </xf>
    <xf numFmtId="0" fontId="0" fillId="11" borderId="504" xfId="0" applyFill="1" applyBorder="1">
      <alignment horizontal="center" vertical="center"/>
    </xf>
    <xf numFmtId="0" fontId="6" fillId="11" borderId="504" xfId="0" applyFont="1" applyFill="1" applyBorder="1">
      <alignment horizontal="center" vertical="center"/>
    </xf>
    <xf numFmtId="0" fontId="5" fillId="12" borderId="503" xfId="0" applyFont="1" applyFill="1" applyBorder="1" applyAlignment="1">
      <alignment horizontal="left"/>
    </xf>
    <xf numFmtId="0" fontId="6" fillId="12" borderId="504" xfId="0" applyFont="1" applyFill="1" applyBorder="1">
      <alignment horizontal="center" vertical="center"/>
    </xf>
    <xf numFmtId="0" fontId="0" fillId="12" borderId="505" xfId="0" applyFill="1" applyBorder="1">
      <alignment horizontal="center" vertical="center"/>
    </xf>
    <xf numFmtId="0" fontId="0" fillId="13" borderId="641" xfId="0" applyFill="1" applyBorder="1">
      <alignment horizontal="center" vertical="center"/>
    </xf>
    <xf numFmtId="0" fontId="6" fillId="13" borderId="641" xfId="0" applyFont="1" applyFill="1" applyBorder="1">
      <alignment horizontal="center" vertical="center"/>
    </xf>
    <xf numFmtId="0" fontId="6" fillId="13" borderId="642" xfId="0" applyFont="1" applyFill="1" applyBorder="1">
      <alignment horizontal="center" vertical="center"/>
    </xf>
    <xf numFmtId="0" fontId="5" fillId="0" borderId="633" xfId="0" applyFont="1" applyBorder="1" applyAlignment="1">
      <alignment horizontal="left" vertical="center"/>
    </xf>
    <xf numFmtId="0" fontId="6" fillId="0" borderId="641" xfId="0" applyFont="1" applyBorder="1">
      <alignment horizontal="center" vertical="center"/>
    </xf>
    <xf numFmtId="0" fontId="6" fillId="0" borderId="642" xfId="0" applyFont="1" applyBorder="1">
      <alignment horizontal="center" vertical="center"/>
    </xf>
    <xf numFmtId="0" fontId="5" fillId="14" borderId="631" xfId="0" applyFont="1" applyFill="1" applyBorder="1" applyAlignment="1">
      <alignment horizontal="left"/>
    </xf>
    <xf numFmtId="0" fontId="5" fillId="15" borderId="503" xfId="0" applyFont="1" applyFill="1" applyBorder="1">
      <alignment horizontal="center" vertical="center"/>
    </xf>
    <xf numFmtId="0" fontId="6" fillId="15" borderId="504" xfId="0" applyFont="1" applyFill="1" applyBorder="1">
      <alignment horizontal="center" vertical="center"/>
    </xf>
    <xf numFmtId="0" fontId="6" fillId="0" borderId="503" xfId="0" applyFont="1" applyBorder="1" applyAlignment="1">
      <alignment horizontal="left"/>
    </xf>
    <xf numFmtId="0" fontId="0" fillId="0" borderId="504" xfId="0" applyBorder="1">
      <alignment horizontal="center" vertical="center"/>
    </xf>
    <xf numFmtId="0" fontId="6" fillId="0" borderId="504" xfId="0" applyFont="1" applyBorder="1" applyAlignment="1">
      <alignment horizontal="left"/>
    </xf>
    <xf numFmtId="0" fontId="6" fillId="0" borderId="504" xfId="0" applyFont="1" applyBorder="1">
      <alignment horizontal="center" vertical="center"/>
    </xf>
    <xf numFmtId="0" fontId="6" fillId="0" borderId="505" xfId="0" applyFont="1" applyBorder="1">
      <alignment horizontal="center" vertical="center"/>
    </xf>
    <xf numFmtId="0" fontId="6" fillId="17" borderId="503" xfId="0" applyFont="1" applyFill="1" applyBorder="1" applyAlignment="1">
      <alignment horizontal="left" vertical="center"/>
    </xf>
    <xf numFmtId="0" fontId="6" fillId="17" borderId="504" xfId="0" applyFont="1" applyFill="1" applyBorder="1">
      <alignment horizontal="center" vertical="center"/>
    </xf>
    <xf numFmtId="0" fontId="6" fillId="17" borderId="505" xfId="0" applyFont="1" applyFill="1" applyBorder="1">
      <alignment horizontal="center" vertical="center"/>
    </xf>
    <xf numFmtId="0" fontId="4" fillId="0" borderId="503" xfId="0" applyFont="1" applyBorder="1" applyAlignment="1">
      <alignment horizontal="left" vertical="center"/>
    </xf>
    <xf numFmtId="0" fontId="0" fillId="0" borderId="505" xfId="0" applyBorder="1">
      <alignment horizontal="center" vertical="center"/>
    </xf>
    <xf numFmtId="0" fontId="0" fillId="0" borderId="643" xfId="0" applyBorder="1">
      <alignment horizontal="center" vertical="center"/>
    </xf>
    <xf numFmtId="0" fontId="4" fillId="0" borderId="504" xfId="0" applyFont="1" applyBorder="1" applyAlignment="1">
      <alignment horizontal="left" vertical="center"/>
    </xf>
    <xf numFmtId="0" fontId="0" fillId="0" borderId="644" xfId="0" applyBorder="1">
      <alignment horizontal="center" vertical="center"/>
    </xf>
    <xf numFmtId="0" fontId="7" fillId="0" borderId="633" xfId="0" applyFont="1" applyBorder="1">
      <alignment horizontal="center" vertical="center"/>
    </xf>
    <xf numFmtId="0" fontId="0" fillId="0" borderId="641" xfId="0" applyBorder="1">
      <alignment horizontal="center" vertical="center"/>
    </xf>
    <xf numFmtId="0" fontId="0" fillId="0" borderId="642" xfId="0" applyBorder="1">
      <alignment horizontal="center" vertical="center"/>
    </xf>
    <xf numFmtId="0" fontId="4" fillId="0" borderId="503" xfId="0" applyFont="1" applyBorder="1">
      <alignment horizontal="center" vertical="center"/>
    </xf>
    <xf numFmtId="0" fontId="0" fillId="0" borderId="634" xfId="0" applyBorder="1" applyAlignment="1" applyProtection="1">
      <alignment horizontal="center"/>
      <protection locked="0"/>
    </xf>
    <xf numFmtId="0" fontId="5" fillId="0" borderId="634" xfId="0" applyFont="1" applyBorder="1" applyAlignment="1">
      <alignment horizontal="center"/>
    </xf>
    <xf numFmtId="0" fontId="0" fillId="19" borderId="634" xfId="0" applyFill="1" applyBorder="1">
      <alignment horizontal="center" vertical="center"/>
    </xf>
    <xf numFmtId="0" fontId="0" fillId="18" borderId="634" xfId="0" applyFill="1" applyBorder="1">
      <alignment horizontal="center" vertical="center"/>
    </xf>
    <xf numFmtId="0" fontId="0" fillId="19" borderId="645" xfId="0" applyFill="1" applyBorder="1">
      <alignment horizontal="center" vertical="center"/>
    </xf>
    <xf numFmtId="0" fontId="0" fillId="22" borderId="633" xfId="0" applyFill="1" applyBorder="1" applyAlignment="1" applyProtection="1">
      <alignment horizontal="left"/>
      <protection locked="0"/>
    </xf>
    <xf numFmtId="0" fontId="0" fillId="24" borderId="588" xfId="0" applyFill="1" applyBorder="1">
      <alignment horizontal="center" vertical="center"/>
    </xf>
    <xf numFmtId="0" fontId="4" fillId="11" borderId="503" xfId="0" applyFont="1" applyFill="1" applyBorder="1" applyAlignment="1">
      <alignment horizontal="left" vertical="center"/>
    </xf>
    <xf numFmtId="0" fontId="0" fillId="11" borderId="631" xfId="0" applyFill="1" applyBorder="1">
      <alignment horizontal="center" vertical="center"/>
    </xf>
    <xf numFmtId="0" fontId="0" fillId="11" borderId="646" xfId="0" applyFill="1" applyBorder="1">
      <alignment horizontal="center" vertical="center"/>
    </xf>
    <xf numFmtId="0" fontId="5" fillId="0" borderId="631" xfId="0" applyFont="1" applyBorder="1" applyAlignment="1">
      <alignment horizontal="left" vertical="center"/>
    </xf>
    <xf numFmtId="1" fontId="0" fillId="25" borderId="631" xfId="1" applyNumberFormat="1" applyFont="1" applyFill="1" applyBorder="1" applyAlignment="1">
      <alignment horizontal="center" vertical="center"/>
    </xf>
    <xf numFmtId="0" fontId="0" fillId="25" borderId="631" xfId="6" applyFont="1" applyFill="1" applyBorder="1">
      <alignment horizontal="center" vertical="center"/>
    </xf>
    <xf numFmtId="1" fontId="0" fillId="25" borderId="631" xfId="0" applyNumberFormat="1" applyFill="1" applyBorder="1">
      <alignment horizontal="center" vertical="center"/>
    </xf>
    <xf numFmtId="0" fontId="0" fillId="25" borderId="631" xfId="5" applyFont="1" applyFill="1" applyBorder="1">
      <alignment horizontal="center" vertical="center"/>
    </xf>
    <xf numFmtId="1" fontId="0" fillId="19" borderId="631" xfId="0" applyNumberFormat="1" applyFill="1" applyBorder="1">
      <alignment horizontal="center" vertical="center"/>
    </xf>
    <xf numFmtId="1" fontId="0" fillId="19" borderId="631" xfId="1" applyNumberFormat="1" applyFont="1" applyFill="1" applyBorder="1" applyAlignment="1">
      <alignment horizontal="center" vertical="center"/>
    </xf>
    <xf numFmtId="0" fontId="0" fillId="19" borderId="631" xfId="5" applyFont="1" applyFill="1" applyBorder="1">
      <alignment horizontal="center" vertical="center"/>
    </xf>
    <xf numFmtId="0" fontId="17" fillId="29" borderId="631" xfId="11" applyBorder="1">
      <alignment horizontal="center" vertical="center"/>
    </xf>
    <xf numFmtId="0" fontId="0" fillId="19" borderId="631" xfId="6" applyFont="1" applyFill="1" applyBorder="1">
      <alignment horizontal="center" vertical="center"/>
    </xf>
    <xf numFmtId="1" fontId="0" fillId="19" borderId="646" xfId="0" applyNumberFormat="1" applyFill="1" applyBorder="1">
      <alignment horizontal="center" vertical="center"/>
    </xf>
    <xf numFmtId="0" fontId="0" fillId="22" borderId="503" xfId="0" applyFill="1" applyBorder="1" applyAlignment="1" applyProtection="1">
      <alignment horizontal="center"/>
      <protection locked="0"/>
    </xf>
    <xf numFmtId="0" fontId="17" fillId="24" borderId="631" xfId="6" applyBorder="1">
      <alignment horizontal="center" vertical="center"/>
    </xf>
    <xf numFmtId="0" fontId="0" fillId="65" borderId="631" xfId="6" applyFont="1" applyFill="1" applyBorder="1">
      <alignment horizontal="center" vertical="center"/>
    </xf>
    <xf numFmtId="0" fontId="0" fillId="0" borderId="631" xfId="0" applyBorder="1" applyAlignment="1">
      <alignment horizontal="left" vertical="center"/>
    </xf>
    <xf numFmtId="1" fontId="0" fillId="59" borderId="631" xfId="1" applyNumberFormat="1" applyFont="1" applyFill="1" applyBorder="1" applyAlignment="1">
      <alignment horizontal="center" vertical="center"/>
    </xf>
    <xf numFmtId="1" fontId="0" fillId="59" borderId="631" xfId="0" applyNumberFormat="1" applyFill="1" applyBorder="1">
      <alignment horizontal="center" vertical="center"/>
    </xf>
    <xf numFmtId="1" fontId="0" fillId="19" borderId="631" xfId="6" applyNumberFormat="1" applyFont="1" applyFill="1" applyBorder="1">
      <alignment horizontal="center" vertical="center"/>
    </xf>
    <xf numFmtId="0" fontId="4" fillId="11" borderId="633" xfId="0" applyFont="1" applyFill="1" applyBorder="1" applyAlignment="1" applyProtection="1">
      <alignment horizontal="left"/>
      <protection locked="0"/>
    </xf>
    <xf numFmtId="0" fontId="4" fillId="11" borderId="632" xfId="0" applyFont="1" applyFill="1" applyBorder="1">
      <alignment horizontal="center" vertical="center"/>
    </xf>
    <xf numFmtId="1" fontId="0" fillId="11" borderId="632" xfId="0" applyNumberFormat="1" applyFill="1" applyBorder="1">
      <alignment horizontal="center" vertical="center"/>
    </xf>
    <xf numFmtId="0" fontId="0" fillId="11" borderId="647" xfId="0" applyFill="1" applyBorder="1">
      <alignment horizontal="center" vertical="center"/>
    </xf>
    <xf numFmtId="0" fontId="0" fillId="59" borderId="546" xfId="7" applyFont="1" applyFill="1" applyBorder="1">
      <alignment horizontal="center" vertical="center"/>
    </xf>
    <xf numFmtId="0" fontId="0" fillId="25" borderId="546" xfId="7" applyFont="1" applyFill="1" applyBorder="1">
      <alignment horizontal="center" vertical="center"/>
    </xf>
    <xf numFmtId="0" fontId="0" fillId="0" borderId="648" xfId="0" applyBorder="1" applyAlignment="1">
      <alignment horizontal="left" vertical="center"/>
    </xf>
    <xf numFmtId="0" fontId="0" fillId="19" borderId="546" xfId="5" applyFont="1" applyFill="1" applyBorder="1">
      <alignment horizontal="center" vertical="center"/>
    </xf>
    <xf numFmtId="49" fontId="0" fillId="19" borderId="631" xfId="0" applyNumberFormat="1" applyFill="1" applyBorder="1">
      <alignment horizontal="center" vertical="center"/>
    </xf>
    <xf numFmtId="0" fontId="4" fillId="0" borderId="649" xfId="0" applyFont="1" applyBorder="1" applyAlignment="1">
      <alignment horizontal="left" vertical="center"/>
    </xf>
    <xf numFmtId="0" fontId="4" fillId="0" borderId="503" xfId="0" applyFont="1" applyBorder="1" applyAlignment="1">
      <alignment vertical="center"/>
    </xf>
    <xf numFmtId="0" fontId="7" fillId="0" borderId="504" xfId="0" applyFont="1" applyBorder="1">
      <alignment horizontal="center" vertical="center"/>
    </xf>
    <xf numFmtId="0" fontId="4" fillId="0" borderId="633" xfId="0" applyFont="1" applyBorder="1" applyAlignment="1">
      <alignment horizontal="left" vertical="center"/>
    </xf>
    <xf numFmtId="0" fontId="7" fillId="0" borderId="641" xfId="0" applyFont="1" applyBorder="1">
      <alignment horizontal="center" vertical="center"/>
    </xf>
    <xf numFmtId="0" fontId="4" fillId="0" borderId="641" xfId="0" applyFont="1" applyBorder="1">
      <alignment horizontal="center" vertical="center"/>
    </xf>
    <xf numFmtId="0" fontId="4" fillId="0" borderId="627" xfId="0" applyFont="1" applyBorder="1" applyAlignment="1">
      <alignment horizontal="left" vertical="center"/>
    </xf>
    <xf numFmtId="0" fontId="0" fillId="0" borderId="503" xfId="0" applyBorder="1" applyAlignment="1">
      <alignment vertical="center"/>
    </xf>
    <xf numFmtId="0" fontId="0" fillId="0" borderId="504" xfId="0" applyBorder="1" applyAlignment="1">
      <alignment horizontal="left" vertical="center"/>
    </xf>
    <xf numFmtId="0" fontId="0" fillId="0" borderId="650" xfId="0" applyBorder="1">
      <alignment horizontal="center" vertical="center"/>
    </xf>
    <xf numFmtId="0" fontId="4" fillId="0" borderId="628" xfId="0" applyFont="1" applyBorder="1" applyAlignment="1">
      <alignment horizontal="left" vertical="center"/>
    </xf>
    <xf numFmtId="0" fontId="0" fillId="0" borderId="629" xfId="0" applyBorder="1">
      <alignment horizontal="center" vertical="center"/>
    </xf>
    <xf numFmtId="0" fontId="0" fillId="0" borderId="626" xfId="0" applyBorder="1" applyAlignment="1">
      <alignment vertical="center"/>
    </xf>
    <xf numFmtId="0" fontId="0" fillId="0" borderId="651" xfId="0" applyBorder="1">
      <alignment horizontal="center" vertical="center"/>
    </xf>
    <xf numFmtId="0" fontId="4" fillId="0" borderId="626" xfId="0" applyFont="1" applyBorder="1">
      <alignment horizontal="center" vertical="center"/>
    </xf>
    <xf numFmtId="0" fontId="0" fillId="0" borderId="629" xfId="0" applyBorder="1" applyAlignment="1">
      <alignment horizontal="left" vertical="center"/>
    </xf>
    <xf numFmtId="0" fontId="7" fillId="0" borderId="629" xfId="0" applyFont="1" applyBorder="1">
      <alignment horizontal="center" vertical="center"/>
    </xf>
    <xf numFmtId="0" fontId="4" fillId="0" borderId="629" xfId="0" applyFont="1" applyBorder="1" applyAlignment="1">
      <alignment horizontal="left" vertical="center"/>
    </xf>
    <xf numFmtId="0" fontId="0" fillId="0" borderId="652" xfId="0" applyBorder="1">
      <alignment horizontal="center" vertical="center"/>
    </xf>
    <xf numFmtId="0" fontId="0" fillId="0" borderId="632" xfId="0" applyBorder="1" applyAlignment="1" applyProtection="1">
      <alignment horizontal="center"/>
      <protection locked="0"/>
    </xf>
    <xf numFmtId="0" fontId="5" fillId="0" borderId="632" xfId="0" applyFont="1" applyBorder="1" applyAlignment="1">
      <alignment horizontal="center"/>
    </xf>
    <xf numFmtId="0" fontId="0" fillId="11" borderId="653" xfId="0" applyFill="1" applyBorder="1" applyAlignment="1" applyProtection="1">
      <alignment horizontal="center"/>
      <protection locked="0"/>
    </xf>
    <xf numFmtId="49" fontId="0" fillId="19" borderId="648" xfId="0" applyNumberFormat="1" applyFill="1" applyBorder="1">
      <alignment horizontal="center" vertical="center"/>
    </xf>
    <xf numFmtId="49" fontId="0" fillId="59" borderId="648" xfId="0" applyNumberFormat="1" applyFill="1" applyBorder="1">
      <alignment horizontal="center" vertical="center"/>
    </xf>
    <xf numFmtId="0" fontId="0" fillId="19" borderId="648" xfId="6" applyFont="1" applyFill="1" applyBorder="1">
      <alignment horizontal="center" vertical="center"/>
    </xf>
    <xf numFmtId="49" fontId="0" fillId="25" borderId="648" xfId="0" applyNumberFormat="1" applyFill="1" applyBorder="1">
      <alignment horizontal="center" vertical="center"/>
    </xf>
    <xf numFmtId="0" fontId="0" fillId="25" borderId="648" xfId="6" applyFont="1" applyFill="1" applyBorder="1">
      <alignment horizontal="center" vertical="center"/>
    </xf>
    <xf numFmtId="49" fontId="0" fillId="19" borderId="654" xfId="0" applyNumberFormat="1" applyFill="1" applyBorder="1">
      <alignment horizontal="center" vertical="center"/>
    </xf>
    <xf numFmtId="0" fontId="0" fillId="22" borderId="655" xfId="0" applyFill="1" applyBorder="1" applyAlignment="1" applyProtection="1">
      <alignment horizontal="center"/>
      <protection locked="0"/>
    </xf>
    <xf numFmtId="0" fontId="0" fillId="19" borderId="631" xfId="10" applyFont="1" applyFill="1" applyBorder="1">
      <alignment horizontal="center" vertical="center"/>
    </xf>
    <xf numFmtId="0" fontId="0" fillId="19" borderId="646" xfId="0" applyFill="1" applyBorder="1">
      <alignment horizontal="center" vertical="center"/>
    </xf>
    <xf numFmtId="0" fontId="0" fillId="22" borderId="635" xfId="0" applyFill="1" applyBorder="1" applyAlignment="1" applyProtection="1">
      <alignment horizontal="center"/>
      <protection locked="0"/>
    </xf>
    <xf numFmtId="0" fontId="0" fillId="0" borderId="634" xfId="0" applyBorder="1" applyAlignment="1">
      <alignment horizontal="left" vertical="center"/>
    </xf>
    <xf numFmtId="0" fontId="0" fillId="19" borderId="634" xfId="6" applyFont="1" applyFill="1" applyBorder="1">
      <alignment horizontal="center" vertical="center"/>
    </xf>
    <xf numFmtId="49" fontId="0" fillId="19" borderId="645" xfId="0" applyNumberFormat="1" applyFill="1" applyBorder="1">
      <alignment horizontal="center" vertical="center"/>
    </xf>
    <xf numFmtId="49" fontId="0" fillId="26" borderId="631" xfId="0" applyNumberFormat="1" applyFill="1" applyBorder="1">
      <alignment horizontal="center" vertical="center"/>
    </xf>
    <xf numFmtId="0" fontId="0" fillId="26" borderId="631" xfId="0" applyFill="1" applyBorder="1">
      <alignment horizontal="center" vertical="center"/>
    </xf>
    <xf numFmtId="0" fontId="0" fillId="19" borderId="631" xfId="0" applyFill="1" applyBorder="1">
      <alignment horizontal="center" vertical="center"/>
    </xf>
    <xf numFmtId="0" fontId="0" fillId="19" borderId="631" xfId="9" applyFont="1" applyFill="1" applyBorder="1">
      <alignment horizontal="center" vertical="center"/>
    </xf>
    <xf numFmtId="49" fontId="0" fillId="19" borderId="646" xfId="0" applyNumberFormat="1" applyFill="1" applyBorder="1">
      <alignment horizontal="center" vertical="center"/>
    </xf>
    <xf numFmtId="0" fontId="0" fillId="0" borderId="634" xfId="0" applyBorder="1" applyAlignment="1">
      <alignment vertical="center"/>
    </xf>
    <xf numFmtId="49" fontId="0" fillId="28" borderId="634" xfId="0" applyNumberFormat="1" applyFill="1" applyBorder="1">
      <alignment horizontal="center" vertical="center"/>
    </xf>
    <xf numFmtId="0" fontId="0" fillId="28" borderId="634" xfId="6" applyFont="1" applyFill="1" applyBorder="1">
      <alignment horizontal="center" vertical="center"/>
    </xf>
    <xf numFmtId="0" fontId="6" fillId="0" borderId="634" xfId="7" applyBorder="1">
      <alignment horizontal="center" vertical="center"/>
    </xf>
    <xf numFmtId="0" fontId="17" fillId="28" borderId="634" xfId="10" applyBorder="1">
      <alignment horizontal="center" vertical="center"/>
    </xf>
    <xf numFmtId="0" fontId="0" fillId="19" borderId="648" xfId="0" applyFill="1" applyBorder="1" applyAlignment="1">
      <alignment horizontal="left" vertical="center" wrapText="1"/>
    </xf>
    <xf numFmtId="1" fontId="0" fillId="19" borderId="648" xfId="1" applyNumberFormat="1" applyFont="1" applyFill="1" applyBorder="1" applyAlignment="1">
      <alignment horizontal="center" vertical="center"/>
    </xf>
    <xf numFmtId="0" fontId="0" fillId="28" borderId="634" xfId="0" applyFill="1" applyBorder="1">
      <alignment horizontal="center" vertical="center"/>
    </xf>
    <xf numFmtId="0" fontId="45" fillId="23" borderId="634" xfId="5" applyBorder="1">
      <alignment horizontal="center" vertical="center"/>
    </xf>
    <xf numFmtId="0" fontId="17" fillId="29" borderId="634" xfId="11" applyBorder="1">
      <alignment horizontal="center" vertical="center"/>
    </xf>
    <xf numFmtId="49" fontId="0" fillId="24" borderId="631" xfId="0" applyNumberFormat="1" applyFill="1" applyBorder="1">
      <alignment horizontal="center" vertical="center"/>
    </xf>
    <xf numFmtId="0" fontId="0" fillId="25" borderId="634" xfId="0" applyFill="1" applyBorder="1">
      <alignment horizontal="center" vertical="center"/>
    </xf>
    <xf numFmtId="49" fontId="0" fillId="25" borderId="634" xfId="0" applyNumberFormat="1" applyFill="1" applyBorder="1">
      <alignment horizontal="center" vertical="center"/>
    </xf>
    <xf numFmtId="0" fontId="0" fillId="25" borderId="634" xfId="6" applyFont="1" applyFill="1" applyBorder="1">
      <alignment horizontal="center" vertical="center"/>
    </xf>
    <xf numFmtId="0" fontId="17" fillId="25" borderId="634" xfId="8" applyBorder="1">
      <alignment horizontal="center" vertical="center"/>
    </xf>
    <xf numFmtId="49" fontId="0" fillId="19" borderId="648" xfId="6" applyNumberFormat="1" applyFont="1" applyFill="1" applyBorder="1">
      <alignment horizontal="center" vertical="center"/>
    </xf>
    <xf numFmtId="0" fontId="17" fillId="29" borderId="648" xfId="11" applyBorder="1">
      <alignment horizontal="center" vertical="center"/>
    </xf>
    <xf numFmtId="0" fontId="17" fillId="24" borderId="648" xfId="6" applyBorder="1">
      <alignment horizontal="center" vertical="center"/>
    </xf>
    <xf numFmtId="0" fontId="0" fillId="19" borderId="654" xfId="7" applyFont="1" applyFill="1" applyBorder="1">
      <alignment horizontal="center" vertical="center"/>
    </xf>
    <xf numFmtId="49" fontId="0" fillId="19" borderId="631" xfId="6" applyNumberFormat="1" applyFont="1" applyFill="1" applyBorder="1">
      <alignment horizontal="center" vertical="center"/>
    </xf>
    <xf numFmtId="49" fontId="0" fillId="19" borderId="631" xfId="10" applyNumberFormat="1" applyFont="1" applyFill="1" applyBorder="1">
      <alignment horizontal="center" vertical="center"/>
    </xf>
    <xf numFmtId="0" fontId="17" fillId="25" borderId="631" xfId="6" applyFill="1" applyBorder="1">
      <alignment horizontal="center" vertical="center"/>
    </xf>
    <xf numFmtId="0" fontId="0" fillId="0" borderId="631" xfId="0" applyBorder="1">
      <alignment horizontal="center" vertical="center"/>
    </xf>
    <xf numFmtId="0" fontId="17" fillId="25" borderId="631" xfId="8" applyBorder="1">
      <alignment horizontal="center" vertical="center"/>
    </xf>
    <xf numFmtId="49" fontId="0" fillId="19" borderId="634" xfId="6" applyNumberFormat="1" applyFont="1" applyFill="1" applyBorder="1">
      <alignment horizontal="center" vertical="center"/>
    </xf>
    <xf numFmtId="0" fontId="0" fillId="19" borderId="645" xfId="6" applyFont="1" applyFill="1" applyBorder="1">
      <alignment horizontal="center" vertical="center"/>
    </xf>
    <xf numFmtId="0" fontId="4" fillId="0" borderId="631" xfId="0" applyFont="1" applyBorder="1" applyAlignment="1">
      <alignment horizontal="center"/>
    </xf>
    <xf numFmtId="0" fontId="6" fillId="0" borderId="631" xfId="0" applyFont="1" applyBorder="1">
      <alignment horizontal="center" vertical="center"/>
    </xf>
    <xf numFmtId="0" fontId="0" fillId="0" borderId="632" xfId="0" applyBorder="1">
      <alignment horizontal="center" vertical="center"/>
    </xf>
    <xf numFmtId="0" fontId="4" fillId="0" borderId="632" xfId="0" applyFont="1" applyBorder="1" applyAlignment="1">
      <alignment horizontal="center"/>
    </xf>
    <xf numFmtId="0" fontId="5" fillId="0" borderId="631" xfId="0" applyFont="1" applyBorder="1" applyAlignment="1">
      <alignment horizontal="left"/>
    </xf>
    <xf numFmtId="0" fontId="6" fillId="0" borderId="503" xfId="0" applyFont="1" applyBorder="1">
      <alignment horizontal="center" vertical="center"/>
    </xf>
    <xf numFmtId="0" fontId="0" fillId="0" borderId="631" xfId="0" applyBorder="1" applyAlignment="1">
      <alignment horizontal="center"/>
    </xf>
    <xf numFmtId="0" fontId="0" fillId="0" borderId="503" xfId="0" applyBorder="1" applyAlignment="1">
      <alignment horizontal="left"/>
    </xf>
    <xf numFmtId="0" fontId="0" fillId="0" borderId="504" xfId="0" applyBorder="1" applyAlignment="1">
      <alignment horizontal="left"/>
    </xf>
    <xf numFmtId="0" fontId="0" fillId="22" borderId="631" xfId="0" applyFill="1" applyBorder="1" applyAlignment="1" applyProtection="1">
      <alignment horizontal="center"/>
      <protection locked="0"/>
    </xf>
    <xf numFmtId="0" fontId="0" fillId="0" borderId="633" xfId="0" applyBorder="1" applyAlignment="1">
      <alignment horizontal="left"/>
    </xf>
    <xf numFmtId="0" fontId="0" fillId="0" borderId="641" xfId="0" applyBorder="1" applyAlignment="1">
      <alignment horizontal="left"/>
    </xf>
    <xf numFmtId="0" fontId="6" fillId="0" borderId="642" xfId="0" applyFont="1" applyBorder="1" applyAlignment="1">
      <alignment horizontal="left"/>
    </xf>
    <xf numFmtId="0" fontId="6" fillId="0" borderId="641" xfId="0" applyFont="1" applyBorder="1" applyAlignment="1">
      <alignment horizontal="left"/>
    </xf>
    <xf numFmtId="0" fontId="6" fillId="0" borderId="505" xfId="0" applyFont="1" applyBorder="1" applyAlignment="1">
      <alignment horizontal="left"/>
    </xf>
    <xf numFmtId="0" fontId="5" fillId="0" borderId="503" xfId="0" applyFont="1" applyBorder="1" applyAlignment="1">
      <alignment horizontal="left"/>
    </xf>
    <xf numFmtId="0" fontId="11" fillId="0" borderId="631" xfId="0" applyFont="1" applyBorder="1" applyAlignment="1" applyProtection="1">
      <alignment horizontal="center"/>
      <protection locked="0"/>
    </xf>
    <xf numFmtId="0" fontId="0" fillId="0" borderId="631" xfId="0" applyBorder="1" applyAlignment="1">
      <alignment horizontal="left"/>
    </xf>
    <xf numFmtId="0" fontId="6" fillId="0" borderId="631" xfId="0" applyFont="1" applyBorder="1" applyAlignment="1">
      <alignment horizontal="left"/>
    </xf>
    <xf numFmtId="0" fontId="4" fillId="0" borderId="632" xfId="0" applyFont="1" applyBorder="1" applyAlignment="1" applyProtection="1">
      <alignment horizontal="center"/>
      <protection locked="0"/>
    </xf>
    <xf numFmtId="0" fontId="0" fillId="19" borderId="632" xfId="0" applyFill="1" applyBorder="1">
      <alignment horizontal="center" vertical="center"/>
    </xf>
    <xf numFmtId="0" fontId="0" fillId="18" borderId="632" xfId="0" applyFill="1" applyBorder="1">
      <alignment horizontal="center" vertical="center"/>
    </xf>
    <xf numFmtId="0" fontId="0" fillId="19" borderId="647" xfId="0" applyFill="1" applyBorder="1">
      <alignment horizontal="center" vertical="center"/>
    </xf>
    <xf numFmtId="0" fontId="0" fillId="0" borderId="656" xfId="0" applyBorder="1" applyAlignment="1">
      <alignment vertical="center"/>
    </xf>
    <xf numFmtId="49" fontId="6" fillId="19" borderId="648" xfId="7" applyNumberFormat="1" applyFill="1" applyBorder="1">
      <alignment horizontal="center" vertical="center"/>
    </xf>
    <xf numFmtId="0" fontId="0" fillId="19" borderId="656" xfId="12" applyFont="1" applyFill="1" applyBorder="1">
      <alignment horizontal="center" vertical="center"/>
    </xf>
    <xf numFmtId="0" fontId="0" fillId="19" borderId="656" xfId="9" applyFont="1" applyFill="1" applyBorder="1">
      <alignment horizontal="center" vertical="center"/>
    </xf>
    <xf numFmtId="0" fontId="0" fillId="19" borderId="656" xfId="0" applyFill="1" applyBorder="1">
      <alignment horizontal="center" vertical="center"/>
    </xf>
    <xf numFmtId="0" fontId="6" fillId="19" borderId="631" xfId="0" applyFont="1" applyFill="1" applyBorder="1">
      <alignment horizontal="center" vertical="center"/>
    </xf>
    <xf numFmtId="0" fontId="6" fillId="19" borderId="634" xfId="13" applyFont="1" applyFill="1" applyBorder="1">
      <alignment horizontal="center" vertical="center"/>
    </xf>
    <xf numFmtId="0" fontId="17" fillId="19" borderId="634" xfId="8" applyFill="1" applyBorder="1">
      <alignment horizontal="center" vertical="center"/>
    </xf>
    <xf numFmtId="0" fontId="17" fillId="29" borderId="546" xfId="11" applyBorder="1">
      <alignment horizontal="center" vertical="center"/>
    </xf>
    <xf numFmtId="0" fontId="0" fillId="0" borderId="546" xfId="7" applyFont="1" applyBorder="1" applyAlignment="1">
      <alignment horizontal="left" vertical="center"/>
    </xf>
    <xf numFmtId="0" fontId="0" fillId="28" borderId="546" xfId="0" applyFill="1" applyBorder="1">
      <alignment horizontal="center" vertical="center"/>
    </xf>
    <xf numFmtId="0" fontId="0" fillId="28" borderId="546" xfId="1" applyFont="1" applyFill="1" applyBorder="1" applyAlignment="1">
      <alignment horizontal="center" vertical="center"/>
    </xf>
    <xf numFmtId="0" fontId="0" fillId="19" borderId="546" xfId="0" applyFill="1" applyBorder="1" applyAlignment="1">
      <alignment vertical="center"/>
    </xf>
    <xf numFmtId="0" fontId="0" fillId="0" borderId="593" xfId="0" applyBorder="1">
      <alignment horizontal="center" vertical="center"/>
    </xf>
    <xf numFmtId="0" fontId="0" fillId="24" borderId="546" xfId="0" applyFill="1" applyBorder="1">
      <alignment horizontal="center" vertical="center"/>
    </xf>
    <xf numFmtId="0" fontId="0" fillId="19" borderId="656" xfId="0" applyFill="1" applyBorder="1" applyAlignment="1">
      <alignment horizontal="left" vertical="center"/>
    </xf>
    <xf numFmtId="0" fontId="0" fillId="19" borderId="656" xfId="7" applyFont="1" applyFill="1" applyBorder="1">
      <alignment horizontal="center" vertical="center"/>
    </xf>
    <xf numFmtId="0" fontId="6" fillId="0" borderId="657" xfId="7" applyBorder="1">
      <alignment horizontal="center" vertical="center"/>
    </xf>
    <xf numFmtId="0" fontId="6" fillId="0" borderId="658" xfId="7" applyBorder="1">
      <alignment horizontal="center" vertical="center"/>
    </xf>
    <xf numFmtId="0" fontId="0" fillId="19" borderId="659" xfId="0" applyFill="1" applyBorder="1" applyAlignment="1">
      <alignment horizontal="left" vertical="center"/>
    </xf>
    <xf numFmtId="0" fontId="13" fillId="19" borderId="659" xfId="0" applyFont="1" applyFill="1" applyBorder="1" applyAlignment="1">
      <alignment horizontal="left" vertical="center"/>
    </xf>
    <xf numFmtId="0" fontId="0" fillId="19" borderId="631" xfId="0" applyFill="1" applyBorder="1" applyAlignment="1">
      <alignment horizontal="left" vertical="center"/>
    </xf>
    <xf numFmtId="0" fontId="0" fillId="55" borderId="546" xfId="0" applyFill="1" applyBorder="1">
      <alignment horizontal="center" vertical="center"/>
    </xf>
    <xf numFmtId="0" fontId="4" fillId="0" borderId="648" xfId="0" applyFont="1" applyBorder="1" applyAlignment="1" applyProtection="1">
      <alignment horizontal="center"/>
      <protection locked="0"/>
    </xf>
    <xf numFmtId="0" fontId="15" fillId="19" borderId="648" xfId="0" applyFont="1" applyFill="1" applyBorder="1" applyAlignment="1">
      <alignment horizontal="left" vertical="center"/>
    </xf>
    <xf numFmtId="0" fontId="4" fillId="0" borderId="631" xfId="0" applyFont="1" applyBorder="1" applyAlignment="1" applyProtection="1">
      <alignment horizontal="center"/>
      <protection locked="0"/>
    </xf>
    <xf numFmtId="0" fontId="0" fillId="0" borderId="648" xfId="0" applyBorder="1">
      <alignment horizontal="center" vertical="center"/>
    </xf>
    <xf numFmtId="0" fontId="0" fillId="19" borderId="654" xfId="12" applyFont="1" applyFill="1" applyBorder="1">
      <alignment horizontal="center" vertical="center"/>
    </xf>
    <xf numFmtId="0" fontId="0" fillId="19" borderId="631" xfId="12" applyFont="1" applyFill="1" applyBorder="1">
      <alignment horizontal="center" vertical="center"/>
    </xf>
    <xf numFmtId="0" fontId="0" fillId="19" borderId="646" xfId="12" applyFont="1" applyFill="1" applyBorder="1">
      <alignment horizontal="center" vertical="center"/>
    </xf>
    <xf numFmtId="0" fontId="13" fillId="19" borderId="631" xfId="0" applyFont="1" applyFill="1" applyBorder="1" applyAlignment="1">
      <alignment horizontal="left" vertical="center"/>
    </xf>
    <xf numFmtId="0" fontId="6" fillId="0" borderId="631" xfId="7" applyBorder="1">
      <alignment horizontal="center" vertical="center"/>
    </xf>
    <xf numFmtId="0" fontId="0" fillId="19" borderId="660" xfId="7" applyFont="1" applyFill="1" applyBorder="1">
      <alignment horizontal="center" vertical="center"/>
    </xf>
    <xf numFmtId="0" fontId="4" fillId="0" borderId="596" xfId="7" applyFont="1" applyBorder="1">
      <alignment horizontal="center" vertical="center"/>
    </xf>
    <xf numFmtId="0" fontId="6" fillId="0" borderId="661" xfId="7" applyBorder="1" applyAlignment="1">
      <alignment horizontal="center"/>
    </xf>
    <xf numFmtId="0" fontId="6" fillId="0" borderId="662" xfId="7" applyBorder="1" applyAlignment="1">
      <alignment horizontal="left"/>
    </xf>
    <xf numFmtId="0" fontId="6" fillId="0" borderId="663" xfId="7" applyBorder="1">
      <alignment horizontal="center" vertical="center"/>
    </xf>
    <xf numFmtId="0" fontId="4" fillId="0" borderId="664" xfId="7" applyFont="1" applyBorder="1" applyAlignment="1">
      <alignment horizontal="left"/>
    </xf>
    <xf numFmtId="0" fontId="6" fillId="0" borderId="627" xfId="7" applyBorder="1" applyAlignment="1">
      <alignment horizontal="center"/>
    </xf>
    <xf numFmtId="0" fontId="4" fillId="0" borderId="503" xfId="7" applyFont="1" applyBorder="1" applyAlignment="1">
      <alignment horizontal="left"/>
    </xf>
    <xf numFmtId="0" fontId="6" fillId="0" borderId="504" xfId="7" applyBorder="1">
      <alignment horizontal="center" vertical="center"/>
    </xf>
    <xf numFmtId="0" fontId="6" fillId="0" borderId="505" xfId="7" applyBorder="1" applyAlignment="1">
      <alignment horizontal="left"/>
    </xf>
    <xf numFmtId="0" fontId="6" fillId="0" borderId="504" xfId="7" applyBorder="1" applyAlignment="1">
      <alignment horizontal="left"/>
    </xf>
    <xf numFmtId="0" fontId="4" fillId="0" borderId="504" xfId="7" applyFont="1" applyBorder="1" applyAlignment="1">
      <alignment horizontal="left"/>
    </xf>
    <xf numFmtId="0" fontId="6" fillId="0" borderId="503" xfId="7" applyBorder="1">
      <alignment horizontal="center" vertical="center"/>
    </xf>
    <xf numFmtId="0" fontId="6" fillId="0" borderId="504" xfId="7" applyBorder="1" applyAlignment="1">
      <alignment vertical="center"/>
    </xf>
    <xf numFmtId="0" fontId="6" fillId="0" borderId="504" xfId="7" applyBorder="1" applyAlignment="1">
      <alignment horizontal="left" vertical="center"/>
    </xf>
    <xf numFmtId="0" fontId="6" fillId="0" borderId="643" xfId="7" applyBorder="1" applyAlignment="1">
      <alignment vertical="center"/>
    </xf>
    <xf numFmtId="0" fontId="6" fillId="0" borderId="665" xfId="7" applyBorder="1">
      <alignment horizontal="center" vertical="center"/>
    </xf>
    <xf numFmtId="0" fontId="6" fillId="0" borderId="643" xfId="7" applyBorder="1">
      <alignment horizontal="center" vertical="center"/>
    </xf>
    <xf numFmtId="0" fontId="6" fillId="0" borderId="628" xfId="7" applyBorder="1" applyAlignment="1">
      <alignment horizontal="center"/>
    </xf>
    <xf numFmtId="0" fontId="4" fillId="0" borderId="626" xfId="7" applyFont="1" applyBorder="1" applyAlignment="1">
      <alignment horizontal="left"/>
    </xf>
    <xf numFmtId="0" fontId="6" fillId="0" borderId="666" xfId="7" applyBorder="1">
      <alignment horizontal="center" vertical="center"/>
    </xf>
    <xf numFmtId="0" fontId="6" fillId="0" borderId="629" xfId="7" applyBorder="1">
      <alignment horizontal="center" vertical="center"/>
    </xf>
    <xf numFmtId="0" fontId="6" fillId="0" borderId="651" xfId="7" applyBorder="1" applyAlignment="1">
      <alignment horizontal="left"/>
    </xf>
    <xf numFmtId="0" fontId="6" fillId="0" borderId="625" xfId="7" applyBorder="1" applyAlignment="1">
      <alignment horizontal="left"/>
    </xf>
    <xf numFmtId="0" fontId="4" fillId="0" borderId="667" xfId="7" applyFont="1" applyBorder="1" applyAlignment="1">
      <alignment horizontal="left"/>
    </xf>
    <xf numFmtId="0" fontId="6" fillId="0" borderId="629" xfId="7" applyBorder="1" applyAlignment="1">
      <alignment horizontal="left"/>
    </xf>
    <xf numFmtId="0" fontId="6" fillId="0" borderId="626" xfId="7" applyBorder="1">
      <alignment horizontal="center" vertical="center"/>
    </xf>
    <xf numFmtId="0" fontId="6" fillId="0" borderId="652" xfId="7" applyBorder="1">
      <alignment horizontal="center" vertical="center"/>
    </xf>
    <xf numFmtId="0" fontId="4" fillId="0" borderId="632" xfId="7" applyFont="1" applyBorder="1" applyAlignment="1" applyProtection="1">
      <alignment horizontal="center"/>
      <protection locked="0"/>
    </xf>
    <xf numFmtId="0" fontId="5" fillId="0" borderId="632" xfId="7" applyFont="1" applyBorder="1" applyAlignment="1">
      <alignment horizontal="center"/>
    </xf>
    <xf numFmtId="0" fontId="4" fillId="22" borderId="648" xfId="7" applyFont="1" applyFill="1" applyBorder="1" applyAlignment="1">
      <alignment horizontal="center"/>
    </xf>
    <xf numFmtId="0" fontId="6" fillId="19" borderId="648" xfId="8" applyFont="1" applyFill="1" applyBorder="1">
      <alignment horizontal="center" vertical="center"/>
    </xf>
    <xf numFmtId="49" fontId="6" fillId="19" borderId="648" xfId="3" applyNumberFormat="1" applyFont="1" applyFill="1" applyBorder="1" applyAlignment="1">
      <alignment horizontal="center" vertical="center"/>
    </xf>
    <xf numFmtId="49" fontId="6" fillId="19" borderId="654" xfId="7" applyNumberFormat="1" applyFill="1" applyBorder="1">
      <alignment horizontal="center" vertical="center"/>
    </xf>
    <xf numFmtId="0" fontId="4" fillId="22" borderId="631" xfId="7" applyFont="1" applyFill="1" applyBorder="1" applyAlignment="1">
      <alignment horizontal="center"/>
    </xf>
    <xf numFmtId="49" fontId="6" fillId="19" borderId="631" xfId="3" applyNumberFormat="1" applyFont="1" applyFill="1" applyBorder="1" applyAlignment="1">
      <alignment horizontal="center" vertical="center"/>
    </xf>
    <xf numFmtId="49" fontId="6" fillId="19" borderId="631" xfId="7" applyNumberFormat="1" applyFill="1" applyBorder="1">
      <alignment horizontal="center" vertical="center"/>
    </xf>
    <xf numFmtId="0" fontId="6" fillId="19" borderId="631" xfId="6" applyFont="1" applyFill="1" applyBorder="1">
      <alignment horizontal="center" vertical="center"/>
    </xf>
    <xf numFmtId="49" fontId="6" fillId="19" borderId="646" xfId="3" applyNumberFormat="1" applyFont="1" applyFill="1" applyBorder="1" applyAlignment="1">
      <alignment horizontal="center" vertical="center"/>
    </xf>
    <xf numFmtId="0" fontId="0" fillId="0" borderId="631" xfId="7" applyFont="1" applyBorder="1" applyAlignment="1">
      <alignment vertical="center"/>
    </xf>
    <xf numFmtId="0" fontId="6" fillId="19" borderId="631" xfId="5" applyFont="1" applyFill="1" applyBorder="1">
      <alignment horizontal="center" vertical="center"/>
    </xf>
    <xf numFmtId="0" fontId="6" fillId="24" borderId="631" xfId="9" applyFont="1" applyFill="1" applyBorder="1">
      <alignment horizontal="center" vertical="center"/>
    </xf>
    <xf numFmtId="49" fontId="6" fillId="24" borderId="631" xfId="3" applyNumberFormat="1" applyFont="1" applyFill="1" applyBorder="1" applyAlignment="1">
      <alignment horizontal="center" vertical="center"/>
    </xf>
    <xf numFmtId="0" fontId="6" fillId="19" borderId="631" xfId="7" applyFill="1" applyBorder="1">
      <alignment horizontal="center" vertical="center"/>
    </xf>
    <xf numFmtId="49" fontId="6" fillId="19" borderId="646" xfId="7" applyNumberFormat="1" applyFill="1" applyBorder="1">
      <alignment horizontal="center" vertical="center"/>
    </xf>
    <xf numFmtId="0" fontId="4" fillId="22" borderId="634" xfId="7" applyFont="1" applyFill="1" applyBorder="1" applyAlignment="1">
      <alignment horizontal="center"/>
    </xf>
    <xf numFmtId="0" fontId="0" fillId="0" borderId="634" xfId="7" applyFont="1" applyBorder="1" applyAlignment="1">
      <alignment vertical="center"/>
    </xf>
    <xf numFmtId="49" fontId="6" fillId="19" borderId="645" xfId="7" applyNumberFormat="1" applyFill="1" applyBorder="1">
      <alignment horizontal="center" vertical="center"/>
    </xf>
    <xf numFmtId="0" fontId="4" fillId="0" borderId="655" xfId="0" applyFont="1" applyBorder="1" applyAlignment="1">
      <alignment horizontal="center"/>
    </xf>
    <xf numFmtId="0" fontId="6" fillId="0" borderId="503" xfId="0" applyFont="1" applyBorder="1" applyAlignment="1">
      <alignment horizontal="left" vertical="center"/>
    </xf>
    <xf numFmtId="0" fontId="6" fillId="0" borderId="504" xfId="0" applyFont="1" applyBorder="1" applyAlignment="1">
      <alignment horizontal="left" vertical="center"/>
    </xf>
    <xf numFmtId="0" fontId="6" fillId="0" borderId="643" xfId="0" applyFont="1" applyBorder="1" applyAlignment="1">
      <alignment horizontal="left" vertical="center"/>
    </xf>
    <xf numFmtId="0" fontId="6" fillId="0" borderId="648" xfId="0" applyFont="1" applyBorder="1">
      <alignment horizontal="center" vertical="center"/>
    </xf>
    <xf numFmtId="0" fontId="6" fillId="0" borderId="648" xfId="0" applyFont="1" applyBorder="1" applyAlignment="1">
      <alignment horizontal="left" vertical="center"/>
    </xf>
    <xf numFmtId="0" fontId="0" fillId="0" borderId="627" xfId="0" applyBorder="1" applyAlignment="1">
      <alignment horizontal="center"/>
    </xf>
    <xf numFmtId="0" fontId="4" fillId="0" borderId="503" xfId="0" applyFont="1" applyBorder="1" applyAlignment="1">
      <alignment horizontal="left"/>
    </xf>
    <xf numFmtId="0" fontId="0" fillId="0" borderId="504" xfId="0" applyBorder="1" applyAlignment="1"/>
    <xf numFmtId="0" fontId="0" fillId="0" borderId="505" xfId="0" applyBorder="1" applyAlignment="1">
      <alignment horizontal="left"/>
    </xf>
    <xf numFmtId="0" fontId="4" fillId="0" borderId="504" xfId="0" applyFont="1" applyBorder="1" applyAlignment="1"/>
    <xf numFmtId="0" fontId="4" fillId="0" borderId="505" xfId="0" applyFont="1" applyBorder="1" applyAlignment="1">
      <alignment horizontal="left"/>
    </xf>
    <xf numFmtId="0" fontId="0" fillId="0" borderId="503" xfId="0" applyBorder="1" applyAlignment="1">
      <alignment horizontal="center"/>
    </xf>
    <xf numFmtId="0" fontId="0" fillId="0" borderId="643" xfId="0" applyBorder="1" applyAlignment="1"/>
    <xf numFmtId="0" fontId="4" fillId="0" borderId="633" xfId="0" applyFont="1" applyBorder="1" applyAlignment="1">
      <alignment horizontal="left"/>
    </xf>
    <xf numFmtId="0" fontId="0" fillId="0" borderId="641" xfId="0" applyBorder="1" applyAlignment="1"/>
    <xf numFmtId="0" fontId="0" fillId="0" borderId="642" xfId="0" applyBorder="1" applyAlignment="1">
      <alignment horizontal="left"/>
    </xf>
    <xf numFmtId="0" fontId="9" fillId="0" borderId="633" xfId="0" applyFont="1" applyBorder="1" applyAlignment="1">
      <alignment horizontal="center"/>
    </xf>
    <xf numFmtId="0" fontId="0" fillId="0" borderId="650" xfId="0" applyBorder="1" applyAlignment="1"/>
    <xf numFmtId="0" fontId="0" fillId="0" borderId="628" xfId="0" applyBorder="1" applyAlignment="1">
      <alignment horizontal="center"/>
    </xf>
    <xf numFmtId="0" fontId="4" fillId="0" borderId="626" xfId="0" applyFont="1" applyBorder="1" applyAlignment="1">
      <alignment horizontal="left"/>
    </xf>
    <xf numFmtId="0" fontId="6" fillId="0" borderId="629" xfId="0" applyFont="1" applyBorder="1" applyAlignment="1">
      <alignment horizontal="left" vertical="center"/>
    </xf>
    <xf numFmtId="0" fontId="6" fillId="0" borderId="629" xfId="0" applyFont="1" applyBorder="1">
      <alignment horizontal="center" vertical="center"/>
    </xf>
    <xf numFmtId="0" fontId="6" fillId="0" borderId="651" xfId="0" applyFont="1" applyBorder="1">
      <alignment horizontal="center" vertical="center"/>
    </xf>
    <xf numFmtId="0" fontId="6" fillId="0" borderId="626" xfId="0" applyFont="1" applyBorder="1" applyAlignment="1">
      <alignment horizontal="left" vertical="center"/>
    </xf>
    <xf numFmtId="0" fontId="6" fillId="0" borderId="629" xfId="0" applyFont="1" applyBorder="1" applyAlignment="1">
      <alignment horizontal="left"/>
    </xf>
    <xf numFmtId="0" fontId="6" fillId="0" borderId="651" xfId="0" applyFont="1" applyBorder="1" applyAlignment="1">
      <alignment horizontal="left" vertical="center"/>
    </xf>
    <xf numFmtId="0" fontId="0" fillId="0" borderId="629" xfId="0" applyBorder="1" applyAlignment="1">
      <alignment horizontal="left"/>
    </xf>
    <xf numFmtId="0" fontId="0" fillId="0" borderId="652" xfId="0" applyBorder="1" applyAlignment="1"/>
    <xf numFmtId="0" fontId="4" fillId="22" borderId="648" xfId="0" applyFont="1" applyFill="1" applyBorder="1" applyAlignment="1">
      <alignment horizontal="center"/>
    </xf>
    <xf numFmtId="0" fontId="0" fillId="19" borderId="648" xfId="0" applyFill="1" applyBorder="1" applyAlignment="1">
      <alignment horizontal="left" vertical="center"/>
    </xf>
    <xf numFmtId="0" fontId="4" fillId="22" borderId="631" xfId="0" applyFont="1" applyFill="1" applyBorder="1" applyAlignment="1">
      <alignment horizontal="center"/>
    </xf>
    <xf numFmtId="49" fontId="0" fillId="59" borderId="631" xfId="0" applyNumberFormat="1" applyFill="1" applyBorder="1">
      <alignment horizontal="center" vertical="center"/>
    </xf>
    <xf numFmtId="0" fontId="0" fillId="59" borderId="631" xfId="0" applyFill="1" applyBorder="1">
      <alignment horizontal="center" vertical="center"/>
    </xf>
    <xf numFmtId="0" fontId="0" fillId="19" borderId="646" xfId="6" applyFont="1" applyFill="1" applyBorder="1">
      <alignment horizontal="center" vertical="center"/>
    </xf>
    <xf numFmtId="0" fontId="0" fillId="19" borderId="631" xfId="1" applyFont="1" applyFill="1" applyBorder="1" applyAlignment="1">
      <alignment horizontal="center" vertical="center"/>
    </xf>
    <xf numFmtId="0" fontId="0" fillId="19" borderId="631" xfId="8" applyFont="1" applyFill="1" applyBorder="1">
      <alignment horizontal="center" vertical="center"/>
    </xf>
    <xf numFmtId="0" fontId="0" fillId="19" borderId="646" xfId="8" applyFont="1" applyFill="1" applyBorder="1">
      <alignment horizontal="center" vertical="center"/>
    </xf>
    <xf numFmtId="0" fontId="4" fillId="22" borderId="634" xfId="0" applyFont="1" applyFill="1" applyBorder="1" applyAlignment="1">
      <alignment horizontal="center"/>
    </xf>
    <xf numFmtId="0" fontId="0" fillId="19" borderId="634" xfId="0" applyFill="1" applyBorder="1" applyAlignment="1">
      <alignment horizontal="left" vertical="center"/>
    </xf>
    <xf numFmtId="0" fontId="0" fillId="19" borderId="634" xfId="12" applyFont="1" applyFill="1" applyBorder="1">
      <alignment horizontal="center" vertical="center"/>
    </xf>
    <xf numFmtId="49" fontId="0" fillId="24" borderId="634" xfId="0" applyNumberFormat="1" applyFill="1" applyBorder="1">
      <alignment horizontal="center" vertical="center"/>
    </xf>
    <xf numFmtId="0" fontId="0" fillId="19" borderId="634" xfId="1" applyFont="1" applyFill="1" applyBorder="1" applyAlignment="1">
      <alignment horizontal="center" vertical="center"/>
    </xf>
    <xf numFmtId="0" fontId="0" fillId="19" borderId="634" xfId="8" applyFont="1" applyFill="1" applyBorder="1">
      <alignment horizontal="center" vertical="center"/>
    </xf>
    <xf numFmtId="0" fontId="0" fillId="19" borderId="645" xfId="8" applyFont="1" applyFill="1" applyBorder="1">
      <alignment horizontal="center" vertical="center"/>
    </xf>
    <xf numFmtId="0" fontId="0" fillId="0" borderId="626" xfId="0" applyBorder="1" applyAlignment="1">
      <alignment horizontal="left"/>
    </xf>
    <xf numFmtId="0" fontId="0" fillId="0" borderId="629" xfId="0" applyBorder="1" applyAlignment="1"/>
    <xf numFmtId="0" fontId="0" fillId="0" borderId="651" xfId="0" applyBorder="1" applyAlignment="1">
      <alignment horizontal="left"/>
    </xf>
    <xf numFmtId="0" fontId="0" fillId="0" borderId="626" xfId="0" applyBorder="1" applyAlignment="1">
      <alignment horizontal="center"/>
    </xf>
    <xf numFmtId="0" fontId="4" fillId="22" borderId="656" xfId="0" applyFont="1" applyFill="1" applyBorder="1" applyAlignment="1">
      <alignment horizontal="center"/>
    </xf>
    <xf numFmtId="0" fontId="0" fillId="19" borderId="656" xfId="6" applyFont="1" applyFill="1" applyBorder="1">
      <alignment horizontal="center" vertical="center"/>
    </xf>
    <xf numFmtId="49" fontId="0" fillId="19" borderId="656" xfId="0" applyNumberFormat="1" applyFill="1" applyBorder="1">
      <alignment horizontal="center" vertical="center"/>
    </xf>
    <xf numFmtId="0" fontId="0" fillId="24" borderId="656" xfId="0" applyFill="1" applyBorder="1">
      <alignment horizontal="center" vertical="center"/>
    </xf>
    <xf numFmtId="0" fontId="0" fillId="18" borderId="546" xfId="0" applyFill="1" applyBorder="1">
      <alignment horizontal="center" vertical="center"/>
    </xf>
    <xf numFmtId="0" fontId="12" fillId="0" borderId="503" xfId="0" applyFont="1" applyBorder="1" applyAlignment="1">
      <alignment horizontal="left"/>
    </xf>
    <xf numFmtId="0" fontId="4" fillId="0" borderId="504" xfId="0" applyFont="1" applyBorder="1">
      <alignment horizontal="center" vertical="center"/>
    </xf>
    <xf numFmtId="0" fontId="0" fillId="0" borderId="668" xfId="0" applyBorder="1" applyAlignment="1">
      <alignment horizontal="center"/>
    </xf>
    <xf numFmtId="164" fontId="9" fillId="0" borderId="626" xfId="0" applyNumberFormat="1" applyFont="1" applyBorder="1" applyAlignment="1">
      <alignment horizontal="center"/>
    </xf>
    <xf numFmtId="0" fontId="6" fillId="19" borderId="648" xfId="0" applyFont="1" applyFill="1" applyBorder="1" applyAlignment="1">
      <alignment vertical="center"/>
    </xf>
    <xf numFmtId="0" fontId="6" fillId="19" borderId="648" xfId="0" applyFont="1" applyFill="1" applyBorder="1">
      <alignment horizontal="center" vertical="center"/>
    </xf>
    <xf numFmtId="0" fontId="6" fillId="19" borderId="654" xfId="0" applyFont="1" applyFill="1" applyBorder="1">
      <alignment horizontal="center" vertical="center"/>
    </xf>
    <xf numFmtId="0" fontId="6" fillId="19" borderId="631" xfId="0" applyFont="1" applyFill="1" applyBorder="1" applyAlignment="1">
      <alignment vertical="center"/>
    </xf>
    <xf numFmtId="0" fontId="0" fillId="25" borderId="631" xfId="0" applyFill="1" applyBorder="1">
      <alignment horizontal="center" vertical="center"/>
    </xf>
    <xf numFmtId="0" fontId="6" fillId="25" borderId="631" xfId="0" applyFont="1" applyFill="1" applyBorder="1">
      <alignment horizontal="center" vertical="center"/>
    </xf>
    <xf numFmtId="0" fontId="6" fillId="19" borderId="646" xfId="0" applyFont="1" applyFill="1" applyBorder="1">
      <alignment horizontal="center" vertical="center"/>
    </xf>
    <xf numFmtId="0" fontId="0" fillId="19" borderId="631" xfId="0" applyFill="1" applyBorder="1" applyAlignment="1">
      <alignment vertical="center"/>
    </xf>
    <xf numFmtId="0" fontId="6" fillId="19" borderId="634" xfId="0" applyFont="1" applyFill="1" applyBorder="1">
      <alignment horizontal="center" vertical="center"/>
    </xf>
    <xf numFmtId="0" fontId="17" fillId="0" borderId="634" xfId="8" applyFill="1" applyBorder="1">
      <alignment horizontal="center" vertical="center"/>
    </xf>
    <xf numFmtId="0" fontId="6" fillId="19" borderId="645" xfId="0" applyFont="1" applyFill="1" applyBorder="1">
      <alignment horizontal="center" vertical="center"/>
    </xf>
    <xf numFmtId="0" fontId="4" fillId="0" borderId="669" xfId="0" applyFont="1" applyBorder="1" applyAlignment="1">
      <alignment horizontal="center"/>
    </xf>
    <xf numFmtId="49" fontId="6" fillId="0" borderId="669" xfId="0" applyNumberFormat="1" applyFont="1" applyBorder="1">
      <alignment horizontal="center" vertical="center"/>
    </xf>
    <xf numFmtId="0" fontId="4" fillId="0" borderId="670" xfId="0" applyFont="1" applyBorder="1" applyAlignment="1">
      <alignment horizontal="left"/>
    </xf>
    <xf numFmtId="0" fontId="0" fillId="0" borderId="670" xfId="0" applyBorder="1">
      <alignment horizontal="center" vertical="center"/>
    </xf>
    <xf numFmtId="0" fontId="0" fillId="0" borderId="671" xfId="0" applyBorder="1">
      <alignment horizontal="center" vertical="center"/>
    </xf>
    <xf numFmtId="0" fontId="0" fillId="0" borderId="672" xfId="0" applyBorder="1">
      <alignment horizontal="center" vertical="center"/>
    </xf>
    <xf numFmtId="0" fontId="0" fillId="0" borderId="673" xfId="0" applyBorder="1">
      <alignment horizontal="center" vertical="center"/>
    </xf>
    <xf numFmtId="49" fontId="18" fillId="0" borderId="546" xfId="0" applyNumberFormat="1" applyFont="1" applyBorder="1">
      <alignment horizontal="center" vertical="center"/>
    </xf>
    <xf numFmtId="0" fontId="18" fillId="0" borderId="499" xfId="0" applyFont="1" applyBorder="1" applyAlignment="1">
      <alignment horizontal="left" vertical="center"/>
    </xf>
    <xf numFmtId="0" fontId="18" fillId="0" borderId="499" xfId="0" applyFont="1" applyBorder="1">
      <alignment horizontal="center" vertical="center"/>
    </xf>
    <xf numFmtId="0" fontId="18" fillId="0" borderId="455" xfId="0" applyFont="1" applyBorder="1">
      <alignment horizontal="center" vertical="center"/>
    </xf>
    <xf numFmtId="49" fontId="18" fillId="0" borderId="551" xfId="0" applyNumberFormat="1" applyFont="1" applyBorder="1">
      <alignment horizontal="center" vertical="center"/>
    </xf>
    <xf numFmtId="0" fontId="0" fillId="0" borderId="669" xfId="0" applyBorder="1">
      <alignment horizontal="center" vertical="center"/>
    </xf>
    <xf numFmtId="49" fontId="0" fillId="0" borderId="546" xfId="0" applyNumberFormat="1" applyBorder="1">
      <alignment horizontal="center" vertical="center"/>
    </xf>
    <xf numFmtId="0" fontId="5" fillId="0" borderId="419" xfId="0" applyFont="1" applyBorder="1" applyAlignment="1">
      <alignment horizontal="center"/>
    </xf>
    <xf numFmtId="0" fontId="0" fillId="19" borderId="674" xfId="0" applyFill="1" applyBorder="1">
      <alignment horizontal="center" vertical="center"/>
    </xf>
    <xf numFmtId="0" fontId="0" fillId="18" borderId="674" xfId="0" applyFill="1" applyBorder="1">
      <alignment horizontal="center" vertical="center"/>
    </xf>
    <xf numFmtId="0" fontId="0" fillId="19" borderId="656" xfId="0" applyFill="1" applyBorder="1" applyAlignment="1">
      <alignment horizontal="left" vertical="center" wrapText="1"/>
    </xf>
    <xf numFmtId="0" fontId="17" fillId="25" borderId="656" xfId="8" applyBorder="1">
      <alignment horizontal="center" vertical="center"/>
    </xf>
    <xf numFmtId="49" fontId="0" fillId="19" borderId="675" xfId="0" applyNumberFormat="1" applyFill="1" applyBorder="1">
      <alignment horizontal="center" vertical="center"/>
    </xf>
    <xf numFmtId="49" fontId="58" fillId="19" borderId="546" xfId="0" applyNumberFormat="1" applyFont="1" applyFill="1" applyBorder="1">
      <alignment horizontal="center" vertical="center"/>
    </xf>
    <xf numFmtId="0" fontId="0" fillId="25" borderId="546" xfId="10" applyFont="1" applyFill="1" applyBorder="1">
      <alignment horizontal="center" vertical="center"/>
    </xf>
    <xf numFmtId="49" fontId="0" fillId="72" borderId="546" xfId="0" applyNumberFormat="1" applyFill="1" applyBorder="1">
      <alignment horizontal="center" vertical="center"/>
    </xf>
    <xf numFmtId="49" fontId="0" fillId="59" borderId="546" xfId="0" applyNumberFormat="1" applyFill="1" applyBorder="1">
      <alignment horizontal="center" vertical="center"/>
    </xf>
    <xf numFmtId="0" fontId="17" fillId="19" borderId="546" xfId="6" applyFill="1" applyBorder="1">
      <alignment horizontal="center" vertical="center"/>
    </xf>
    <xf numFmtId="49" fontId="60" fillId="19" borderId="546" xfId="0" applyNumberFormat="1" applyFont="1" applyFill="1" applyBorder="1">
      <alignment horizontal="center" vertical="center"/>
    </xf>
    <xf numFmtId="0" fontId="0" fillId="28" borderId="546" xfId="6" applyFont="1" applyFill="1" applyBorder="1">
      <alignment horizontal="center" vertical="center"/>
    </xf>
    <xf numFmtId="0" fontId="0" fillId="19" borderId="676" xfId="0" applyFill="1" applyBorder="1" applyAlignment="1">
      <alignment horizontal="left" vertical="center"/>
    </xf>
    <xf numFmtId="49" fontId="0" fillId="19" borderId="676" xfId="0" applyNumberFormat="1" applyFill="1" applyBorder="1">
      <alignment horizontal="center" vertical="center"/>
    </xf>
    <xf numFmtId="49" fontId="6" fillId="0" borderId="546" xfId="0" applyNumberFormat="1" applyFont="1" applyBorder="1">
      <alignment horizontal="center" vertical="center"/>
    </xf>
    <xf numFmtId="0" fontId="6" fillId="0" borderId="546" xfId="0" applyFont="1" applyBorder="1">
      <alignment horizontal="center" vertical="center"/>
    </xf>
    <xf numFmtId="0" fontId="12" fillId="0" borderId="546" xfId="0" applyFont="1" applyBorder="1">
      <alignment horizontal="center" vertical="center"/>
    </xf>
    <xf numFmtId="0" fontId="4" fillId="0" borderId="656" xfId="0" applyFont="1" applyBorder="1" applyAlignment="1" applyProtection="1">
      <alignment horizontal="center"/>
      <protection locked="0"/>
    </xf>
    <xf numFmtId="0" fontId="0" fillId="0" borderId="656" xfId="0" applyBorder="1" applyAlignment="1">
      <alignment horizontal="left"/>
    </xf>
    <xf numFmtId="0" fontId="17" fillId="19" borderId="546" xfId="8" applyFill="1" applyBorder="1">
      <alignment horizontal="center" vertical="center"/>
    </xf>
    <xf numFmtId="0" fontId="17" fillId="19" borderId="546" xfId="11" applyFill="1" applyBorder="1">
      <alignment horizontal="center" vertical="center"/>
    </xf>
    <xf numFmtId="0" fontId="17" fillId="62" borderId="546" xfId="11" applyFill="1" applyBorder="1">
      <alignment horizontal="center" vertical="center"/>
    </xf>
    <xf numFmtId="0" fontId="0" fillId="62" borderId="546" xfId="0" applyFill="1" applyBorder="1">
      <alignment horizontal="center" vertical="center"/>
    </xf>
    <xf numFmtId="0" fontId="0" fillId="74" borderId="546" xfId="0" applyFill="1" applyBorder="1">
      <alignment horizontal="center" vertical="center"/>
    </xf>
    <xf numFmtId="0" fontId="17" fillId="25" borderId="546" xfId="6" applyFill="1" applyBorder="1">
      <alignment horizontal="center" vertical="center"/>
    </xf>
    <xf numFmtId="0" fontId="0" fillId="73" borderId="546" xfId="0" applyFill="1" applyBorder="1">
      <alignment horizontal="center" vertical="center"/>
    </xf>
    <xf numFmtId="0" fontId="17" fillId="59" borderId="546" xfId="8" applyFill="1" applyBorder="1">
      <alignment horizontal="center" vertical="center"/>
    </xf>
    <xf numFmtId="0" fontId="17" fillId="65" borderId="546" xfId="11" applyFill="1" applyBorder="1">
      <alignment horizontal="center" vertical="center"/>
    </xf>
    <xf numFmtId="0" fontId="4" fillId="0" borderId="653" xfId="0" applyFont="1" applyBorder="1" applyAlignment="1">
      <alignment horizontal="center"/>
    </xf>
    <xf numFmtId="0" fontId="0" fillId="0" borderId="666" xfId="0" applyBorder="1">
      <alignment horizontal="center" vertical="center"/>
    </xf>
    <xf numFmtId="0" fontId="0" fillId="0" borderId="677" xfId="0" applyBorder="1">
      <alignment horizontal="center" vertical="center"/>
    </xf>
    <xf numFmtId="0" fontId="4" fillId="0" borderId="666" xfId="0" applyFont="1" applyBorder="1" applyAlignment="1">
      <alignment horizontal="left"/>
    </xf>
    <xf numFmtId="0" fontId="0" fillId="0" borderId="678" xfId="0" applyBorder="1">
      <alignment horizontal="center" vertical="center"/>
    </xf>
    <xf numFmtId="0" fontId="0" fillId="0" borderId="666" xfId="0" applyBorder="1" applyAlignment="1">
      <alignment horizontal="left" vertical="center"/>
    </xf>
    <xf numFmtId="0" fontId="0" fillId="0" borderId="677" xfId="0" applyBorder="1" applyAlignment="1">
      <alignment horizontal="left" vertical="center"/>
    </xf>
    <xf numFmtId="0" fontId="0" fillId="0" borderId="678" xfId="0" applyBorder="1" applyAlignment="1">
      <alignment horizontal="left" vertical="center"/>
    </xf>
    <xf numFmtId="0" fontId="4" fillId="0" borderId="678" xfId="0" applyFont="1" applyBorder="1" applyAlignment="1">
      <alignment horizontal="left"/>
    </xf>
    <xf numFmtId="0" fontId="0" fillId="0" borderId="679" xfId="0" applyBorder="1">
      <alignment horizontal="center" vertical="center"/>
    </xf>
    <xf numFmtId="49" fontId="0" fillId="25" borderId="631" xfId="0" applyNumberFormat="1" applyFill="1" applyBorder="1">
      <alignment horizontal="center" vertical="center"/>
    </xf>
    <xf numFmtId="0" fontId="0" fillId="0" borderId="680" xfId="0" applyBorder="1" applyAlignment="1">
      <alignment horizontal="left" vertical="center"/>
    </xf>
    <xf numFmtId="49" fontId="0" fillId="19" borderId="626" xfId="0" applyNumberFormat="1" applyFill="1" applyBorder="1">
      <alignment horizontal="center" vertical="center"/>
    </xf>
    <xf numFmtId="0" fontId="0" fillId="0" borderId="678" xfId="0" applyBorder="1" applyAlignment="1">
      <alignment horizontal="left"/>
    </xf>
    <xf numFmtId="0" fontId="0" fillId="0" borderId="666" xfId="0" applyBorder="1" applyAlignment="1">
      <alignment horizontal="center"/>
    </xf>
    <xf numFmtId="0" fontId="4" fillId="0" borderId="680" xfId="0" applyFont="1" applyBorder="1" applyAlignment="1" applyProtection="1">
      <alignment horizontal="center"/>
      <protection locked="0"/>
    </xf>
    <xf numFmtId="0" fontId="0" fillId="19" borderId="640" xfId="10" applyFont="1" applyFill="1" applyBorder="1">
      <alignment horizontal="center" vertical="center"/>
    </xf>
    <xf numFmtId="0" fontId="0" fillId="0" borderId="681" xfId="0" applyBorder="1">
      <alignment horizontal="center" vertical="center"/>
    </xf>
    <xf numFmtId="0" fontId="0" fillId="22" borderId="681" xfId="0" applyFill="1" applyBorder="1" applyAlignment="1" applyProtection="1">
      <alignment horizontal="center"/>
      <protection locked="0"/>
    </xf>
    <xf numFmtId="0" fontId="20" fillId="0" borderId="682" xfId="0" applyFont="1" applyBorder="1" applyAlignment="1">
      <alignment vertical="center"/>
    </xf>
    <xf numFmtId="49" fontId="0" fillId="0" borderId="683" xfId="0" applyNumberFormat="1" applyBorder="1" applyAlignment="1"/>
    <xf numFmtId="0" fontId="0" fillId="0" borderId="684" xfId="0" applyBorder="1" applyAlignment="1" applyProtection="1">
      <alignment horizontal="left"/>
      <protection locked="0"/>
    </xf>
    <xf numFmtId="0" fontId="19" fillId="0" borderId="684" xfId="0" applyFont="1" applyBorder="1" applyAlignment="1">
      <alignment vertical="center"/>
    </xf>
    <xf numFmtId="0" fontId="0" fillId="65" borderId="685" xfId="0" applyFill="1" applyBorder="1">
      <alignment horizontal="center" vertical="center"/>
    </xf>
    <xf numFmtId="0" fontId="0" fillId="59" borderId="685" xfId="0" applyFill="1" applyBorder="1">
      <alignment horizontal="center" vertical="center"/>
    </xf>
    <xf numFmtId="0" fontId="0" fillId="0" borderId="686" xfId="0" applyBorder="1" applyAlignment="1">
      <alignment vertical="center"/>
    </xf>
    <xf numFmtId="1" fontId="0" fillId="19" borderId="685" xfId="1" applyNumberFormat="1" applyFont="1" applyFill="1" applyBorder="1" applyAlignment="1">
      <alignment horizontal="center" vertical="center"/>
    </xf>
    <xf numFmtId="0" fontId="24" fillId="34" borderId="683" xfId="0" applyFont="1" applyFill="1" applyBorder="1" applyAlignment="1">
      <alignment horizontal="center" wrapText="1"/>
    </xf>
    <xf numFmtId="0" fontId="25" fillId="34" borderId="685" xfId="0" applyFont="1" applyFill="1" applyBorder="1" applyAlignment="1">
      <alignment horizontal="center" wrapText="1"/>
    </xf>
    <xf numFmtId="0" fontId="25" fillId="34" borderId="685" xfId="0" applyFont="1" applyFill="1" applyBorder="1" applyAlignment="1">
      <alignment horizontal="left" wrapText="1"/>
    </xf>
    <xf numFmtId="0" fontId="25" fillId="35" borderId="687" xfId="0" applyFont="1" applyFill="1" applyBorder="1">
      <alignment horizontal="center" vertical="center"/>
    </xf>
    <xf numFmtId="165" fontId="25" fillId="0" borderId="685" xfId="0" applyNumberFormat="1" applyFont="1" applyBorder="1" applyAlignment="1">
      <alignment horizontal="left" wrapText="1"/>
    </xf>
    <xf numFmtId="0" fontId="26" fillId="0" borderId="683" xfId="0" applyFont="1" applyBorder="1" applyAlignment="1">
      <alignment wrapText="1"/>
    </xf>
    <xf numFmtId="165" fontId="25" fillId="28" borderId="685" xfId="0" applyNumberFormat="1" applyFont="1" applyFill="1" applyBorder="1" applyAlignment="1">
      <alignment horizontal="left"/>
    </xf>
    <xf numFmtId="165" fontId="25" fillId="28" borderId="685" xfId="0" applyNumberFormat="1" applyFont="1" applyFill="1" applyBorder="1" applyAlignment="1">
      <alignment horizontal="left" wrapText="1"/>
    </xf>
    <xf numFmtId="165" fontId="25" fillId="28" borderId="258" xfId="0" applyNumberFormat="1" applyFont="1" applyFill="1" applyBorder="1" applyAlignment="1">
      <alignment horizontal="left"/>
    </xf>
    <xf numFmtId="0" fontId="25" fillId="0" borderId="252" xfId="0" applyFont="1" applyBorder="1">
      <alignment horizontal="center" vertical="center"/>
    </xf>
    <xf numFmtId="0" fontId="26" fillId="0" borderId="229" xfId="0" applyFont="1" applyBorder="1" applyAlignment="1">
      <alignment wrapText="1"/>
    </xf>
    <xf numFmtId="0" fontId="25" fillId="14" borderId="229" xfId="0" applyFont="1" applyFill="1" applyBorder="1" applyAlignment="1">
      <alignment wrapText="1"/>
    </xf>
    <xf numFmtId="165" fontId="25" fillId="14" borderId="688" xfId="0" applyNumberFormat="1" applyFont="1" applyFill="1" applyBorder="1" applyAlignment="1">
      <alignment horizontal="left" wrapText="1"/>
    </xf>
    <xf numFmtId="0" fontId="26" fillId="14" borderId="229" xfId="0" applyFont="1" applyFill="1" applyBorder="1" applyAlignment="1">
      <alignment wrapText="1"/>
    </xf>
    <xf numFmtId="0" fontId="26" fillId="15" borderId="229" xfId="0" applyFont="1" applyFill="1" applyBorder="1" applyAlignment="1">
      <alignment wrapText="1"/>
    </xf>
    <xf numFmtId="165" fontId="25" fillId="15" borderId="688" xfId="0" applyNumberFormat="1" applyFont="1" applyFill="1" applyBorder="1" applyAlignment="1">
      <alignment horizontal="left"/>
    </xf>
    <xf numFmtId="0" fontId="26" fillId="0" borderId="229" xfId="0" applyFont="1" applyBorder="1" applyAlignment="1"/>
    <xf numFmtId="0" fontId="26" fillId="36" borderId="229" xfId="0" applyFont="1" applyFill="1" applyBorder="1" applyAlignment="1"/>
    <xf numFmtId="165" fontId="25" fillId="36" borderId="688" xfId="0" applyNumberFormat="1" applyFont="1" applyFill="1" applyBorder="1" applyAlignment="1">
      <alignment horizontal="left" wrapText="1"/>
    </xf>
    <xf numFmtId="0" fontId="26" fillId="36" borderId="229" xfId="0" applyFont="1" applyFill="1" applyBorder="1" applyAlignment="1">
      <alignment horizontal="left" vertical="center"/>
    </xf>
    <xf numFmtId="168" fontId="25" fillId="36" borderId="688" xfId="0" applyNumberFormat="1" applyFont="1" applyFill="1" applyBorder="1" applyAlignment="1">
      <alignment horizontal="left" wrapText="1"/>
    </xf>
    <xf numFmtId="0" fontId="26" fillId="0" borderId="688" xfId="0" applyFont="1" applyBorder="1">
      <alignment horizontal="center" vertical="center"/>
    </xf>
    <xf numFmtId="0" fontId="26" fillId="37" borderId="229" xfId="0" applyFont="1" applyFill="1" applyBorder="1" applyAlignment="1">
      <alignment horizontal="left" vertical="center"/>
    </xf>
    <xf numFmtId="165" fontId="25" fillId="37" borderId="688" xfId="0" applyNumberFormat="1" applyFont="1" applyFill="1" applyBorder="1" applyAlignment="1">
      <alignment horizontal="left" wrapText="1"/>
    </xf>
    <xf numFmtId="0" fontId="26" fillId="38" borderId="229" xfId="0" applyFont="1" applyFill="1" applyBorder="1" applyAlignment="1">
      <alignment horizontal="left" vertical="center"/>
    </xf>
    <xf numFmtId="0" fontId="26" fillId="0" borderId="51" xfId="0" applyFont="1" applyBorder="1">
      <alignment horizontal="center" vertical="center"/>
    </xf>
    <xf numFmtId="0" fontId="26" fillId="39" borderId="229" xfId="0" applyFont="1" applyFill="1" applyBorder="1" applyAlignment="1">
      <alignment horizontal="left" vertical="center"/>
    </xf>
    <xf numFmtId="0" fontId="26" fillId="0" borderId="229" xfId="0" applyFont="1" applyBorder="1">
      <alignment horizontal="center" vertical="center"/>
    </xf>
    <xf numFmtId="0" fontId="26" fillId="40" borderId="229" xfId="0" applyFont="1" applyFill="1" applyBorder="1" applyAlignment="1">
      <alignment horizontal="left" vertical="center"/>
    </xf>
    <xf numFmtId="165" fontId="25" fillId="40" borderId="689" xfId="0" applyNumberFormat="1" applyFont="1" applyFill="1" applyBorder="1" applyAlignment="1">
      <alignment horizontal="left" wrapText="1"/>
    </xf>
    <xf numFmtId="0" fontId="25" fillId="40" borderId="229" xfId="0" applyFont="1" applyFill="1" applyBorder="1" applyAlignment="1">
      <alignment horizontal="left" vertical="center"/>
    </xf>
    <xf numFmtId="165" fontId="25" fillId="40" borderId="688" xfId="0" applyNumberFormat="1" applyFont="1" applyFill="1" applyBorder="1" applyAlignment="1">
      <alignment horizontal="left" wrapText="1"/>
    </xf>
    <xf numFmtId="165" fontId="25" fillId="40" borderId="690" xfId="0" applyNumberFormat="1" applyFont="1" applyFill="1" applyBorder="1" applyAlignment="1">
      <alignment horizontal="left" wrapText="1"/>
    </xf>
    <xf numFmtId="0" fontId="5" fillId="6" borderId="229" xfId="0" applyFont="1" applyFill="1" applyBorder="1" applyAlignment="1">
      <alignment horizontal="left"/>
    </xf>
    <xf numFmtId="0" fontId="5" fillId="7" borderId="229" xfId="0" applyFont="1" applyFill="1" applyBorder="1">
      <alignment horizontal="center" vertical="center"/>
    </xf>
    <xf numFmtId="0" fontId="6" fillId="7" borderId="230" xfId="0" applyFont="1" applyFill="1" applyBorder="1">
      <alignment horizontal="center" vertical="center"/>
    </xf>
    <xf numFmtId="0" fontId="5" fillId="8" borderId="229" xfId="0" applyFont="1" applyFill="1" applyBorder="1" applyAlignment="1">
      <alignment horizontal="left"/>
    </xf>
    <xf numFmtId="0" fontId="5" fillId="8" borderId="230" xfId="0" applyFont="1" applyFill="1" applyBorder="1" applyAlignment="1">
      <alignment horizontal="left"/>
    </xf>
    <xf numFmtId="0" fontId="6" fillId="8" borderId="230" xfId="0" applyFont="1" applyFill="1" applyBorder="1">
      <alignment horizontal="center" vertical="center"/>
    </xf>
    <xf numFmtId="0" fontId="6" fillId="8" borderId="231" xfId="0" applyFont="1" applyFill="1" applyBorder="1">
      <alignment horizontal="center" vertical="center"/>
    </xf>
    <xf numFmtId="0" fontId="5" fillId="9" borderId="229" xfId="0" applyFont="1" applyFill="1" applyBorder="1" applyAlignment="1">
      <alignment horizontal="left"/>
    </xf>
    <xf numFmtId="0" fontId="5" fillId="9" borderId="230" xfId="0" applyFont="1" applyFill="1" applyBorder="1" applyAlignment="1">
      <alignment horizontal="left"/>
    </xf>
    <xf numFmtId="0" fontId="49" fillId="9" borderId="230" xfId="0" applyFont="1" applyFill="1" applyBorder="1">
      <alignment horizontal="center" vertical="center"/>
    </xf>
    <xf numFmtId="0" fontId="5" fillId="10" borderId="229" xfId="0" applyFont="1" applyFill="1" applyBorder="1" applyAlignment="1">
      <alignment horizontal="left"/>
    </xf>
    <xf numFmtId="0" fontId="49" fillId="10" borderId="230" xfId="0" applyFont="1" applyFill="1" applyBorder="1">
      <alignment horizontal="center" vertical="center"/>
    </xf>
    <xf numFmtId="0" fontId="6" fillId="10" borderId="230" xfId="0" applyFont="1" applyFill="1" applyBorder="1">
      <alignment horizontal="center" vertical="center"/>
    </xf>
    <xf numFmtId="0" fontId="6" fillId="10" borderId="231" xfId="0" applyFont="1" applyFill="1" applyBorder="1">
      <alignment horizontal="center" vertical="center"/>
    </xf>
    <xf numFmtId="0" fontId="5" fillId="11" borderId="229" xfId="0" applyFont="1" applyFill="1" applyBorder="1">
      <alignment horizontal="center" vertical="center"/>
    </xf>
    <xf numFmtId="0" fontId="49" fillId="11" borderId="230" xfId="0" applyFont="1" applyFill="1" applyBorder="1">
      <alignment horizontal="center" vertical="center"/>
    </xf>
    <xf numFmtId="0" fontId="6" fillId="11" borderId="230" xfId="0" applyFont="1" applyFill="1" applyBorder="1">
      <alignment horizontal="center" vertical="center"/>
    </xf>
    <xf numFmtId="0" fontId="5" fillId="12" borderId="229" xfId="0" applyFont="1" applyFill="1" applyBorder="1" applyAlignment="1">
      <alignment horizontal="left"/>
    </xf>
    <xf numFmtId="0" fontId="6" fillId="12" borderId="230" xfId="0" applyFont="1" applyFill="1" applyBorder="1">
      <alignment horizontal="center" vertical="center"/>
    </xf>
    <xf numFmtId="0" fontId="49" fillId="12" borderId="231" xfId="0" applyFont="1" applyFill="1" applyBorder="1">
      <alignment horizontal="center" vertical="center"/>
    </xf>
    <xf numFmtId="0" fontId="49" fillId="13" borderId="178" xfId="0" applyFont="1" applyFill="1" applyBorder="1">
      <alignment horizontal="center" vertical="center"/>
    </xf>
    <xf numFmtId="0" fontId="5" fillId="14" borderId="224" xfId="0" applyFont="1" applyFill="1" applyBorder="1" applyAlignment="1">
      <alignment horizontal="left"/>
    </xf>
    <xf numFmtId="0" fontId="5" fillId="15" borderId="229" xfId="0" applyFont="1" applyFill="1" applyBorder="1">
      <alignment horizontal="center" vertical="center"/>
    </xf>
    <xf numFmtId="0" fontId="6" fillId="15" borderId="230" xfId="0" applyFont="1" applyFill="1" applyBorder="1">
      <alignment horizontal="center" vertical="center"/>
    </xf>
    <xf numFmtId="0" fontId="6" fillId="0" borderId="229" xfId="0" applyFont="1" applyBorder="1" applyAlignment="1">
      <alignment horizontal="left"/>
    </xf>
    <xf numFmtId="0" fontId="49" fillId="0" borderId="230" xfId="0" applyFont="1" applyBorder="1">
      <alignment horizontal="center" vertical="center"/>
    </xf>
    <xf numFmtId="0" fontId="6" fillId="0" borderId="230" xfId="0" applyFont="1" applyBorder="1" applyAlignment="1">
      <alignment horizontal="left"/>
    </xf>
    <xf numFmtId="0" fontId="6" fillId="0" borderId="230" xfId="0" applyFont="1" applyBorder="1">
      <alignment horizontal="center" vertical="center"/>
    </xf>
    <xf numFmtId="0" fontId="6" fillId="0" borderId="231" xfId="0" applyFont="1" applyBorder="1">
      <alignment horizontal="center" vertical="center"/>
    </xf>
    <xf numFmtId="0" fontId="6" fillId="17" borderId="229" xfId="0" applyFont="1" applyFill="1" applyBorder="1" applyAlignment="1">
      <alignment horizontal="left" vertical="center"/>
    </xf>
    <xf numFmtId="0" fontId="6" fillId="17" borderId="230" xfId="0" applyFont="1" applyFill="1" applyBorder="1">
      <alignment horizontal="center" vertical="center"/>
    </xf>
    <xf numFmtId="0" fontId="6" fillId="17" borderId="231" xfId="0" applyFont="1" applyFill="1" applyBorder="1">
      <alignment horizontal="center" vertical="center"/>
    </xf>
    <xf numFmtId="0" fontId="5" fillId="0" borderId="229" xfId="0" applyFont="1" applyBorder="1" applyAlignment="1">
      <alignment horizontal="left" vertical="center"/>
    </xf>
    <xf numFmtId="0" fontId="49" fillId="0" borderId="231" xfId="0" applyFont="1" applyBorder="1">
      <alignment horizontal="center" vertical="center"/>
    </xf>
    <xf numFmtId="0" fontId="49" fillId="0" borderId="232" xfId="0" applyFont="1" applyBorder="1">
      <alignment horizontal="center" vertical="center"/>
    </xf>
    <xf numFmtId="0" fontId="5" fillId="0" borderId="230" xfId="0" applyFont="1" applyBorder="1" applyAlignment="1">
      <alignment horizontal="left" vertical="center"/>
    </xf>
    <xf numFmtId="0" fontId="49" fillId="0" borderId="691" xfId="0" applyFont="1" applyBorder="1">
      <alignment horizontal="center" vertical="center"/>
    </xf>
    <xf numFmtId="0" fontId="5" fillId="0" borderId="200" xfId="0" applyFont="1" applyBorder="1">
      <alignment horizontal="center" vertical="center"/>
    </xf>
    <xf numFmtId="0" fontId="49" fillId="0" borderId="178" xfId="0" applyFont="1" applyBorder="1">
      <alignment horizontal="center" vertical="center"/>
    </xf>
    <xf numFmtId="0" fontId="49" fillId="0" borderId="177" xfId="0" applyFont="1" applyBorder="1">
      <alignment horizontal="center" vertical="center"/>
    </xf>
    <xf numFmtId="0" fontId="5" fillId="0" borderId="229" xfId="0" applyFont="1" applyBorder="1">
      <alignment horizontal="center" vertical="center"/>
    </xf>
    <xf numFmtId="0" fontId="49" fillId="0" borderId="220" xfId="0" applyFont="1" applyBorder="1" applyAlignment="1" applyProtection="1">
      <alignment horizontal="center"/>
      <protection locked="0"/>
    </xf>
    <xf numFmtId="0" fontId="5" fillId="0" borderId="220" xfId="0" applyFont="1" applyBorder="1" applyAlignment="1">
      <alignment horizontal="center"/>
    </xf>
    <xf numFmtId="0" fontId="49" fillId="18" borderId="220" xfId="0" applyFont="1" applyFill="1" applyBorder="1">
      <alignment horizontal="center" vertical="center"/>
    </xf>
    <xf numFmtId="0" fontId="49" fillId="19" borderId="220" xfId="0" applyFont="1" applyFill="1" applyBorder="1">
      <alignment horizontal="center" vertical="center"/>
    </xf>
    <xf numFmtId="0" fontId="49" fillId="19" borderId="227" xfId="0" applyFont="1" applyFill="1" applyBorder="1">
      <alignment horizontal="center" vertical="center"/>
    </xf>
    <xf numFmtId="0" fontId="49" fillId="22" borderId="200" xfId="0" applyFont="1" applyFill="1" applyBorder="1" applyAlignment="1" applyProtection="1">
      <alignment horizontal="left"/>
      <protection locked="0"/>
    </xf>
    <xf numFmtId="0" fontId="49" fillId="0" borderId="648" xfId="0" applyFont="1" applyBorder="1" applyAlignment="1">
      <alignment vertical="center"/>
    </xf>
    <xf numFmtId="0" fontId="49" fillId="19" borderId="648" xfId="0" applyFont="1" applyFill="1" applyBorder="1">
      <alignment horizontal="center" vertical="center"/>
    </xf>
    <xf numFmtId="0" fontId="51" fillId="24" borderId="648" xfId="6" applyFont="1" applyBorder="1">
      <alignment horizontal="center" vertical="center"/>
    </xf>
    <xf numFmtId="0" fontId="51" fillId="25" borderId="648" xfId="8" applyFont="1" applyBorder="1">
      <alignment horizontal="center" vertical="center"/>
    </xf>
    <xf numFmtId="0" fontId="49" fillId="19" borderId="648" xfId="6" applyFont="1" applyFill="1" applyBorder="1">
      <alignment horizontal="center" vertical="center"/>
    </xf>
    <xf numFmtId="0" fontId="49" fillId="19" borderId="654" xfId="0" applyFont="1" applyFill="1" applyBorder="1">
      <alignment horizontal="center" vertical="center"/>
    </xf>
    <xf numFmtId="0" fontId="5" fillId="11" borderId="229" xfId="0" applyFont="1" applyFill="1" applyBorder="1" applyAlignment="1">
      <alignment horizontal="left" vertical="center"/>
    </xf>
    <xf numFmtId="0" fontId="49" fillId="11" borderId="224" xfId="0" applyFont="1" applyFill="1" applyBorder="1">
      <alignment horizontal="center" vertical="center"/>
    </xf>
    <xf numFmtId="0" fontId="49" fillId="11" borderId="225" xfId="0" applyFont="1" applyFill="1" applyBorder="1">
      <alignment horizontal="center" vertical="center"/>
    </xf>
    <xf numFmtId="0" fontId="5" fillId="0" borderId="224" xfId="0" applyFont="1" applyBorder="1" applyAlignment="1">
      <alignment horizontal="left" vertical="center"/>
    </xf>
    <xf numFmtId="1" fontId="49" fillId="19" borderId="224" xfId="1" applyNumberFormat="1" applyFont="1" applyFill="1" applyBorder="1" applyAlignment="1">
      <alignment horizontal="center" vertical="center"/>
    </xf>
    <xf numFmtId="0" fontId="49" fillId="19" borderId="224" xfId="6" applyFont="1" applyFill="1" applyBorder="1">
      <alignment horizontal="center" vertical="center"/>
    </xf>
    <xf numFmtId="1" fontId="49" fillId="19" borderId="224" xfId="0" applyNumberFormat="1" applyFont="1" applyFill="1" applyBorder="1">
      <alignment horizontal="center" vertical="center"/>
    </xf>
    <xf numFmtId="0" fontId="49" fillId="19" borderId="224" xfId="5" applyFont="1" applyFill="1" applyBorder="1">
      <alignment horizontal="center" vertical="center"/>
    </xf>
    <xf numFmtId="1" fontId="49" fillId="19" borderId="225" xfId="0" applyNumberFormat="1" applyFont="1" applyFill="1" applyBorder="1">
      <alignment horizontal="center" vertical="center"/>
    </xf>
    <xf numFmtId="0" fontId="49" fillId="22" borderId="229" xfId="0" applyFont="1" applyFill="1" applyBorder="1" applyAlignment="1" applyProtection="1">
      <alignment horizontal="center"/>
      <protection locked="0"/>
    </xf>
    <xf numFmtId="0" fontId="49" fillId="0" borderId="656" xfId="0" applyFont="1" applyBorder="1" applyAlignment="1">
      <alignment horizontal="left" vertical="center"/>
    </xf>
    <xf numFmtId="0" fontId="51" fillId="24" borderId="224" xfId="6" applyFont="1" applyBorder="1">
      <alignment horizontal="center" vertical="center"/>
    </xf>
    <xf numFmtId="0" fontId="51" fillId="24" borderId="225" xfId="6" applyFont="1" applyBorder="1">
      <alignment horizontal="center" vertical="center"/>
    </xf>
    <xf numFmtId="0" fontId="51" fillId="28" borderId="224" xfId="10" applyFont="1" applyBorder="1">
      <alignment horizontal="center" vertical="center"/>
    </xf>
    <xf numFmtId="0" fontId="49" fillId="0" borderId="224" xfId="0" applyFont="1" applyBorder="1" applyAlignment="1">
      <alignment horizontal="left" vertical="center"/>
    </xf>
    <xf numFmtId="0" fontId="51" fillId="27" borderId="224" xfId="9" applyFont="1" applyBorder="1">
      <alignment horizontal="center" vertical="center"/>
    </xf>
    <xf numFmtId="1" fontId="49" fillId="24" borderId="224" xfId="1" applyNumberFormat="1" applyFont="1" applyFill="1" applyBorder="1" applyAlignment="1">
      <alignment horizontal="center" vertical="center"/>
    </xf>
    <xf numFmtId="1" fontId="49" fillId="24" borderId="224" xfId="0" applyNumberFormat="1" applyFont="1" applyFill="1" applyBorder="1">
      <alignment horizontal="center" vertical="center"/>
    </xf>
    <xf numFmtId="1" fontId="49" fillId="19" borderId="224" xfId="6" applyNumberFormat="1" applyFont="1" applyFill="1" applyBorder="1">
      <alignment horizontal="center" vertical="center"/>
    </xf>
    <xf numFmtId="0" fontId="5" fillId="11" borderId="200" xfId="0" applyFont="1" applyFill="1" applyBorder="1" applyAlignment="1" applyProtection="1">
      <alignment horizontal="left"/>
      <protection locked="0"/>
    </xf>
    <xf numFmtId="0" fontId="5" fillId="11" borderId="175" xfId="0" applyFont="1" applyFill="1" applyBorder="1">
      <alignment horizontal="center" vertical="center"/>
    </xf>
    <xf numFmtId="1" fontId="49" fillId="11" borderId="175" xfId="0" applyNumberFormat="1" applyFont="1" applyFill="1" applyBorder="1">
      <alignment horizontal="center" vertical="center"/>
    </xf>
    <xf numFmtId="0" fontId="49" fillId="11" borderId="181" xfId="0" applyFont="1" applyFill="1" applyBorder="1">
      <alignment horizontal="center" vertical="center"/>
    </xf>
    <xf numFmtId="0" fontId="49" fillId="22" borderId="656" xfId="0" applyFont="1" applyFill="1" applyBorder="1" applyAlignment="1" applyProtection="1">
      <alignment horizontal="center"/>
      <protection locked="0"/>
    </xf>
    <xf numFmtId="0" fontId="49" fillId="19" borderId="656" xfId="0" applyFont="1" applyFill="1" applyBorder="1">
      <alignment horizontal="center" vertical="center"/>
    </xf>
    <xf numFmtId="0" fontId="49" fillId="19" borderId="656" xfId="7" applyFont="1" applyFill="1" applyBorder="1">
      <alignment horizontal="center" vertical="center"/>
    </xf>
    <xf numFmtId="49" fontId="49" fillId="19" borderId="656" xfId="7" applyNumberFormat="1" applyFont="1" applyFill="1" applyBorder="1">
      <alignment horizontal="center" vertical="center"/>
    </xf>
    <xf numFmtId="0" fontId="49" fillId="19" borderId="675" xfId="0" applyFont="1" applyFill="1" applyBorder="1">
      <alignment horizontal="center" vertical="center"/>
    </xf>
    <xf numFmtId="0" fontId="49" fillId="22" borderId="688" xfId="0" applyFont="1" applyFill="1" applyBorder="1" applyAlignment="1" applyProtection="1">
      <alignment horizontal="center"/>
      <protection locked="0"/>
    </xf>
    <xf numFmtId="0" fontId="49" fillId="0" borderId="688" xfId="0" applyFont="1" applyBorder="1" applyAlignment="1">
      <alignment horizontal="left" vertical="center"/>
    </xf>
    <xf numFmtId="0" fontId="49" fillId="19" borderId="688" xfId="7" applyFont="1" applyFill="1" applyBorder="1">
      <alignment horizontal="center" vertical="center"/>
    </xf>
    <xf numFmtId="0" fontId="51" fillId="27" borderId="688" xfId="9" applyFont="1" applyBorder="1">
      <alignment horizontal="center" vertical="center"/>
    </xf>
    <xf numFmtId="0" fontId="49" fillId="19" borderId="688" xfId="12" applyFont="1" applyFill="1" applyBorder="1">
      <alignment horizontal="center" vertical="center"/>
    </xf>
    <xf numFmtId="0" fontId="49" fillId="19" borderId="688" xfId="8" applyFont="1" applyFill="1" applyBorder="1">
      <alignment horizontal="center" vertical="center"/>
    </xf>
    <xf numFmtId="0" fontId="49" fillId="24" borderId="688" xfId="7" applyFont="1" applyFill="1" applyBorder="1">
      <alignment horizontal="center" vertical="center"/>
    </xf>
    <xf numFmtId="0" fontId="6" fillId="0" borderId="688" xfId="7" applyBorder="1">
      <alignment horizontal="center" vertical="center"/>
    </xf>
    <xf numFmtId="0" fontId="6" fillId="24" borderId="593" xfId="7" applyFill="1" applyBorder="1">
      <alignment horizontal="center" vertical="center"/>
    </xf>
    <xf numFmtId="0" fontId="49" fillId="0" borderId="688" xfId="7" applyFont="1" applyBorder="1" applyAlignment="1">
      <alignment vertical="center"/>
    </xf>
    <xf numFmtId="0" fontId="49" fillId="26" borderId="688" xfId="7" applyFont="1" applyFill="1" applyBorder="1">
      <alignment horizontal="center" vertical="center"/>
    </xf>
    <xf numFmtId="0" fontId="49" fillId="19" borderId="688" xfId="0" applyFont="1" applyFill="1" applyBorder="1">
      <alignment horizontal="center" vertical="center"/>
    </xf>
    <xf numFmtId="0" fontId="49" fillId="0" borderId="692" xfId="0" applyFont="1" applyBorder="1" applyAlignment="1">
      <alignment horizontal="left" vertical="center"/>
    </xf>
    <xf numFmtId="0" fontId="51" fillId="25" borderId="688" xfId="8" applyFont="1" applyBorder="1">
      <alignment horizontal="center" vertical="center"/>
    </xf>
    <xf numFmtId="0" fontId="5" fillId="0" borderId="594" xfId="0" applyFont="1" applyBorder="1" applyAlignment="1">
      <alignment horizontal="left" vertical="center"/>
    </xf>
    <xf numFmtId="0" fontId="49" fillId="0" borderId="595" xfId="0" applyFont="1" applyBorder="1" applyAlignment="1">
      <alignment horizontal="left"/>
    </xf>
    <xf numFmtId="0" fontId="5" fillId="0" borderId="450" xfId="0" applyFont="1" applyBorder="1" applyAlignment="1">
      <alignment vertical="center"/>
    </xf>
    <xf numFmtId="0" fontId="49" fillId="0" borderId="595" xfId="0" applyFont="1" applyBorder="1">
      <alignment horizontal="center" vertical="center"/>
    </xf>
    <xf numFmtId="0" fontId="5" fillId="0" borderId="596" xfId="0" applyFont="1" applyBorder="1" applyAlignment="1">
      <alignment horizontal="left" vertical="center"/>
    </xf>
    <xf numFmtId="0" fontId="5" fillId="0" borderId="596" xfId="0" applyFont="1" applyBorder="1" applyAlignment="1">
      <alignment horizontal="left"/>
    </xf>
    <xf numFmtId="0" fontId="5" fillId="0" borderId="450" xfId="0" applyFont="1" applyBorder="1" applyAlignment="1">
      <alignment wrapText="1"/>
    </xf>
    <xf numFmtId="0" fontId="5" fillId="0" borderId="448" xfId="0" applyFont="1" applyBorder="1" applyAlignment="1">
      <alignment wrapText="1"/>
    </xf>
    <xf numFmtId="0" fontId="5" fillId="0" borderId="451" xfId="0" applyFont="1" applyBorder="1" applyAlignment="1">
      <alignment wrapText="1"/>
    </xf>
    <xf numFmtId="0" fontId="5" fillId="0" borderId="448" xfId="0" applyFont="1" applyBorder="1" applyAlignment="1">
      <alignment vertical="center"/>
    </xf>
    <xf numFmtId="0" fontId="49" fillId="0" borderId="448" xfId="0" applyFont="1" applyBorder="1">
      <alignment horizontal="center" vertical="center"/>
    </xf>
    <xf numFmtId="0" fontId="49" fillId="0" borderId="597" xfId="0" applyFont="1" applyBorder="1">
      <alignment horizontal="center" vertical="center"/>
    </xf>
    <xf numFmtId="0" fontId="5" fillId="0" borderId="210" xfId="0" applyFont="1" applyBorder="1" applyAlignment="1">
      <alignment horizontal="left" vertical="center"/>
    </xf>
    <xf numFmtId="0" fontId="5" fillId="0" borderId="229" xfId="0" applyFont="1" applyBorder="1" applyAlignment="1">
      <alignment vertical="center"/>
    </xf>
    <xf numFmtId="0" fontId="5" fillId="0" borderId="230" xfId="0" applyFont="1" applyBorder="1">
      <alignment horizontal="center" vertical="center"/>
    </xf>
    <xf numFmtId="0" fontId="5" fillId="0" borderId="178" xfId="0" applyFont="1" applyBorder="1">
      <alignment horizontal="center" vertical="center"/>
    </xf>
    <xf numFmtId="0" fontId="5" fillId="0" borderId="228" xfId="0" applyFont="1" applyBorder="1" applyAlignment="1">
      <alignment horizontal="left" vertical="center"/>
    </xf>
    <xf numFmtId="0" fontId="49" fillId="0" borderId="229" xfId="0" applyFont="1" applyBorder="1" applyAlignment="1">
      <alignment vertical="center"/>
    </xf>
    <xf numFmtId="0" fontId="49" fillId="0" borderId="230" xfId="0" applyFont="1" applyBorder="1" applyAlignment="1">
      <alignment horizontal="left" vertical="center"/>
    </xf>
    <xf numFmtId="0" fontId="49" fillId="0" borderId="211" xfId="0" applyFont="1" applyBorder="1">
      <alignment horizontal="center" vertical="center"/>
    </xf>
    <xf numFmtId="0" fontId="5" fillId="0" borderId="628" xfId="0" applyFont="1" applyBorder="1" applyAlignment="1">
      <alignment horizontal="left" vertical="center"/>
    </xf>
    <xf numFmtId="0" fontId="49" fillId="0" borderId="236" xfId="0" applyFont="1" applyBorder="1">
      <alignment horizontal="center" vertical="center"/>
    </xf>
    <xf numFmtId="0" fontId="49" fillId="0" borderId="235" xfId="0" applyFont="1" applyBorder="1" applyAlignment="1">
      <alignment vertical="center"/>
    </xf>
    <xf numFmtId="0" fontId="49" fillId="0" borderId="237" xfId="0" applyFont="1" applyBorder="1">
      <alignment horizontal="center" vertical="center"/>
    </xf>
    <xf numFmtId="0" fontId="5" fillId="0" borderId="235" xfId="0" applyFont="1" applyBorder="1">
      <alignment horizontal="center" vertical="center"/>
    </xf>
    <xf numFmtId="0" fontId="49" fillId="0" borderId="236" xfId="0" applyFont="1" applyBorder="1" applyAlignment="1">
      <alignment horizontal="left" vertical="center"/>
    </xf>
    <xf numFmtId="0" fontId="5" fillId="0" borderId="236" xfId="0" applyFont="1" applyBorder="1">
      <alignment horizontal="center" vertical="center"/>
    </xf>
    <xf numFmtId="0" fontId="5" fillId="0" borderId="236" xfId="0" applyFont="1" applyBorder="1" applyAlignment="1">
      <alignment horizontal="left" vertical="center"/>
    </xf>
    <xf numFmtId="0" fontId="49" fillId="0" borderId="241" xfId="0" applyFont="1" applyBorder="1">
      <alignment horizontal="center" vertical="center"/>
    </xf>
    <xf numFmtId="0" fontId="49" fillId="0" borderId="175" xfId="0" applyFont="1" applyBorder="1" applyAlignment="1" applyProtection="1">
      <alignment horizontal="center"/>
      <protection locked="0"/>
    </xf>
    <xf numFmtId="0" fontId="49" fillId="11" borderId="653" xfId="0" applyFont="1" applyFill="1" applyBorder="1" applyAlignment="1" applyProtection="1">
      <alignment horizontal="center"/>
      <protection locked="0"/>
    </xf>
    <xf numFmtId="49" fontId="49" fillId="19" borderId="648" xfId="0" applyNumberFormat="1" applyFont="1" applyFill="1" applyBorder="1">
      <alignment horizontal="center" vertical="center"/>
    </xf>
    <xf numFmtId="0" fontId="51" fillId="27" borderId="648" xfId="9" applyFont="1" applyBorder="1">
      <alignment horizontal="center" vertical="center"/>
    </xf>
    <xf numFmtId="49" fontId="49" fillId="19" borderId="654" xfId="0" applyNumberFormat="1" applyFont="1" applyFill="1" applyBorder="1">
      <alignment horizontal="center" vertical="center"/>
    </xf>
    <xf numFmtId="0" fontId="49" fillId="22" borderId="243" xfId="0" applyFont="1" applyFill="1" applyBorder="1" applyAlignment="1" applyProtection="1">
      <alignment horizontal="center"/>
      <protection locked="0"/>
    </xf>
    <xf numFmtId="0" fontId="49" fillId="0" borderId="688" xfId="0" applyFont="1" applyBorder="1" applyAlignment="1">
      <alignment vertical="center"/>
    </xf>
    <xf numFmtId="0" fontId="49" fillId="19" borderId="224" xfId="10" applyFont="1" applyFill="1" applyBorder="1">
      <alignment horizontal="center" vertical="center"/>
    </xf>
    <xf numFmtId="0" fontId="49" fillId="19" borderId="225" xfId="0" applyFont="1" applyFill="1" applyBorder="1">
      <alignment horizontal="center" vertical="center"/>
    </xf>
    <xf numFmtId="0" fontId="49" fillId="22" borderId="635" xfId="0" applyFont="1" applyFill="1" applyBorder="1" applyAlignment="1" applyProtection="1">
      <alignment horizontal="center"/>
      <protection locked="0"/>
    </xf>
    <xf numFmtId="0" fontId="49" fillId="0" borderId="220" xfId="0" applyFont="1" applyBorder="1" applyAlignment="1">
      <alignment horizontal="left" vertical="center"/>
    </xf>
    <xf numFmtId="49" fontId="49" fillId="19" borderId="220" xfId="0" applyNumberFormat="1" applyFont="1" applyFill="1" applyBorder="1">
      <alignment horizontal="center" vertical="center"/>
    </xf>
    <xf numFmtId="0" fontId="49" fillId="19" borderId="220" xfId="6" applyFont="1" applyFill="1" applyBorder="1">
      <alignment horizontal="center" vertical="center"/>
    </xf>
    <xf numFmtId="0" fontId="51" fillId="24" borderId="220" xfId="6" applyFont="1" applyBorder="1">
      <alignment horizontal="center" vertical="center"/>
    </xf>
    <xf numFmtId="0" fontId="51" fillId="24" borderId="227" xfId="6" applyFont="1" applyBorder="1">
      <alignment horizontal="center" vertical="center"/>
    </xf>
    <xf numFmtId="49" fontId="49" fillId="19" borderId="224" xfId="0" applyNumberFormat="1" applyFont="1" applyFill="1" applyBorder="1">
      <alignment horizontal="center" vertical="center"/>
    </xf>
    <xf numFmtId="0" fontId="49" fillId="19" borderId="224" xfId="0" applyFont="1" applyFill="1" applyBorder="1">
      <alignment horizontal="center" vertical="center"/>
    </xf>
    <xf numFmtId="0" fontId="49" fillId="19" borderId="224" xfId="9" applyFont="1" applyFill="1" applyBorder="1">
      <alignment horizontal="center" vertical="center"/>
    </xf>
    <xf numFmtId="0" fontId="51" fillId="29" borderId="224" xfId="11" applyFont="1" applyBorder="1">
      <alignment horizontal="center" vertical="center"/>
    </xf>
    <xf numFmtId="0" fontId="51" fillId="25" borderId="224" xfId="8" applyFont="1" applyBorder="1">
      <alignment horizontal="center" vertical="center"/>
    </xf>
    <xf numFmtId="0" fontId="49" fillId="0" borderId="220" xfId="0" applyFont="1" applyBorder="1" applyAlignment="1">
      <alignment vertical="center"/>
    </xf>
    <xf numFmtId="0" fontId="51" fillId="27" borderId="220" xfId="9" applyFont="1" applyBorder="1">
      <alignment horizontal="center" vertical="center"/>
    </xf>
    <xf numFmtId="0" fontId="17" fillId="27" borderId="227" xfId="9" applyBorder="1">
      <alignment horizontal="center" vertical="center"/>
    </xf>
    <xf numFmtId="0" fontId="49" fillId="19" borderId="648" xfId="0" applyFont="1" applyFill="1" applyBorder="1" applyAlignment="1">
      <alignment horizontal="left" vertical="center" wrapText="1"/>
    </xf>
    <xf numFmtId="1" fontId="49" fillId="25" borderId="648" xfId="1" applyNumberFormat="1" applyFont="1" applyFill="1" applyBorder="1" applyAlignment="1">
      <alignment horizontal="center" vertical="center"/>
    </xf>
    <xf numFmtId="49" fontId="49" fillId="25" borderId="648" xfId="0" applyNumberFormat="1" applyFont="1" applyFill="1" applyBorder="1">
      <alignment horizontal="center" vertical="center"/>
    </xf>
    <xf numFmtId="49" fontId="49" fillId="25" borderId="654" xfId="0" applyNumberFormat="1" applyFont="1" applyFill="1" applyBorder="1">
      <alignment horizontal="center" vertical="center"/>
    </xf>
    <xf numFmtId="49" fontId="49" fillId="19" borderId="227" xfId="0" applyNumberFormat="1" applyFont="1" applyFill="1" applyBorder="1">
      <alignment horizontal="center" vertical="center"/>
    </xf>
    <xf numFmtId="1" fontId="49" fillId="19" borderId="648" xfId="1" applyNumberFormat="1" applyFont="1" applyFill="1" applyBorder="1" applyAlignment="1">
      <alignment horizontal="center" vertical="center"/>
    </xf>
    <xf numFmtId="0" fontId="51" fillId="25" borderId="654" xfId="8" applyFont="1" applyBorder="1">
      <alignment horizontal="center" vertical="center"/>
    </xf>
    <xf numFmtId="49" fontId="49" fillId="19" borderId="225" xfId="0" applyNumberFormat="1" applyFont="1" applyFill="1" applyBorder="1">
      <alignment horizontal="center" vertical="center"/>
    </xf>
    <xf numFmtId="0" fontId="49" fillId="25" borderId="648" xfId="0" applyFont="1" applyFill="1" applyBorder="1">
      <alignment horizontal="center" vertical="center"/>
    </xf>
    <xf numFmtId="0" fontId="49" fillId="25" borderId="648" xfId="6" applyFont="1" applyFill="1" applyBorder="1">
      <alignment horizontal="center" vertical="center"/>
    </xf>
    <xf numFmtId="0" fontId="49" fillId="19" borderId="648" xfId="7" applyFont="1" applyFill="1" applyBorder="1">
      <alignment horizontal="center" vertical="center"/>
    </xf>
    <xf numFmtId="0" fontId="49" fillId="19" borderId="654" xfId="7" applyFont="1" applyFill="1" applyBorder="1">
      <alignment horizontal="center" vertical="center"/>
    </xf>
    <xf numFmtId="0" fontId="49" fillId="19" borderId="227" xfId="6" applyFont="1" applyFill="1" applyBorder="1">
      <alignment horizontal="center" vertical="center"/>
    </xf>
    <xf numFmtId="0" fontId="5" fillId="0" borderId="224" xfId="0" applyFont="1" applyBorder="1" applyAlignment="1">
      <alignment horizontal="center"/>
    </xf>
    <xf numFmtId="0" fontId="49" fillId="0" borderId="224" xfId="0" applyFont="1" applyBorder="1">
      <alignment horizontal="center" vertical="center"/>
    </xf>
    <xf numFmtId="0" fontId="6" fillId="0" borderId="224" xfId="0" applyFont="1" applyBorder="1">
      <alignment horizontal="center" vertical="center"/>
    </xf>
    <xf numFmtId="0" fontId="49" fillId="0" borderId="175" xfId="0" applyFont="1" applyBorder="1">
      <alignment horizontal="center" vertical="center"/>
    </xf>
    <xf numFmtId="0" fontId="5" fillId="0" borderId="224" xfId="0" applyFont="1" applyBorder="1" applyAlignment="1">
      <alignment horizontal="left"/>
    </xf>
    <xf numFmtId="0" fontId="6" fillId="0" borderId="229" xfId="0" applyFont="1" applyBorder="1">
      <alignment horizontal="center" vertical="center"/>
    </xf>
    <xf numFmtId="0" fontId="49" fillId="0" borderId="224" xfId="0" applyFont="1" applyBorder="1" applyAlignment="1">
      <alignment horizontal="center"/>
    </xf>
    <xf numFmtId="0" fontId="49" fillId="0" borderId="229" xfId="0" applyFont="1" applyBorder="1" applyAlignment="1">
      <alignment horizontal="left"/>
    </xf>
    <xf numFmtId="0" fontId="49" fillId="0" borderId="230" xfId="0" applyFont="1" applyBorder="1" applyAlignment="1">
      <alignment horizontal="left"/>
    </xf>
    <xf numFmtId="0" fontId="49" fillId="22" borderId="224" xfId="0" applyFont="1" applyFill="1" applyBorder="1" applyAlignment="1" applyProtection="1">
      <alignment horizontal="center"/>
      <protection locked="0"/>
    </xf>
    <xf numFmtId="0" fontId="49" fillId="0" borderId="200" xfId="0" applyFont="1" applyBorder="1" applyAlignment="1">
      <alignment horizontal="left"/>
    </xf>
    <xf numFmtId="0" fontId="49" fillId="0" borderId="178" xfId="0" applyFont="1" applyBorder="1" applyAlignment="1">
      <alignment horizontal="left"/>
    </xf>
    <xf numFmtId="0" fontId="6" fillId="0" borderId="231" xfId="0" applyFont="1" applyBorder="1" applyAlignment="1">
      <alignment horizontal="left"/>
    </xf>
    <xf numFmtId="0" fontId="5" fillId="0" borderId="229" xfId="0" applyFont="1" applyBorder="1" applyAlignment="1">
      <alignment horizontal="left"/>
    </xf>
    <xf numFmtId="0" fontId="11" fillId="0" borderId="224" xfId="0" applyFont="1" applyBorder="1" applyAlignment="1" applyProtection="1">
      <alignment horizontal="center"/>
      <protection locked="0"/>
    </xf>
    <xf numFmtId="0" fontId="49" fillId="0" borderId="224" xfId="0" applyFont="1" applyBorder="1" applyAlignment="1">
      <alignment horizontal="left"/>
    </xf>
    <xf numFmtId="0" fontId="6" fillId="0" borderId="224" xfId="0" applyFont="1" applyBorder="1" applyAlignment="1">
      <alignment horizontal="left"/>
    </xf>
    <xf numFmtId="0" fontId="5" fillId="0" borderId="175" xfId="0" applyFont="1" applyBorder="1" applyAlignment="1" applyProtection="1">
      <alignment horizontal="center"/>
      <protection locked="0"/>
    </xf>
    <xf numFmtId="0" fontId="49" fillId="18" borderId="175" xfId="0" applyFont="1" applyFill="1" applyBorder="1">
      <alignment horizontal="center" vertical="center"/>
    </xf>
    <xf numFmtId="0" fontId="49" fillId="19" borderId="175" xfId="0" applyFont="1" applyFill="1" applyBorder="1">
      <alignment horizontal="center" vertical="center"/>
    </xf>
    <xf numFmtId="0" fontId="49" fillId="19" borderId="181" xfId="0" applyFont="1" applyFill="1" applyBorder="1">
      <alignment horizontal="center" vertical="center"/>
    </xf>
    <xf numFmtId="0" fontId="49" fillId="0" borderId="656" xfId="0" applyFont="1" applyBorder="1" applyAlignment="1">
      <alignment vertical="center"/>
    </xf>
    <xf numFmtId="0" fontId="49" fillId="19" borderId="546" xfId="0" applyFont="1" applyFill="1" applyBorder="1" applyAlignment="1" applyProtection="1">
      <alignment horizontal="left" vertical="center"/>
      <protection locked="0"/>
    </xf>
    <xf numFmtId="0" fontId="49" fillId="0" borderId="546" xfId="0" applyFont="1" applyBorder="1">
      <alignment horizontal="center" vertical="center"/>
    </xf>
    <xf numFmtId="0" fontId="51" fillId="24" borderId="546" xfId="6" applyFont="1" applyBorder="1">
      <alignment horizontal="center" vertical="center"/>
    </xf>
    <xf numFmtId="0" fontId="49" fillId="27" borderId="546" xfId="0" applyFont="1" applyFill="1" applyBorder="1">
      <alignment horizontal="center" vertical="center"/>
    </xf>
    <xf numFmtId="0" fontId="49" fillId="24" borderId="546" xfId="0" applyFont="1" applyFill="1" applyBorder="1">
      <alignment horizontal="center" vertical="center"/>
    </xf>
    <xf numFmtId="0" fontId="49" fillId="19" borderId="593" xfId="0" applyFont="1" applyFill="1" applyBorder="1">
      <alignment horizontal="center" vertical="center"/>
    </xf>
    <xf numFmtId="0" fontId="6" fillId="0" borderId="648" xfId="7" applyBorder="1">
      <alignment horizontal="center" vertical="center"/>
    </xf>
    <xf numFmtId="0" fontId="49" fillId="19" borderId="546" xfId="0" applyFont="1" applyFill="1" applyBorder="1" applyAlignment="1">
      <alignment horizontal="left" vertical="center"/>
    </xf>
    <xf numFmtId="49" fontId="49" fillId="19" borderId="546" xfId="0" applyNumberFormat="1" applyFont="1" applyFill="1" applyBorder="1">
      <alignment horizontal="center" vertical="center"/>
    </xf>
    <xf numFmtId="0" fontId="49" fillId="19" borderId="546" xfId="8" applyFont="1" applyFill="1" applyBorder="1">
      <alignment horizontal="center" vertical="center"/>
    </xf>
    <xf numFmtId="0" fontId="49" fillId="25" borderId="546" xfId="8" applyFont="1" applyBorder="1">
      <alignment horizontal="center" vertical="center"/>
    </xf>
    <xf numFmtId="0" fontId="49" fillId="25" borderId="546" xfId="0" applyFont="1" applyFill="1" applyBorder="1">
      <alignment horizontal="center" vertical="center"/>
    </xf>
    <xf numFmtId="49" fontId="49" fillId="25" borderId="546" xfId="0" applyNumberFormat="1" applyFont="1" applyFill="1" applyBorder="1">
      <alignment horizontal="center" vertical="center"/>
    </xf>
    <xf numFmtId="0" fontId="51" fillId="29" borderId="546" xfId="11" applyFont="1" applyBorder="1">
      <alignment horizontal="center" vertical="center"/>
    </xf>
    <xf numFmtId="0" fontId="51" fillId="29" borderId="593" xfId="11" applyFont="1" applyBorder="1">
      <alignment horizontal="center" vertical="center"/>
    </xf>
    <xf numFmtId="0" fontId="6" fillId="0" borderId="224" xfId="7" applyBorder="1">
      <alignment horizontal="center" vertical="center"/>
    </xf>
    <xf numFmtId="0" fontId="49" fillId="19" borderId="546" xfId="12" applyFont="1" applyFill="1" applyBorder="1">
      <alignment horizontal="center" vertical="center"/>
    </xf>
    <xf numFmtId="49" fontId="49" fillId="19" borderId="546" xfId="7" applyNumberFormat="1" applyFont="1" applyFill="1" applyBorder="1">
      <alignment horizontal="center" vertical="center"/>
    </xf>
    <xf numFmtId="0" fontId="52" fillId="27" borderId="546" xfId="7" applyFont="1" applyFill="1" applyBorder="1">
      <alignment horizontal="center" vertical="center"/>
    </xf>
    <xf numFmtId="0" fontId="49" fillId="27" borderId="648" xfId="6" applyFont="1" applyFill="1" applyBorder="1">
      <alignment horizontal="center" vertical="center"/>
    </xf>
    <xf numFmtId="0" fontId="52" fillId="19" borderId="546" xfId="7" applyFont="1" applyFill="1" applyBorder="1">
      <alignment horizontal="center" vertical="center"/>
    </xf>
    <xf numFmtId="0" fontId="49" fillId="19" borderId="546" xfId="7" applyFont="1" applyFill="1" applyBorder="1">
      <alignment horizontal="center" vertical="center"/>
    </xf>
    <xf numFmtId="0" fontId="51" fillId="28" borderId="648" xfId="10" applyFont="1" applyBorder="1">
      <alignment horizontal="center" vertical="center"/>
    </xf>
    <xf numFmtId="0" fontId="49" fillId="28" borderId="546" xfId="12" applyFont="1" applyFill="1" applyBorder="1">
      <alignment horizontal="center" vertical="center"/>
    </xf>
    <xf numFmtId="0" fontId="49" fillId="28" borderId="546" xfId="0" applyFont="1" applyFill="1" applyBorder="1">
      <alignment horizontal="center" vertical="center"/>
    </xf>
    <xf numFmtId="0" fontId="49" fillId="28" borderId="593" xfId="7" applyFont="1" applyFill="1" applyBorder="1">
      <alignment horizontal="center" vertical="center"/>
    </xf>
    <xf numFmtId="0" fontId="49" fillId="0" borderId="546" xfId="7" applyFont="1" applyBorder="1" applyAlignment="1">
      <alignment horizontal="left" vertical="center"/>
    </xf>
    <xf numFmtId="0" fontId="49" fillId="19" borderId="546" xfId="1" applyFont="1" applyFill="1" applyBorder="1" applyAlignment="1">
      <alignment horizontal="center" vertical="center"/>
    </xf>
    <xf numFmtId="0" fontId="49" fillId="19" borderId="546" xfId="0" applyFont="1" applyFill="1" applyBorder="1" applyAlignment="1">
      <alignment vertical="center"/>
    </xf>
    <xf numFmtId="0" fontId="51" fillId="30" borderId="546" xfId="12" applyFont="1" applyBorder="1">
      <alignment horizontal="center" vertical="center"/>
    </xf>
    <xf numFmtId="0" fontId="49" fillId="0" borderId="546" xfId="7" applyFont="1" applyBorder="1">
      <alignment horizontal="center" vertical="center"/>
    </xf>
    <xf numFmtId="0" fontId="49" fillId="0" borderId="593" xfId="0" applyFont="1" applyBorder="1">
      <alignment horizontal="center" vertical="center"/>
    </xf>
    <xf numFmtId="0" fontId="51" fillId="30" borderId="648" xfId="12" applyFont="1" applyBorder="1">
      <alignment horizontal="center" vertical="center"/>
    </xf>
    <xf numFmtId="0" fontId="49" fillId="19" borderId="656" xfId="0" applyFont="1" applyFill="1" applyBorder="1" applyAlignment="1">
      <alignment horizontal="left" vertical="center"/>
    </xf>
    <xf numFmtId="0" fontId="51" fillId="19" borderId="546" xfId="12" applyFont="1" applyFill="1" applyBorder="1">
      <alignment horizontal="center" vertical="center"/>
    </xf>
    <xf numFmtId="0" fontId="49" fillId="27" borderId="546" xfId="12" applyFont="1" applyFill="1" applyBorder="1">
      <alignment horizontal="center" vertical="center"/>
    </xf>
    <xf numFmtId="0" fontId="6" fillId="0" borderId="693" xfId="7" applyBorder="1">
      <alignment horizontal="center" vertical="center"/>
    </xf>
    <xf numFmtId="0" fontId="6" fillId="0" borderId="694" xfId="7" applyBorder="1">
      <alignment horizontal="center" vertical="center"/>
    </xf>
    <xf numFmtId="0" fontId="49" fillId="19" borderId="659" xfId="0" applyFont="1" applyFill="1" applyBorder="1" applyAlignment="1">
      <alignment horizontal="left" vertical="center"/>
    </xf>
    <xf numFmtId="0" fontId="6" fillId="19" borderId="659" xfId="0" applyFont="1" applyFill="1" applyBorder="1" applyAlignment="1">
      <alignment horizontal="left" vertical="center"/>
    </xf>
    <xf numFmtId="0" fontId="49" fillId="19" borderId="546" xfId="10" applyFont="1" applyFill="1" applyBorder="1">
      <alignment horizontal="center" vertical="center"/>
    </xf>
    <xf numFmtId="0" fontId="49" fillId="19" borderId="224" xfId="12" applyFont="1" applyFill="1" applyBorder="1">
      <alignment horizontal="center" vertical="center"/>
    </xf>
    <xf numFmtId="0" fontId="49" fillId="19" borderId="224" xfId="8" applyFont="1" applyFill="1" applyBorder="1">
      <alignment horizontal="center" vertical="center"/>
    </xf>
    <xf numFmtId="0" fontId="49" fillId="19" borderId="225" xfId="8" applyFont="1" applyFill="1" applyBorder="1">
      <alignment horizontal="center" vertical="center"/>
    </xf>
    <xf numFmtId="0" fontId="53" fillId="0" borderId="546" xfId="0" applyFont="1" applyBorder="1" applyAlignment="1" applyProtection="1">
      <alignment horizontal="center"/>
      <protection locked="0"/>
    </xf>
    <xf numFmtId="0" fontId="49" fillId="19" borderId="224" xfId="0" applyFont="1" applyFill="1" applyBorder="1" applyAlignment="1">
      <alignment horizontal="left" vertical="center"/>
    </xf>
    <xf numFmtId="49" fontId="49" fillId="19" borderId="593" xfId="0" applyNumberFormat="1" applyFont="1" applyFill="1" applyBorder="1">
      <alignment horizontal="center" vertical="center"/>
    </xf>
    <xf numFmtId="0" fontId="51" fillId="30" borderId="224" xfId="12" applyFont="1" applyBorder="1">
      <alignment horizontal="center" vertical="center"/>
    </xf>
    <xf numFmtId="0" fontId="5" fillId="0" borderId="648" xfId="0" applyFont="1" applyBorder="1" applyAlignment="1" applyProtection="1">
      <alignment horizontal="center"/>
      <protection locked="0"/>
    </xf>
    <xf numFmtId="0" fontId="5" fillId="19" borderId="648" xfId="0" applyFont="1" applyFill="1" applyBorder="1" applyAlignment="1">
      <alignment horizontal="left" vertical="center"/>
    </xf>
    <xf numFmtId="0" fontId="5" fillId="0" borderId="224" xfId="0" applyFont="1" applyBorder="1" applyAlignment="1" applyProtection="1">
      <alignment horizontal="center"/>
      <protection locked="0"/>
    </xf>
    <xf numFmtId="0" fontId="49" fillId="19" borderId="648" xfId="0" applyFont="1" applyFill="1" applyBorder="1" applyAlignment="1">
      <alignment horizontal="left" vertical="center"/>
    </xf>
    <xf numFmtId="0" fontId="49" fillId="19" borderId="648" xfId="12" applyFont="1" applyFill="1" applyBorder="1">
      <alignment horizontal="center" vertical="center"/>
    </xf>
    <xf numFmtId="0" fontId="49" fillId="60" borderId="648" xfId="12" applyFont="1" applyFill="1" applyBorder="1">
      <alignment horizontal="center" vertical="center"/>
    </xf>
    <xf numFmtId="0" fontId="51" fillId="28" borderId="654" xfId="10" applyFont="1" applyBorder="1">
      <alignment horizontal="center" vertical="center"/>
    </xf>
    <xf numFmtId="0" fontId="49" fillId="60" borderId="224" xfId="0" applyFont="1" applyFill="1" applyBorder="1">
      <alignment horizontal="center" vertical="center"/>
    </xf>
    <xf numFmtId="0" fontId="49" fillId="60" borderId="224" xfId="12" applyFont="1" applyFill="1" applyBorder="1">
      <alignment horizontal="center" vertical="center"/>
    </xf>
    <xf numFmtId="0" fontId="49" fillId="0" borderId="225" xfId="0" applyFont="1" applyBorder="1">
      <alignment horizontal="center" vertical="center"/>
    </xf>
    <xf numFmtId="0" fontId="6" fillId="19" borderId="224" xfId="0" applyFont="1" applyFill="1" applyBorder="1" applyAlignment="1">
      <alignment horizontal="left" vertical="center"/>
    </xf>
    <xf numFmtId="0" fontId="49" fillId="19" borderId="695" xfId="7" applyFont="1" applyFill="1" applyBorder="1">
      <alignment horizontal="center" vertical="center"/>
    </xf>
    <xf numFmtId="0" fontId="5" fillId="0" borderId="594" xfId="7" applyFont="1" applyBorder="1" applyAlignment="1">
      <alignment horizontal="center"/>
    </xf>
    <xf numFmtId="0" fontId="5" fillId="0" borderId="595" xfId="7" applyFont="1" applyBorder="1" applyAlignment="1">
      <alignment horizontal="left"/>
    </xf>
    <xf numFmtId="0" fontId="5" fillId="0" borderId="596" xfId="7" applyFont="1" applyBorder="1">
      <alignment horizontal="center" vertical="center"/>
    </xf>
    <xf numFmtId="0" fontId="5" fillId="0" borderId="450" xfId="7" applyFont="1" applyBorder="1" applyAlignment="1">
      <alignment horizontal="left"/>
    </xf>
    <xf numFmtId="0" fontId="5" fillId="0" borderId="596" xfId="7" applyFont="1" applyBorder="1" applyAlignment="1">
      <alignment horizontal="left"/>
    </xf>
    <xf numFmtId="0" fontId="5" fillId="0" borderId="664" xfId="7" applyFont="1" applyBorder="1" applyAlignment="1">
      <alignment horizontal="left"/>
    </xf>
    <xf numFmtId="0" fontId="5" fillId="0" borderId="229" xfId="7" applyFont="1" applyBorder="1" applyAlignment="1">
      <alignment horizontal="left"/>
    </xf>
    <xf numFmtId="0" fontId="5" fillId="0" borderId="230" xfId="7" applyFont="1" applyBorder="1" applyAlignment="1">
      <alignment horizontal="left"/>
    </xf>
    <xf numFmtId="0" fontId="5" fillId="0" borderId="240" xfId="7" applyFont="1" applyBorder="1" applyAlignment="1">
      <alignment horizontal="left"/>
    </xf>
    <xf numFmtId="0" fontId="5" fillId="0" borderId="239" xfId="7" applyFont="1" applyBorder="1" applyAlignment="1">
      <alignment horizontal="left"/>
    </xf>
    <xf numFmtId="0" fontId="5" fillId="0" borderId="175" xfId="7" applyFont="1" applyBorder="1" applyAlignment="1" applyProtection="1">
      <alignment horizontal="center"/>
      <protection locked="0"/>
    </xf>
    <xf numFmtId="0" fontId="5" fillId="0" borderId="175" xfId="7" applyFont="1" applyBorder="1" applyAlignment="1">
      <alignment horizontal="center"/>
    </xf>
    <xf numFmtId="0" fontId="5" fillId="22" borderId="648" xfId="7" applyFont="1" applyFill="1" applyBorder="1" applyAlignment="1">
      <alignment horizontal="center"/>
    </xf>
    <xf numFmtId="0" fontId="5" fillId="22" borderId="224" xfId="7" applyFont="1" applyFill="1" applyBorder="1" applyAlignment="1">
      <alignment horizontal="center"/>
    </xf>
    <xf numFmtId="49" fontId="49" fillId="19" borderId="224" xfId="3" applyNumberFormat="1" applyFont="1" applyFill="1" applyBorder="1" applyAlignment="1">
      <alignment horizontal="center" vertical="center"/>
    </xf>
    <xf numFmtId="49" fontId="49" fillId="27" borderId="224" xfId="3" applyNumberFormat="1" applyFont="1" applyFill="1" applyBorder="1" applyAlignment="1">
      <alignment horizontal="center" vertical="center"/>
    </xf>
    <xf numFmtId="0" fontId="49" fillId="0" borderId="224" xfId="7" applyFont="1" applyBorder="1" applyAlignment="1">
      <alignment vertical="center"/>
    </xf>
    <xf numFmtId="49" fontId="6" fillId="19" borderId="224" xfId="2" applyNumberFormat="1" applyFont="1" applyFill="1" applyBorder="1" applyAlignment="1">
      <alignment horizontal="center" vertical="center"/>
    </xf>
    <xf numFmtId="49" fontId="6" fillId="27" borderId="224" xfId="3" applyNumberFormat="1" applyFont="1" applyFill="1" applyBorder="1" applyAlignment="1">
      <alignment horizontal="center" vertical="center"/>
    </xf>
    <xf numFmtId="0" fontId="51" fillId="25" borderId="220" xfId="8" applyFont="1" applyBorder="1">
      <alignment horizontal="center" vertical="center"/>
    </xf>
    <xf numFmtId="49" fontId="6" fillId="27" borderId="224" xfId="7" applyNumberFormat="1" applyFill="1" applyBorder="1">
      <alignment horizontal="center" vertical="center"/>
    </xf>
    <xf numFmtId="49" fontId="6" fillId="27" borderId="225" xfId="7" applyNumberFormat="1" applyFill="1" applyBorder="1">
      <alignment horizontal="center" vertical="center"/>
    </xf>
    <xf numFmtId="0" fontId="5" fillId="22" borderId="220" xfId="7" applyFont="1" applyFill="1" applyBorder="1" applyAlignment="1">
      <alignment horizontal="center"/>
    </xf>
    <xf numFmtId="0" fontId="49" fillId="0" borderId="220" xfId="7" applyFont="1" applyBorder="1" applyAlignment="1">
      <alignment vertical="center"/>
    </xf>
    <xf numFmtId="0" fontId="6" fillId="19" borderId="220" xfId="13" applyFont="1" applyFill="1" applyBorder="1">
      <alignment horizontal="center" vertical="center"/>
    </xf>
    <xf numFmtId="0" fontId="5" fillId="0" borderId="594" xfId="0" applyFont="1" applyBorder="1" applyAlignment="1">
      <alignment horizontal="center"/>
    </xf>
    <xf numFmtId="0" fontId="49" fillId="0" borderId="450" xfId="0" applyFont="1" applyBorder="1">
      <alignment horizontal="center" vertical="center"/>
    </xf>
    <xf numFmtId="0" fontId="5" fillId="0" borderId="451" xfId="0" applyFont="1" applyBorder="1" applyAlignment="1">
      <alignment horizontal="left"/>
    </xf>
    <xf numFmtId="0" fontId="49" fillId="0" borderId="451" xfId="0" applyFont="1" applyBorder="1">
      <alignment horizontal="center" vertical="center"/>
    </xf>
    <xf numFmtId="0" fontId="49" fillId="0" borderId="450" xfId="0" applyFont="1" applyBorder="1" applyAlignment="1">
      <alignment horizontal="center"/>
    </xf>
    <xf numFmtId="0" fontId="49" fillId="0" borderId="451" xfId="0" applyFont="1" applyBorder="1" applyAlignment="1">
      <alignment horizontal="center"/>
    </xf>
    <xf numFmtId="0" fontId="49" fillId="0" borderId="596" xfId="0" applyFont="1" applyBorder="1" applyAlignment="1">
      <alignment horizontal="left" vertical="center"/>
    </xf>
    <xf numFmtId="0" fontId="5" fillId="0" borderId="243" xfId="0" applyFont="1" applyBorder="1" applyAlignment="1">
      <alignment horizontal="center"/>
    </xf>
    <xf numFmtId="0" fontId="49" fillId="0" borderId="648" xfId="0" applyFont="1" applyBorder="1">
      <alignment horizontal="center" vertical="center"/>
    </xf>
    <xf numFmtId="0" fontId="49" fillId="0" borderId="450" xfId="0" applyFont="1" applyBorder="1" applyAlignment="1"/>
    <xf numFmtId="0" fontId="5" fillId="0" borderId="448" xfId="0" applyFont="1" applyBorder="1" applyAlignment="1">
      <alignment horizontal="left"/>
    </xf>
    <xf numFmtId="0" fontId="49" fillId="0" borderId="448" xfId="0" applyFont="1" applyBorder="1" applyAlignment="1"/>
    <xf numFmtId="0" fontId="49" fillId="0" borderId="451" xfId="0" applyFont="1" applyBorder="1" applyAlignment="1"/>
    <xf numFmtId="0" fontId="5" fillId="0" borderId="450" xfId="0" applyFont="1" applyBorder="1" applyAlignment="1">
      <alignment horizontal="left"/>
    </xf>
    <xf numFmtId="0" fontId="49" fillId="0" borderId="597" xfId="0" applyFont="1" applyBorder="1" applyAlignment="1"/>
    <xf numFmtId="0" fontId="49" fillId="0" borderId="228" xfId="0" applyFont="1" applyBorder="1" applyAlignment="1">
      <alignment horizontal="center"/>
    </xf>
    <xf numFmtId="0" fontId="49" fillId="0" borderId="230" xfId="0" applyFont="1" applyBorder="1" applyAlignment="1"/>
    <xf numFmtId="0" fontId="49" fillId="0" borderId="231" xfId="0" applyFont="1" applyBorder="1" applyAlignment="1">
      <alignment horizontal="left"/>
    </xf>
    <xf numFmtId="0" fontId="5" fillId="0" borderId="230" xfId="0" applyFont="1" applyBorder="1" applyAlignment="1"/>
    <xf numFmtId="0" fontId="5" fillId="0" borderId="231" xfId="0" applyFont="1" applyBorder="1" applyAlignment="1">
      <alignment horizontal="left"/>
    </xf>
    <xf numFmtId="0" fontId="49" fillId="0" borderId="229" xfId="0" applyFont="1" applyBorder="1" applyAlignment="1">
      <alignment horizontal="center"/>
    </xf>
    <xf numFmtId="0" fontId="49" fillId="0" borderId="232" xfId="0" applyFont="1" applyBorder="1" applyAlignment="1"/>
    <xf numFmtId="0" fontId="5" fillId="0" borderId="200" xfId="0" applyFont="1" applyBorder="1" applyAlignment="1">
      <alignment horizontal="left"/>
    </xf>
    <xf numFmtId="0" fontId="49" fillId="0" borderId="178" xfId="0" applyFont="1" applyBorder="1" applyAlignment="1"/>
    <xf numFmtId="0" fontId="49" fillId="0" borderId="177" xfId="0" applyFont="1" applyBorder="1" applyAlignment="1">
      <alignment horizontal="left"/>
    </xf>
    <xf numFmtId="0" fontId="6" fillId="0" borderId="200" xfId="0" applyFont="1" applyBorder="1" applyAlignment="1">
      <alignment horizontal="center"/>
    </xf>
    <xf numFmtId="0" fontId="49" fillId="0" borderId="211" xfId="0" applyFont="1" applyBorder="1" applyAlignment="1"/>
    <xf numFmtId="0" fontId="49" fillId="0" borderId="628" xfId="0" applyFont="1" applyBorder="1" applyAlignment="1">
      <alignment horizontal="center"/>
    </xf>
    <xf numFmtId="0" fontId="5" fillId="0" borderId="240" xfId="0" applyFont="1" applyBorder="1" applyAlignment="1">
      <alignment horizontal="left"/>
    </xf>
    <xf numFmtId="0" fontId="6" fillId="0" borderId="240" xfId="0" applyFont="1" applyBorder="1" applyAlignment="1">
      <alignment horizontal="left" vertical="center"/>
    </xf>
    <xf numFmtId="0" fontId="49" fillId="0" borderId="236" xfId="0" applyFont="1" applyBorder="1" applyAlignment="1">
      <alignment horizontal="left"/>
    </xf>
    <xf numFmtId="0" fontId="49" fillId="0" borderId="241" xfId="0" applyFont="1" applyBorder="1" applyAlignment="1"/>
    <xf numFmtId="0" fontId="5" fillId="22" borderId="648" xfId="0" applyFont="1" applyFill="1" applyBorder="1" applyAlignment="1">
      <alignment horizontal="center"/>
    </xf>
    <xf numFmtId="0" fontId="6" fillId="32" borderId="648" xfId="15" applyBorder="1">
      <alignment horizontal="center" vertical="center"/>
    </xf>
    <xf numFmtId="0" fontId="5" fillId="22" borderId="224" xfId="0" applyFont="1" applyFill="1" applyBorder="1" applyAlignment="1">
      <alignment horizontal="center"/>
    </xf>
    <xf numFmtId="49" fontId="49" fillId="25" borderId="224" xfId="0" applyNumberFormat="1" applyFont="1" applyFill="1" applyBorder="1">
      <alignment horizontal="center" vertical="center"/>
    </xf>
    <xf numFmtId="0" fontId="51" fillId="28" borderId="225" xfId="10" applyFont="1" applyBorder="1">
      <alignment horizontal="center" vertical="center"/>
    </xf>
    <xf numFmtId="0" fontId="49" fillId="28" borderId="224" xfId="6" applyFont="1" applyFill="1" applyBorder="1">
      <alignment horizontal="center" vertical="center"/>
    </xf>
    <xf numFmtId="0" fontId="49" fillId="69" borderId="224" xfId="0" applyFont="1" applyFill="1" applyBorder="1">
      <alignment horizontal="center" vertical="center"/>
    </xf>
    <xf numFmtId="0" fontId="49" fillId="25" borderId="224" xfId="0" applyFont="1" applyFill="1" applyBorder="1">
      <alignment horizontal="center" vertical="center"/>
    </xf>
    <xf numFmtId="0" fontId="49" fillId="25" borderId="224" xfId="12" applyFont="1" applyFill="1" applyBorder="1">
      <alignment horizontal="center" vertical="center"/>
    </xf>
    <xf numFmtId="0" fontId="5" fillId="22" borderId="220" xfId="0" applyFont="1" applyFill="1" applyBorder="1" applyAlignment="1">
      <alignment horizontal="center"/>
    </xf>
    <xf numFmtId="0" fontId="49" fillId="19" borderId="220" xfId="0" applyFont="1" applyFill="1" applyBorder="1" applyAlignment="1">
      <alignment horizontal="left" vertical="center"/>
    </xf>
    <xf numFmtId="0" fontId="49" fillId="19" borderId="220" xfId="12" applyFont="1" applyFill="1" applyBorder="1">
      <alignment horizontal="center" vertical="center"/>
    </xf>
    <xf numFmtId="0" fontId="49" fillId="19" borderId="220" xfId="1" applyFont="1" applyFill="1" applyBorder="1" applyAlignment="1">
      <alignment horizontal="center" vertical="center"/>
    </xf>
    <xf numFmtId="0" fontId="49" fillId="19" borderId="220" xfId="8" applyFont="1" applyFill="1" applyBorder="1">
      <alignment horizontal="center" vertical="center"/>
    </xf>
    <xf numFmtId="0" fontId="49" fillId="19" borderId="227" xfId="8" applyFont="1" applyFill="1" applyBorder="1">
      <alignment horizontal="center" vertical="center"/>
    </xf>
    <xf numFmtId="0" fontId="49" fillId="0" borderId="240" xfId="0" applyFont="1" applyBorder="1" applyAlignment="1">
      <alignment horizontal="left"/>
    </xf>
    <xf numFmtId="0" fontId="49" fillId="0" borderId="236" xfId="0" applyFont="1" applyBorder="1" applyAlignment="1"/>
    <xf numFmtId="0" fontId="49" fillId="0" borderId="237" xfId="0" applyFont="1" applyBorder="1" applyAlignment="1">
      <alignment horizontal="left"/>
    </xf>
    <xf numFmtId="0" fontId="49" fillId="0" borderId="240" xfId="0" applyFont="1" applyBorder="1" applyAlignment="1">
      <alignment horizontal="center"/>
    </xf>
    <xf numFmtId="0" fontId="5" fillId="22" borderId="656" xfId="0" applyFont="1" applyFill="1" applyBorder="1" applyAlignment="1">
      <alignment horizontal="center"/>
    </xf>
    <xf numFmtId="0" fontId="51" fillId="0" borderId="546" xfId="0" applyFont="1" applyBorder="1" applyAlignment="1">
      <alignment vertical="center"/>
    </xf>
    <xf numFmtId="0" fontId="49" fillId="19" borderId="656" xfId="6" applyFont="1" applyFill="1" applyBorder="1">
      <alignment horizontal="center" vertical="center"/>
    </xf>
    <xf numFmtId="49" fontId="49" fillId="19" borderId="656" xfId="0" applyNumberFormat="1" applyFont="1" applyFill="1" applyBorder="1">
      <alignment horizontal="center" vertical="center"/>
    </xf>
    <xf numFmtId="0" fontId="51" fillId="24" borderId="656" xfId="6" applyFont="1" applyBorder="1">
      <alignment horizontal="center" vertical="center"/>
    </xf>
    <xf numFmtId="0" fontId="17" fillId="27" borderId="675" xfId="9" applyBorder="1">
      <alignment horizontal="center" vertical="center"/>
    </xf>
    <xf numFmtId="0" fontId="5" fillId="22" borderId="546" xfId="0" applyFont="1" applyFill="1" applyBorder="1" applyAlignment="1">
      <alignment horizontal="center"/>
    </xf>
    <xf numFmtId="0" fontId="49" fillId="19" borderId="546" xfId="6" applyFont="1" applyFill="1" applyBorder="1">
      <alignment horizontal="center" vertical="center"/>
    </xf>
    <xf numFmtId="0" fontId="49" fillId="19" borderId="546" xfId="9" applyFont="1" applyFill="1" applyBorder="1">
      <alignment horizontal="center" vertical="center"/>
    </xf>
    <xf numFmtId="0" fontId="49" fillId="0" borderId="668" xfId="0" applyFont="1" applyBorder="1" applyAlignment="1">
      <alignment horizontal="center"/>
    </xf>
    <xf numFmtId="164" fontId="6" fillId="0" borderId="240" xfId="0" applyNumberFormat="1" applyFont="1" applyBorder="1" applyAlignment="1">
      <alignment horizontal="center"/>
    </xf>
    <xf numFmtId="0" fontId="49" fillId="19" borderId="224" xfId="0" applyFont="1" applyFill="1" applyBorder="1" applyAlignment="1">
      <alignment vertical="center"/>
    </xf>
    <xf numFmtId="0" fontId="49" fillId="0" borderId="175" xfId="0" applyFont="1" applyBorder="1" applyAlignment="1">
      <alignment horizontal="left" vertical="center"/>
    </xf>
    <xf numFmtId="0" fontId="6" fillId="19" borderId="175" xfId="0" applyFont="1" applyFill="1" applyBorder="1">
      <alignment horizontal="center" vertical="center"/>
    </xf>
    <xf numFmtId="0" fontId="6" fillId="19" borderId="181" xfId="0" applyFont="1" applyFill="1" applyBorder="1">
      <alignment horizontal="center" vertical="center"/>
    </xf>
    <xf numFmtId="0" fontId="49" fillId="0" borderId="546" xfId="0" applyFont="1" applyBorder="1" applyAlignment="1"/>
    <xf numFmtId="0" fontId="5" fillId="0" borderId="669" xfId="0" applyFont="1" applyBorder="1" applyAlignment="1">
      <alignment horizontal="center"/>
    </xf>
    <xf numFmtId="0" fontId="5" fillId="0" borderId="670" xfId="0" applyFont="1" applyBorder="1" applyAlignment="1">
      <alignment horizontal="left"/>
    </xf>
    <xf numFmtId="0" fontId="49" fillId="0" borderId="670" xfId="0" applyFont="1" applyBorder="1">
      <alignment horizontal="center" vertical="center"/>
    </xf>
    <xf numFmtId="0" fontId="49" fillId="0" borderId="671" xfId="0" applyFont="1" applyBorder="1">
      <alignment horizontal="center" vertical="center"/>
    </xf>
    <xf numFmtId="0" fontId="49" fillId="0" borderId="672" xfId="0" applyFont="1" applyBorder="1">
      <alignment horizontal="center" vertical="center"/>
    </xf>
    <xf numFmtId="0" fontId="49" fillId="0" borderId="673" xfId="0" applyFont="1" applyBorder="1">
      <alignment horizontal="center" vertical="center"/>
    </xf>
    <xf numFmtId="0" fontId="49" fillId="0" borderId="551" xfId="0" applyFont="1" applyBorder="1">
      <alignment horizontal="center" vertical="center"/>
    </xf>
    <xf numFmtId="0" fontId="49" fillId="0" borderId="499" xfId="0" applyFont="1" applyBorder="1" applyAlignment="1">
      <alignment horizontal="left" vertical="center"/>
    </xf>
    <xf numFmtId="0" fontId="49" fillId="0" borderId="669" xfId="0" applyFont="1" applyBorder="1">
      <alignment horizontal="center" vertical="center"/>
    </xf>
    <xf numFmtId="49" fontId="49" fillId="0" borderId="546" xfId="0" applyNumberFormat="1" applyFont="1" applyBorder="1">
      <alignment horizontal="center" vertical="center"/>
    </xf>
    <xf numFmtId="0" fontId="6" fillId="0" borderId="696" xfId="0" applyFont="1" applyBorder="1">
      <alignment horizontal="center" vertical="center"/>
    </xf>
    <xf numFmtId="0" fontId="49" fillId="18" borderId="674" xfId="0" applyFont="1" applyFill="1" applyBorder="1">
      <alignment horizontal="center" vertical="center"/>
    </xf>
    <xf numFmtId="0" fontId="49" fillId="19" borderId="674" xfId="0" applyFont="1" applyFill="1" applyBorder="1">
      <alignment horizontal="center" vertical="center"/>
    </xf>
    <xf numFmtId="0" fontId="49" fillId="19" borderId="656" xfId="0" applyFont="1" applyFill="1" applyBorder="1" applyAlignment="1">
      <alignment horizontal="left" vertical="center" wrapText="1"/>
    </xf>
    <xf numFmtId="0" fontId="51" fillId="25" borderId="656" xfId="8" applyFont="1" applyBorder="1">
      <alignment horizontal="center" vertical="center"/>
    </xf>
    <xf numFmtId="0" fontId="51" fillId="25" borderId="675" xfId="8" applyFont="1" applyBorder="1">
      <alignment horizontal="center" vertical="center"/>
    </xf>
    <xf numFmtId="0" fontId="49" fillId="19" borderId="546" xfId="0" applyFont="1" applyFill="1" applyBorder="1" applyAlignment="1">
      <alignment horizontal="left" vertical="center" wrapText="1"/>
    </xf>
    <xf numFmtId="49" fontId="49" fillId="27" borderId="546" xfId="0" applyNumberFormat="1" applyFont="1" applyFill="1" applyBorder="1">
      <alignment horizontal="center" vertical="center"/>
    </xf>
    <xf numFmtId="0" fontId="49" fillId="19" borderId="546" xfId="15" applyFont="1" applyFill="1" applyBorder="1">
      <alignment horizontal="center" vertical="center"/>
    </xf>
    <xf numFmtId="0" fontId="51" fillId="28" borderId="546" xfId="10" applyFont="1" applyBorder="1">
      <alignment horizontal="center" vertical="center"/>
    </xf>
    <xf numFmtId="0" fontId="49" fillId="19" borderId="546" xfId="5" applyFont="1" applyFill="1" applyBorder="1">
      <alignment horizontal="center" vertical="center"/>
    </xf>
    <xf numFmtId="49" fontId="49" fillId="19" borderId="546" xfId="2" applyNumberFormat="1" applyFont="1" applyFill="1" applyBorder="1" applyAlignment="1">
      <alignment horizontal="center" vertical="center"/>
    </xf>
    <xf numFmtId="0" fontId="51" fillId="25" borderId="593" xfId="8" applyFont="1" applyBorder="1">
      <alignment horizontal="center" vertical="center"/>
    </xf>
    <xf numFmtId="0" fontId="51" fillId="28" borderId="593" xfId="10" applyFont="1" applyBorder="1">
      <alignment horizontal="center" vertical="center"/>
    </xf>
    <xf numFmtId="49" fontId="49" fillId="19" borderId="501" xfId="0" applyNumberFormat="1" applyFont="1" applyFill="1" applyBorder="1">
      <alignment horizontal="center" vertical="center"/>
    </xf>
    <xf numFmtId="0" fontId="5" fillId="0" borderId="546" xfId="0" applyFont="1" applyBorder="1" applyAlignment="1">
      <alignment horizontal="center"/>
    </xf>
    <xf numFmtId="0" fontId="49" fillId="0" borderId="448" xfId="0" applyFont="1" applyBorder="1" applyAlignment="1">
      <alignment horizontal="left" vertical="center"/>
    </xf>
    <xf numFmtId="0" fontId="49" fillId="0" borderId="622" xfId="0" applyFont="1" applyBorder="1" applyAlignment="1">
      <alignment horizontal="left" vertical="center"/>
    </xf>
    <xf numFmtId="0" fontId="5" fillId="0" borderId="450" xfId="0" applyFont="1" applyBorder="1" applyAlignment="1">
      <alignment horizontal="left" vertical="center"/>
    </xf>
    <xf numFmtId="0" fontId="49" fillId="0" borderId="451" xfId="0" applyFont="1" applyBorder="1" applyAlignment="1">
      <alignment horizontal="left" vertical="center"/>
    </xf>
    <xf numFmtId="0" fontId="5" fillId="0" borderId="448" xfId="0" applyFont="1" applyBorder="1" applyAlignment="1">
      <alignment horizontal="left" vertical="center"/>
    </xf>
    <xf numFmtId="0" fontId="49" fillId="0" borderId="502" xfId="0" applyFont="1" applyBorder="1" applyAlignment="1">
      <alignment horizontal="left" vertical="center"/>
    </xf>
    <xf numFmtId="0" fontId="49" fillId="0" borderId="229" xfId="0" applyFont="1" applyBorder="1" applyAlignment="1">
      <alignment horizontal="left" vertical="center"/>
    </xf>
    <xf numFmtId="0" fontId="5" fillId="0" borderId="230" xfId="0" applyFont="1" applyBorder="1" applyAlignment="1">
      <alignment horizontal="left"/>
    </xf>
    <xf numFmtId="0" fontId="49" fillId="0" borderId="231" xfId="0" applyFont="1" applyBorder="1" applyAlignment="1">
      <alignment horizontal="left" vertical="center"/>
    </xf>
    <xf numFmtId="0" fontId="5" fillId="0" borderId="546" xfId="0" applyFont="1" applyBorder="1">
      <alignment horizontal="center" vertical="center"/>
    </xf>
    <xf numFmtId="0" fontId="49" fillId="0" borderId="551" xfId="0" applyFont="1" applyBorder="1" applyAlignment="1">
      <alignment horizontal="left" vertical="center"/>
    </xf>
    <xf numFmtId="0" fontId="49" fillId="0" borderId="51" xfId="0" applyFont="1" applyBorder="1" applyAlignment="1">
      <alignment horizontal="left" vertical="center"/>
    </xf>
    <xf numFmtId="0" fontId="49" fillId="0" borderId="552" xfId="0" applyFont="1" applyBorder="1" applyAlignment="1">
      <alignment horizontal="left" vertical="center"/>
    </xf>
    <xf numFmtId="0" fontId="49" fillId="0" borderId="553" xfId="0" applyFont="1" applyBorder="1" applyAlignment="1">
      <alignment horizontal="left" vertical="center"/>
    </xf>
    <xf numFmtId="0" fontId="49" fillId="0" borderId="554" xfId="0" applyFont="1" applyBorder="1" applyAlignment="1">
      <alignment horizontal="left" vertical="center"/>
    </xf>
    <xf numFmtId="0" fontId="49" fillId="0" borderId="555" xfId="0" applyFont="1" applyBorder="1" applyAlignment="1">
      <alignment horizontal="left" vertical="center"/>
    </xf>
    <xf numFmtId="0" fontId="5" fillId="0" borderId="556" xfId="0" applyFont="1" applyBorder="1" applyAlignment="1">
      <alignment horizontal="left"/>
    </xf>
    <xf numFmtId="0" fontId="49" fillId="0" borderId="556" xfId="0" applyFont="1" applyBorder="1" applyAlignment="1">
      <alignment horizontal="left" vertical="center"/>
    </xf>
    <xf numFmtId="0" fontId="49" fillId="0" borderId="557" xfId="0" applyFont="1" applyBorder="1" applyAlignment="1">
      <alignment horizontal="left" vertical="center"/>
    </xf>
    <xf numFmtId="0" fontId="49" fillId="0" borderId="561" xfId="0" applyFont="1" applyBorder="1" applyAlignment="1">
      <alignment horizontal="left" vertical="center"/>
    </xf>
    <xf numFmtId="49" fontId="49" fillId="0" borderId="564" xfId="0" applyNumberFormat="1" applyFont="1" applyBorder="1" applyAlignment="1">
      <alignment horizontal="left"/>
    </xf>
    <xf numFmtId="0" fontId="6" fillId="0" borderId="546" xfId="0" applyFont="1" applyBorder="1" applyAlignment="1">
      <alignment horizontal="center"/>
    </xf>
    <xf numFmtId="0" fontId="49" fillId="0" borderId="565" xfId="0" applyFont="1" applyBorder="1" applyAlignment="1">
      <alignment horizontal="left" vertical="center"/>
    </xf>
    <xf numFmtId="0" fontId="49" fillId="0" borderId="566" xfId="0" applyFont="1" applyBorder="1" applyAlignment="1">
      <alignment horizontal="left" vertical="center"/>
    </xf>
    <xf numFmtId="49" fontId="49" fillId="0" borderId="566" xfId="0" applyNumberFormat="1" applyFont="1" applyBorder="1" applyAlignment="1">
      <alignment horizontal="left"/>
    </xf>
    <xf numFmtId="0" fontId="5" fillId="0" borderId="656" xfId="0" applyFont="1" applyBorder="1" applyAlignment="1" applyProtection="1">
      <alignment horizontal="center"/>
      <protection locked="0"/>
    </xf>
    <xf numFmtId="0" fontId="49" fillId="0" borderId="656" xfId="0" applyFont="1" applyBorder="1" applyAlignment="1">
      <alignment horizontal="left"/>
    </xf>
    <xf numFmtId="1" fontId="49" fillId="19" borderId="656" xfId="1" applyNumberFormat="1" applyFont="1" applyFill="1" applyBorder="1" applyAlignment="1">
      <alignment horizontal="center" vertical="center"/>
    </xf>
    <xf numFmtId="0" fontId="5" fillId="0" borderId="546" xfId="0" applyFont="1" applyBorder="1" applyAlignment="1" applyProtection="1">
      <alignment horizontal="center"/>
      <protection locked="0"/>
    </xf>
    <xf numFmtId="0" fontId="49" fillId="0" borderId="546" xfId="0" applyFont="1" applyBorder="1" applyAlignment="1">
      <alignment horizontal="left"/>
    </xf>
    <xf numFmtId="1" fontId="49" fillId="19" borderId="546" xfId="1" applyNumberFormat="1" applyFont="1" applyFill="1" applyBorder="1" applyAlignment="1">
      <alignment horizontal="center" vertical="center"/>
    </xf>
    <xf numFmtId="0" fontId="49" fillId="19" borderId="567" xfId="0" applyFont="1" applyFill="1" applyBorder="1">
      <alignment horizontal="center" vertical="center"/>
    </xf>
    <xf numFmtId="0" fontId="49" fillId="0" borderId="546" xfId="0" applyFont="1" applyBorder="1" applyAlignment="1" applyProtection="1">
      <alignment horizontal="center"/>
      <protection locked="0"/>
    </xf>
    <xf numFmtId="0" fontId="6" fillId="0" borderId="546" xfId="0" applyFont="1" applyBorder="1" applyAlignment="1" applyProtection="1">
      <alignment horizontal="center"/>
      <protection locked="0"/>
    </xf>
    <xf numFmtId="0" fontId="49" fillId="19" borderId="567" xfId="8" applyFont="1" applyFill="1" applyBorder="1">
      <alignment horizontal="center" vertical="center"/>
    </xf>
    <xf numFmtId="0" fontId="49" fillId="19" borderId="546" xfId="13" applyFont="1" applyFill="1" applyBorder="1">
      <alignment horizontal="center" vertical="center"/>
    </xf>
    <xf numFmtId="0" fontId="49" fillId="19" borderId="567" xfId="13" applyFont="1" applyFill="1" applyBorder="1">
      <alignment horizontal="center" vertical="center"/>
    </xf>
    <xf numFmtId="0" fontId="49" fillId="66" borderId="546" xfId="10" applyFont="1" applyFill="1" applyBorder="1">
      <alignment horizontal="center" vertical="center"/>
    </xf>
    <xf numFmtId="0" fontId="51" fillId="28" borderId="567" xfId="10" applyFont="1" applyBorder="1">
      <alignment horizontal="center" vertical="center"/>
    </xf>
    <xf numFmtId="49" fontId="49" fillId="19" borderId="567" xfId="0" applyNumberFormat="1" applyFont="1" applyFill="1" applyBorder="1">
      <alignment horizontal="center" vertical="center"/>
    </xf>
    <xf numFmtId="0" fontId="5" fillId="0" borderId="653" xfId="0" applyFont="1" applyBorder="1" applyAlignment="1">
      <alignment horizontal="center"/>
    </xf>
    <xf numFmtId="0" fontId="5" fillId="0" borderId="569" xfId="0" applyFont="1" applyBorder="1" applyAlignment="1">
      <alignment horizontal="center"/>
    </xf>
    <xf numFmtId="0" fontId="5" fillId="0" borderId="570" xfId="0" applyFont="1" applyBorder="1" applyAlignment="1">
      <alignment horizontal="center"/>
    </xf>
    <xf numFmtId="0" fontId="49" fillId="0" borderId="571" xfId="0" applyFont="1" applyBorder="1" applyAlignment="1">
      <alignment horizontal="center"/>
    </xf>
    <xf numFmtId="0" fontId="49" fillId="0" borderId="666" xfId="0" applyFont="1" applyBorder="1">
      <alignment horizontal="center" vertical="center"/>
    </xf>
    <xf numFmtId="0" fontId="49" fillId="0" borderId="677" xfId="0" applyFont="1" applyBorder="1">
      <alignment horizontal="center" vertical="center"/>
    </xf>
    <xf numFmtId="0" fontId="5" fillId="0" borderId="666" xfId="0" applyFont="1" applyBorder="1" applyAlignment="1">
      <alignment horizontal="left"/>
    </xf>
    <xf numFmtId="0" fontId="49" fillId="0" borderId="678" xfId="0" applyFont="1" applyBorder="1">
      <alignment horizontal="center" vertical="center"/>
    </xf>
    <xf numFmtId="0" fontId="49" fillId="0" borderId="666" xfId="0" applyFont="1" applyBorder="1" applyAlignment="1">
      <alignment horizontal="left" vertical="center"/>
    </xf>
    <xf numFmtId="0" fontId="49" fillId="0" borderId="677" xfId="0" applyFont="1" applyBorder="1" applyAlignment="1">
      <alignment horizontal="left" vertical="center"/>
    </xf>
    <xf numFmtId="0" fontId="49" fillId="0" borderId="678" xfId="0" applyFont="1" applyBorder="1" applyAlignment="1">
      <alignment horizontal="left" vertical="center"/>
    </xf>
    <xf numFmtId="0" fontId="5" fillId="0" borderId="678" xfId="0" applyFont="1" applyBorder="1" applyAlignment="1">
      <alignment horizontal="left"/>
    </xf>
    <xf numFmtId="0" fontId="49" fillId="0" borderId="679" xfId="0" applyFont="1" applyBorder="1">
      <alignment horizontal="center" vertical="center"/>
    </xf>
    <xf numFmtId="0" fontId="5" fillId="0" borderId="575" xfId="0" applyFont="1" applyBorder="1" applyAlignment="1" applyProtection="1">
      <alignment horizontal="center"/>
      <protection locked="0"/>
    </xf>
    <xf numFmtId="0" fontId="49" fillId="0" borderId="576" xfId="0" applyFont="1" applyBorder="1" applyAlignment="1" applyProtection="1">
      <alignment horizontal="center"/>
      <protection locked="0"/>
    </xf>
    <xf numFmtId="0" fontId="49" fillId="19" borderId="576" xfId="11" applyFont="1" applyFill="1" applyBorder="1">
      <alignment horizontal="center" vertical="center"/>
    </xf>
    <xf numFmtId="49" fontId="49" fillId="19" borderId="547" xfId="0" applyNumberFormat="1" applyFont="1" applyFill="1" applyBorder="1">
      <alignment horizontal="center" vertical="center"/>
    </xf>
    <xf numFmtId="49" fontId="49" fillId="19" borderId="576" xfId="1" applyNumberFormat="1" applyFont="1" applyFill="1" applyBorder="1" applyAlignment="1">
      <alignment horizontal="center" vertical="center"/>
    </xf>
    <xf numFmtId="0" fontId="49" fillId="22" borderId="576" xfId="0" applyFont="1" applyFill="1" applyBorder="1" applyAlignment="1">
      <alignment horizontal="center"/>
    </xf>
    <xf numFmtId="0" fontId="49" fillId="19" borderId="547" xfId="0" applyFont="1" applyFill="1" applyBorder="1">
      <alignment horizontal="center" vertical="center"/>
    </xf>
    <xf numFmtId="0" fontId="49" fillId="11" borderId="576" xfId="0" applyFont="1" applyFill="1" applyBorder="1" applyAlignment="1" applyProtection="1">
      <alignment horizontal="center"/>
      <protection locked="0"/>
    </xf>
    <xf numFmtId="0" fontId="49" fillId="11" borderId="577" xfId="0" applyFont="1" applyFill="1" applyBorder="1">
      <alignment horizontal="center" vertical="center"/>
    </xf>
    <xf numFmtId="0" fontId="49" fillId="11" borderId="578" xfId="0" applyFont="1" applyFill="1" applyBorder="1">
      <alignment horizontal="center" vertical="center"/>
    </xf>
    <xf numFmtId="0" fontId="49" fillId="19" borderId="576" xfId="6" applyFont="1" applyFill="1" applyBorder="1">
      <alignment horizontal="center" vertical="center"/>
    </xf>
    <xf numFmtId="0" fontId="49" fillId="19" borderId="576" xfId="8" applyFont="1" applyFill="1" applyBorder="1">
      <alignment horizontal="center" vertical="center"/>
    </xf>
    <xf numFmtId="0" fontId="49" fillId="0" borderId="575" xfId="0" applyFont="1" applyBorder="1" applyAlignment="1" applyProtection="1">
      <alignment horizontal="center"/>
      <protection locked="0"/>
    </xf>
    <xf numFmtId="1" fontId="49" fillId="19" borderId="544" xfId="1" applyNumberFormat="1" applyFont="1" applyFill="1" applyBorder="1" applyAlignment="1">
      <alignment horizontal="center" vertical="center"/>
    </xf>
    <xf numFmtId="0" fontId="51" fillId="28" borderId="544" xfId="10" applyFont="1" applyBorder="1">
      <alignment horizontal="center" vertical="center"/>
    </xf>
    <xf numFmtId="0" fontId="49" fillId="0" borderId="544" xfId="0" applyFont="1" applyBorder="1">
      <alignment horizontal="center" vertical="center"/>
    </xf>
    <xf numFmtId="0" fontId="49" fillId="19" borderId="544" xfId="9" applyFont="1" applyFill="1" applyBorder="1">
      <alignment horizontal="center" vertical="center"/>
    </xf>
    <xf numFmtId="49" fontId="49" fillId="19" borderId="566" xfId="0" applyNumberFormat="1" applyFont="1" applyFill="1" applyBorder="1">
      <alignment horizontal="center" vertical="center"/>
    </xf>
    <xf numFmtId="0" fontId="5" fillId="0" borderId="579" xfId="0" applyFont="1" applyBorder="1" applyAlignment="1">
      <alignment horizontal="center"/>
    </xf>
    <xf numFmtId="0" fontId="49" fillId="0" borderId="678" xfId="0" applyFont="1" applyBorder="1" applyAlignment="1">
      <alignment horizontal="left"/>
    </xf>
    <xf numFmtId="0" fontId="49" fillId="0" borderId="666" xfId="0" applyFont="1" applyBorder="1" applyAlignment="1">
      <alignment horizontal="center"/>
    </xf>
    <xf numFmtId="0" fontId="5" fillId="0" borderId="580" xfId="0" applyFont="1" applyBorder="1" applyAlignment="1" applyProtection="1">
      <alignment horizontal="center"/>
      <protection locked="0"/>
    </xf>
    <xf numFmtId="1" fontId="49" fillId="25" borderId="656" xfId="1" applyNumberFormat="1" applyFont="1" applyFill="1" applyBorder="1" applyAlignment="1">
      <alignment horizontal="center" vertical="center"/>
    </xf>
    <xf numFmtId="0" fontId="49" fillId="25" borderId="656" xfId="0" applyFont="1" applyFill="1" applyBorder="1">
      <alignment horizontal="center" vertical="center"/>
    </xf>
    <xf numFmtId="0" fontId="51" fillId="28" borderId="656" xfId="10" applyFont="1" applyBorder="1">
      <alignment horizontal="center" vertical="center"/>
    </xf>
    <xf numFmtId="0" fontId="49" fillId="0" borderId="656" xfId="0" applyFont="1" applyBorder="1">
      <alignment horizontal="center" vertical="center"/>
    </xf>
    <xf numFmtId="0" fontId="49" fillId="0" borderId="576" xfId="0" applyFont="1" applyBorder="1" applyAlignment="1">
      <alignment vertical="center"/>
    </xf>
    <xf numFmtId="0" fontId="49" fillId="0" borderId="547" xfId="0" applyFont="1" applyBorder="1" applyAlignment="1" applyProtection="1">
      <alignment horizontal="center"/>
      <protection locked="0"/>
    </xf>
    <xf numFmtId="0" fontId="56" fillId="0" borderId="576" xfId="0" applyFont="1" applyBorder="1" applyAlignment="1">
      <alignment vertical="center"/>
    </xf>
    <xf numFmtId="0" fontId="49" fillId="22" borderId="551" xfId="0" applyFont="1" applyFill="1" applyBorder="1" applyAlignment="1" applyProtection="1">
      <alignment horizontal="center"/>
      <protection locked="0"/>
    </xf>
    <xf numFmtId="0" fontId="55" fillId="0" borderId="581" xfId="0" applyFont="1" applyBorder="1" applyAlignment="1">
      <alignment vertical="center"/>
    </xf>
    <xf numFmtId="49" fontId="49" fillId="19" borderId="582" xfId="0" applyNumberFormat="1" applyFont="1" applyFill="1" applyBorder="1">
      <alignment horizontal="center" vertical="center"/>
    </xf>
    <xf numFmtId="49" fontId="49" fillId="19" borderId="575" xfId="0" applyNumberFormat="1" applyFont="1" applyFill="1" applyBorder="1">
      <alignment horizontal="center" vertical="center"/>
    </xf>
    <xf numFmtId="0" fontId="49" fillId="19" borderId="575" xfId="0" applyFont="1" applyFill="1" applyBorder="1">
      <alignment horizontal="center" vertical="center"/>
    </xf>
    <xf numFmtId="49" fontId="49" fillId="19" borderId="583" xfId="0" applyNumberFormat="1" applyFont="1" applyFill="1" applyBorder="1">
      <alignment horizontal="center" vertical="center"/>
    </xf>
    <xf numFmtId="49" fontId="49" fillId="0" borderId="547" xfId="0" applyNumberFormat="1" applyFont="1" applyBorder="1" applyAlignment="1"/>
    <xf numFmtId="0" fontId="49" fillId="0" borderId="576" xfId="0" applyFont="1" applyBorder="1" applyAlignment="1" applyProtection="1">
      <alignment horizontal="left"/>
      <protection locked="0"/>
    </xf>
    <xf numFmtId="0" fontId="54" fillId="0" borderId="576" xfId="0" applyFont="1" applyBorder="1" applyAlignment="1">
      <alignment vertical="center"/>
    </xf>
    <xf numFmtId="0" fontId="49" fillId="0" borderId="577" xfId="0" applyFont="1" applyBorder="1" applyAlignment="1">
      <alignment vertical="center"/>
    </xf>
    <xf numFmtId="0" fontId="0" fillId="0" borderId="544" xfId="0" applyBorder="1">
      <alignment horizontal="center" vertical="center"/>
    </xf>
    <xf numFmtId="0" fontId="0" fillId="0" borderId="545" xfId="0" applyBorder="1">
      <alignment horizontal="center" vertical="center"/>
    </xf>
    <xf numFmtId="0" fontId="17" fillId="25" borderId="648" xfId="8" applyBorder="1">
      <alignment horizontal="center" vertical="center"/>
    </xf>
    <xf numFmtId="0" fontId="0" fillId="19" borderId="648" xfId="0" applyFill="1" applyBorder="1">
      <alignment horizontal="center" vertical="center"/>
    </xf>
    <xf numFmtId="0" fontId="0" fillId="19" borderId="648" xfId="5" applyFont="1" applyFill="1" applyBorder="1">
      <alignment horizontal="center" vertical="center"/>
    </xf>
    <xf numFmtId="0" fontId="0" fillId="19" borderId="654" xfId="0" applyFill="1" applyBorder="1">
      <alignment horizontal="center" vertical="center"/>
    </xf>
    <xf numFmtId="0" fontId="6" fillId="19" borderId="545" xfId="0" applyFont="1" applyFill="1" applyBorder="1">
      <alignment horizontal="center" vertical="center"/>
    </xf>
    <xf numFmtId="0" fontId="0" fillId="0" borderId="654" xfId="0" applyBorder="1">
      <alignment horizontal="center" vertical="center"/>
    </xf>
    <xf numFmtId="0" fontId="0" fillId="0" borderId="590" xfId="0" applyBorder="1">
      <alignment horizontal="center" vertical="center"/>
    </xf>
    <xf numFmtId="0" fontId="4" fillId="0" borderId="661" xfId="0" applyFont="1" applyBorder="1" applyAlignment="1">
      <alignment horizontal="center"/>
    </xf>
    <xf numFmtId="0" fontId="4" fillId="0" borderId="648" xfId="0" applyFont="1" applyBorder="1" applyAlignment="1">
      <alignment horizontal="center"/>
    </xf>
    <xf numFmtId="0" fontId="5" fillId="0" borderId="648" xfId="0" applyFont="1" applyBorder="1" applyAlignment="1">
      <alignment horizontal="center"/>
    </xf>
    <xf numFmtId="0" fontId="5" fillId="0" borderId="654" xfId="0" applyFont="1" applyBorder="1" applyAlignment="1">
      <alignment horizontal="left"/>
    </xf>
    <xf numFmtId="0" fontId="0" fillId="0" borderId="674" xfId="0" applyBorder="1" applyAlignment="1">
      <alignment horizontal="center"/>
    </xf>
    <xf numFmtId="0" fontId="6" fillId="0" borderId="674" xfId="0" applyFont="1" applyBorder="1" applyAlignment="1">
      <alignment horizontal="center"/>
    </xf>
    <xf numFmtId="0" fontId="5" fillId="0" borderId="674" xfId="0" applyFont="1" applyBorder="1" applyAlignment="1">
      <alignment horizontal="center"/>
    </xf>
    <xf numFmtId="0" fontId="5" fillId="0" borderId="666" xfId="0" applyFont="1" applyBorder="1" applyAlignment="1">
      <alignment horizontal="center"/>
    </xf>
    <xf numFmtId="0" fontId="0" fillId="11" borderId="678" xfId="0" applyFill="1" applyBorder="1" applyAlignment="1">
      <alignment horizontal="center"/>
    </xf>
    <xf numFmtId="0" fontId="5" fillId="0" borderId="697" xfId="0" applyFont="1" applyBorder="1" applyAlignment="1">
      <alignment horizontal="left"/>
    </xf>
    <xf numFmtId="0" fontId="4" fillId="0" borderId="698" xfId="0" applyFont="1" applyBorder="1" applyAlignment="1">
      <alignment horizontal="center"/>
    </xf>
    <xf numFmtId="0" fontId="5" fillId="0" borderId="698" xfId="0" applyFont="1" applyBorder="1" applyAlignment="1">
      <alignment horizontal="center"/>
    </xf>
    <xf numFmtId="0" fontId="5" fillId="0" borderId="596" xfId="0" applyFont="1" applyBorder="1" applyAlignment="1">
      <alignment horizontal="center"/>
    </xf>
    <xf numFmtId="0" fontId="0" fillId="0" borderId="596" xfId="0" applyBorder="1">
      <alignment horizontal="center" vertical="center"/>
    </xf>
    <xf numFmtId="0" fontId="5" fillId="0" borderId="699" xfId="0" applyFont="1" applyBorder="1" applyAlignment="1">
      <alignment horizontal="left"/>
    </xf>
    <xf numFmtId="0" fontId="0" fillId="0" borderId="653" xfId="0" applyBorder="1" applyAlignment="1">
      <alignment horizontal="center"/>
    </xf>
    <xf numFmtId="0" fontId="0" fillId="0" borderId="648" xfId="0" applyBorder="1" applyAlignment="1">
      <alignment horizontal="center"/>
    </xf>
    <xf numFmtId="0" fontId="6" fillId="0" borderId="648" xfId="0" applyFont="1" applyBorder="1" applyAlignment="1">
      <alignment horizontal="center"/>
    </xf>
    <xf numFmtId="0" fontId="6" fillId="0" borderId="654" xfId="0" applyFont="1" applyBorder="1" applyAlignment="1">
      <alignment horizontal="left"/>
    </xf>
    <xf numFmtId="0" fontId="0" fillId="0" borderId="579" xfId="0" applyBorder="1" applyAlignment="1">
      <alignment horizontal="center"/>
    </xf>
    <xf numFmtId="0" fontId="0" fillId="0" borderId="544" xfId="0" applyBorder="1" applyAlignment="1">
      <alignment horizontal="center"/>
    </xf>
    <xf numFmtId="0" fontId="6" fillId="0" borderId="666" xfId="0" applyFont="1" applyBorder="1" applyAlignment="1">
      <alignment horizontal="center"/>
    </xf>
    <xf numFmtId="0" fontId="0" fillId="0" borderId="678" xfId="0" applyBorder="1" applyAlignment="1">
      <alignment horizontal="center"/>
    </xf>
    <xf numFmtId="0" fontId="6" fillId="0" borderId="697" xfId="0" applyFont="1" applyBorder="1" applyAlignment="1">
      <alignment horizontal="left"/>
    </xf>
    <xf numFmtId="0" fontId="0" fillId="0" borderId="661" xfId="0" applyBorder="1" applyAlignment="1">
      <alignment horizontal="center"/>
    </xf>
    <xf numFmtId="0" fontId="6" fillId="0" borderId="448" xfId="0" applyFont="1" applyBorder="1" applyAlignment="1">
      <alignment horizontal="center"/>
    </xf>
    <xf numFmtId="0" fontId="0" fillId="7" borderId="648" xfId="0" applyFill="1" applyBorder="1" applyAlignment="1">
      <alignment horizontal="center"/>
    </xf>
    <xf numFmtId="0" fontId="0" fillId="7" borderId="648" xfId="0" applyFill="1" applyBorder="1">
      <alignment horizontal="center" vertical="center"/>
    </xf>
    <xf numFmtId="0" fontId="0" fillId="0" borderId="648" xfId="0" applyBorder="1" applyAlignment="1">
      <alignment horizontal="left"/>
    </xf>
    <xf numFmtId="0" fontId="0" fillId="0" borderId="700" xfId="0" applyBorder="1" applyAlignment="1">
      <alignment horizontal="center"/>
    </xf>
    <xf numFmtId="0" fontId="0" fillId="0" borderId="700" xfId="0" applyBorder="1">
      <alignment horizontal="center" vertical="center"/>
    </xf>
    <xf numFmtId="0" fontId="4" fillId="0" borderId="701" xfId="0" applyFont="1" applyBorder="1" applyAlignment="1">
      <alignment horizontal="center"/>
    </xf>
    <xf numFmtId="0" fontId="4" fillId="0" borderId="702" xfId="0" applyFont="1" applyBorder="1" applyAlignment="1">
      <alignment horizontal="center"/>
    </xf>
    <xf numFmtId="0" fontId="5" fillId="0" borderId="702" xfId="0" applyFont="1" applyBorder="1" applyAlignment="1">
      <alignment horizontal="center"/>
    </xf>
    <xf numFmtId="0" fontId="5" fillId="0" borderId="703" xfId="0" applyFont="1" applyBorder="1" applyAlignment="1">
      <alignment horizontal="center"/>
    </xf>
    <xf numFmtId="0" fontId="0" fillId="0" borderId="703" xfId="0" applyBorder="1">
      <alignment horizontal="center" vertical="center"/>
    </xf>
    <xf numFmtId="0" fontId="5" fillId="0" borderId="704" xfId="0" applyFont="1" applyBorder="1" applyAlignment="1">
      <alignment horizontal="left"/>
    </xf>
    <xf numFmtId="0" fontId="6" fillId="0" borderId="450" xfId="0" applyFont="1" applyBorder="1" applyAlignment="1">
      <alignment horizontal="left"/>
    </xf>
    <xf numFmtId="0" fontId="6" fillId="0" borderId="678" xfId="0" applyFont="1" applyBorder="1" applyAlignment="1">
      <alignment horizontal="left"/>
    </xf>
    <xf numFmtId="0" fontId="0" fillId="11" borderId="700" xfId="0" applyFill="1" applyBorder="1" applyAlignment="1">
      <alignment horizontal="center"/>
    </xf>
    <xf numFmtId="0" fontId="6" fillId="0" borderId="700" xfId="0" applyFont="1" applyBorder="1" applyAlignment="1">
      <alignment horizontal="left"/>
    </xf>
    <xf numFmtId="0" fontId="0" fillId="44" borderId="648" xfId="0" applyFill="1" applyBorder="1" applyAlignment="1">
      <alignment horizontal="center"/>
    </xf>
    <xf numFmtId="0" fontId="6" fillId="44" borderId="648" xfId="0" applyFont="1" applyFill="1" applyBorder="1" applyAlignment="1">
      <alignment horizontal="center"/>
    </xf>
    <xf numFmtId="0" fontId="6" fillId="44" borderId="448" xfId="0" applyFont="1" applyFill="1" applyBorder="1" applyAlignment="1">
      <alignment horizontal="center"/>
    </xf>
    <xf numFmtId="0" fontId="4" fillId="0" borderId="570" xfId="0" applyFont="1" applyBorder="1" applyAlignment="1">
      <alignment horizontal="left"/>
    </xf>
    <xf numFmtId="0" fontId="0" fillId="16" borderId="705" xfId="0" applyFill="1" applyBorder="1" applyAlignment="1">
      <alignment horizontal="center"/>
    </xf>
    <xf numFmtId="0" fontId="0" fillId="44" borderId="544" xfId="0" applyFill="1" applyBorder="1" applyAlignment="1">
      <alignment horizontal="center"/>
    </xf>
    <xf numFmtId="0" fontId="6" fillId="44" borderId="674" xfId="0" applyFont="1" applyFill="1" applyBorder="1" applyAlignment="1">
      <alignment horizontal="center"/>
    </xf>
    <xf numFmtId="0" fontId="6" fillId="44" borderId="666" xfId="0" applyFont="1" applyFill="1" applyBorder="1" applyAlignment="1">
      <alignment horizontal="center"/>
    </xf>
    <xf numFmtId="0" fontId="6" fillId="0" borderId="706" xfId="0" applyFont="1" applyBorder="1" applyAlignment="1">
      <alignment horizontal="left"/>
    </xf>
    <xf numFmtId="0" fontId="0" fillId="0" borderId="661" xfId="0" applyBorder="1" applyAlignment="1">
      <alignment horizontal="left"/>
    </xf>
    <xf numFmtId="0" fontId="6" fillId="7" borderId="648" xfId="0" applyFont="1" applyFill="1" applyBorder="1" applyAlignment="1">
      <alignment horizontal="center"/>
    </xf>
    <xf numFmtId="0" fontId="6" fillId="7" borderId="448" xfId="0" applyFont="1" applyFill="1" applyBorder="1" applyAlignment="1">
      <alignment horizontal="center"/>
    </xf>
    <xf numFmtId="0" fontId="6" fillId="7" borderId="674" xfId="0" applyFont="1" applyFill="1" applyBorder="1" applyAlignment="1">
      <alignment horizontal="center"/>
    </xf>
    <xf numFmtId="0" fontId="6" fillId="7" borderId="666" xfId="0" applyFont="1" applyFill="1" applyBorder="1" applyAlignment="1">
      <alignment horizontal="center"/>
    </xf>
    <xf numFmtId="0" fontId="0" fillId="11" borderId="661" xfId="0" applyFill="1" applyBorder="1" applyAlignment="1">
      <alignment horizontal="left"/>
    </xf>
    <xf numFmtId="0" fontId="4" fillId="0" borderId="668" xfId="0" applyFont="1" applyBorder="1" applyAlignment="1">
      <alignment horizontal="left"/>
    </xf>
    <xf numFmtId="0" fontId="0" fillId="8" borderId="648" xfId="0" applyFill="1" applyBorder="1" applyAlignment="1">
      <alignment horizontal="center"/>
    </xf>
    <xf numFmtId="0" fontId="0" fillId="8" borderId="674" xfId="0" applyFill="1" applyBorder="1" applyAlignment="1">
      <alignment horizontal="center"/>
    </xf>
    <xf numFmtId="0" fontId="0" fillId="46" borderId="648" xfId="0" applyFill="1" applyBorder="1" applyAlignment="1">
      <alignment horizontal="center"/>
    </xf>
    <xf numFmtId="0" fontId="0" fillId="46" borderId="544" xfId="0" applyFill="1" applyBorder="1" applyAlignment="1">
      <alignment horizontal="center"/>
    </xf>
    <xf numFmtId="0" fontId="16" fillId="47" borderId="544" xfId="0" applyFont="1" applyFill="1" applyBorder="1" applyAlignment="1">
      <alignment horizontal="center"/>
    </xf>
    <xf numFmtId="0" fontId="16" fillId="47" borderId="566" xfId="0" applyFont="1" applyFill="1" applyBorder="1" applyAlignment="1">
      <alignment horizontal="center"/>
    </xf>
    <xf numFmtId="0" fontId="0" fillId="11" borderId="648" xfId="0" applyFill="1" applyBorder="1" applyAlignment="1">
      <alignment horizontal="center"/>
    </xf>
    <xf numFmtId="0" fontId="6" fillId="11" borderId="448" xfId="0" applyFont="1" applyFill="1" applyBorder="1" applyAlignment="1">
      <alignment horizontal="center"/>
    </xf>
    <xf numFmtId="0" fontId="0" fillId="11" borderId="674" xfId="0" applyFill="1" applyBorder="1" applyAlignment="1">
      <alignment horizontal="center"/>
    </xf>
    <xf numFmtId="0" fontId="6" fillId="11" borderId="666" xfId="0" applyFont="1" applyFill="1" applyBorder="1" applyAlignment="1">
      <alignment horizontal="center"/>
    </xf>
    <xf numFmtId="0" fontId="0" fillId="45" borderId="648" xfId="0" applyFill="1" applyBorder="1" applyAlignment="1">
      <alignment horizontal="center"/>
    </xf>
    <xf numFmtId="0" fontId="4" fillId="0" borderId="668" xfId="0" applyFont="1" applyBorder="1">
      <alignment horizontal="center" vertical="center"/>
    </xf>
    <xf numFmtId="0" fontId="0" fillId="45" borderId="544" xfId="0" applyFill="1" applyBorder="1" applyAlignment="1">
      <alignment horizontal="center"/>
    </xf>
    <xf numFmtId="0" fontId="0" fillId="16" borderId="674" xfId="0" applyFill="1" applyBorder="1" applyAlignment="1">
      <alignment horizontal="center"/>
    </xf>
    <xf numFmtId="0" fontId="4" fillId="0" borderId="668" xfId="0" applyFont="1" applyBorder="1" applyAlignment="1">
      <alignment horizontal="center"/>
    </xf>
    <xf numFmtId="0" fontId="0" fillId="0" borderId="705" xfId="0" applyBorder="1" applyAlignment="1">
      <alignment horizontal="center"/>
    </xf>
    <xf numFmtId="0" fontId="6" fillId="0" borderId="705" xfId="0" applyFont="1" applyBorder="1" applyAlignment="1">
      <alignment horizontal="center"/>
    </xf>
    <xf numFmtId="0" fontId="5" fillId="0" borderId="705" xfId="0" applyFont="1" applyBorder="1" applyAlignment="1">
      <alignment horizontal="center"/>
    </xf>
    <xf numFmtId="0" fontId="0" fillId="0" borderId="548" xfId="0" applyBorder="1" applyAlignment="1">
      <alignment horizontal="center"/>
    </xf>
    <xf numFmtId="0" fontId="0" fillId="0" borderId="598" xfId="0" applyBorder="1" applyAlignment="1">
      <alignment horizontal="center"/>
    </xf>
    <xf numFmtId="0" fontId="0" fillId="0" borderId="577" xfId="0" applyBorder="1" applyAlignment="1">
      <alignment horizontal="center"/>
    </xf>
    <xf numFmtId="0" fontId="0" fillId="0" borderId="591" xfId="0" applyBorder="1">
      <alignment horizontal="center" vertical="center"/>
    </xf>
    <xf numFmtId="0" fontId="0" fillId="0" borderId="594" xfId="0" applyBorder="1" applyAlignment="1">
      <alignment horizontal="center"/>
    </xf>
    <xf numFmtId="0" fontId="0" fillId="0" borderId="674" xfId="0" applyBorder="1">
      <alignment horizontal="center" vertical="center"/>
    </xf>
    <xf numFmtId="0" fontId="6" fillId="0" borderId="544" xfId="0" applyFont="1" applyBorder="1" applyAlignment="1">
      <alignment horizontal="center"/>
    </xf>
    <xf numFmtId="0" fontId="0" fillId="11" borderId="566" xfId="0" applyFill="1" applyBorder="1" applyAlignment="1">
      <alignment horizontal="center"/>
    </xf>
    <xf numFmtId="0" fontId="6" fillId="0" borderId="545" xfId="0" applyFont="1" applyBorder="1" applyAlignment="1">
      <alignment horizontal="left"/>
    </xf>
    <xf numFmtId="0" fontId="0" fillId="0" borderId="532" xfId="0" applyBorder="1" applyAlignment="1">
      <alignment horizontal="center"/>
    </xf>
    <xf numFmtId="0" fontId="0" fillId="11" borderId="544" xfId="0" applyFill="1" applyBorder="1" applyAlignment="1">
      <alignment horizontal="center"/>
    </xf>
    <xf numFmtId="0" fontId="4" fillId="0" borderId="707" xfId="0" applyFont="1" applyBorder="1" applyAlignment="1">
      <alignment horizontal="center"/>
    </xf>
    <xf numFmtId="0" fontId="5" fillId="0" borderId="704" xfId="0" applyFont="1" applyBorder="1" applyAlignment="1">
      <alignment horizontal="center"/>
    </xf>
    <xf numFmtId="0" fontId="0" fillId="0" borderId="708" xfId="0" applyBorder="1" applyAlignment="1">
      <alignment horizontal="center"/>
    </xf>
    <xf numFmtId="0" fontId="0" fillId="0" borderId="547" xfId="0" applyBorder="1">
      <alignment horizontal="center" vertical="center"/>
    </xf>
    <xf numFmtId="2" fontId="0" fillId="0" borderId="576" xfId="0" applyNumberFormat="1" applyBorder="1">
      <alignment horizontal="center" vertical="center"/>
    </xf>
    <xf numFmtId="0" fontId="0" fillId="0" borderId="709" xfId="0" applyBorder="1">
      <alignment horizontal="center" vertical="center"/>
    </xf>
    <xf numFmtId="2" fontId="0" fillId="11" borderId="710" xfId="0" applyNumberFormat="1" applyFill="1" applyBorder="1">
      <alignment horizontal="center" vertical="center"/>
    </xf>
    <xf numFmtId="2" fontId="0" fillId="0" borderId="709" xfId="0" applyNumberFormat="1" applyBorder="1">
      <alignment horizontal="center" vertical="center"/>
    </xf>
    <xf numFmtId="0" fontId="0" fillId="0" borderId="668" xfId="0" applyBorder="1" applyAlignment="1">
      <alignment horizontal="left"/>
    </xf>
    <xf numFmtId="0" fontId="6" fillId="0" borderId="576" xfId="0" applyFont="1" applyBorder="1" applyAlignment="1">
      <alignment horizontal="center"/>
    </xf>
    <xf numFmtId="0" fontId="5" fillId="0" borderId="576" xfId="0" applyFont="1" applyBorder="1" applyAlignment="1">
      <alignment horizontal="center"/>
    </xf>
    <xf numFmtId="0" fontId="5" fillId="0" borderId="590" xfId="0" applyFont="1" applyBorder="1" applyAlignment="1">
      <alignment horizontal="left"/>
    </xf>
    <xf numFmtId="0" fontId="16" fillId="48" borderId="576" xfId="0" applyFont="1" applyFill="1" applyBorder="1" applyAlignment="1">
      <alignment horizontal="center"/>
    </xf>
    <xf numFmtId="2" fontId="0" fillId="0" borderId="576" xfId="0" applyNumberFormat="1" applyBorder="1" applyAlignment="1">
      <alignment horizontal="center"/>
    </xf>
    <xf numFmtId="0" fontId="9" fillId="0" borderId="653" xfId="0" applyFont="1" applyBorder="1" applyAlignment="1">
      <alignment horizontal="left"/>
    </xf>
    <xf numFmtId="0" fontId="5" fillId="11" borderId="605" xfId="0" applyFont="1" applyFill="1" applyBorder="1">
      <alignment horizontal="center" vertical="center"/>
    </xf>
    <xf numFmtId="0" fontId="0" fillId="0" borderId="594" xfId="0" applyBorder="1">
      <alignment horizontal="center" vertical="center"/>
    </xf>
    <xf numFmtId="0" fontId="0" fillId="0" borderId="605" xfId="0" applyBorder="1">
      <alignment horizontal="center" vertical="center"/>
    </xf>
    <xf numFmtId="0" fontId="4" fillId="0" borderId="576" xfId="0" applyFont="1" applyBorder="1">
      <alignment horizontal="center" vertical="center"/>
    </xf>
    <xf numFmtId="0" fontId="6" fillId="0" borderId="678" xfId="0" applyFont="1" applyBorder="1" applyAlignment="1">
      <alignment horizontal="center"/>
    </xf>
    <xf numFmtId="0" fontId="5" fillId="11" borderId="697" xfId="0" applyFont="1" applyFill="1" applyBorder="1" applyAlignment="1">
      <alignment horizontal="left"/>
    </xf>
    <xf numFmtId="0" fontId="6" fillId="0" borderId="532" xfId="0" applyFont="1" applyBorder="1" applyAlignment="1">
      <alignment horizontal="center"/>
    </xf>
    <xf numFmtId="0" fontId="0" fillId="0" borderId="602" xfId="0" applyBorder="1">
      <alignment horizontal="center" vertical="center"/>
    </xf>
    <xf numFmtId="0" fontId="0" fillId="0" borderId="590" xfId="0" applyBorder="1" applyAlignment="1">
      <alignment horizontal="center"/>
    </xf>
    <xf numFmtId="0" fontId="6" fillId="0" borderId="450" xfId="0" applyFont="1" applyBorder="1">
      <alignment horizontal="center" vertical="center"/>
    </xf>
    <xf numFmtId="0" fontId="5" fillId="11" borderId="654" xfId="0" applyFont="1" applyFill="1" applyBorder="1" applyAlignment="1">
      <alignment horizontal="left"/>
    </xf>
    <xf numFmtId="0" fontId="6" fillId="0" borderId="544" xfId="0" applyFont="1" applyBorder="1">
      <alignment horizontal="center" vertical="center"/>
    </xf>
    <xf numFmtId="0" fontId="5" fillId="0" borderId="648" xfId="0" applyFont="1" applyBorder="1">
      <alignment horizontal="center" vertical="center"/>
    </xf>
    <xf numFmtId="0" fontId="5" fillId="0" borderId="576" xfId="0" applyFont="1" applyBorder="1">
      <alignment horizontal="center" vertical="center"/>
    </xf>
    <xf numFmtId="0" fontId="9" fillId="0" borderId="661" xfId="0" applyFont="1" applyBorder="1" applyAlignment="1">
      <alignment horizontal="left"/>
    </xf>
    <xf numFmtId="0" fontId="6" fillId="0" borderId="648" xfId="0" applyFont="1" applyBorder="1" applyAlignment="1">
      <alignment horizontal="left"/>
    </xf>
    <xf numFmtId="0" fontId="6" fillId="0" borderId="448" xfId="0" applyFont="1" applyBorder="1">
      <alignment horizontal="center" vertical="center"/>
    </xf>
    <xf numFmtId="0" fontId="0" fillId="0" borderId="579" xfId="0" applyBorder="1">
      <alignment horizontal="center" vertical="center"/>
    </xf>
    <xf numFmtId="0" fontId="0" fillId="11" borderId="545" xfId="0" applyFill="1" applyBorder="1" applyAlignment="1">
      <alignment horizontal="center"/>
    </xf>
    <xf numFmtId="0" fontId="6" fillId="0" borderId="566" xfId="0" applyFont="1" applyBorder="1" applyAlignment="1">
      <alignment horizontal="left"/>
    </xf>
    <xf numFmtId="0" fontId="6" fillId="11" borderId="700" xfId="0" applyFont="1" applyFill="1" applyBorder="1" applyAlignment="1">
      <alignment horizontal="center"/>
    </xf>
    <xf numFmtId="0" fontId="6" fillId="0" borderId="700" xfId="0" applyFont="1" applyBorder="1" applyAlignment="1">
      <alignment horizontal="center"/>
    </xf>
    <xf numFmtId="2" fontId="0" fillId="11" borderId="708" xfId="0" applyNumberFormat="1" applyFill="1" applyBorder="1">
      <alignment horizontal="center" vertical="center"/>
    </xf>
    <xf numFmtId="0" fontId="4" fillId="0" borderId="594" xfId="0" applyFont="1" applyBorder="1" applyAlignment="1">
      <alignment horizontal="left"/>
    </xf>
    <xf numFmtId="0" fontId="5" fillId="0" borderId="604" xfId="0" applyFont="1" applyBorder="1" applyAlignment="1">
      <alignment horizontal="center"/>
    </xf>
    <xf numFmtId="0" fontId="0" fillId="0" borderId="698" xfId="0" applyBorder="1">
      <alignment horizontal="center" vertical="center"/>
    </xf>
    <xf numFmtId="0" fontId="5" fillId="0" borderId="605" xfId="0" applyFont="1" applyBorder="1" applyAlignment="1">
      <alignment horizontal="left"/>
    </xf>
    <xf numFmtId="0" fontId="0" fillId="0" borderId="701" xfId="0" applyBorder="1">
      <alignment horizontal="center" vertical="center"/>
    </xf>
    <xf numFmtId="0" fontId="0" fillId="0" borderId="711" xfId="0" applyBorder="1">
      <alignment horizontal="center" vertical="center"/>
    </xf>
    <xf numFmtId="0" fontId="0" fillId="11" borderId="594" xfId="0" applyFill="1" applyBorder="1" applyAlignment="1">
      <alignment horizontal="left"/>
    </xf>
    <xf numFmtId="0" fontId="4" fillId="49" borderId="698" xfId="0" applyFont="1" applyFill="1" applyBorder="1" applyAlignment="1">
      <alignment horizontal="center"/>
    </xf>
    <xf numFmtId="0" fontId="35" fillId="50" borderId="698" xfId="0" applyFont="1" applyFill="1" applyBorder="1">
      <alignment horizontal="center" vertical="center"/>
    </xf>
    <xf numFmtId="0" fontId="0" fillId="11" borderId="712" xfId="0" applyFill="1" applyBorder="1" applyAlignment="1">
      <alignment horizontal="left"/>
    </xf>
    <xf numFmtId="0" fontId="4" fillId="12" borderId="547" xfId="0" applyFont="1" applyFill="1" applyBorder="1">
      <alignment horizontal="center" vertical="center"/>
    </xf>
    <xf numFmtId="0" fontId="0" fillId="12" borderId="548" xfId="0" applyFill="1" applyBorder="1">
      <alignment horizontal="center" vertical="center"/>
    </xf>
    <xf numFmtId="0" fontId="0" fillId="49" borderId="674" xfId="0" applyFill="1" applyBorder="1" applyAlignment="1">
      <alignment horizontal="center"/>
    </xf>
    <xf numFmtId="0" fontId="36" fillId="50" borderId="674" xfId="0" applyFont="1" applyFill="1" applyBorder="1" applyAlignment="1">
      <alignment horizontal="center"/>
    </xf>
    <xf numFmtId="0" fontId="4" fillId="0" borderId="713" xfId="0" applyFont="1" applyBorder="1" applyAlignment="1">
      <alignment horizontal="left"/>
    </xf>
    <xf numFmtId="0" fontId="4" fillId="16" borderId="547" xfId="0" applyFont="1" applyFill="1" applyBorder="1">
      <alignment horizontal="center" vertical="center"/>
    </xf>
    <xf numFmtId="0" fontId="0" fillId="16" borderId="548" xfId="0" applyFill="1" applyBorder="1">
      <alignment horizontal="center" vertical="center"/>
    </xf>
    <xf numFmtId="0" fontId="0" fillId="0" borderId="594" xfId="0" applyBorder="1" applyAlignment="1">
      <alignment horizontal="left"/>
    </xf>
    <xf numFmtId="0" fontId="5" fillId="7" borderId="698" xfId="0" applyFont="1" applyFill="1" applyBorder="1" applyAlignment="1">
      <alignment horizontal="center"/>
    </xf>
    <xf numFmtId="0" fontId="35" fillId="51" borderId="698" xfId="0" applyFont="1" applyFill="1" applyBorder="1">
      <alignment horizontal="center" vertical="center"/>
    </xf>
    <xf numFmtId="0" fontId="35" fillId="51" borderId="604" xfId="0" applyFont="1" applyFill="1" applyBorder="1">
      <alignment horizontal="center" vertical="center"/>
    </xf>
    <xf numFmtId="0" fontId="0" fillId="0" borderId="712" xfId="0" applyBorder="1" applyAlignment="1">
      <alignment horizontal="left"/>
    </xf>
    <xf numFmtId="0" fontId="4" fillId="52" borderId="547" xfId="0" applyFont="1" applyFill="1" applyBorder="1" applyAlignment="1">
      <alignment horizontal="left"/>
    </xf>
    <xf numFmtId="0" fontId="0" fillId="52" borderId="548" xfId="0" applyFill="1" applyBorder="1">
      <alignment horizontal="center" vertical="center"/>
    </xf>
    <xf numFmtId="0" fontId="36" fillId="51" borderId="674" xfId="0" applyFont="1" applyFill="1" applyBorder="1" applyAlignment="1">
      <alignment horizontal="center"/>
    </xf>
    <xf numFmtId="0" fontId="36" fillId="51" borderId="677" xfId="0" applyFont="1" applyFill="1" applyBorder="1" applyAlignment="1">
      <alignment horizontal="center"/>
    </xf>
    <xf numFmtId="0" fontId="4" fillId="14" borderId="547" xfId="0" applyFont="1" applyFill="1" applyBorder="1">
      <alignment horizontal="center" vertical="center"/>
    </xf>
    <xf numFmtId="0" fontId="0" fillId="14" borderId="548" xfId="0" applyFill="1" applyBorder="1">
      <alignment horizontal="center" vertical="center"/>
    </xf>
    <xf numFmtId="0" fontId="5" fillId="53" borderId="698" xfId="0" applyFont="1" applyFill="1" applyBorder="1" applyAlignment="1">
      <alignment horizontal="center"/>
    </xf>
    <xf numFmtId="0" fontId="6" fillId="53" borderId="674" xfId="0" applyFont="1" applyFill="1" applyBorder="1" applyAlignment="1">
      <alignment horizontal="center"/>
    </xf>
    <xf numFmtId="0" fontId="6" fillId="0" borderId="698" xfId="0" applyFont="1" applyBorder="1" applyAlignment="1">
      <alignment horizontal="center"/>
    </xf>
    <xf numFmtId="0" fontId="6" fillId="0" borderId="604" xfId="0" applyFont="1" applyBorder="1" applyAlignment="1">
      <alignment horizontal="center"/>
    </xf>
    <xf numFmtId="0" fontId="0" fillId="0" borderId="698" xfId="0" applyBorder="1" applyAlignment="1">
      <alignment horizontal="center"/>
    </xf>
    <xf numFmtId="0" fontId="4" fillId="9" borderId="547" xfId="0" applyFont="1" applyFill="1" applyBorder="1">
      <alignment horizontal="center" vertical="center"/>
    </xf>
    <xf numFmtId="0" fontId="6" fillId="0" borderId="677" xfId="0" applyFont="1" applyBorder="1" applyAlignment="1">
      <alignment horizontal="center"/>
    </xf>
    <xf numFmtId="0" fontId="0" fillId="0" borderId="604" xfId="0" applyBorder="1">
      <alignment horizontal="center" vertical="center"/>
    </xf>
    <xf numFmtId="0" fontId="4" fillId="9" borderId="698" xfId="0" applyFont="1" applyFill="1" applyBorder="1" applyAlignment="1">
      <alignment horizontal="center"/>
    </xf>
    <xf numFmtId="0" fontId="4" fillId="9" borderId="604" xfId="0" applyFont="1" applyFill="1" applyBorder="1" applyAlignment="1">
      <alignment horizontal="center"/>
    </xf>
    <xf numFmtId="0" fontId="4" fillId="0" borderId="712" xfId="0" applyFont="1" applyBorder="1" applyAlignment="1">
      <alignment horizontal="left"/>
    </xf>
    <xf numFmtId="0" fontId="0" fillId="9" borderId="674" xfId="0" applyFill="1" applyBorder="1" applyAlignment="1">
      <alignment horizontal="center"/>
    </xf>
    <xf numFmtId="0" fontId="0" fillId="9" borderId="677" xfId="0" applyFill="1" applyBorder="1" applyAlignment="1">
      <alignment horizontal="center"/>
    </xf>
    <xf numFmtId="0" fontId="4" fillId="40" borderId="698" xfId="0" applyFont="1" applyFill="1" applyBorder="1" applyAlignment="1">
      <alignment horizontal="center"/>
    </xf>
    <xf numFmtId="0" fontId="0" fillId="40" borderId="674" xfId="0" applyFill="1" applyBorder="1" applyAlignment="1">
      <alignment horizontal="center"/>
    </xf>
    <xf numFmtId="0" fontId="4" fillId="54" borderId="578" xfId="0" applyFont="1" applyFill="1" applyBorder="1" applyAlignment="1">
      <alignment horizontal="left"/>
    </xf>
    <xf numFmtId="0" fontId="0" fillId="54" borderId="585" xfId="0" applyFill="1" applyBorder="1">
      <alignment horizontal="center" vertical="center"/>
    </xf>
    <xf numFmtId="0" fontId="4" fillId="11" borderId="698" xfId="0" applyFont="1" applyFill="1" applyBorder="1" applyAlignment="1">
      <alignment horizontal="center"/>
    </xf>
    <xf numFmtId="0" fontId="4" fillId="11" borderId="578" xfId="0" applyFont="1" applyFill="1" applyBorder="1">
      <alignment horizontal="center" vertical="center"/>
    </xf>
    <xf numFmtId="0" fontId="0" fillId="11" borderId="585" xfId="0" applyFill="1" applyBorder="1">
      <alignment horizontal="center" vertical="center"/>
    </xf>
    <xf numFmtId="0" fontId="0" fillId="11" borderId="705" xfId="0" applyFill="1" applyBorder="1" applyAlignment="1">
      <alignment horizontal="center"/>
    </xf>
    <xf numFmtId="0" fontId="0" fillId="9" borderId="705" xfId="0" applyFill="1" applyBorder="1" applyAlignment="1">
      <alignment horizontal="center"/>
    </xf>
    <xf numFmtId="0" fontId="35" fillId="47" borderId="578" xfId="0" applyFont="1" applyFill="1" applyBorder="1">
      <alignment horizontal="center" vertical="center"/>
    </xf>
    <xf numFmtId="0" fontId="16" fillId="47" borderId="585" xfId="0" applyFont="1" applyFill="1" applyBorder="1">
      <alignment horizontal="center" vertical="center"/>
    </xf>
    <xf numFmtId="0" fontId="0" fillId="47" borderId="585" xfId="0" applyFill="1" applyBorder="1">
      <alignment horizontal="center" vertical="center"/>
    </xf>
    <xf numFmtId="0" fontId="35" fillId="47" borderId="705" xfId="0" applyFont="1" applyFill="1" applyBorder="1" applyAlignment="1">
      <alignment horizontal="center"/>
    </xf>
    <xf numFmtId="0" fontId="4" fillId="40" borderId="547" xfId="0" applyFont="1" applyFill="1" applyBorder="1">
      <alignment horizontal="center" vertical="center"/>
    </xf>
    <xf numFmtId="0" fontId="0" fillId="40" borderId="548" xfId="0" applyFill="1" applyBorder="1">
      <alignment horizontal="center" vertical="center"/>
    </xf>
    <xf numFmtId="0" fontId="16" fillId="47" borderId="705" xfId="0" applyFont="1" applyFill="1" applyBorder="1" applyAlignment="1">
      <alignment horizontal="center"/>
    </xf>
    <xf numFmtId="0" fontId="4" fillId="7" borderId="547" xfId="0" applyFont="1" applyFill="1" applyBorder="1">
      <alignment horizontal="center" vertical="center"/>
    </xf>
    <xf numFmtId="0" fontId="0" fillId="7" borderId="549" xfId="0" applyFill="1" applyBorder="1">
      <alignment horizontal="center" vertical="center"/>
    </xf>
    <xf numFmtId="0" fontId="4" fillId="53" borderId="547" xfId="0" applyFont="1" applyFill="1" applyBorder="1">
      <alignment horizontal="center" vertical="center"/>
    </xf>
    <xf numFmtId="0" fontId="0" fillId="53" borderId="549" xfId="0" applyFill="1" applyBorder="1">
      <alignment horizontal="center" vertical="center"/>
    </xf>
    <xf numFmtId="0" fontId="0" fillId="0" borderId="705" xfId="0" applyBorder="1">
      <alignment horizontal="center" vertical="center"/>
    </xf>
    <xf numFmtId="0" fontId="4" fillId="0" borderId="713" xfId="0" applyFont="1" applyBorder="1" applyAlignment="1">
      <alignment horizontal="left" vertical="center"/>
    </xf>
    <xf numFmtId="0" fontId="4" fillId="49" borderId="547" xfId="0" applyFont="1" applyFill="1" applyBorder="1">
      <alignment horizontal="center" vertical="center"/>
    </xf>
    <xf numFmtId="0" fontId="0" fillId="49" borderId="549" xfId="0" applyFill="1" applyBorder="1">
      <alignment horizontal="center" vertical="center"/>
    </xf>
    <xf numFmtId="0" fontId="5" fillId="14" borderId="698" xfId="0" applyFont="1" applyFill="1" applyBorder="1" applyAlignment="1">
      <alignment horizontal="center"/>
    </xf>
    <xf numFmtId="0" fontId="0" fillId="0" borderId="698" xfId="0" applyBorder="1" applyAlignment="1">
      <alignment horizontal="left"/>
    </xf>
    <xf numFmtId="0" fontId="6" fillId="14" borderId="705" xfId="0" applyFont="1" applyFill="1" applyBorder="1" applyAlignment="1">
      <alignment horizontal="center"/>
    </xf>
    <xf numFmtId="0" fontId="4" fillId="51" borderId="547" xfId="0" applyFont="1" applyFill="1" applyBorder="1">
      <alignment horizontal="center" vertical="center"/>
    </xf>
    <xf numFmtId="0" fontId="0" fillId="51" borderId="548" xfId="0" applyFill="1" applyBorder="1">
      <alignment horizontal="center" vertical="center"/>
    </xf>
    <xf numFmtId="0" fontId="0" fillId="51" borderId="549" xfId="0" applyFill="1" applyBorder="1">
      <alignment horizontal="center" vertical="center"/>
    </xf>
    <xf numFmtId="0" fontId="4" fillId="12" borderId="698" xfId="0" applyFont="1" applyFill="1" applyBorder="1" applyAlignment="1">
      <alignment horizontal="center"/>
    </xf>
    <xf numFmtId="0" fontId="4" fillId="0" borderId="604" xfId="0" applyFont="1" applyBorder="1" applyAlignment="1">
      <alignment horizontal="center"/>
    </xf>
    <xf numFmtId="0" fontId="0" fillId="12" borderId="674" xfId="0" applyFill="1" applyBorder="1" applyAlignment="1">
      <alignment horizontal="center"/>
    </xf>
    <xf numFmtId="0" fontId="4" fillId="54" borderId="604" xfId="0" applyFont="1" applyFill="1" applyBorder="1" applyAlignment="1">
      <alignment horizontal="center"/>
    </xf>
    <xf numFmtId="0" fontId="0" fillId="0" borderId="699" xfId="0" applyBorder="1">
      <alignment horizontal="center" vertical="center"/>
    </xf>
    <xf numFmtId="0" fontId="0" fillId="54" borderId="674" xfId="0" applyFill="1" applyBorder="1" applyAlignment="1">
      <alignment horizontal="center"/>
    </xf>
    <xf numFmtId="0" fontId="0" fillId="0" borderId="677" xfId="0" applyBorder="1" applyAlignment="1">
      <alignment horizontal="center"/>
    </xf>
    <xf numFmtId="0" fontId="0" fillId="0" borderId="697" xfId="0" applyBorder="1" applyAlignment="1">
      <alignment horizontal="center"/>
    </xf>
    <xf numFmtId="0" fontId="4" fillId="50" borderId="547" xfId="0" applyFont="1" applyFill="1" applyBorder="1">
      <alignment horizontal="center" vertical="center"/>
    </xf>
    <xf numFmtId="0" fontId="0" fillId="50" borderId="548" xfId="0" applyFill="1" applyBorder="1">
      <alignment horizontal="center" vertical="center"/>
    </xf>
    <xf numFmtId="0" fontId="0" fillId="50" borderId="549" xfId="0" applyFill="1" applyBorder="1">
      <alignment horizontal="center" vertical="center"/>
    </xf>
    <xf numFmtId="0" fontId="4" fillId="52" borderId="604" xfId="0" applyFont="1" applyFill="1" applyBorder="1" applyAlignment="1">
      <alignment horizontal="center"/>
    </xf>
    <xf numFmtId="0" fontId="4" fillId="52" borderId="698" xfId="0" applyFont="1" applyFill="1" applyBorder="1" applyAlignment="1">
      <alignment horizontal="center"/>
    </xf>
    <xf numFmtId="0" fontId="0" fillId="0" borderId="699" xfId="0" applyBorder="1" applyAlignment="1">
      <alignment horizontal="center"/>
    </xf>
    <xf numFmtId="0" fontId="0" fillId="52" borderId="674" xfId="0" applyFill="1" applyBorder="1" applyAlignment="1">
      <alignment horizontal="center"/>
    </xf>
    <xf numFmtId="0" fontId="6" fillId="0" borderId="595" xfId="0" applyFont="1" applyBorder="1" applyAlignment="1">
      <alignment horizontal="center"/>
    </xf>
    <xf numFmtId="0" fontId="6" fillId="0" borderId="596" xfId="0" applyFont="1" applyBorder="1" applyAlignment="1">
      <alignment horizontal="center"/>
    </xf>
    <xf numFmtId="0" fontId="4" fillId="0" borderId="595" xfId="0" applyFont="1" applyBorder="1" applyAlignment="1">
      <alignment horizontal="center"/>
    </xf>
    <xf numFmtId="0" fontId="4" fillId="0" borderId="596" xfId="0" applyFont="1" applyBorder="1" applyAlignment="1">
      <alignment horizontal="center"/>
    </xf>
    <xf numFmtId="0" fontId="4" fillId="0" borderId="713" xfId="0" applyFont="1" applyBorder="1">
      <alignment horizontal="center" vertical="center"/>
    </xf>
    <xf numFmtId="0" fontId="6" fillId="14" borderId="674" xfId="0" applyFont="1" applyFill="1" applyBorder="1" applyAlignment="1">
      <alignment horizontal="center"/>
    </xf>
    <xf numFmtId="0" fontId="4" fillId="0" borderId="648" xfId="0" applyFont="1" applyBorder="1" applyAlignment="1">
      <alignment horizontal="left"/>
    </xf>
    <xf numFmtId="0" fontId="4" fillId="0" borderId="714" xfId="0" applyFont="1" applyBorder="1" applyAlignment="1">
      <alignment horizontal="center"/>
    </xf>
    <xf numFmtId="0" fontId="6" fillId="0" borderId="577" xfId="0" applyFont="1" applyBorder="1" applyAlignment="1">
      <alignment horizontal="center"/>
    </xf>
    <xf numFmtId="0" fontId="6" fillId="0" borderId="591" xfId="0" applyFont="1" applyBorder="1" applyAlignment="1">
      <alignment horizontal="left"/>
    </xf>
    <xf numFmtId="170" fontId="6" fillId="0" borderId="648" xfId="0" applyNumberFormat="1" applyFont="1" applyBorder="1" applyAlignment="1">
      <alignment horizontal="center"/>
    </xf>
    <xf numFmtId="0" fontId="4" fillId="0" borderId="579" xfId="0" applyFont="1" applyBorder="1" applyAlignment="1">
      <alignment horizontal="left"/>
    </xf>
    <xf numFmtId="0" fontId="4" fillId="0" borderId="715" xfId="0" applyFont="1" applyBorder="1" applyAlignment="1">
      <alignment horizontal="left"/>
    </xf>
    <xf numFmtId="0" fontId="0" fillId="0" borderId="596" xfId="0" applyBorder="1" applyAlignment="1">
      <alignment horizontal="center"/>
    </xf>
    <xf numFmtId="0" fontId="6" fillId="0" borderId="699" xfId="0" applyFont="1" applyBorder="1" applyAlignment="1">
      <alignment horizontal="left"/>
    </xf>
    <xf numFmtId="0" fontId="6" fillId="0" borderId="594" xfId="0" applyFont="1" applyBorder="1" applyAlignment="1">
      <alignment horizontal="left"/>
    </xf>
    <xf numFmtId="0" fontId="5" fillId="0" borderId="668" xfId="0" applyFont="1" applyBorder="1" applyAlignment="1">
      <alignment horizontal="left"/>
    </xf>
    <xf numFmtId="0" fontId="0" fillId="0" borderId="714" xfId="0" applyBorder="1">
      <alignment horizontal="center" vertical="center"/>
    </xf>
    <xf numFmtId="0" fontId="0" fillId="0" borderId="591" xfId="0" applyBorder="1" applyAlignment="1">
      <alignment horizontal="center"/>
    </xf>
    <xf numFmtId="0" fontId="6" fillId="0" borderId="661" xfId="0" applyFont="1" applyBorder="1" applyAlignment="1">
      <alignment horizontal="left"/>
    </xf>
    <xf numFmtId="0" fontId="6" fillId="12" borderId="544" xfId="0" applyFont="1" applyFill="1" applyBorder="1" applyAlignment="1">
      <alignment horizontal="center"/>
    </xf>
    <xf numFmtId="0" fontId="6" fillId="11" borderId="594" xfId="0" applyFont="1" applyFill="1" applyBorder="1" applyAlignment="1">
      <alignment horizontal="left"/>
    </xf>
    <xf numFmtId="0" fontId="6" fillId="11" borderId="648" xfId="0" applyFont="1" applyFill="1" applyBorder="1" applyAlignment="1">
      <alignment horizontal="center"/>
    </xf>
    <xf numFmtId="0" fontId="6" fillId="11" borderId="450" xfId="0" applyFont="1" applyFill="1" applyBorder="1">
      <alignment horizontal="center" vertical="center"/>
    </xf>
    <xf numFmtId="0" fontId="6" fillId="11" borderId="654" xfId="0" applyFont="1" applyFill="1" applyBorder="1" applyAlignment="1">
      <alignment horizontal="left"/>
    </xf>
    <xf numFmtId="0" fontId="5" fillId="11" borderId="668" xfId="0" applyFont="1" applyFill="1" applyBorder="1" applyAlignment="1">
      <alignment horizontal="left"/>
    </xf>
    <xf numFmtId="0" fontId="6" fillId="11" borderId="544" xfId="0" applyFont="1" applyFill="1" applyBorder="1" applyAlignment="1">
      <alignment horizontal="center"/>
    </xf>
    <xf numFmtId="0" fontId="6" fillId="11" borderId="697" xfId="0" applyFont="1" applyFill="1" applyBorder="1" applyAlignment="1">
      <alignment horizontal="left"/>
    </xf>
    <xf numFmtId="0" fontId="5" fillId="11" borderId="648" xfId="0" applyFont="1" applyFill="1" applyBorder="1" applyAlignment="1">
      <alignment horizontal="center"/>
    </xf>
    <xf numFmtId="0" fontId="0" fillId="0" borderId="661" xfId="0" applyBorder="1">
      <alignment horizontal="center" vertical="center"/>
    </xf>
    <xf numFmtId="0" fontId="0" fillId="0" borderId="653" xfId="0" applyBorder="1">
      <alignment horizontal="center" vertical="center"/>
    </xf>
    <xf numFmtId="2" fontId="0" fillId="0" borderId="654" xfId="0" applyNumberFormat="1" applyBorder="1">
      <alignment horizontal="center" vertical="center"/>
    </xf>
    <xf numFmtId="0" fontId="0" fillId="0" borderId="569" xfId="0" applyBorder="1">
      <alignment horizontal="center" vertical="center"/>
    </xf>
    <xf numFmtId="2" fontId="0" fillId="0" borderId="590" xfId="0" applyNumberFormat="1" applyBorder="1">
      <alignment horizontal="center" vertical="center"/>
    </xf>
    <xf numFmtId="0" fontId="0" fillId="0" borderId="570" xfId="0" applyBorder="1">
      <alignment horizontal="center" vertical="center"/>
    </xf>
    <xf numFmtId="2" fontId="0" fillId="11" borderId="545" xfId="0" applyNumberFormat="1" applyFill="1" applyBorder="1">
      <alignment horizontal="center" vertical="center"/>
    </xf>
    <xf numFmtId="0" fontId="0" fillId="0" borderId="653" xfId="0" applyBorder="1" applyAlignment="1" applyProtection="1">
      <alignment horizontal="center"/>
      <protection locked="0"/>
    </xf>
    <xf numFmtId="0" fontId="19" fillId="0" borderId="579" xfId="0" applyFont="1" applyBorder="1" applyAlignment="1">
      <alignment horizontal="left"/>
    </xf>
    <xf numFmtId="0" fontId="0" fillId="0" borderId="579" xfId="0" applyBorder="1" applyAlignment="1">
      <alignment horizontal="left"/>
    </xf>
    <xf numFmtId="0" fontId="5" fillId="0" borderId="706" xfId="0" applyFont="1" applyBorder="1" applyAlignment="1">
      <alignment horizontal="left"/>
    </xf>
    <xf numFmtId="0" fontId="4" fillId="0" borderId="544" xfId="0" applyFont="1" applyBorder="1" applyAlignment="1">
      <alignment horizontal="center"/>
    </xf>
    <xf numFmtId="0" fontId="5" fillId="0" borderId="545" xfId="0" applyFont="1" applyBorder="1" applyAlignment="1">
      <alignment horizontal="left"/>
    </xf>
    <xf numFmtId="0" fontId="0" fillId="0" borderId="602" xfId="0" applyBorder="1" applyAlignment="1">
      <alignment horizontal="center"/>
    </xf>
    <xf numFmtId="0" fontId="6" fillId="0" borderId="590" xfId="0" applyFont="1" applyBorder="1" applyAlignment="1">
      <alignment horizontal="left"/>
    </xf>
    <xf numFmtId="0" fontId="4" fillId="0" borderId="714" xfId="0" applyFont="1" applyBorder="1">
      <alignment horizontal="center" vertical="center"/>
    </xf>
    <xf numFmtId="0" fontId="5" fillId="11" borderId="706" xfId="0" applyFont="1" applyFill="1" applyBorder="1" applyAlignment="1">
      <alignment horizontal="left"/>
    </xf>
    <xf numFmtId="0" fontId="5" fillId="11" borderId="591" xfId="0" applyFont="1" applyFill="1" applyBorder="1" applyAlignment="1">
      <alignment horizontal="left"/>
    </xf>
    <xf numFmtId="0" fontId="4" fillId="0" borderId="602" xfId="0" applyFont="1" applyBorder="1">
      <alignment horizontal="center" vertical="center"/>
    </xf>
    <xf numFmtId="0" fontId="5" fillId="11" borderId="590" xfId="0" applyFont="1" applyFill="1" applyBorder="1" applyAlignment="1">
      <alignment horizontal="left"/>
    </xf>
    <xf numFmtId="0" fontId="6" fillId="0" borderId="577" xfId="0" applyFont="1" applyBorder="1">
      <alignment horizontal="center" vertical="center"/>
    </xf>
    <xf numFmtId="0" fontId="5" fillId="0" borderId="602" xfId="0" applyFont="1" applyBorder="1">
      <alignment horizontal="center" vertical="center"/>
    </xf>
    <xf numFmtId="0" fontId="6" fillId="0" borderId="544" xfId="0" applyFont="1" applyBorder="1" applyAlignment="1">
      <alignment horizontal="left"/>
    </xf>
    <xf numFmtId="49" fontId="4" fillId="49" borderId="705" xfId="0" applyNumberFormat="1" applyFont="1" applyFill="1" applyBorder="1" applyAlignment="1">
      <alignment horizontal="center"/>
    </xf>
    <xf numFmtId="0" fontId="35" fillId="50" borderId="705" xfId="0" applyFont="1" applyFill="1" applyBorder="1" applyAlignment="1">
      <alignment horizontal="center"/>
    </xf>
    <xf numFmtId="0" fontId="0" fillId="0" borderId="532" xfId="0" applyBorder="1">
      <alignment horizontal="center" vertical="center"/>
    </xf>
    <xf numFmtId="49" fontId="5" fillId="7" borderId="705" xfId="0" applyNumberFormat="1" applyFont="1" applyFill="1" applyBorder="1" applyAlignment="1">
      <alignment horizontal="center"/>
    </xf>
    <xf numFmtId="0" fontId="35" fillId="51" borderId="705" xfId="0" applyFont="1" applyFill="1" applyBorder="1" applyAlignment="1">
      <alignment horizontal="center"/>
    </xf>
    <xf numFmtId="49" fontId="5" fillId="53" borderId="705" xfId="0" applyNumberFormat="1" applyFont="1" applyFill="1" applyBorder="1" applyAlignment="1">
      <alignment horizontal="center"/>
    </xf>
    <xf numFmtId="0" fontId="4" fillId="9" borderId="705" xfId="0" applyFont="1" applyFill="1" applyBorder="1" applyAlignment="1">
      <alignment horizontal="center"/>
    </xf>
    <xf numFmtId="49" fontId="4" fillId="40" borderId="705" xfId="0" applyNumberFormat="1" applyFont="1" applyFill="1" applyBorder="1" applyAlignment="1">
      <alignment horizontal="center"/>
    </xf>
    <xf numFmtId="49" fontId="4" fillId="11" borderId="705" xfId="0" applyNumberFormat="1" applyFont="1" applyFill="1" applyBorder="1" applyAlignment="1">
      <alignment horizontal="center"/>
    </xf>
    <xf numFmtId="49" fontId="35" fillId="47" borderId="705" xfId="0" applyNumberFormat="1" applyFont="1" applyFill="1" applyBorder="1" applyAlignment="1">
      <alignment horizontal="center"/>
    </xf>
    <xf numFmtId="0" fontId="4" fillId="0" borderId="705" xfId="0" applyFont="1" applyBorder="1" applyAlignment="1">
      <alignment horizontal="center"/>
    </xf>
    <xf numFmtId="49" fontId="5" fillId="14" borderId="705" xfId="0" applyNumberFormat="1" applyFont="1" applyFill="1" applyBorder="1" applyAlignment="1">
      <alignment horizontal="center"/>
    </xf>
    <xf numFmtId="0" fontId="0" fillId="0" borderId="705" xfId="0" applyBorder="1" applyAlignment="1">
      <alignment horizontal="left"/>
    </xf>
    <xf numFmtId="49" fontId="4" fillId="12" borderId="705" xfId="0" applyNumberFormat="1" applyFont="1" applyFill="1" applyBorder="1" applyAlignment="1">
      <alignment horizontal="center"/>
    </xf>
    <xf numFmtId="0" fontId="0" fillId="0" borderId="706" xfId="0" applyBorder="1" applyAlignment="1">
      <alignment horizontal="center"/>
    </xf>
    <xf numFmtId="0" fontId="0" fillId="0" borderId="653" xfId="0" applyBorder="1" applyAlignment="1">
      <alignment horizontal="left"/>
    </xf>
    <xf numFmtId="0" fontId="35" fillId="50" borderId="648" xfId="0" applyFont="1" applyFill="1" applyBorder="1">
      <alignment horizontal="center" vertical="center"/>
    </xf>
    <xf numFmtId="0" fontId="35" fillId="50" borderId="654" xfId="0" applyFont="1" applyFill="1" applyBorder="1">
      <alignment horizontal="center" vertical="center"/>
    </xf>
    <xf numFmtId="0" fontId="36" fillId="50" borderId="544" xfId="0" applyFont="1" applyFill="1" applyBorder="1" applyAlignment="1">
      <alignment horizontal="center"/>
    </xf>
    <xf numFmtId="0" fontId="36" fillId="50" borderId="545" xfId="0" applyFont="1" applyFill="1" applyBorder="1" applyAlignment="1">
      <alignment horizontal="center"/>
    </xf>
    <xf numFmtId="0" fontId="6" fillId="0" borderId="654" xfId="0" applyFont="1" applyBorder="1" applyAlignment="1">
      <alignment horizontal="center"/>
    </xf>
    <xf numFmtId="0" fontId="6" fillId="0" borderId="545" xfId="0" applyFont="1" applyBorder="1" applyAlignment="1">
      <alignment horizontal="center"/>
    </xf>
    <xf numFmtId="0" fontId="4" fillId="0" borderId="654" xfId="0" applyFont="1" applyBorder="1" applyAlignment="1">
      <alignment horizontal="center"/>
    </xf>
    <xf numFmtId="0" fontId="0" fillId="0" borderId="545" xfId="0" applyBorder="1" applyAlignment="1">
      <alignment horizontal="center"/>
    </xf>
    <xf numFmtId="0" fontId="4" fillId="0" borderId="653" xfId="0" applyFont="1" applyBorder="1" applyAlignment="1">
      <alignment horizontal="left"/>
    </xf>
    <xf numFmtId="0" fontId="0" fillId="0" borderId="714" xfId="0" applyBorder="1" applyAlignment="1">
      <alignment horizontal="center"/>
    </xf>
    <xf numFmtId="0" fontId="0" fillId="0" borderId="701" xfId="0" applyBorder="1" applyAlignment="1">
      <alignment horizontal="center"/>
    </xf>
    <xf numFmtId="0" fontId="0" fillId="0" borderId="702" xfId="0" applyBorder="1" applyAlignment="1">
      <alignment horizontal="center"/>
    </xf>
    <xf numFmtId="0" fontId="5" fillId="0" borderId="716" xfId="0" applyFont="1" applyBorder="1" applyAlignment="1">
      <alignment horizontal="center"/>
    </xf>
    <xf numFmtId="0" fontId="0" fillId="0" borderId="703" xfId="0" applyBorder="1" applyAlignment="1">
      <alignment horizontal="center"/>
    </xf>
    <xf numFmtId="0" fontId="6" fillId="0" borderId="704" xfId="0" applyFont="1" applyBorder="1" applyAlignment="1">
      <alignment horizontal="left"/>
    </xf>
    <xf numFmtId="0" fontId="4" fillId="8" borderId="648" xfId="0" applyFont="1" applyFill="1" applyBorder="1" applyAlignment="1">
      <alignment horizontal="left"/>
    </xf>
    <xf numFmtId="0" fontId="6" fillId="8" borderId="576" xfId="0" applyFont="1" applyFill="1" applyBorder="1" applyAlignment="1">
      <alignment horizontal="center"/>
    </xf>
    <xf numFmtId="0" fontId="4" fillId="8" borderId="577" xfId="0" applyFont="1" applyFill="1" applyBorder="1" applyAlignment="1">
      <alignment horizontal="center"/>
    </xf>
    <xf numFmtId="0" fontId="0" fillId="8" borderId="576" xfId="0" applyFill="1" applyBorder="1" applyAlignment="1">
      <alignment horizontal="center"/>
    </xf>
    <xf numFmtId="0" fontId="4" fillId="8" borderId="544" xfId="0" applyFont="1" applyFill="1" applyBorder="1" applyAlignment="1">
      <alignment horizontal="center"/>
    </xf>
    <xf numFmtId="0" fontId="4" fillId="0" borderId="602" xfId="0" applyFont="1" applyBorder="1" applyAlignment="1">
      <alignment horizontal="left"/>
    </xf>
    <xf numFmtId="0" fontId="4" fillId="0" borderId="714" xfId="0" applyFont="1" applyBorder="1" applyAlignment="1">
      <alignment horizontal="left"/>
    </xf>
    <xf numFmtId="0" fontId="4" fillId="0" borderId="715" xfId="0" applyFont="1" applyBorder="1" applyAlignment="1">
      <alignment horizontal="center"/>
    </xf>
    <xf numFmtId="0" fontId="0" fillId="22" borderId="653" xfId="0" applyFill="1" applyBorder="1" applyAlignment="1" applyProtection="1">
      <alignment horizontal="center"/>
      <protection locked="0"/>
    </xf>
    <xf numFmtId="0" fontId="0" fillId="22" borderId="598" xfId="0" applyFill="1" applyBorder="1" applyAlignment="1" applyProtection="1">
      <alignment horizontal="center"/>
      <protection locked="0"/>
    </xf>
    <xf numFmtId="0" fontId="0" fillId="22" borderId="570" xfId="0" applyFill="1" applyBorder="1" applyAlignment="1" applyProtection="1">
      <alignment horizontal="center"/>
      <protection locked="0"/>
    </xf>
    <xf numFmtId="2" fontId="0" fillId="0" borderId="544" xfId="0" applyNumberFormat="1" applyBorder="1" applyAlignment="1">
      <alignment horizontal="left"/>
    </xf>
    <xf numFmtId="2" fontId="6" fillId="0" borderId="544" xfId="0" applyNumberFormat="1" applyFont="1" applyBorder="1" applyAlignment="1">
      <alignment horizontal="left"/>
    </xf>
    <xf numFmtId="2" fontId="6" fillId="0" borderId="545" xfId="0" applyNumberFormat="1" applyFont="1" applyBorder="1" applyAlignment="1">
      <alignment horizontal="left"/>
    </xf>
    <xf numFmtId="0" fontId="4" fillId="0" borderId="674" xfId="0" applyFont="1" applyBorder="1" applyAlignment="1">
      <alignment horizontal="center"/>
    </xf>
    <xf numFmtId="0" fontId="25" fillId="0" borderId="666" xfId="0" applyFont="1" applyBorder="1" applyAlignment="1">
      <alignment horizontal="center"/>
    </xf>
    <xf numFmtId="0" fontId="38" fillId="11" borderId="594" xfId="0" applyFont="1" applyFill="1" applyBorder="1">
      <alignment horizontal="center" vertical="center"/>
    </xf>
    <xf numFmtId="0" fontId="38" fillId="11" borderId="595" xfId="0" applyFont="1" applyFill="1" applyBorder="1" applyAlignment="1">
      <alignment horizontal="center"/>
    </xf>
    <xf numFmtId="0" fontId="38" fillId="11" borderId="595" xfId="0" applyFont="1" applyFill="1" applyBorder="1" applyAlignment="1">
      <alignment wrapText="1"/>
    </xf>
    <xf numFmtId="0" fontId="38" fillId="11" borderId="595" xfId="0" applyFont="1" applyFill="1" applyBorder="1">
      <alignment horizontal="center" vertical="center"/>
    </xf>
    <xf numFmtId="0" fontId="38" fillId="11" borderId="605" xfId="0" applyFont="1" applyFill="1" applyBorder="1">
      <alignment horizontal="center" vertical="center"/>
    </xf>
    <xf numFmtId="0" fontId="11" fillId="14" borderId="576" xfId="0" applyFont="1" applyFill="1" applyBorder="1" applyAlignment="1">
      <alignment wrapText="1"/>
    </xf>
    <xf numFmtId="0" fontId="6" fillId="0" borderId="576" xfId="0" applyFont="1" applyBorder="1" applyAlignment="1">
      <alignment wrapText="1"/>
    </xf>
    <xf numFmtId="0" fontId="9" fillId="0" borderId="549" xfId="0" applyFont="1" applyBorder="1" applyAlignment="1">
      <alignment wrapText="1"/>
    </xf>
    <xf numFmtId="0" fontId="38" fillId="0" borderId="576" xfId="0" applyFont="1" applyBorder="1" applyAlignment="1">
      <alignment wrapText="1"/>
    </xf>
    <xf numFmtId="0" fontId="39" fillId="0" borderId="547" xfId="0" applyFont="1" applyBorder="1" applyAlignment="1">
      <alignment horizontal="center" wrapText="1"/>
    </xf>
    <xf numFmtId="3" fontId="39" fillId="0" borderId="602" xfId="0" applyNumberFormat="1" applyFont="1" applyBorder="1" applyAlignment="1"/>
    <xf numFmtId="3" fontId="39" fillId="0" borderId="547" xfId="0" applyNumberFormat="1" applyFont="1" applyBorder="1" applyAlignment="1"/>
    <xf numFmtId="3" fontId="39" fillId="0" borderId="576" xfId="0" applyNumberFormat="1" applyFont="1" applyBorder="1" applyAlignment="1"/>
    <xf numFmtId="3" fontId="39" fillId="0" borderId="590" xfId="0" applyNumberFormat="1" applyFont="1" applyBorder="1" applyAlignment="1"/>
    <xf numFmtId="0" fontId="38" fillId="0" borderId="550" xfId="0" applyFont="1" applyBorder="1">
      <alignment horizontal="center" vertical="center"/>
    </xf>
    <xf numFmtId="0" fontId="39" fillId="11" borderId="594" xfId="0" applyFont="1" applyFill="1" applyBorder="1">
      <alignment horizontal="center" vertical="center"/>
    </xf>
    <xf numFmtId="0" fontId="39" fillId="11" borderId="595" xfId="0" applyFont="1" applyFill="1" applyBorder="1">
      <alignment horizontal="center" vertical="center"/>
    </xf>
    <xf numFmtId="0" fontId="39" fillId="11" borderId="605" xfId="0" applyFont="1" applyFill="1" applyBorder="1">
      <alignment horizontal="center" vertical="center"/>
    </xf>
    <xf numFmtId="0" fontId="9" fillId="0" borderId="576" xfId="0" applyFont="1" applyBorder="1" applyAlignment="1">
      <alignment wrapText="1"/>
    </xf>
    <xf numFmtId="0" fontId="39" fillId="0" borderId="547" xfId="0" applyFont="1" applyBorder="1" applyAlignment="1">
      <alignment horizontal="center"/>
    </xf>
    <xf numFmtId="1" fontId="39" fillId="0" borderId="602" xfId="0" applyNumberFormat="1" applyFont="1" applyBorder="1" applyAlignment="1">
      <alignment horizontal="center"/>
    </xf>
    <xf numFmtId="1" fontId="39" fillId="0" borderId="576" xfId="0" applyNumberFormat="1" applyFont="1" applyBorder="1" applyAlignment="1">
      <alignment horizontal="center"/>
    </xf>
    <xf numFmtId="1" fontId="39" fillId="0" borderId="590" xfId="0" applyNumberFormat="1" applyFont="1" applyBorder="1" applyAlignment="1">
      <alignment horizontal="center"/>
    </xf>
    <xf numFmtId="0" fontId="9" fillId="0" borderId="550" xfId="0" applyFont="1" applyBorder="1" applyAlignment="1">
      <alignment horizontal="center" wrapText="1"/>
    </xf>
    <xf numFmtId="0" fontId="39" fillId="0" borderId="576" xfId="0" applyFont="1" applyBorder="1" applyAlignment="1">
      <alignment wrapText="1"/>
    </xf>
    <xf numFmtId="0" fontId="9" fillId="0" borderId="576" xfId="0" applyFont="1" applyBorder="1" applyAlignment="1">
      <alignment vertical="top" wrapText="1"/>
    </xf>
    <xf numFmtId="0" fontId="38" fillId="0" borderId="550" xfId="0" applyFont="1" applyBorder="1" applyAlignment="1">
      <alignment horizontal="center"/>
    </xf>
    <xf numFmtId="0" fontId="38" fillId="12" borderId="668" xfId="0" applyFont="1" applyFill="1" applyBorder="1" applyAlignment="1">
      <alignment wrapText="1"/>
    </xf>
    <xf numFmtId="0" fontId="39" fillId="0" borderId="544" xfId="0" applyFont="1" applyBorder="1" applyAlignment="1">
      <alignment wrapText="1"/>
    </xf>
    <xf numFmtId="0" fontId="9" fillId="0" borderId="544" xfId="0" applyFont="1" applyBorder="1" applyAlignment="1">
      <alignment vertical="top" wrapText="1"/>
    </xf>
    <xf numFmtId="0" fontId="39" fillId="0" borderId="566" xfId="0" applyFont="1" applyBorder="1" applyAlignment="1">
      <alignment horizontal="center"/>
    </xf>
    <xf numFmtId="1" fontId="39" fillId="0" borderId="579" xfId="0" applyNumberFormat="1" applyFont="1" applyBorder="1" applyAlignment="1">
      <alignment horizontal="center"/>
    </xf>
    <xf numFmtId="1" fontId="39" fillId="0" borderId="544" xfId="0" applyNumberFormat="1" applyFont="1" applyBorder="1" applyAlignment="1">
      <alignment horizontal="center"/>
    </xf>
    <xf numFmtId="1" fontId="39" fillId="0" borderId="545" xfId="0" applyNumberFormat="1" applyFont="1" applyBorder="1" applyAlignment="1">
      <alignment horizontal="center"/>
    </xf>
    <xf numFmtId="0" fontId="38" fillId="0" borderId="601" xfId="0" applyFont="1" applyBorder="1" applyAlignment="1">
      <alignment horizontal="center"/>
    </xf>
    <xf numFmtId="172" fontId="39" fillId="0" borderId="569" xfId="0" applyNumberFormat="1" applyFont="1" applyBorder="1" applyAlignment="1"/>
    <xf numFmtId="172" fontId="39" fillId="0" borderId="576" xfId="0" applyNumberFormat="1" applyFont="1" applyBorder="1" applyAlignment="1"/>
    <xf numFmtId="172" fontId="39" fillId="0" borderId="590" xfId="0" applyNumberFormat="1" applyFont="1" applyBorder="1" applyAlignment="1"/>
    <xf numFmtId="0" fontId="9" fillId="0" borderId="550" xfId="0" applyFont="1" applyBorder="1" applyAlignment="1">
      <alignment wrapText="1"/>
    </xf>
    <xf numFmtId="0" fontId="11" fillId="17" borderId="668" xfId="0" applyFont="1" applyFill="1" applyBorder="1" applyAlignment="1">
      <alignment wrapText="1"/>
    </xf>
    <xf numFmtId="3" fontId="39" fillId="0" borderId="579" xfId="0" applyNumberFormat="1" applyFont="1" applyBorder="1" applyAlignment="1"/>
    <xf numFmtId="3" fontId="39" fillId="0" borderId="544" xfId="0" applyNumberFormat="1" applyFont="1" applyBorder="1" applyAlignment="1"/>
    <xf numFmtId="3" fontId="39" fillId="0" borderId="545" xfId="0" applyNumberFormat="1" applyFont="1" applyBorder="1" applyAlignment="1"/>
    <xf numFmtId="0" fontId="38" fillId="0" borderId="601" xfId="0" applyFont="1" applyBorder="1">
      <alignment horizontal="center" vertical="center"/>
    </xf>
    <xf numFmtId="0" fontId="0" fillId="0" borderId="648" xfId="0" applyBorder="1" applyAlignment="1">
      <alignment vertical="center"/>
    </xf>
    <xf numFmtId="0" fontId="45" fillId="23" borderId="648" xfId="5" applyBorder="1">
      <alignment horizontal="center" vertical="center"/>
    </xf>
    <xf numFmtId="0" fontId="45" fillId="23" borderId="576" xfId="5" applyBorder="1">
      <alignment horizontal="center" vertical="center"/>
    </xf>
    <xf numFmtId="1" fontId="0" fillId="27" borderId="576" xfId="0" applyNumberFormat="1" applyFill="1" applyBorder="1">
      <alignment horizontal="center" vertical="center"/>
    </xf>
    <xf numFmtId="1" fontId="0" fillId="19" borderId="576" xfId="6" applyNumberFormat="1" applyFont="1" applyFill="1" applyBorder="1">
      <alignment horizontal="center" vertical="center"/>
    </xf>
    <xf numFmtId="0" fontId="0" fillId="22" borderId="656" xfId="0" applyFill="1" applyBorder="1" applyAlignment="1" applyProtection="1">
      <alignment horizontal="center"/>
      <protection locked="0"/>
    </xf>
    <xf numFmtId="0" fontId="0" fillId="0" borderId="656" xfId="0" applyBorder="1" applyAlignment="1">
      <alignment horizontal="left" vertical="center"/>
    </xf>
    <xf numFmtId="0" fontId="0" fillId="19" borderId="675" xfId="0" applyFill="1" applyBorder="1">
      <alignment horizontal="center" vertical="center"/>
    </xf>
    <xf numFmtId="0" fontId="0" fillId="19" borderId="717" xfId="0" applyFill="1" applyBorder="1">
      <alignment horizontal="center" vertical="center"/>
    </xf>
    <xf numFmtId="0" fontId="0" fillId="0" borderId="718" xfId="7" applyFont="1" applyBorder="1" applyAlignment="1">
      <alignment vertical="center"/>
    </xf>
    <xf numFmtId="0" fontId="6" fillId="0" borderId="718" xfId="0" applyFont="1" applyBorder="1" applyAlignment="1">
      <alignment horizontal="left" vertical="center"/>
    </xf>
    <xf numFmtId="0" fontId="0" fillId="19" borderId="718" xfId="10" applyFont="1" applyFill="1" applyBorder="1">
      <alignment horizontal="center" vertical="center"/>
    </xf>
    <xf numFmtId="0" fontId="6" fillId="0" borderId="718" xfId="7" applyBorder="1">
      <alignment horizontal="center" vertical="center"/>
    </xf>
    <xf numFmtId="0" fontId="0" fillId="19" borderId="718" xfId="5" applyFont="1" applyFill="1" applyBorder="1">
      <alignment horizontal="center" vertical="center"/>
    </xf>
    <xf numFmtId="0" fontId="45" fillId="23" borderId="718" xfId="5" applyBorder="1">
      <alignment horizontal="center" vertical="center"/>
    </xf>
    <xf numFmtId="0" fontId="17" fillId="25" borderId="718" xfId="8" applyBorder="1">
      <alignment horizontal="center" vertical="center"/>
    </xf>
    <xf numFmtId="0" fontId="6" fillId="28" borderId="648" xfId="10" applyFont="1" applyBorder="1">
      <alignment horizontal="center" vertical="center"/>
    </xf>
    <xf numFmtId="0" fontId="0" fillId="28" borderId="648" xfId="0" applyFill="1" applyBorder="1">
      <alignment horizontal="center" vertical="center"/>
    </xf>
    <xf numFmtId="0" fontId="17" fillId="28" borderId="648" xfId="10" applyBorder="1">
      <alignment horizontal="center" vertical="center"/>
    </xf>
    <xf numFmtId="0" fontId="0" fillId="28" borderId="648" xfId="6" applyFont="1" applyFill="1" applyBorder="1">
      <alignment horizontal="center" vertical="center"/>
    </xf>
    <xf numFmtId="49" fontId="0" fillId="28" borderId="648" xfId="0" applyNumberFormat="1" applyFill="1" applyBorder="1">
      <alignment horizontal="center" vertical="center"/>
    </xf>
    <xf numFmtId="0" fontId="0" fillId="28" borderId="648" xfId="7" applyFont="1" applyFill="1" applyBorder="1">
      <alignment horizontal="center" vertical="center"/>
    </xf>
    <xf numFmtId="0" fontId="0" fillId="19" borderId="656" xfId="11" applyFont="1" applyFill="1" applyBorder="1">
      <alignment horizontal="center" vertical="center"/>
    </xf>
    <xf numFmtId="49" fontId="0" fillId="19" borderId="511" xfId="3" applyNumberFormat="1" applyFont="1" applyFill="1" applyBorder="1" applyAlignment="1">
      <alignment horizontal="center" vertical="center"/>
    </xf>
    <xf numFmtId="49" fontId="6" fillId="19" borderId="511" xfId="3" applyNumberFormat="1" applyFont="1" applyFill="1" applyBorder="1" applyAlignment="1">
      <alignment horizontal="center" vertical="center"/>
    </xf>
    <xf numFmtId="0" fontId="17" fillId="25" borderId="717" xfId="8" applyBorder="1">
      <alignment horizontal="center" vertical="center"/>
    </xf>
    <xf numFmtId="0" fontId="6" fillId="19" borderId="511" xfId="0" applyFont="1" applyFill="1" applyBorder="1">
      <alignment horizontal="center" vertical="center"/>
    </xf>
    <xf numFmtId="0" fontId="0" fillId="27" borderId="511" xfId="9" applyFont="1" applyBorder="1">
      <alignment horizontal="center" vertical="center"/>
    </xf>
    <xf numFmtId="0" fontId="6" fillId="28" borderId="511" xfId="0" applyFont="1" applyFill="1" applyBorder="1">
      <alignment horizontal="center" vertical="center"/>
    </xf>
    <xf numFmtId="0" fontId="0" fillId="19" borderId="717" xfId="7" applyFont="1" applyFill="1" applyBorder="1">
      <alignment horizontal="center" vertical="center"/>
    </xf>
    <xf numFmtId="49" fontId="6" fillId="19" borderId="511" xfId="7" applyNumberFormat="1" applyFill="1" applyBorder="1">
      <alignment horizontal="center" vertical="center"/>
    </xf>
    <xf numFmtId="0" fontId="6" fillId="19" borderId="511" xfId="6" applyFont="1" applyFill="1" applyBorder="1">
      <alignment horizontal="center" vertical="center"/>
    </xf>
    <xf numFmtId="49" fontId="0" fillId="19" borderId="717" xfId="0" applyNumberFormat="1" applyFill="1" applyBorder="1">
      <alignment horizontal="center" vertical="center"/>
    </xf>
    <xf numFmtId="0" fontId="0" fillId="19" borderId="719" xfId="0" applyFill="1" applyBorder="1" applyAlignment="1">
      <alignment horizontal="left" vertical="center"/>
    </xf>
    <xf numFmtId="0" fontId="0" fillId="19" borderId="693" xfId="0" applyFill="1" applyBorder="1" applyAlignment="1">
      <alignment horizontal="left" vertical="center"/>
    </xf>
    <xf numFmtId="0" fontId="17" fillId="30" borderId="648" xfId="12" applyBorder="1">
      <alignment horizontal="center" vertical="center"/>
    </xf>
    <xf numFmtId="0" fontId="15" fillId="19" borderId="720" xfId="0" applyFont="1" applyFill="1" applyBorder="1" applyAlignment="1">
      <alignment horizontal="left" vertical="center"/>
    </xf>
    <xf numFmtId="0" fontId="6" fillId="0" borderId="721" xfId="7" applyBorder="1">
      <alignment horizontal="center" vertical="center"/>
    </xf>
    <xf numFmtId="0" fontId="0" fillId="0" borderId="721" xfId="0" applyBorder="1">
      <alignment horizontal="center" vertical="center"/>
    </xf>
    <xf numFmtId="0" fontId="0" fillId="0" borderId="722" xfId="0" applyBorder="1">
      <alignment horizontal="center" vertical="center"/>
    </xf>
    <xf numFmtId="0" fontId="17" fillId="19" borderId="305" xfId="6" applyFill="1" applyBorder="1">
      <alignment horizontal="center" vertical="center"/>
    </xf>
    <xf numFmtId="0" fontId="17" fillId="30" borderId="305" xfId="12" applyBorder="1">
      <alignment horizontal="center" vertical="center"/>
    </xf>
    <xf numFmtId="0" fontId="0" fillId="0" borderId="306" xfId="0" applyBorder="1">
      <alignment horizontal="center" vertical="center"/>
    </xf>
    <xf numFmtId="0" fontId="0" fillId="30" borderId="511" xfId="12" applyFont="1" applyBorder="1">
      <alignment horizontal="center" vertical="center"/>
    </xf>
    <xf numFmtId="0" fontId="6" fillId="30" borderId="511" xfId="12" applyFont="1" applyBorder="1">
      <alignment horizontal="center" vertical="center"/>
    </xf>
    <xf numFmtId="0" fontId="0" fillId="0" borderId="723" xfId="7" applyFont="1" applyBorder="1">
      <alignment horizontal="center" vertical="center"/>
    </xf>
    <xf numFmtId="0" fontId="15" fillId="0" borderId="721" xfId="0" applyFont="1" applyBorder="1" applyAlignment="1">
      <alignment vertical="center"/>
    </xf>
    <xf numFmtId="0" fontId="0" fillId="19" borderId="721" xfId="0" applyFill="1" applyBorder="1">
      <alignment horizontal="center" vertical="center"/>
    </xf>
    <xf numFmtId="1" fontId="0" fillId="19" borderId="721" xfId="1" applyNumberFormat="1" applyFont="1" applyFill="1" applyBorder="1" applyAlignment="1">
      <alignment horizontal="center" vertical="center"/>
    </xf>
    <xf numFmtId="0" fontId="0" fillId="19" borderId="721" xfId="10" applyFont="1" applyFill="1" applyBorder="1">
      <alignment horizontal="center" vertical="center"/>
    </xf>
    <xf numFmtId="0" fontId="0" fillId="19" borderId="721" xfId="7" applyFont="1" applyFill="1" applyBorder="1">
      <alignment horizontal="center" vertical="center"/>
    </xf>
    <xf numFmtId="0" fontId="0" fillId="19" borderId="722" xfId="0" applyFill="1" applyBorder="1">
      <alignment horizontal="center" vertical="center"/>
    </xf>
    <xf numFmtId="0" fontId="0" fillId="19" borderId="648" xfId="12" applyFont="1" applyFill="1" applyBorder="1">
      <alignment horizontal="center" vertical="center"/>
    </xf>
    <xf numFmtId="0" fontId="0" fillId="30" borderId="474" xfId="0" applyFill="1" applyBorder="1">
      <alignment horizontal="center" vertical="center"/>
    </xf>
    <xf numFmtId="0" fontId="0" fillId="30" borderId="474" xfId="12" applyFont="1" applyBorder="1">
      <alignment horizontal="center" vertical="center"/>
    </xf>
    <xf numFmtId="49" fontId="0" fillId="19" borderId="648" xfId="7" applyNumberFormat="1" applyFont="1" applyFill="1" applyBorder="1">
      <alignment horizontal="center" vertical="center"/>
    </xf>
    <xf numFmtId="0" fontId="0" fillId="27" borderId="474" xfId="9" applyFont="1" applyBorder="1">
      <alignment horizontal="center" vertical="center"/>
    </xf>
    <xf numFmtId="0" fontId="0" fillId="0" borderId="474" xfId="7" applyFont="1" applyBorder="1">
      <alignment horizontal="center" vertical="center"/>
    </xf>
    <xf numFmtId="0" fontId="6" fillId="0" borderId="519" xfId="7" applyBorder="1" applyAlignment="1">
      <alignment vertical="center"/>
    </xf>
    <xf numFmtId="0" fontId="6" fillId="0" borderId="519" xfId="7" applyBorder="1">
      <alignment horizontal="center" vertical="center"/>
    </xf>
    <xf numFmtId="0" fontId="6" fillId="28" borderId="519" xfId="7" applyFill="1" applyBorder="1">
      <alignment horizontal="center" vertical="center"/>
    </xf>
    <xf numFmtId="49" fontId="6" fillId="19" borderId="527" xfId="7" applyNumberFormat="1" applyFill="1" applyBorder="1">
      <alignment horizontal="center" vertical="center"/>
    </xf>
    <xf numFmtId="0" fontId="0" fillId="19" borderId="474" xfId="1" applyFont="1" applyFill="1" applyBorder="1" applyAlignment="1">
      <alignment horizontal="center" vertical="center"/>
    </xf>
    <xf numFmtId="0" fontId="17" fillId="28" borderId="487" xfId="10" applyBorder="1">
      <alignment horizontal="center" vertical="center"/>
    </xf>
    <xf numFmtId="0" fontId="17" fillId="24" borderId="656" xfId="6" applyBorder="1">
      <alignment horizontal="center" vertical="center"/>
    </xf>
    <xf numFmtId="0" fontId="17" fillId="25" borderId="675" xfId="8" applyBorder="1">
      <alignment horizontal="center" vertical="center"/>
    </xf>
    <xf numFmtId="0" fontId="6" fillId="24" borderId="511" xfId="6" applyFont="1" applyBorder="1">
      <alignment horizontal="center" vertical="center"/>
    </xf>
    <xf numFmtId="0" fontId="6" fillId="28" borderId="511" xfId="10" applyFont="1" applyBorder="1">
      <alignment horizontal="center" vertical="center"/>
    </xf>
    <xf numFmtId="0" fontId="6" fillId="27" borderId="511" xfId="9" applyFont="1" applyBorder="1">
      <alignment horizontal="center" vertical="center"/>
    </xf>
    <xf numFmtId="0" fontId="0" fillId="19" borderId="532" xfId="0" applyFill="1" applyBorder="1">
      <alignment horizontal="center" vertical="center"/>
    </xf>
    <xf numFmtId="0" fontId="6" fillId="19" borderId="724" xfId="0" applyFont="1" applyFill="1" applyBorder="1">
      <alignment horizontal="center" vertical="center"/>
    </xf>
    <xf numFmtId="0" fontId="6" fillId="32" borderId="474" xfId="15" applyBorder="1">
      <alignment horizontal="center" vertical="center"/>
    </xf>
    <xf numFmtId="0" fontId="6" fillId="19" borderId="519" xfId="0" applyFont="1" applyFill="1" applyBorder="1">
      <alignment horizontal="center" vertical="center"/>
    </xf>
    <xf numFmtId="0" fontId="17" fillId="25" borderId="519" xfId="8" applyBorder="1">
      <alignment horizontal="center" vertical="center"/>
    </xf>
    <xf numFmtId="0" fontId="6" fillId="19" borderId="527" xfId="0" applyFont="1" applyFill="1" applyBorder="1">
      <alignment horizontal="center" vertical="center"/>
    </xf>
    <xf numFmtId="0" fontId="4" fillId="0" borderId="725" xfId="0" applyFont="1" applyBorder="1" applyAlignment="1">
      <alignment horizontal="center"/>
    </xf>
    <xf numFmtId="49" fontId="6" fillId="0" borderId="726" xfId="0" applyNumberFormat="1" applyFont="1" applyBorder="1">
      <alignment horizontal="center" vertical="center"/>
    </xf>
    <xf numFmtId="0" fontId="4" fillId="0" borderId="727" xfId="0" applyFont="1" applyBorder="1" applyAlignment="1">
      <alignment horizontal="left"/>
    </xf>
    <xf numFmtId="0" fontId="0" fillId="0" borderId="727" xfId="0" applyBorder="1">
      <alignment horizontal="center" vertical="center"/>
    </xf>
    <xf numFmtId="0" fontId="0" fillId="0" borderId="728" xfId="0" applyBorder="1">
      <alignment horizontal="center" vertical="center"/>
    </xf>
    <xf numFmtId="0" fontId="0" fillId="0" borderId="729" xfId="0" applyBorder="1">
      <alignment horizontal="center" vertical="center"/>
    </xf>
    <xf numFmtId="0" fontId="4" fillId="0" borderId="729" xfId="0" applyFont="1" applyBorder="1" applyAlignment="1">
      <alignment horizontal="left"/>
    </xf>
    <xf numFmtId="0" fontId="0" fillId="0" borderId="730" xfId="0" applyBorder="1">
      <alignment horizontal="center" vertical="center"/>
    </xf>
    <xf numFmtId="0" fontId="0" fillId="0" borderId="731" xfId="0" applyBorder="1">
      <alignment horizontal="center" vertical="center"/>
    </xf>
    <xf numFmtId="0" fontId="0" fillId="0" borderId="732" xfId="0" applyBorder="1">
      <alignment horizontal="center" vertical="center"/>
    </xf>
    <xf numFmtId="49" fontId="0" fillId="0" borderId="733" xfId="0" applyNumberFormat="1" applyBorder="1">
      <alignment horizontal="center" vertical="center"/>
    </xf>
    <xf numFmtId="0" fontId="6" fillId="0" borderId="734" xfId="0" applyFont="1" applyBorder="1" applyAlignment="1">
      <alignment horizontal="left" vertical="center"/>
    </xf>
    <xf numFmtId="0" fontId="6" fillId="0" borderId="734" xfId="0" applyFont="1" applyBorder="1">
      <alignment horizontal="center" vertical="center"/>
    </xf>
    <xf numFmtId="0" fontId="6" fillId="0" borderId="735" xfId="0" applyFont="1" applyBorder="1">
      <alignment horizontal="center" vertical="center"/>
    </xf>
    <xf numFmtId="49" fontId="6" fillId="0" borderId="733" xfId="0" applyNumberFormat="1" applyFont="1" applyBorder="1">
      <alignment horizontal="center" vertical="center"/>
    </xf>
    <xf numFmtId="0" fontId="0" fillId="0" borderId="734" xfId="0" applyBorder="1" applyAlignment="1">
      <alignment horizontal="left" vertical="center"/>
    </xf>
    <xf numFmtId="0" fontId="6" fillId="0" borderId="733" xfId="0" applyFont="1" applyBorder="1">
      <alignment horizontal="center" vertical="center"/>
    </xf>
    <xf numFmtId="49" fontId="6" fillId="0" borderId="696" xfId="0" applyNumberFormat="1" applyFont="1" applyBorder="1">
      <alignment horizontal="center" vertical="center"/>
    </xf>
    <xf numFmtId="0" fontId="9" fillId="0" borderId="696" xfId="0" applyFont="1" applyBorder="1">
      <alignment horizontal="center" vertical="center"/>
    </xf>
    <xf numFmtId="0" fontId="9" fillId="0" borderId="658" xfId="0" applyFont="1" applyBorder="1">
      <alignment horizontal="center" vertical="center"/>
    </xf>
    <xf numFmtId="0" fontId="0" fillId="19" borderId="736" xfId="0" applyFill="1" applyBorder="1" applyAlignment="1">
      <alignment horizontal="left" vertical="center" wrapText="1"/>
    </xf>
    <xf numFmtId="49" fontId="0" fillId="19" borderId="736" xfId="0" applyNumberFormat="1" applyFill="1" applyBorder="1">
      <alignment horizontal="center" vertical="center"/>
    </xf>
    <xf numFmtId="49" fontId="0" fillId="19" borderId="737" xfId="0" applyNumberFormat="1" applyFill="1" applyBorder="1">
      <alignment horizontal="center" vertical="center"/>
    </xf>
    <xf numFmtId="0" fontId="6" fillId="25" borderId="511" xfId="7" applyFill="1" applyBorder="1">
      <alignment horizontal="center" vertical="center"/>
    </xf>
    <xf numFmtId="49" fontId="0" fillId="19" borderId="719" xfId="0" applyNumberFormat="1" applyFill="1" applyBorder="1">
      <alignment horizontal="center" vertical="center"/>
    </xf>
    <xf numFmtId="0" fontId="4" fillId="0" borderId="511" xfId="0" applyFont="1" applyBorder="1" applyAlignment="1">
      <alignment horizontal="center"/>
    </xf>
    <xf numFmtId="0" fontId="0" fillId="0" borderId="738" xfId="0" applyBorder="1" applyAlignment="1">
      <alignment horizontal="left" vertical="center"/>
    </xf>
    <xf numFmtId="0" fontId="0" fillId="0" borderId="739" xfId="0" applyBorder="1" applyAlignment="1">
      <alignment horizontal="left" vertical="center"/>
    </xf>
    <xf numFmtId="0" fontId="0" fillId="0" borderId="740" xfId="0" applyBorder="1" applyAlignment="1">
      <alignment horizontal="left" vertical="center"/>
    </xf>
    <xf numFmtId="0" fontId="4" fillId="0" borderId="741" xfId="0" applyFont="1" applyBorder="1" applyAlignment="1">
      <alignment horizontal="left"/>
    </xf>
    <xf numFmtId="0" fontId="0" fillId="0" borderId="742" xfId="0" applyBorder="1" applyAlignment="1">
      <alignment horizontal="left" vertical="center"/>
    </xf>
    <xf numFmtId="0" fontId="4" fillId="0" borderId="511" xfId="0" applyFont="1" applyBorder="1">
      <alignment horizontal="center" vertical="center"/>
    </xf>
    <xf numFmtId="0" fontId="0" fillId="0" borderId="522" xfId="0" applyBorder="1" applyAlignment="1">
      <alignment horizontal="left" vertical="center"/>
    </xf>
    <xf numFmtId="0" fontId="0" fillId="0" borderId="743" xfId="0" applyBorder="1" applyAlignment="1">
      <alignment horizontal="left" vertical="center"/>
    </xf>
    <xf numFmtId="0" fontId="0" fillId="0" borderId="744" xfId="0" applyBorder="1" applyAlignment="1">
      <alignment horizontal="left" vertical="center"/>
    </xf>
    <xf numFmtId="0" fontId="0" fillId="0" borderId="745" xfId="0" applyBorder="1" applyAlignment="1">
      <alignment horizontal="left" vertical="center"/>
    </xf>
    <xf numFmtId="0" fontId="0" fillId="0" borderId="746" xfId="0" applyBorder="1" applyAlignment="1">
      <alignment horizontal="left" vertical="center"/>
    </xf>
    <xf numFmtId="0" fontId="4" fillId="0" borderId="747" xfId="0" applyFont="1" applyBorder="1" applyAlignment="1">
      <alignment horizontal="left"/>
    </xf>
    <xf numFmtId="0" fontId="0" fillId="0" borderId="747" xfId="0" applyBorder="1" applyAlignment="1">
      <alignment horizontal="left" vertical="center"/>
    </xf>
    <xf numFmtId="0" fontId="0" fillId="0" borderId="748" xfId="0" applyBorder="1" applyAlignment="1">
      <alignment horizontal="left" vertical="center"/>
    </xf>
    <xf numFmtId="0" fontId="0" fillId="0" borderId="749" xfId="0" applyBorder="1" applyAlignment="1">
      <alignment horizontal="left" vertical="center"/>
    </xf>
    <xf numFmtId="49" fontId="0" fillId="0" borderId="740" xfId="0" applyNumberFormat="1" applyBorder="1" applyAlignment="1">
      <alignment horizontal="left"/>
    </xf>
    <xf numFmtId="0" fontId="0" fillId="0" borderId="750" xfId="0" applyBorder="1" applyAlignment="1">
      <alignment horizontal="left" vertical="center"/>
    </xf>
    <xf numFmtId="0" fontId="0" fillId="0" borderId="751" xfId="0" applyBorder="1" applyAlignment="1">
      <alignment horizontal="left" vertical="center"/>
    </xf>
    <xf numFmtId="49" fontId="0" fillId="0" borderId="751" xfId="0" applyNumberFormat="1" applyBorder="1" applyAlignment="1">
      <alignment horizontal="left"/>
    </xf>
    <xf numFmtId="0" fontId="4" fillId="0" borderId="736" xfId="0" applyFont="1" applyBorder="1" applyAlignment="1" applyProtection="1">
      <alignment horizontal="center"/>
      <protection locked="0"/>
    </xf>
    <xf numFmtId="0" fontId="0" fillId="0" borderId="736" xfId="0" applyBorder="1" applyAlignment="1">
      <alignment horizontal="left"/>
    </xf>
    <xf numFmtId="1" fontId="0" fillId="19" borderId="736" xfId="1" applyNumberFormat="1" applyFont="1" applyFill="1" applyBorder="1" applyAlignment="1">
      <alignment horizontal="center" vertical="center"/>
    </xf>
    <xf numFmtId="0" fontId="0" fillId="19" borderId="752" xfId="0" applyFill="1" applyBorder="1">
      <alignment horizontal="center" vertical="center"/>
    </xf>
    <xf numFmtId="0" fontId="0" fillId="0" borderId="718" xfId="0" applyBorder="1" applyAlignment="1" applyProtection="1">
      <alignment horizontal="center"/>
      <protection locked="0"/>
    </xf>
    <xf numFmtId="0" fontId="0" fillId="32" borderId="718" xfId="0" applyFill="1" applyBorder="1">
      <alignment horizontal="center" vertical="center"/>
    </xf>
    <xf numFmtId="0" fontId="6" fillId="25" borderId="718" xfId="8" applyFont="1" applyBorder="1">
      <alignment horizontal="center" vertical="center"/>
    </xf>
    <xf numFmtId="0" fontId="17" fillId="28" borderId="718" xfId="10" applyBorder="1">
      <alignment horizontal="center" vertical="center"/>
    </xf>
    <xf numFmtId="0" fontId="17" fillId="28" borderId="752" xfId="10" applyBorder="1">
      <alignment horizontal="center" vertical="center"/>
    </xf>
    <xf numFmtId="0" fontId="12" fillId="0" borderId="718" xfId="0" applyFont="1" applyBorder="1" applyAlignment="1" applyProtection="1">
      <alignment horizontal="center"/>
      <protection locked="0"/>
    </xf>
    <xf numFmtId="0" fontId="6" fillId="32" borderId="718" xfId="15" applyBorder="1">
      <alignment horizontal="center" vertical="center"/>
    </xf>
    <xf numFmtId="0" fontId="17" fillId="25" borderId="752" xfId="8" applyBorder="1">
      <alignment horizontal="center" vertical="center"/>
    </xf>
    <xf numFmtId="0" fontId="0" fillId="28" borderId="718" xfId="10" applyFont="1" applyBorder="1">
      <alignment horizontal="center" vertical="center"/>
    </xf>
    <xf numFmtId="0" fontId="0" fillId="19" borderId="718" xfId="11" applyFont="1" applyFill="1" applyBorder="1">
      <alignment horizontal="center" vertical="center"/>
    </xf>
    <xf numFmtId="0" fontId="0" fillId="19" borderId="752" xfId="8" applyFont="1" applyFill="1" applyBorder="1">
      <alignment horizontal="center" vertical="center"/>
    </xf>
    <xf numFmtId="0" fontId="0" fillId="19" borderId="718" xfId="13" applyFont="1" applyFill="1" applyBorder="1">
      <alignment horizontal="center" vertical="center"/>
    </xf>
    <xf numFmtId="0" fontId="0" fillId="19" borderId="752" xfId="13" applyFont="1" applyFill="1" applyBorder="1">
      <alignment horizontal="center" vertical="center"/>
    </xf>
    <xf numFmtId="0" fontId="6" fillId="0" borderId="718" xfId="0" applyFont="1" applyBorder="1" applyAlignment="1">
      <alignment vertical="center"/>
    </xf>
    <xf numFmtId="0" fontId="18" fillId="0" borderId="718" xfId="0" applyFont="1" applyBorder="1" applyAlignment="1">
      <alignment vertical="center"/>
    </xf>
    <xf numFmtId="49" fontId="0" fillId="19" borderId="752" xfId="0" applyNumberFormat="1" applyFill="1" applyBorder="1">
      <alignment horizontal="center" vertical="center"/>
    </xf>
    <xf numFmtId="0" fontId="0" fillId="19" borderId="718" xfId="15" applyFont="1" applyFill="1" applyBorder="1">
      <alignment horizontal="center" vertical="center"/>
    </xf>
    <xf numFmtId="0" fontId="6" fillId="19" borderId="718" xfId="0" applyFont="1" applyFill="1" applyBorder="1" applyAlignment="1">
      <alignment vertical="center"/>
    </xf>
    <xf numFmtId="0" fontId="4" fillId="0" borderId="753" xfId="0" applyFont="1" applyBorder="1" applyAlignment="1">
      <alignment horizontal="center"/>
    </xf>
    <xf numFmtId="0" fontId="4" fillId="0" borderId="754" xfId="0" applyFont="1" applyBorder="1" applyAlignment="1">
      <alignment horizontal="center"/>
    </xf>
    <xf numFmtId="0" fontId="4" fillId="0" borderId="755" xfId="0" applyFont="1" applyBorder="1" applyAlignment="1">
      <alignment horizontal="center"/>
    </xf>
    <xf numFmtId="0" fontId="0" fillId="0" borderId="756" xfId="0" applyBorder="1" applyAlignment="1">
      <alignment horizontal="center"/>
    </xf>
    <xf numFmtId="0" fontId="4" fillId="0" borderId="757" xfId="0" applyFont="1" applyBorder="1" applyAlignment="1" applyProtection="1">
      <alignment horizontal="center"/>
      <protection locked="0"/>
    </xf>
    <xf numFmtId="0" fontId="5" fillId="0" borderId="757" xfId="0" applyFont="1" applyBorder="1" applyAlignment="1">
      <alignment horizontal="center"/>
    </xf>
    <xf numFmtId="0" fontId="0" fillId="0" borderId="758" xfId="0" applyBorder="1" applyAlignment="1" applyProtection="1">
      <alignment horizontal="center"/>
      <protection locked="0"/>
    </xf>
    <xf numFmtId="0" fontId="0" fillId="19" borderId="758" xfId="8" applyFont="1" applyFill="1" applyBorder="1">
      <alignment horizontal="center" vertical="center"/>
    </xf>
    <xf numFmtId="0" fontId="0" fillId="19" borderId="758" xfId="11" applyFont="1" applyFill="1" applyBorder="1">
      <alignment horizontal="center" vertical="center"/>
    </xf>
    <xf numFmtId="0" fontId="0" fillId="27" borderId="758" xfId="11" applyFont="1" applyFill="1" applyBorder="1">
      <alignment horizontal="center" vertical="center"/>
    </xf>
    <xf numFmtId="49" fontId="0" fillId="19" borderId="740" xfId="0" applyNumberFormat="1" applyFill="1" applyBorder="1">
      <alignment horizontal="center" vertical="center"/>
    </xf>
    <xf numFmtId="49" fontId="0" fillId="19" borderId="758" xfId="0" applyNumberFormat="1" applyFill="1" applyBorder="1">
      <alignment horizontal="center" vertical="center"/>
    </xf>
    <xf numFmtId="49" fontId="0" fillId="19" borderId="758" xfId="1" applyNumberFormat="1" applyFont="1" applyFill="1" applyBorder="1" applyAlignment="1">
      <alignment horizontal="center" vertical="center"/>
    </xf>
    <xf numFmtId="0" fontId="0" fillId="22" borderId="758" xfId="0" applyFill="1" applyBorder="1" applyAlignment="1">
      <alignment horizontal="center"/>
    </xf>
    <xf numFmtId="0" fontId="0" fillId="19" borderId="740" xfId="0" applyFill="1" applyBorder="1">
      <alignment horizontal="center" vertical="center"/>
    </xf>
    <xf numFmtId="0" fontId="0" fillId="11" borderId="758" xfId="0" applyFill="1" applyBorder="1" applyAlignment="1" applyProtection="1">
      <alignment horizontal="center"/>
      <protection locked="0"/>
    </xf>
    <xf numFmtId="0" fontId="0" fillId="11" borderId="759" xfId="0" applyFill="1" applyBorder="1">
      <alignment horizontal="center" vertical="center"/>
    </xf>
    <xf numFmtId="0" fontId="0" fillId="11" borderId="760" xfId="0" applyFill="1" applyBorder="1">
      <alignment horizontal="center" vertical="center"/>
    </xf>
    <xf numFmtId="0" fontId="0" fillId="19" borderId="758" xfId="6" applyFont="1" applyFill="1" applyBorder="1">
      <alignment horizontal="center" vertical="center"/>
    </xf>
    <xf numFmtId="0" fontId="0" fillId="19" borderId="758" xfId="10" applyFont="1" applyFill="1" applyBorder="1">
      <alignment horizontal="center" vertical="center"/>
    </xf>
    <xf numFmtId="0" fontId="0" fillId="19" borderId="718" xfId="8" applyFont="1" applyFill="1" applyBorder="1">
      <alignment horizontal="center" vertical="center"/>
    </xf>
    <xf numFmtId="0" fontId="0" fillId="0" borderId="757" xfId="0" applyBorder="1" applyAlignment="1" applyProtection="1">
      <alignment horizontal="center"/>
      <protection locked="0"/>
    </xf>
    <xf numFmtId="49" fontId="0" fillId="19" borderId="761" xfId="0" applyNumberFormat="1" applyFill="1" applyBorder="1">
      <alignment horizontal="center" vertical="center"/>
    </xf>
    <xf numFmtId="0" fontId="0" fillId="19" borderId="761" xfId="9" applyFont="1" applyFill="1" applyBorder="1">
      <alignment horizontal="center" vertical="center"/>
    </xf>
    <xf numFmtId="49" fontId="0" fillId="19" borderId="751" xfId="0" applyNumberFormat="1" applyFill="1" applyBorder="1">
      <alignment horizontal="center" vertical="center"/>
    </xf>
    <xf numFmtId="0" fontId="4" fillId="0" borderId="762" xfId="0" applyFont="1" applyBorder="1" applyAlignment="1">
      <alignment horizontal="center"/>
    </xf>
    <xf numFmtId="0" fontId="4" fillId="0" borderId="763" xfId="0" applyFont="1" applyBorder="1" applyAlignment="1" applyProtection="1">
      <alignment horizontal="center"/>
      <protection locked="0"/>
    </xf>
    <xf numFmtId="0" fontId="0" fillId="0" borderId="758" xfId="0" applyBorder="1" applyAlignment="1">
      <alignment vertical="center"/>
    </xf>
    <xf numFmtId="0" fontId="0" fillId="0" borderId="740" xfId="0" applyBorder="1" applyAlignment="1" applyProtection="1">
      <alignment horizontal="center"/>
      <protection locked="0"/>
    </xf>
    <xf numFmtId="0" fontId="21" fillId="0" borderId="758" xfId="0" applyFont="1" applyBorder="1" applyAlignment="1">
      <alignment vertical="center"/>
    </xf>
    <xf numFmtId="0" fontId="20" fillId="0" borderId="764" xfId="0" applyFont="1" applyBorder="1" applyAlignment="1">
      <alignment vertical="center"/>
    </xf>
    <xf numFmtId="0" fontId="0" fillId="22" borderId="765" xfId="0" applyFill="1" applyBorder="1" applyAlignment="1" applyProtection="1">
      <alignment horizontal="center"/>
      <protection locked="0"/>
    </xf>
    <xf numFmtId="0" fontId="20" fillId="0" borderId="765" xfId="0" applyFont="1" applyBorder="1" applyAlignment="1">
      <alignment vertical="center"/>
    </xf>
    <xf numFmtId="49" fontId="0" fillId="19" borderId="766" xfId="0" applyNumberFormat="1" applyFill="1" applyBorder="1">
      <alignment horizontal="center" vertical="center"/>
    </xf>
    <xf numFmtId="49" fontId="0" fillId="19" borderId="757" xfId="0" applyNumberFormat="1" applyFill="1" applyBorder="1">
      <alignment horizontal="center" vertical="center"/>
    </xf>
    <xf numFmtId="0" fontId="0" fillId="19" borderId="757" xfId="0" applyFill="1" applyBorder="1">
      <alignment horizontal="center" vertical="center"/>
    </xf>
    <xf numFmtId="49" fontId="0" fillId="19" borderId="767" xfId="0" applyNumberFormat="1" applyFill="1" applyBorder="1">
      <alignment horizontal="center" vertical="center"/>
    </xf>
    <xf numFmtId="49" fontId="0" fillId="0" borderId="740" xfId="0" applyNumberFormat="1" applyBorder="1" applyAlignment="1"/>
    <xf numFmtId="0" fontId="0" fillId="0" borderId="758" xfId="0" applyBorder="1" applyAlignment="1" applyProtection="1">
      <alignment horizontal="left"/>
      <protection locked="0"/>
    </xf>
    <xf numFmtId="0" fontId="19" fillId="0" borderId="758" xfId="0" applyFont="1" applyBorder="1" applyAlignment="1">
      <alignment vertical="center"/>
    </xf>
    <xf numFmtId="0" fontId="6" fillId="23" borderId="718" xfId="5" applyFont="1" applyBorder="1">
      <alignment horizontal="center" vertical="center"/>
    </xf>
    <xf numFmtId="0" fontId="0" fillId="0" borderId="759" xfId="0" applyBorder="1" applyAlignment="1">
      <alignment vertical="center"/>
    </xf>
    <xf numFmtId="0" fontId="13" fillId="42" borderId="718" xfId="0" applyFont="1" applyFill="1" applyBorder="1" applyAlignment="1">
      <alignment horizontal="center"/>
    </xf>
    <xf numFmtId="0" fontId="0" fillId="11" borderId="759" xfId="0" applyFill="1" applyBorder="1" applyAlignment="1">
      <alignment horizontal="center"/>
    </xf>
    <xf numFmtId="0" fontId="15" fillId="0" borderId="718" xfId="0" applyFont="1" applyBorder="1">
      <alignment horizontal="center" vertical="center"/>
    </xf>
    <xf numFmtId="0" fontId="13" fillId="0" borderId="718" xfId="0" applyFont="1" applyBorder="1" applyAlignment="1">
      <alignment vertical="center"/>
    </xf>
    <xf numFmtId="0" fontId="15" fillId="0" borderId="718" xfId="0" applyFont="1" applyBorder="1" applyAlignment="1">
      <alignment vertical="center"/>
    </xf>
    <xf numFmtId="49" fontId="13" fillId="0" borderId="718" xfId="0" applyNumberFormat="1" applyFont="1" applyBorder="1">
      <alignment horizontal="center" vertical="center"/>
    </xf>
    <xf numFmtId="0" fontId="15" fillId="0" borderId="768" xfId="0" applyFont="1" applyBorder="1" applyAlignment="1">
      <alignment horizontal="left" vertical="center"/>
    </xf>
    <xf numFmtId="0" fontId="0" fillId="0" borderId="769" xfId="0" applyBorder="1">
      <alignment horizontal="center" vertical="center"/>
    </xf>
    <xf numFmtId="0" fontId="13" fillId="0" borderId="718" xfId="0" applyFont="1" applyBorder="1">
      <alignment horizontal="center" vertical="center"/>
    </xf>
    <xf numFmtId="0" fontId="15" fillId="0" borderId="718" xfId="0" applyFont="1" applyBorder="1" applyAlignment="1">
      <alignment horizontal="left" vertical="center"/>
    </xf>
    <xf numFmtId="0" fontId="13" fillId="0" borderId="732" xfId="0" applyFont="1" applyBorder="1">
      <alignment horizontal="center" vertical="center"/>
    </xf>
    <xf numFmtId="0" fontId="15" fillId="0" borderId="758" xfId="0" applyFont="1" applyBorder="1" applyAlignment="1">
      <alignment horizontal="left" vertical="center"/>
    </xf>
    <xf numFmtId="0" fontId="0" fillId="0" borderId="770" xfId="0" applyBorder="1">
      <alignment horizontal="center" vertical="center"/>
    </xf>
    <xf numFmtId="0" fontId="13" fillId="0" borderId="40" xfId="0" applyFont="1" applyBorder="1">
      <alignment horizontal="center" vertical="center"/>
    </xf>
    <xf numFmtId="0" fontId="15" fillId="0" borderId="761" xfId="0" applyFont="1" applyBorder="1" applyAlignment="1">
      <alignment horizontal="left" vertical="center"/>
    </xf>
    <xf numFmtId="0" fontId="0" fillId="0" borderId="771" xfId="0" applyBorder="1">
      <alignment horizontal="center" vertical="center"/>
    </xf>
    <xf numFmtId="0" fontId="15" fillId="19" borderId="718" xfId="0" applyFont="1" applyFill="1" applyBorder="1" applyAlignment="1">
      <alignment horizontal="left" vertical="center"/>
    </xf>
    <xf numFmtId="49" fontId="13" fillId="0" borderId="717" xfId="0" applyNumberFormat="1" applyFont="1" applyBorder="1">
      <alignment horizontal="center" vertical="center"/>
    </xf>
    <xf numFmtId="0" fontId="13" fillId="0" borderId="772" xfId="0" applyFont="1" applyBorder="1" applyAlignment="1">
      <alignment vertical="center"/>
    </xf>
    <xf numFmtId="0" fontId="18" fillId="0" borderId="718" xfId="0" applyFont="1" applyBorder="1" applyAlignment="1">
      <alignment horizontal="left" vertical="center"/>
    </xf>
    <xf numFmtId="49" fontId="13" fillId="0" borderId="773" xfId="0" applyNumberFormat="1" applyFont="1" applyBorder="1">
      <alignment horizontal="center" vertical="center"/>
    </xf>
    <xf numFmtId="0" fontId="13" fillId="0" borderId="758" xfId="0" applyFont="1" applyBorder="1" applyAlignment="1">
      <alignment vertical="center"/>
    </xf>
    <xf numFmtId="0" fontId="15" fillId="19" borderId="718" xfId="0" applyFont="1" applyFill="1" applyBorder="1" applyAlignment="1">
      <alignment horizontal="left" vertical="center" wrapText="1"/>
    </xf>
    <xf numFmtId="169" fontId="13" fillId="0" borderId="718" xfId="0" applyNumberFormat="1" applyFont="1" applyBorder="1">
      <alignment horizontal="center" vertical="center"/>
    </xf>
    <xf numFmtId="0" fontId="13" fillId="43" borderId="718" xfId="0" applyFont="1" applyFill="1" applyBorder="1" applyAlignment="1">
      <alignment vertical="center"/>
    </xf>
    <xf numFmtId="0" fontId="29" fillId="0" borderId="718" xfId="0" applyFont="1" applyBorder="1" applyAlignment="1">
      <alignment vertical="top" wrapText="1"/>
    </xf>
    <xf numFmtId="0" fontId="13" fillId="0" borderId="734" xfId="0" applyFont="1" applyBorder="1" applyAlignment="1">
      <alignment vertical="center"/>
    </xf>
    <xf numFmtId="0" fontId="0" fillId="0" borderId="774" xfId="0" applyBorder="1">
      <alignment horizontal="center" vertical="center"/>
    </xf>
    <xf numFmtId="17" fontId="13" fillId="0" borderId="775" xfId="0" applyNumberFormat="1" applyFont="1" applyBorder="1">
      <alignment horizontal="center" vertical="center"/>
    </xf>
    <xf numFmtId="0" fontId="15" fillId="0" borderId="775" xfId="0" applyFont="1" applyBorder="1" applyAlignment="1"/>
    <xf numFmtId="0" fontId="15" fillId="19" borderId="522" xfId="0" applyFont="1" applyFill="1" applyBorder="1" applyAlignment="1">
      <alignment horizontal="left" vertical="center" wrapText="1"/>
    </xf>
    <xf numFmtId="49" fontId="13" fillId="0" borderId="718" xfId="0" applyNumberFormat="1" applyFont="1" applyBorder="1" applyAlignment="1">
      <alignment horizontal="right"/>
    </xf>
    <xf numFmtId="0" fontId="15" fillId="0" borderId="776" xfId="0" applyFont="1" applyBorder="1" applyAlignment="1">
      <alignment horizontal="left" vertical="center"/>
    </xf>
    <xf numFmtId="0" fontId="15" fillId="0" borderId="718" xfId="7" applyFont="1" applyBorder="1" applyAlignment="1">
      <alignment horizontal="left" vertical="center"/>
    </xf>
    <xf numFmtId="0" fontId="0" fillId="0" borderId="718" xfId="0" applyBorder="1">
      <alignment horizontal="center" vertical="center"/>
    </xf>
    <xf numFmtId="0" fontId="15" fillId="19" borderId="718" xfId="0" applyFont="1" applyFill="1" applyBorder="1" applyAlignment="1" applyProtection="1">
      <alignment horizontal="left" vertical="center"/>
      <protection locked="0"/>
    </xf>
    <xf numFmtId="0" fontId="15" fillId="0" borderId="777" xfId="0" applyFont="1" applyBorder="1" applyAlignment="1">
      <alignment vertical="center"/>
    </xf>
    <xf numFmtId="0" fontId="15" fillId="0" borderId="732" xfId="0" applyFont="1" applyBorder="1">
      <alignment horizontal="center" vertical="center"/>
    </xf>
    <xf numFmtId="0" fontId="13" fillId="0" borderId="718" xfId="0" applyFont="1" applyBorder="1" applyAlignment="1">
      <alignment horizontal="left"/>
    </xf>
    <xf numFmtId="0" fontId="15" fillId="0" borderId="718" xfId="7" applyFont="1" applyBorder="1" applyAlignment="1">
      <alignment vertical="center"/>
    </xf>
    <xf numFmtId="0" fontId="13" fillId="0" borderId="718" xfId="0" applyFont="1" applyBorder="1" applyAlignment="1"/>
    <xf numFmtId="0" fontId="13" fillId="19" borderId="718" xfId="0" applyFont="1" applyFill="1" applyBorder="1" applyAlignment="1">
      <alignment horizontal="left" vertical="center"/>
    </xf>
    <xf numFmtId="0" fontId="30" fillId="19" borderId="718" xfId="0" applyFont="1" applyFill="1" applyBorder="1" applyAlignment="1">
      <alignment horizontal="center"/>
    </xf>
    <xf numFmtId="0" fontId="15" fillId="19" borderId="718" xfId="0" applyFont="1" applyFill="1" applyBorder="1" applyAlignment="1">
      <alignment vertical="center"/>
    </xf>
    <xf numFmtId="0" fontId="29" fillId="19" borderId="718" xfId="0" applyFont="1" applyFill="1" applyBorder="1" applyAlignment="1">
      <alignment wrapText="1"/>
    </xf>
    <xf numFmtId="0" fontId="31" fillId="19" borderId="718" xfId="0" applyFont="1" applyFill="1" applyBorder="1" applyAlignment="1">
      <alignment wrapText="1"/>
    </xf>
    <xf numFmtId="0" fontId="13" fillId="0" borderId="718" xfId="0" applyFont="1" applyBorder="1" applyAlignment="1">
      <alignment horizontal="left" vertical="center"/>
    </xf>
    <xf numFmtId="0" fontId="13" fillId="19" borderId="718" xfId="0" applyFont="1" applyFill="1" applyBorder="1" applyAlignment="1">
      <alignment wrapText="1"/>
    </xf>
    <xf numFmtId="0" fontId="12" fillId="0" borderId="718" xfId="0" applyFont="1" applyBorder="1" applyAlignment="1">
      <alignment horizontal="left" vertical="center"/>
    </xf>
    <xf numFmtId="0" fontId="13" fillId="0" borderId="718" xfId="0" applyFont="1" applyBorder="1" applyAlignment="1">
      <alignment wrapText="1"/>
    </xf>
    <xf numFmtId="0" fontId="15" fillId="0" borderId="718" xfId="0" applyFont="1" applyBorder="1" applyAlignment="1">
      <alignment horizontal="left"/>
    </xf>
    <xf numFmtId="169" fontId="0" fillId="0" borderId="718" xfId="0" applyNumberFormat="1" applyBorder="1">
      <alignment horizontal="center" vertical="center"/>
    </xf>
    <xf numFmtId="0" fontId="7" fillId="19" borderId="758" xfId="0" applyFont="1" applyFill="1" applyBorder="1" applyAlignment="1">
      <alignment vertical="center"/>
    </xf>
    <xf numFmtId="0" fontId="15" fillId="19" borderId="758" xfId="0" applyFont="1" applyFill="1" applyBorder="1" applyAlignment="1">
      <alignment horizontal="left" vertical="center"/>
    </xf>
    <xf numFmtId="0" fontId="31" fillId="0" borderId="778" xfId="0" applyFont="1" applyBorder="1" applyAlignment="1">
      <alignment vertical="top" wrapText="1"/>
    </xf>
    <xf numFmtId="0" fontId="15" fillId="0" borderId="778" xfId="0" applyFont="1" applyBorder="1" applyAlignment="1">
      <alignment vertical="top" wrapText="1"/>
    </xf>
    <xf numFmtId="0" fontId="15" fillId="19" borderId="765" xfId="0" applyFont="1" applyFill="1" applyBorder="1" applyAlignment="1">
      <alignment horizontal="left" vertical="center"/>
    </xf>
    <xf numFmtId="0" fontId="32" fillId="0" borderId="778" xfId="0" applyFont="1" applyBorder="1" applyAlignment="1">
      <alignment vertical="top" wrapText="1"/>
    </xf>
  </cellXfs>
  <cellStyles count="20">
    <cellStyle name="20 % - Farve4" xfId="4" builtinId="42"/>
    <cellStyle name="Afspadsering" xfId="6" xr:uid="{9DCE3D9E-4205-42A7-AA28-E52C69045BEC}"/>
    <cellStyle name="Barn Syg" xfId="15" xr:uid="{AC4BDFE8-3D5E-4855-B971-6F8651AB95A7}"/>
    <cellStyle name="Barsel" xfId="13" xr:uid="{A78704D6-0CEC-4D76-97DA-39F81AB127F1}"/>
    <cellStyle name="Bemærk!" xfId="3" builtinId="10"/>
    <cellStyle name="Farve3" xfId="19" builtinId="37"/>
    <cellStyle name="Ferie" xfId="8" xr:uid="{7F7DCD3B-9EB6-4BC6-A785-8E3D0665567D}"/>
    <cellStyle name="FerieFridag" xfId="11" xr:uid="{CF7E0444-A98B-4399-86FD-4C4C8552C89D}"/>
    <cellStyle name="Kontrollér celle" xfId="18" builtinId="23"/>
    <cellStyle name="Neutral" xfId="1" builtinId="28"/>
    <cellStyle name="Neutral 2" xfId="16" xr:uid="{566C5809-60F1-4482-ACC3-D598DECEFF8F}"/>
    <cellStyle name="Normal" xfId="0" builtinId="0" customBuiltin="1"/>
    <cellStyle name="Normal 2" xfId="7" xr:uid="{5D63314D-00CB-4943-A9A9-FCB72FC4CA9A}"/>
    <cellStyle name="Normal 3" xfId="14" xr:uid="{D173B668-20A1-447C-ADD8-85E8181BF714}"/>
    <cellStyle name="Oplæring" xfId="12" xr:uid="{7F182373-009D-4F35-B74F-B1F02D044244}"/>
    <cellStyle name="Orlov" xfId="17" xr:uid="{C791CE9C-4869-4FC1-95D1-746E8CE11C66}"/>
    <cellStyle name="Output" xfId="2" builtinId="21"/>
    <cellStyle name="OverTid" xfId="9" xr:uid="{003649C7-DA70-4C90-8C7F-C5C75DFDDE4D}"/>
    <cellStyle name="Seniordag" xfId="5" xr:uid="{0BA0BB54-E900-4319-85F4-A43E85E7CDE2}"/>
    <cellStyle name="Syg" xfId="10" xr:uid="{429C443C-2EDD-4F45-BA15-5927905CF75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microsoft.com/office/2017/10/relationships/person" Target="persons/person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A39287A4-99AC-470A-8239-5C65353CF36B}"/>
            </a:ext>
          </a:extLst>
        </xdr:cNvPr>
        <xdr:cNvSpPr>
          <a:spLocks noChangeShapeType="1"/>
        </xdr:cNvSpPr>
      </xdr:nvSpPr>
      <xdr:spPr bwMode="auto">
        <a:xfrm>
          <a:off x="1419225" y="9105900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9</xdr:row>
      <xdr:rowOff>219075</xdr:rowOff>
    </xdr:from>
    <xdr:to>
      <xdr:col>1</xdr:col>
      <xdr:colOff>1447800</xdr:colOff>
      <xdr:row>9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AB0C66F6-99E9-48A6-BDB9-AB1B685016F7}"/>
            </a:ext>
          </a:extLst>
        </xdr:cNvPr>
        <xdr:cNvSpPr>
          <a:spLocks noChangeShapeType="1"/>
        </xdr:cNvSpPr>
      </xdr:nvSpPr>
      <xdr:spPr bwMode="auto">
        <a:xfrm>
          <a:off x="1381125" y="2247900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FD2AF5A5-6E72-4667-8C59-B16079623436}"/>
            </a:ext>
          </a:extLst>
        </xdr:cNvPr>
        <xdr:cNvSpPr>
          <a:spLocks noChangeArrowheads="1"/>
        </xdr:cNvSpPr>
      </xdr:nvSpPr>
      <xdr:spPr bwMode="auto">
        <a:xfrm>
          <a:off x="46005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5CF4E1F8-942E-4DA2-8205-9470B4C6B916}"/>
            </a:ext>
          </a:extLst>
        </xdr:cNvPr>
        <xdr:cNvSpPr>
          <a:spLocks noChangeArrowheads="1"/>
        </xdr:cNvSpPr>
      </xdr:nvSpPr>
      <xdr:spPr bwMode="auto">
        <a:xfrm>
          <a:off x="46005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32F89865-83A1-47C5-B061-7174F78C1A38}"/>
            </a:ext>
          </a:extLst>
        </xdr:cNvPr>
        <xdr:cNvSpPr>
          <a:spLocks noChangeShapeType="1"/>
        </xdr:cNvSpPr>
      </xdr:nvSpPr>
      <xdr:spPr bwMode="auto">
        <a:xfrm>
          <a:off x="1419225" y="9105900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9</xdr:row>
      <xdr:rowOff>219075</xdr:rowOff>
    </xdr:from>
    <xdr:to>
      <xdr:col>1</xdr:col>
      <xdr:colOff>1447800</xdr:colOff>
      <xdr:row>9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F5383DE4-5AE4-4AEC-8E7E-06F656679E2C}"/>
            </a:ext>
          </a:extLst>
        </xdr:cNvPr>
        <xdr:cNvSpPr>
          <a:spLocks noChangeShapeType="1"/>
        </xdr:cNvSpPr>
      </xdr:nvSpPr>
      <xdr:spPr bwMode="auto">
        <a:xfrm>
          <a:off x="1381125" y="2247900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0EABE98A-D9FF-4FDE-9BD4-C442333C9F81}"/>
            </a:ext>
          </a:extLst>
        </xdr:cNvPr>
        <xdr:cNvSpPr>
          <a:spLocks noChangeArrowheads="1"/>
        </xdr:cNvSpPr>
      </xdr:nvSpPr>
      <xdr:spPr bwMode="auto">
        <a:xfrm>
          <a:off x="46005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67615FBB-CEE1-4599-9FEE-D4237766A4B0}"/>
            </a:ext>
          </a:extLst>
        </xdr:cNvPr>
        <xdr:cNvSpPr>
          <a:spLocks noChangeArrowheads="1"/>
        </xdr:cNvSpPr>
      </xdr:nvSpPr>
      <xdr:spPr bwMode="auto">
        <a:xfrm>
          <a:off x="46005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B71045E3-D477-4C1C-9C05-C9DDB3D9C7D6}"/>
            </a:ext>
          </a:extLst>
        </xdr:cNvPr>
        <xdr:cNvSpPr>
          <a:spLocks noChangeShapeType="1"/>
        </xdr:cNvSpPr>
      </xdr:nvSpPr>
      <xdr:spPr bwMode="auto">
        <a:xfrm>
          <a:off x="1419225" y="9105900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9</xdr:row>
      <xdr:rowOff>219075</xdr:rowOff>
    </xdr:from>
    <xdr:to>
      <xdr:col>1</xdr:col>
      <xdr:colOff>1447800</xdr:colOff>
      <xdr:row>9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BC7905F5-EEDA-4E6D-8F09-BA0E5906860B}"/>
            </a:ext>
          </a:extLst>
        </xdr:cNvPr>
        <xdr:cNvSpPr>
          <a:spLocks noChangeShapeType="1"/>
        </xdr:cNvSpPr>
      </xdr:nvSpPr>
      <xdr:spPr bwMode="auto">
        <a:xfrm>
          <a:off x="1381125" y="2247900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60340AA3-1A17-4BD0-8D4B-54B893FB0DFD}"/>
            </a:ext>
          </a:extLst>
        </xdr:cNvPr>
        <xdr:cNvSpPr>
          <a:spLocks noChangeArrowheads="1"/>
        </xdr:cNvSpPr>
      </xdr:nvSpPr>
      <xdr:spPr bwMode="auto">
        <a:xfrm>
          <a:off x="46005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7D037A49-A7E1-4691-9613-29DD07850A75}"/>
            </a:ext>
          </a:extLst>
        </xdr:cNvPr>
        <xdr:cNvSpPr>
          <a:spLocks noChangeArrowheads="1"/>
        </xdr:cNvSpPr>
      </xdr:nvSpPr>
      <xdr:spPr bwMode="auto">
        <a:xfrm>
          <a:off x="46005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EF083C4F-2FC8-467E-9D74-09C9025314A7}"/>
            </a:ext>
          </a:extLst>
        </xdr:cNvPr>
        <xdr:cNvSpPr>
          <a:spLocks noChangeShapeType="1"/>
        </xdr:cNvSpPr>
      </xdr:nvSpPr>
      <xdr:spPr bwMode="auto">
        <a:xfrm>
          <a:off x="1419225" y="9105900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9</xdr:row>
      <xdr:rowOff>219075</xdr:rowOff>
    </xdr:from>
    <xdr:to>
      <xdr:col>1</xdr:col>
      <xdr:colOff>1447800</xdr:colOff>
      <xdr:row>9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6B35D212-53CE-45B2-B48E-A7F891ED84C4}"/>
            </a:ext>
          </a:extLst>
        </xdr:cNvPr>
        <xdr:cNvSpPr>
          <a:spLocks noChangeShapeType="1"/>
        </xdr:cNvSpPr>
      </xdr:nvSpPr>
      <xdr:spPr bwMode="auto">
        <a:xfrm>
          <a:off x="1381125" y="2247900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F70E2FCA-1655-48B7-B6CB-ECDDA25D5C46}"/>
            </a:ext>
          </a:extLst>
        </xdr:cNvPr>
        <xdr:cNvSpPr>
          <a:spLocks noChangeArrowheads="1"/>
        </xdr:cNvSpPr>
      </xdr:nvSpPr>
      <xdr:spPr bwMode="auto">
        <a:xfrm>
          <a:off x="46005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DD6FBDC7-2353-4BC3-B4FB-2CA0B152F2F4}"/>
            </a:ext>
          </a:extLst>
        </xdr:cNvPr>
        <xdr:cNvSpPr>
          <a:spLocks noChangeArrowheads="1"/>
        </xdr:cNvSpPr>
      </xdr:nvSpPr>
      <xdr:spPr bwMode="auto">
        <a:xfrm>
          <a:off x="46005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91F7A488-CC65-4FFA-BB2D-7A35CE3F2B7A}"/>
            </a:ext>
          </a:extLst>
        </xdr:cNvPr>
        <xdr:cNvSpPr>
          <a:spLocks noChangeShapeType="1"/>
        </xdr:cNvSpPr>
      </xdr:nvSpPr>
      <xdr:spPr bwMode="auto">
        <a:xfrm>
          <a:off x="1419225" y="9105900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9</xdr:row>
      <xdr:rowOff>219075</xdr:rowOff>
    </xdr:from>
    <xdr:to>
      <xdr:col>1</xdr:col>
      <xdr:colOff>1447800</xdr:colOff>
      <xdr:row>9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F406A6A5-64A6-43DE-A5DD-307AA7ADB85A}"/>
            </a:ext>
          </a:extLst>
        </xdr:cNvPr>
        <xdr:cNvSpPr>
          <a:spLocks noChangeShapeType="1"/>
        </xdr:cNvSpPr>
      </xdr:nvSpPr>
      <xdr:spPr bwMode="auto">
        <a:xfrm>
          <a:off x="1381125" y="2247900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0D46066D-1CAE-4DE2-B777-7EC0C312D460}"/>
            </a:ext>
          </a:extLst>
        </xdr:cNvPr>
        <xdr:cNvSpPr>
          <a:spLocks noChangeArrowheads="1"/>
        </xdr:cNvSpPr>
      </xdr:nvSpPr>
      <xdr:spPr bwMode="auto">
        <a:xfrm>
          <a:off x="46005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3E35877E-F5F8-4471-AF66-5F9690AED421}"/>
            </a:ext>
          </a:extLst>
        </xdr:cNvPr>
        <xdr:cNvSpPr>
          <a:spLocks noChangeArrowheads="1"/>
        </xdr:cNvSpPr>
      </xdr:nvSpPr>
      <xdr:spPr bwMode="auto">
        <a:xfrm>
          <a:off x="46005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8E42FCD9-AC6D-434B-92FB-35B173A44E6B}"/>
            </a:ext>
          </a:extLst>
        </xdr:cNvPr>
        <xdr:cNvSpPr>
          <a:spLocks noChangeShapeType="1"/>
        </xdr:cNvSpPr>
      </xdr:nvSpPr>
      <xdr:spPr bwMode="auto">
        <a:xfrm>
          <a:off x="1419225" y="9105900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9</xdr:row>
      <xdr:rowOff>219075</xdr:rowOff>
    </xdr:from>
    <xdr:to>
      <xdr:col>1</xdr:col>
      <xdr:colOff>1447800</xdr:colOff>
      <xdr:row>9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3B83A0FF-0311-4AC8-A2C2-E630233F19CA}"/>
            </a:ext>
          </a:extLst>
        </xdr:cNvPr>
        <xdr:cNvSpPr>
          <a:spLocks noChangeShapeType="1"/>
        </xdr:cNvSpPr>
      </xdr:nvSpPr>
      <xdr:spPr bwMode="auto">
        <a:xfrm>
          <a:off x="1381125" y="2247900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42D12998-C859-4753-91C4-89F342885D3A}"/>
            </a:ext>
          </a:extLst>
        </xdr:cNvPr>
        <xdr:cNvSpPr>
          <a:spLocks noChangeArrowheads="1"/>
        </xdr:cNvSpPr>
      </xdr:nvSpPr>
      <xdr:spPr bwMode="auto">
        <a:xfrm>
          <a:off x="46005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14602080-2820-4816-951F-1A66F102F7D9}"/>
            </a:ext>
          </a:extLst>
        </xdr:cNvPr>
        <xdr:cNvSpPr>
          <a:spLocks noChangeArrowheads="1"/>
        </xdr:cNvSpPr>
      </xdr:nvSpPr>
      <xdr:spPr bwMode="auto">
        <a:xfrm>
          <a:off x="46005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DFA11019-DC89-4D7A-9B5C-78486FE43118}"/>
            </a:ext>
          </a:extLst>
        </xdr:cNvPr>
        <xdr:cNvSpPr>
          <a:spLocks noChangeShapeType="1"/>
        </xdr:cNvSpPr>
      </xdr:nvSpPr>
      <xdr:spPr bwMode="auto">
        <a:xfrm>
          <a:off x="1419225" y="9105900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9</xdr:row>
      <xdr:rowOff>219075</xdr:rowOff>
    </xdr:from>
    <xdr:to>
      <xdr:col>1</xdr:col>
      <xdr:colOff>1447800</xdr:colOff>
      <xdr:row>9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F8E60AEE-0F41-4A14-8A54-CC8825CB2474}"/>
            </a:ext>
          </a:extLst>
        </xdr:cNvPr>
        <xdr:cNvSpPr>
          <a:spLocks noChangeShapeType="1"/>
        </xdr:cNvSpPr>
      </xdr:nvSpPr>
      <xdr:spPr bwMode="auto">
        <a:xfrm>
          <a:off x="1381125" y="2247900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FADFC9D2-064C-4517-A3E1-5DB67DA066A8}"/>
            </a:ext>
          </a:extLst>
        </xdr:cNvPr>
        <xdr:cNvSpPr>
          <a:spLocks noChangeArrowheads="1"/>
        </xdr:cNvSpPr>
      </xdr:nvSpPr>
      <xdr:spPr bwMode="auto">
        <a:xfrm>
          <a:off x="46005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022143B8-F892-4281-99A6-FB774B60144D}"/>
            </a:ext>
          </a:extLst>
        </xdr:cNvPr>
        <xdr:cNvSpPr>
          <a:spLocks noChangeArrowheads="1"/>
        </xdr:cNvSpPr>
      </xdr:nvSpPr>
      <xdr:spPr bwMode="auto">
        <a:xfrm>
          <a:off x="46005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3842B93F-4903-4673-B56D-DBC045288154}"/>
            </a:ext>
          </a:extLst>
        </xdr:cNvPr>
        <xdr:cNvSpPr>
          <a:spLocks noChangeShapeType="1"/>
        </xdr:cNvSpPr>
      </xdr:nvSpPr>
      <xdr:spPr bwMode="auto">
        <a:xfrm>
          <a:off x="1419225" y="9105900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9</xdr:row>
      <xdr:rowOff>219075</xdr:rowOff>
    </xdr:from>
    <xdr:to>
      <xdr:col>1</xdr:col>
      <xdr:colOff>1447800</xdr:colOff>
      <xdr:row>9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7C16CD71-9116-451A-B9E9-33EA2BB61556}"/>
            </a:ext>
          </a:extLst>
        </xdr:cNvPr>
        <xdr:cNvSpPr>
          <a:spLocks noChangeShapeType="1"/>
        </xdr:cNvSpPr>
      </xdr:nvSpPr>
      <xdr:spPr bwMode="auto">
        <a:xfrm>
          <a:off x="1381125" y="2247900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9C9ADFE4-5C25-409D-A649-07E98E4EA234}"/>
            </a:ext>
          </a:extLst>
        </xdr:cNvPr>
        <xdr:cNvSpPr>
          <a:spLocks noChangeArrowheads="1"/>
        </xdr:cNvSpPr>
      </xdr:nvSpPr>
      <xdr:spPr bwMode="auto">
        <a:xfrm>
          <a:off x="46005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9E1E0EE6-0F09-464B-86DA-E31162991728}"/>
            </a:ext>
          </a:extLst>
        </xdr:cNvPr>
        <xdr:cNvSpPr>
          <a:spLocks noChangeArrowheads="1"/>
        </xdr:cNvSpPr>
      </xdr:nvSpPr>
      <xdr:spPr bwMode="auto">
        <a:xfrm>
          <a:off x="46005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1BEAAC21-192A-493F-8948-B3557237C7A6}"/>
            </a:ext>
          </a:extLst>
        </xdr:cNvPr>
        <xdr:cNvSpPr>
          <a:spLocks noChangeShapeType="1"/>
        </xdr:cNvSpPr>
      </xdr:nvSpPr>
      <xdr:spPr bwMode="auto">
        <a:xfrm>
          <a:off x="1419225" y="9105900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9</xdr:row>
      <xdr:rowOff>219075</xdr:rowOff>
    </xdr:from>
    <xdr:to>
      <xdr:col>1</xdr:col>
      <xdr:colOff>1447800</xdr:colOff>
      <xdr:row>9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7DEA0927-2E68-427F-BD9D-FC8CFE2574A1}"/>
            </a:ext>
          </a:extLst>
        </xdr:cNvPr>
        <xdr:cNvSpPr>
          <a:spLocks noChangeShapeType="1"/>
        </xdr:cNvSpPr>
      </xdr:nvSpPr>
      <xdr:spPr bwMode="auto">
        <a:xfrm>
          <a:off x="1381125" y="2247900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A5658EE3-5DA1-4C15-BA14-9FD131E6D13B}"/>
            </a:ext>
          </a:extLst>
        </xdr:cNvPr>
        <xdr:cNvSpPr>
          <a:spLocks noChangeArrowheads="1"/>
        </xdr:cNvSpPr>
      </xdr:nvSpPr>
      <xdr:spPr bwMode="auto">
        <a:xfrm>
          <a:off x="46005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4096DD45-115E-4B92-95FE-089BFB163725}"/>
            </a:ext>
          </a:extLst>
        </xdr:cNvPr>
        <xdr:cNvSpPr>
          <a:spLocks noChangeArrowheads="1"/>
        </xdr:cNvSpPr>
      </xdr:nvSpPr>
      <xdr:spPr bwMode="auto">
        <a:xfrm>
          <a:off x="46005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704AA8E2-8D9B-41E3-BE59-53790C2F21E1}"/>
            </a:ext>
          </a:extLst>
        </xdr:cNvPr>
        <xdr:cNvSpPr>
          <a:spLocks noChangeShapeType="1"/>
        </xdr:cNvSpPr>
      </xdr:nvSpPr>
      <xdr:spPr bwMode="auto">
        <a:xfrm>
          <a:off x="1419225" y="9105900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9</xdr:row>
      <xdr:rowOff>219075</xdr:rowOff>
    </xdr:from>
    <xdr:to>
      <xdr:col>1</xdr:col>
      <xdr:colOff>1447800</xdr:colOff>
      <xdr:row>9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DC12E371-C187-4FEA-A7FE-4BF17FB64F9B}"/>
            </a:ext>
          </a:extLst>
        </xdr:cNvPr>
        <xdr:cNvSpPr>
          <a:spLocks noChangeShapeType="1"/>
        </xdr:cNvSpPr>
      </xdr:nvSpPr>
      <xdr:spPr bwMode="auto">
        <a:xfrm>
          <a:off x="1381125" y="2247900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81BBC54C-5D36-4B6F-B853-9FD85F682BA4}"/>
            </a:ext>
          </a:extLst>
        </xdr:cNvPr>
        <xdr:cNvSpPr>
          <a:spLocks noChangeArrowheads="1"/>
        </xdr:cNvSpPr>
      </xdr:nvSpPr>
      <xdr:spPr bwMode="auto">
        <a:xfrm>
          <a:off x="46005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BA35956B-13F3-4742-A808-6E40012C89EE}"/>
            </a:ext>
          </a:extLst>
        </xdr:cNvPr>
        <xdr:cNvSpPr>
          <a:spLocks noChangeArrowheads="1"/>
        </xdr:cNvSpPr>
      </xdr:nvSpPr>
      <xdr:spPr bwMode="auto">
        <a:xfrm>
          <a:off x="46005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6A11CBC-A7CE-48C1-BFFF-88B659C9DCF7}"/>
            </a:ext>
          </a:extLst>
        </xdr:cNvPr>
        <xdr:cNvSpPr>
          <a:spLocks noChangeShapeType="1"/>
        </xdr:cNvSpPr>
      </xdr:nvSpPr>
      <xdr:spPr bwMode="auto">
        <a:xfrm>
          <a:off x="1419225" y="9105900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9</xdr:row>
      <xdr:rowOff>219075</xdr:rowOff>
    </xdr:from>
    <xdr:to>
      <xdr:col>1</xdr:col>
      <xdr:colOff>1447800</xdr:colOff>
      <xdr:row>9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873913FE-F26F-4F8C-A94E-87C24E79C589}"/>
            </a:ext>
          </a:extLst>
        </xdr:cNvPr>
        <xdr:cNvSpPr>
          <a:spLocks noChangeShapeType="1"/>
        </xdr:cNvSpPr>
      </xdr:nvSpPr>
      <xdr:spPr bwMode="auto">
        <a:xfrm>
          <a:off x="1381125" y="2247900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EDB34762-1430-40BD-B8F7-A897CFB9E708}"/>
            </a:ext>
          </a:extLst>
        </xdr:cNvPr>
        <xdr:cNvSpPr>
          <a:spLocks noChangeArrowheads="1"/>
        </xdr:cNvSpPr>
      </xdr:nvSpPr>
      <xdr:spPr bwMode="auto">
        <a:xfrm>
          <a:off x="46005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FFF4B484-ADE7-4384-ADA4-A9BF58DEFE65}"/>
            </a:ext>
          </a:extLst>
        </xdr:cNvPr>
        <xdr:cNvSpPr>
          <a:spLocks noChangeArrowheads="1"/>
        </xdr:cNvSpPr>
      </xdr:nvSpPr>
      <xdr:spPr bwMode="auto">
        <a:xfrm>
          <a:off x="46005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514350</xdr:colOff>
      <xdr:row>51</xdr:row>
      <xdr:rowOff>28575</xdr:rowOff>
    </xdr:from>
    <xdr:to>
      <xdr:col>5</xdr:col>
      <xdr:colOff>809625</xdr:colOff>
      <xdr:row>52</xdr:row>
      <xdr:rowOff>57150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2FE501A6-1232-427C-AC35-F325C80A3793}"/>
            </a:ext>
          </a:extLst>
        </xdr:cNvPr>
        <xdr:cNvSpPr>
          <a:spLocks noChangeArrowheads="1"/>
        </xdr:cNvSpPr>
      </xdr:nvSpPr>
      <xdr:spPr bwMode="auto">
        <a:xfrm>
          <a:off x="6381750" y="11763375"/>
          <a:ext cx="295275" cy="247650"/>
        </a:xfrm>
        <a:prstGeom prst="ellips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485775</xdr:colOff>
      <xdr:row>80</xdr:row>
      <xdr:rowOff>19050</xdr:rowOff>
    </xdr:from>
    <xdr:to>
      <xdr:col>6</xdr:col>
      <xdr:colOff>76200</xdr:colOff>
      <xdr:row>80</xdr:row>
      <xdr:rowOff>219075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902FC9D0-05E5-4F67-9685-512F0E34D1A4}"/>
            </a:ext>
          </a:extLst>
        </xdr:cNvPr>
        <xdr:cNvSpPr>
          <a:spLocks noChangeArrowheads="1"/>
        </xdr:cNvSpPr>
      </xdr:nvSpPr>
      <xdr:spPr bwMode="auto">
        <a:xfrm>
          <a:off x="6353175" y="18049875"/>
          <a:ext cx="695325" cy="190500"/>
        </a:xfrm>
        <a:prstGeom prst="ellips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485775</xdr:colOff>
      <xdr:row>88</xdr:row>
      <xdr:rowOff>19050</xdr:rowOff>
    </xdr:from>
    <xdr:to>
      <xdr:col>6</xdr:col>
      <xdr:colOff>76200</xdr:colOff>
      <xdr:row>89</xdr:row>
      <xdr:rowOff>85725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D776C22C-1C76-4C62-B271-8E558CB4B5ED}"/>
            </a:ext>
          </a:extLst>
        </xdr:cNvPr>
        <xdr:cNvSpPr>
          <a:spLocks noChangeArrowheads="1"/>
        </xdr:cNvSpPr>
      </xdr:nvSpPr>
      <xdr:spPr bwMode="auto">
        <a:xfrm>
          <a:off x="5591175" y="20574000"/>
          <a:ext cx="409575" cy="285750"/>
        </a:xfrm>
        <a:prstGeom prst="ellips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485775</xdr:colOff>
      <xdr:row>125</xdr:row>
      <xdr:rowOff>19050</xdr:rowOff>
    </xdr:from>
    <xdr:to>
      <xdr:col>6</xdr:col>
      <xdr:colOff>76200</xdr:colOff>
      <xdr:row>126</xdr:row>
      <xdr:rowOff>85725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A8A5B078-0CED-42C3-A857-88CF5DB6F399}"/>
            </a:ext>
          </a:extLst>
        </xdr:cNvPr>
        <xdr:cNvSpPr>
          <a:spLocks noChangeArrowheads="1"/>
        </xdr:cNvSpPr>
      </xdr:nvSpPr>
      <xdr:spPr bwMode="auto">
        <a:xfrm>
          <a:off x="5591175" y="28679775"/>
          <a:ext cx="409575" cy="285750"/>
        </a:xfrm>
        <a:prstGeom prst="ellips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BF705545-D35B-4008-99C6-FD3B2DABD702}"/>
            </a:ext>
          </a:extLst>
        </xdr:cNvPr>
        <xdr:cNvSpPr>
          <a:spLocks noChangeShapeType="1"/>
        </xdr:cNvSpPr>
      </xdr:nvSpPr>
      <xdr:spPr bwMode="auto">
        <a:xfrm>
          <a:off x="1419225" y="9105900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9</xdr:row>
      <xdr:rowOff>219075</xdr:rowOff>
    </xdr:from>
    <xdr:to>
      <xdr:col>1</xdr:col>
      <xdr:colOff>1447800</xdr:colOff>
      <xdr:row>9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4315F78E-73ED-47CB-9068-6473F514FBB5}"/>
            </a:ext>
          </a:extLst>
        </xdr:cNvPr>
        <xdr:cNvSpPr>
          <a:spLocks noChangeShapeType="1"/>
        </xdr:cNvSpPr>
      </xdr:nvSpPr>
      <xdr:spPr bwMode="auto">
        <a:xfrm>
          <a:off x="1381125" y="2247900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68A8E93A-AD24-4D47-8198-A1608268CBF7}"/>
            </a:ext>
          </a:extLst>
        </xdr:cNvPr>
        <xdr:cNvSpPr>
          <a:spLocks noChangeArrowheads="1"/>
        </xdr:cNvSpPr>
      </xdr:nvSpPr>
      <xdr:spPr bwMode="auto">
        <a:xfrm>
          <a:off x="46005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D98E8E6F-4BD9-447C-8A3B-481E7F184EBD}"/>
            </a:ext>
          </a:extLst>
        </xdr:cNvPr>
        <xdr:cNvSpPr>
          <a:spLocks noChangeArrowheads="1"/>
        </xdr:cNvSpPr>
      </xdr:nvSpPr>
      <xdr:spPr bwMode="auto">
        <a:xfrm>
          <a:off x="46005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Bo Volfing Jacobsen" id="{440AD26B-E719-4C3A-8DDC-8F549FCBD3DD}" userId="S::bovolf@kk.dk::f2a589e9-1954-4f36-8a22-82b65653aafd" providerId="AD"/>
  <person displayName="Dennis Rise" id="{D422A3FA-E8E2-4ABE-BD3B-FE4E16F1F79C}" userId="S::derise@kk.dk::7e8d672f-9273-495b-bff0-cf08dd8b6dff" providerId="AD"/>
  <person displayName="Erik Skyggebjerg Andersen" id="{69A64ECE-7C7E-46F0-8B88-FD860765DA7D}" userId="S::erskyg@kk.dk::06f51414-fa6a-4b54-8b92-1f56c3d92d92" providerId="AD"/>
  <person displayName="Flemming Nielsen" id="{C51F38D7-2A9E-4F9F-9254-C8BC881AA68C}" userId="S::flniel@kk.dk::1103177c-90e8-49d0-b4e6-9c8bc447a419" providerId="AD"/>
  <person displayName="Marianne Rasmussen" id="{B64FB925-1208-41F9-B36C-ED7B02136135}" userId="S::marasm@kk.dk::4f1258f2-06f8-469c-bf67-b691de390cc3" providerId="AD"/>
  <person displayName="Steen Hertin" id="{0FABECB0-2C6D-412E-8013-9DE85F74C24A}" userId="S::sthert@kk.dk::e957bcde-1e2d-44a2-9cbc-c9e1fd46d711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67" dT="2020-03-08T16:01:11.96" personId="{D422A3FA-E8E2-4ABE-BD3B-FE4E16F1F79C}" id="{DE4B5F8C-940C-4937-B78F-2AC558350B49}">
    <text>Sundbyøsterhallen 1500-2300. på o/a</text>
  </threadedComment>
  <threadedComment ref="E71" dT="2020-03-02T16:21:36.64" personId="{D422A3FA-E8E2-4ABE-BD3B-FE4E16F1F79C}" id="{2A6A9D20-1C89-4CD6-8026-6DE78A63CD77}">
    <text>26 vagt på o/a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N12" dT="2019-07-29T10:48:46.47" personId="{B64FB925-1208-41F9-B36C-ED7B02136135}" id="{35B6A560-8615-46FE-B041-E0FFFB087DB3}">
    <text>Flemming tårn og rundvisning</text>
  </threadedComment>
  <threadedComment ref="C21" dT="2019-07-22T07:20:43.55" personId="{0FABECB0-2C6D-412E-8013-9DE85F74C24A}" id="{B9051641-B966-4FA5-A663-52C4D28F266C}">
    <text>Kontrakter hele dagen.</text>
  </threadedComment>
  <threadedComment ref="H41" dT="2019-08-06T08:02:41.89" personId="{440AD26B-E719-4C3A-8DDC-8F549FCBD3DD}" id="{91B0043E-9750-4A70-B416-C33E8B2E894A}">
    <text>8 vagt OA</text>
  </threadedComment>
  <threadedComment ref="I41" dT="2019-08-06T08:03:00.83" personId="{440AD26B-E719-4C3A-8DDC-8F549FCBD3DD}" id="{2ED0FB6A-859E-4C62-AB63-3E0C92220BF2}">
    <text>8 vagt OA</text>
  </threadedComment>
  <threadedComment ref="J41" dT="2019-08-06T08:03:32.42" personId="{440AD26B-E719-4C3A-8DDC-8F549FCBD3DD}" id="{D94CCD8A-E99C-4498-AEAF-18A711D169DF}">
    <text>8 vagt OA</text>
  </threadedComment>
  <threadedComment ref="K41" dT="2019-08-06T08:08:02.06" personId="{440AD26B-E719-4C3A-8DDC-8F549FCBD3DD}" id="{18B528F4-340F-480F-A847-EB342A2FBF77}">
    <text>8 vagt OA</text>
  </threadedComment>
  <threadedComment ref="AF64" dT="2019-08-29T17:19:06.31" personId="{69A64ECE-7C7E-46F0-8B88-FD860765DA7D}" id="{65378A3E-98A4-4A45-B053-A41D9BC2A2D4}">
    <text>5-vagt på OA</text>
  </threadedComment>
  <threadedComment ref="H66" dT="2019-08-07T06:03:28.34" personId="{440AD26B-E719-4C3A-8DDC-8F549FCBD3DD}" id="{DAA9D9FF-C2D3-458E-BB16-CF0372C58EC7}">
    <text>D vagt</text>
  </threadedComment>
  <threadedComment ref="I66" dT="2019-08-07T06:09:35.47" personId="{440AD26B-E719-4C3A-8DDC-8F549FCBD3DD}" id="{312DD69D-11B7-4A4B-A652-F761775925A0}">
    <text>D vagt</text>
  </threadedComment>
  <threadedComment ref="N67" dT="2019-08-07T10:09:55.14" personId="{0FABECB0-2C6D-412E-8013-9DE85F74C24A}" id="{0E6EF2D8-D66C-433A-A8C3-2390E6EB0096}">
    <text>Hjælpe Sebastian hvis der er bygninger han ikke kan</text>
  </threadedComment>
  <threadedComment ref="C70" dT="2019-07-17T13:36:25.79" personId="{0FABECB0-2C6D-412E-8013-9DE85F74C24A}" id="{8BC7C794-6BF1-41CB-9E2D-B52894B231C6}">
    <text>3-vagt på OA</text>
  </threadedComment>
  <threadedComment ref="C70" dT="2019-08-07T10:01:28.03" personId="{0FABECB0-2C6D-412E-8013-9DE85F74C24A}" id="{24DEBAF6-713A-4E26-B428-CA2E1D0A9F0B}" parentId="{8BC7C794-6BF1-41CB-9E2D-B52894B231C6}">
    <text>+ 4 vagt til kl. 17.30</text>
  </threadedComment>
  <threadedComment ref="U80" dT="2019-08-19T05:46:08.78" personId="{C51F38D7-2A9E-4F9F-9254-C8BC881AA68C}" id="{D5C5B3B5-0752-4DB6-A798-63E43296AF9B}">
    <text>Griffen</text>
  </threadedComment>
  <threadedComment ref="G82" dT="2019-08-06T08:08:41.66" personId="{440AD26B-E719-4C3A-8DDC-8F549FCBD3DD}" id="{2C052097-8C09-4529-BA2D-C23246741621}">
    <text>Tager kørekort</text>
  </threadedComment>
  <threadedComment ref="H82" dT="2019-08-06T08:09:03.11" personId="{440AD26B-E719-4C3A-8DDC-8F549FCBD3DD}" id="{676BA9A4-BAE6-4C82-ACC4-303708FE8951}">
    <text>Tager kørekort</text>
  </threadedComment>
  <threadedComment ref="I82" dT="2019-08-06T08:09:49.60" personId="{440AD26B-E719-4C3A-8DDC-8F549FCBD3DD}" id="{71CF4436-FBA8-463E-9833-6EF3BAE45213}">
    <text>Tager kørekort</text>
  </threadedComment>
  <threadedComment ref="J82" dT="2019-08-06T08:10:08.80" personId="{440AD26B-E719-4C3A-8DDC-8F549FCBD3DD}" id="{4D25702F-E11F-4BBE-BBC5-270DC4ECD1E7}">
    <text>Tager kørekort</text>
  </threadedComment>
  <threadedComment ref="K82" dT="2019-08-06T08:10:20.81" personId="{440AD26B-E719-4C3A-8DDC-8F549FCBD3DD}" id="{595727FF-87C7-42DD-A0C3-F2932BE88A0C}">
    <text>Tager kørekort</text>
  </threadedComment>
  <threadedComment ref="N82" dT="2019-08-06T08:10:48.28" personId="{440AD26B-E719-4C3A-8DDC-8F549FCBD3DD}" id="{E65435C8-21B4-47E9-8BC0-62F1161274E3}">
    <text>Tager kørekort</text>
  </threadedComment>
  <threadedComment ref="O82" dT="2019-08-06T08:11:02.51" personId="{440AD26B-E719-4C3A-8DDC-8F549FCBD3DD}" id="{CE635B18-DB9F-4F48-AA42-19BBFFEAA270}">
    <text>Tager kørekort</text>
  </threadedComment>
  <threadedComment ref="P82" dT="2019-08-06T08:11:15.72" personId="{440AD26B-E719-4C3A-8DDC-8F549FCBD3DD}" id="{A6DACC29-C0AF-4A9A-BA6E-A336C98F5CE2}">
    <text>Tager kørekort</text>
  </threadedComment>
  <threadedComment ref="Q82" dT="2019-08-06T08:11:32.20" personId="{440AD26B-E719-4C3A-8DDC-8F549FCBD3DD}" id="{B8592E09-E840-4AB7-A630-FE5E52038CDE}">
    <text>Tager kørekort</text>
  </threadedComment>
  <threadedComment ref="R82" dT="2019-08-06T08:11:49.07" personId="{440AD26B-E719-4C3A-8DDC-8F549FCBD3DD}" id="{F9F07924-5071-4691-AFC8-A6BE3847D631}">
    <text>Tager kørekort</text>
  </threadedComment>
  <threadedComment ref="U82" dT="2019-08-06T08:12:01.81" personId="{440AD26B-E719-4C3A-8DDC-8F549FCBD3DD}" id="{033C8C57-DCF7-40DF-BDB5-1F144444A845}">
    <text>Tager kørekort</text>
  </threadedComment>
  <threadedComment ref="V82" dT="2019-08-06T08:12:13.37" personId="{440AD26B-E719-4C3A-8DDC-8F549FCBD3DD}" id="{3D90689A-590F-4850-A423-DAFD77F01B06}">
    <text>Tager kørekort</text>
  </threadedComment>
  <threadedComment ref="W82" dT="2019-08-06T08:12:25.47" personId="{440AD26B-E719-4C3A-8DDC-8F549FCBD3DD}" id="{9F74309E-CABB-4E5B-A61B-D055772FFBCF}">
    <text>Tager kørekort</text>
  </threadedComment>
  <threadedComment ref="X82" dT="2019-08-06T08:12:36.70" personId="{440AD26B-E719-4C3A-8DDC-8F549FCBD3DD}" id="{15E3DF8E-E0C2-4363-8E1E-E2003D4AD4D8}">
    <text>Tager kørekort</text>
  </threadedComment>
  <threadedComment ref="Y82" dT="2019-08-06T08:12:48.86" personId="{440AD26B-E719-4C3A-8DDC-8F549FCBD3DD}" id="{AC451F95-9044-4807-8E76-3B0782F240AC}">
    <text>Tager kørekort</text>
  </threadedComment>
  <threadedComment ref="AB82" dT="2019-08-06T08:12:59.87" personId="{440AD26B-E719-4C3A-8DDC-8F549FCBD3DD}" id="{A48677B0-CEBF-4C7C-9467-8B098374B58D}">
    <text>Tager kørekort</text>
  </threadedComment>
  <threadedComment ref="AC82" dT="2019-08-06T08:13:10.57" personId="{440AD26B-E719-4C3A-8DDC-8F549FCBD3DD}" id="{204D8C0C-2EAF-41AA-91FF-32D00BCC59C4}">
    <text>Tager kørekort</text>
  </threadedComment>
  <threadedComment ref="AD82" dT="2019-08-06T08:12:59.87" personId="{440AD26B-E719-4C3A-8DDC-8F549FCBD3DD}" id="{4E370817-D761-455A-A4E0-503FEF15B023}">
    <text>Tager kørekort</text>
  </threadedComment>
  <threadedComment ref="AE82" dT="2019-08-06T08:12:59.87" personId="{440AD26B-E719-4C3A-8DDC-8F549FCBD3DD}" id="{919AA555-07AB-46E2-A595-A53867C97739}">
    <text>Tager kørekort</text>
  </threadedComment>
  <threadedComment ref="AF82" dT="2019-08-06T08:12:59.87" personId="{440AD26B-E719-4C3A-8DDC-8F549FCBD3DD}" id="{A9723E36-1F7F-4BDE-B6EB-DD10B624933C}">
    <text>Tager kørekort</text>
  </threadedComment>
  <threadedComment ref="AE122" dT="2019-09-09T12:44:27.62" personId="{B64FB925-1208-41F9-B36C-ED7B02136135}" id="{1EE1C69C-963B-4EE6-9340-2C157783C2C8}">
    <text>+resten af FE</text>
  </threadedComment>
  <threadedComment ref="Y174" dT="2019-07-19T09:56:07.93" personId="{0FABECB0-2C6D-412E-8013-9DE85F74C24A}" id="{F9B5D8E3-F642-4D60-AD4B-25DC0E29B67D}">
    <text>Intern Flex</text>
  </threadedComment>
  <threadedComment ref="G284" dT="2019-08-08T08:01:19.53" personId="{B64FB925-1208-41F9-B36C-ED7B02136135}" id="{F8A991A0-BE39-4C01-AD0E-8D9F7383EDA8}">
    <text>afs - 5,5 time</text>
  </threadedComment>
  <threadedComment ref="J284" dT="2019-08-08T08:01:50.43" personId="{B64FB925-1208-41F9-B36C-ED7B02136135}" id="{33BA7E11-0EE9-46EC-BB05-32A24EAB7A78}">
    <text>afs - 4</text>
  </threadedComment>
  <threadedComment ref="K284" dT="2019-08-13T11:58:44.11" personId="{B64FB925-1208-41F9-B36C-ED7B02136135}" id="{A7F94203-A143-4384-A017-57738C02F769}">
    <text>afs -2 Timer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F23" dT="2019-09-04T07:04:25.18" personId="{C51F38D7-2A9E-4F9F-9254-C8BC881AA68C}" id="{0958DDA0-329E-4A0D-BED8-F478CCAE2117}">
    <text>Rundvisning 16.30</text>
  </threadedComment>
  <threadedComment ref="D42" dT="2019-09-01T14:22:44.79" personId="{69A64ECE-7C7E-46F0-8B88-FD860765DA7D}" id="{E9C96DA2-252C-4E0A-8C41-6B98709300D5}">
    <text>4-vagt på OA</text>
  </threadedComment>
  <threadedComment ref="D67" dT="2019-09-02T05:38:59.18" personId="{D422A3FA-E8E2-4ABE-BD3B-FE4E16F1F79C}" id="{B5E0D426-E5BD-451F-A4D6-480BF28BBB5F}">
    <text>Brønshøjvej på oa.</text>
  </threadedComment>
  <threadedComment ref="D82" dT="2019-08-06T08:12:59.87" personId="{440AD26B-E719-4C3A-8DDC-8F549FCBD3DD}" id="{209A8133-E835-4B41-A8FA-2B078FBAAD47}">
    <text>Tager kørekort</text>
  </threadedComment>
  <threadedComment ref="E82" dT="2019-08-06T08:12:59.87" personId="{440AD26B-E719-4C3A-8DDC-8F549FCBD3DD}" id="{9A68C7C4-B115-4A9D-B86D-9BD3F87FCB0C}">
    <text>Tager kørekort</text>
  </threadedComment>
  <threadedComment ref="F82" dT="2019-08-06T08:12:59.87" personId="{440AD26B-E719-4C3A-8DDC-8F549FCBD3DD}" id="{D9F99C7F-3A59-41AC-B23E-F2CBFB18CA34}">
    <text>Tager kørekort</text>
  </threadedComment>
  <threadedComment ref="G82" dT="2019-08-06T08:12:59.87" personId="{440AD26B-E719-4C3A-8DDC-8F549FCBD3DD}" id="{C2CCB8A8-1462-4C0D-B4CB-E1C449879BC0}">
    <text>Tager kørekort</text>
  </threadedComment>
  <threadedComment ref="H82" dT="2019-08-06T08:12:59.87" personId="{440AD26B-E719-4C3A-8DDC-8F549FCBD3DD}" id="{63833DFA-8826-44DA-B1D6-CFE33953C621}">
    <text>Tager kørekort</text>
  </threadedComment>
  <threadedComment ref="K82" dT="2019-08-06T08:12:59.87" personId="{440AD26B-E719-4C3A-8DDC-8F549FCBD3DD}" id="{743AB70D-846D-4358-8525-57F88EABC2EB}">
    <text>Tager kørekort</text>
  </threadedComment>
  <threadedComment ref="L82" dT="2019-08-06T08:12:59.87" personId="{440AD26B-E719-4C3A-8DDC-8F549FCBD3DD}" id="{2287596E-739F-4653-8803-51D5B6CE674F}">
    <text>Tager kørekort</text>
  </threadedComment>
  <threadedComment ref="M82" dT="2019-08-06T08:12:59.87" personId="{440AD26B-E719-4C3A-8DDC-8F549FCBD3DD}" id="{E7C1D13C-E645-4C85-9149-FB6BB5FFB434}">
    <text>Tager kørekort</text>
  </threadedComment>
  <threadedComment ref="N82" dT="2019-08-06T08:12:59.87" personId="{440AD26B-E719-4C3A-8DDC-8F549FCBD3DD}" id="{99A01020-BAF7-48E2-96F2-323129AB6014}">
    <text>Tager kørekort</text>
  </threadedComment>
  <threadedComment ref="O82" dT="2019-08-06T08:12:59.87" personId="{440AD26B-E719-4C3A-8DDC-8F549FCBD3DD}" id="{2903EEDA-605D-452B-AA09-DE04F1E4D139}">
    <text>Tager kørekort</text>
  </threadedComment>
  <threadedComment ref="R82" dT="2019-08-06T08:12:59.87" personId="{440AD26B-E719-4C3A-8DDC-8F549FCBD3DD}" id="{BDA4EB71-1797-46AB-9D98-97F61C2109B8}">
    <text>Tager kørekort</text>
  </threadedComment>
  <threadedComment ref="S82" dT="2019-08-06T08:12:59.87" personId="{440AD26B-E719-4C3A-8DDC-8F549FCBD3DD}" id="{ADD0124C-72AF-47EA-BC55-6B060974B227}">
    <text>Tager kørekort</text>
  </threadedComment>
  <threadedComment ref="T82" dT="2019-08-06T08:12:59.87" personId="{440AD26B-E719-4C3A-8DDC-8F549FCBD3DD}" id="{55197711-9F96-44C2-9C21-C502BD568552}">
    <text>Tager kørekort</text>
  </threadedComment>
  <threadedComment ref="E101" dT="2019-09-03T05:20:22.22" personId="{D422A3FA-E8E2-4ABE-BD3B-FE4E16F1F79C}" id="{B59534F5-EC0B-4127-9C5F-2D4291DF34CF}">
    <text>Brønshøjvej på o/a</text>
  </threadedComment>
  <threadedComment ref="G121" dT="2019-09-04T07:50:51.09" personId="{D422A3FA-E8E2-4ABE-BD3B-FE4E16F1F79C}" id="{EB907017-B896-48AC-A191-02E2FCC1BF46}">
    <text>Møder ca. 1000</text>
  </threadedComment>
  <threadedComment ref="Y150" dT="2019-09-20T07:45:16.23" personId="{B64FB925-1208-41F9-B36C-ED7B02136135}" id="{C46C848B-B36C-4E94-9739-FECE8A55673B}">
    <text>afs - 5 Timer</text>
  </threadedComment>
  <threadedComment ref="R185" dT="2019-07-16T07:41:57.79" personId="{0FABECB0-2C6D-412E-8013-9DE85F74C24A}" id="{B9634DA8-911F-4F5E-9FCF-EBAB2BE3841C}">
    <text>Går Til læge kl. 11.15</text>
  </threadedComment>
  <threadedComment ref="R209" dT="2019-09-16T12:56:41.09" personId="{B64FB925-1208-41F9-B36C-ED7B02136135}" id="{789F592E-19D6-4C90-A845-D8005FD3D4D5}">
    <text>afd - 3 timer</text>
  </threadedComment>
  <threadedComment ref="T212" dT="2019-09-18T10:34:09.71" personId="{B64FB925-1208-41F9-B36C-ED7B02136135}" id="{55DADCBD-DC46-4125-AA53-6D52E58BCEEC}">
    <text>afs - 2,5 time</text>
  </threadedComment>
  <threadedComment ref="R285" dT="2019-09-18T11:05:35.86" personId="{B64FB925-1208-41F9-B36C-ED7B02136135}" id="{BF9B80E6-46D5-4C00-99A9-222C5AC20CA0}">
    <text>afs - 4 timer</text>
  </threadedComment>
  <threadedComment ref="S285" dT="2019-09-18T11:05:56.45" personId="{B64FB925-1208-41F9-B36C-ED7B02136135}" id="{841041B5-8DC0-4B5A-940F-7F8363783082}">
    <text>adf - 1 time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A64" dT="2020-02-25T06:04:33.15" personId="{D422A3FA-E8E2-4ABE-BD3B-FE4E16F1F79C}" id="{AE8C6BD4-554A-4B16-A2D0-25878B3662CF}">
    <text>H-vagt på o/a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T37" dT="2019-10-18T15:35:00.04" personId="{D422A3FA-E8E2-4ABE-BD3B-FE4E16F1F79C}" id="{F9BA4EA5-B6A7-44F9-A156-07390224E014}">
    <text>23-0715</text>
  </threadedComment>
  <threadedComment ref="AA151" dT="2019-10-22T06:47:38.81" personId="{B64FB925-1208-41F9-B36C-ED7B02136135}" id="{E732BFC9-8894-4406-87B3-0174FB2E2761}">
    <text>Kristoffer kommer ca kl 10-10,30</text>
  </threadedComment>
  <threadedComment ref="L266" dT="2019-10-10T06:19:18.61" personId="{D422A3FA-E8E2-4ABE-BD3B-FE4E16F1F79C}" id="{4291685E-75D8-4FC2-BFB4-453B622D8DBB}">
    <text>§ 56</text>
  </threadedComment>
  <threadedComment ref="X284" dT="2019-10-22T12:18:13.21" personId="{B64FB925-1208-41F9-B36C-ED7B02136135}" id="{3C0005CD-DF04-43DF-B3C6-FE1DE3EAF6B2}">
    <text>- 4 timer i afs</text>
  </threadedComment>
  <threadedComment ref="R285" dT="2019-10-22T06:51:01.93" personId="{B64FB925-1208-41F9-B36C-ED7B02136135}" id="{FD95AAC0-3A2B-446D-B5EE-CF8265A0DE5F}">
    <text>- 3,5 afs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M21" dT="2019-11-10T16:26:43.82" personId="{69A64ECE-7C7E-46F0-8B88-FD860765DA7D}" id="{A9F93335-8F08-4160-A62E-BD3A6596832A}">
    <text>Matthæusgade</text>
  </threadedComment>
  <threadedComment ref="AA37" dT="2019-11-22T15:29:53.51" personId="{D422A3FA-E8E2-4ABE-BD3B-FE4E16F1F79C}" id="{50FD1A74-FBC6-432E-A7D3-C7DBF998808E}">
    <text>Går kl.1345.</text>
  </threadedComment>
  <threadedComment ref="N62" dT="2019-11-11T08:44:44.12" personId="{D422A3FA-E8E2-4ABE-BD3B-FE4E16F1F79C}" id="{3AA62477-9039-4EB3-A456-1B7A160CFC26}">
    <text>Kan godt tage evt. vagt</text>
  </threadedComment>
  <threadedComment ref="O62" dT="2019-11-11T08:47:02.49" personId="{D422A3FA-E8E2-4ABE-BD3B-FE4E16F1F79C}" id="{6F1AF5B5-B30A-4CDB-BEDD-81AFFA5BED41}">
    <text>Kan godt tage evt vagter</text>
  </threadedComment>
  <threadedComment ref="M67" dT="2019-11-11T06:33:00.58" personId="{D422A3FA-E8E2-4ABE-BD3B-FE4E16F1F79C}" id="{84B57935-DFE8-4FA0-A790-BD6F3DA4CA23}">
    <text>Hjemløseenheden Sundholmsvej</text>
  </threadedComment>
  <threadedComment ref="AA175" dT="2019-10-16T10:59:29.73" personId="{B64FB925-1208-41F9-B36C-ED7B02136135}" id="{D89BC4E0-E803-47BF-A552-52FC8DB5FDBF}">
    <text>Internt flex</text>
  </threadedComment>
  <threadedComment ref="T253" dT="2019-11-14T13:17:04.87" personId="{B64FB925-1208-41F9-B36C-ED7B02136135}" id="{16A0799E-3D0C-448B-8173-94435B3219A3}">
    <text>- 1 time afs.</text>
  </threadedComment>
  <threadedComment ref="M266" dT="2019-11-11T06:10:11.23" personId="{D422A3FA-E8E2-4ABE-BD3B-FE4E16F1F79C}" id="{1632199E-558C-4A9F-83B7-82FF0B47462A}">
    <text>§56</text>
  </threadedComment>
  <threadedComment ref="J286" dT="2019-10-30T10:09:27.92" personId="{B64FB925-1208-41F9-B36C-ED7B02136135}" id="{812E474C-AF59-4538-992F-B3CA746F57F6}">
    <text>- 6 timer afs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O21" dT="2019-12-03T07:16:45.38" personId="{0FABECB0-2C6D-412E-8013-9DE85F74C24A}" id="{08FFA82B-4B60-4051-A089-3866590AA9EE}">
    <text>RH</text>
  </threadedComment>
  <threadedComment ref="D37" dT="2019-11-22T15:30:58.08" personId="{D422A3FA-E8E2-4ABE-BD3B-FE4E16F1F79C}" id="{9D8E5893-F6EA-48EA-99D7-FA9E2C76A396}">
    <text>Går kl. 1345</text>
  </threadedComment>
  <threadedComment ref="F37" dT="2019-11-22T15:31:34.38" personId="{D422A3FA-E8E2-4ABE-BD3B-FE4E16F1F79C}" id="{65AAA666-C9A9-45A0-A8FF-3B49EF87ECD3}">
    <text>Møder kl. 10.00 Går kl. 1500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S21" dT="2019-07-16T07:59:14.71" personId="{0FABECB0-2C6D-412E-8013-9DE85F74C24A}" id="{0954CA62-C888-4463-B50A-2FF38E30EB17}">
    <text>Dækker 69-vagten</text>
  </threadedComment>
  <threadedComment ref="Y21" dT="2019-07-21T07:23:23.58" personId="{0FABECB0-2C6D-412E-8013-9DE85F74C24A}" id="{DCCC9784-56B9-413B-B7E7-0E8BCEDD82FC}">
    <text>Flemming Dam og Henrik hele dagen</text>
  </threadedComment>
  <threadedComment ref="AA22" dT="2019-07-19T09:55:39.63" personId="{0FABECB0-2C6D-412E-8013-9DE85F74C24A}" id="{8BA394A2-5636-4382-88FF-4361C6C1D220}">
    <text>GKL 43I</text>
  </threadedComment>
  <threadedComment ref="T67" dT="2019-07-17T09:42:31.73" personId="{0FABECB0-2C6D-412E-8013-9DE85F74C24A}" id="{CF1281F0-E1B1-409D-A056-48A09818C1BE}">
    <text>5-vagt på OA.</text>
  </threadedComment>
  <threadedComment ref="U67" dT="2019-07-17T09:42:31.73" personId="{0FABECB0-2C6D-412E-8013-9DE85F74C24A}" id="{32DF241B-6827-4C17-8BB0-A2591C85DD68}">
    <text>5-vagt på OA.</text>
  </threadedComment>
  <threadedComment ref="AE74" dT="2019-07-17T13:36:25.79" personId="{0FABECB0-2C6D-412E-8013-9DE85F74C24A}" id="{97C740F4-E900-4471-8C80-F24E1B39EA7A}">
    <text>3-vagt på OA</text>
  </threadedComment>
  <threadedComment ref="AF74" dT="2019-07-17T13:36:25.79" personId="{0FABECB0-2C6D-412E-8013-9DE85F74C24A}" id="{256B104D-3377-459E-B8F9-474257F1E450}">
    <text>3-vagt på OA</text>
  </threadedComment>
  <threadedComment ref="AG74" dT="2019-07-17T13:36:25.79" personId="{0FABECB0-2C6D-412E-8013-9DE85F74C24A}" id="{26287CAE-EE6F-4566-AE5E-73FA7FD70F60}">
    <text>3-vagt på OA</text>
  </threadedComment>
  <threadedComment ref="T106" dT="2019-07-17T07:12:48.77" personId="{0FABECB0-2C6D-412E-8013-9DE85F74C24A}" id="{1CF57D00-7B52-4B50-9C67-099C569057DC}">
    <text>møder som vh.</text>
  </threadedComment>
  <threadedComment ref="U106" dT="2019-07-17T07:12:48.77" personId="{0FABECB0-2C6D-412E-8013-9DE85F74C24A}" id="{7EE56206-0F5A-4736-91E8-59F3F88703C5}">
    <text>møder som vh.</text>
  </threadedComment>
  <threadedComment ref="U148" dT="2019-07-16T10:57:46.47" personId="{B64FB925-1208-41F9-B36C-ED7B02136135}" id="{073974FE-DD0C-4B67-8C91-8D178D40A9DE}">
    <text>Går kl 11,15</text>
  </threadedComment>
  <threadedComment ref="Z282" dT="2019-08-01T06:48:42.82" personId="{B64FB925-1208-41F9-B36C-ED7B02136135}" id="{E0C31AD7-01FD-4170-A9E5-6D4BDBBB4171}">
    <text>afs 1,5 time</text>
  </threadedComment>
  <threadedComment ref="AB282" dT="2019-08-01T06:49:05.81" personId="{B64FB925-1208-41F9-B36C-ED7B02136135}" id="{A8EFBB1F-BB6B-4809-A464-487058CB2D41}">
    <text>afs 1,5 time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AE74" dT="2020-01-28T14:48:31.33" personId="{D422A3FA-E8E2-4ABE-BD3B-FE4E16F1F79C}" id="{E0B1E8AC-0C5D-4B65-B67C-2DE575F3A4EF}">
    <text>3-vagt på o/a</text>
  </threadedComment>
  <threadedComment ref="AD79" dT="2020-01-27T16:08:07.98" personId="{D422A3FA-E8E2-4ABE-BD3B-FE4E16F1F79C}" id="{434FFB68-F518-488F-BC6A-BA05B2958B59}">
    <text>Møde i retten kl. 0900-?? møder bagefter.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microsoft.com/office/2017/10/relationships/threadedComment" Target="../threadedComments/threadedComment6.xml"/><Relationship Id="rId4" Type="http://schemas.openxmlformats.org/officeDocument/2006/relationships/comments" Target="../comments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microsoft.com/office/2017/10/relationships/threadedComment" Target="../threadedComments/threadedComment7.xml"/><Relationship Id="rId4" Type="http://schemas.openxmlformats.org/officeDocument/2006/relationships/comments" Target="../comments8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microsoft.com/office/2017/10/relationships/threadedComment" Target="../threadedComments/threadedComment8.xml"/><Relationship Id="rId4" Type="http://schemas.openxmlformats.org/officeDocument/2006/relationships/comments" Target="../comments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5" Type="http://schemas.microsoft.com/office/2017/10/relationships/threadedComment" Target="../threadedComments/threadedComment9.xml"/><Relationship Id="rId4" Type="http://schemas.openxmlformats.org/officeDocument/2006/relationships/comments" Target="../comments11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3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13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B12C1-2BDE-4684-872F-C167629219FA}">
  <sheetPr codeName="Ark11">
    <pageSetUpPr fitToPage="1"/>
  </sheetPr>
  <dimension ref="A1:AM296"/>
  <sheetViews>
    <sheetView topLeftCell="A83" zoomScale="60" zoomScaleNormal="60" workbookViewId="0">
      <selection activeCell="AJ68" sqref="AJ68"/>
    </sheetView>
  </sheetViews>
  <sheetFormatPr defaultRowHeight="15"/>
  <cols>
    <col min="2" max="2" width="27.28515625" customWidth="1"/>
    <col min="3" max="35" width="5.28515625" customWidth="1"/>
  </cols>
  <sheetData>
    <row r="1" spans="1:35" ht="24.75" customHeight="1">
      <c r="A1" t="s">
        <v>0</v>
      </c>
      <c r="B1" s="1" t="s">
        <v>1</v>
      </c>
    </row>
    <row r="2" spans="1:35" ht="24.75" customHeight="1">
      <c r="B2" s="598" t="s">
        <v>2</v>
      </c>
      <c r="C2" s="599" t="s">
        <v>3</v>
      </c>
      <c r="D2" s="600"/>
      <c r="E2" s="601" t="s">
        <v>4</v>
      </c>
      <c r="F2" s="602"/>
      <c r="G2" s="603"/>
      <c r="H2" s="603"/>
      <c r="I2" s="603"/>
      <c r="J2" s="603"/>
      <c r="K2" s="604"/>
      <c r="L2" s="605" t="s">
        <v>5</v>
      </c>
      <c r="M2" s="606"/>
      <c r="N2" s="607"/>
      <c r="O2" s="608" t="s">
        <v>6</v>
      </c>
      <c r="P2" s="609"/>
      <c r="Q2" s="610"/>
      <c r="R2" s="611"/>
      <c r="S2" s="612" t="s">
        <v>7</v>
      </c>
      <c r="T2" s="613"/>
      <c r="U2" s="614"/>
      <c r="V2" s="613"/>
      <c r="W2" s="615" t="s">
        <v>8</v>
      </c>
      <c r="X2" s="616"/>
      <c r="Y2" s="617"/>
      <c r="Z2" s="2" t="s">
        <v>9</v>
      </c>
      <c r="AA2" s="618"/>
      <c r="AB2" s="619"/>
      <c r="AC2" s="620"/>
      <c r="AD2" s="621" t="s">
        <v>10</v>
      </c>
      <c r="AE2" s="622"/>
      <c r="AF2" s="622"/>
      <c r="AG2" s="623"/>
    </row>
    <row r="3" spans="1:35" ht="24.75" customHeight="1">
      <c r="A3" s="1"/>
      <c r="B3" s="624" t="s">
        <v>11</v>
      </c>
      <c r="C3" s="625" t="s">
        <v>12</v>
      </c>
      <c r="D3" s="626"/>
      <c r="E3" s="3"/>
      <c r="F3" s="4"/>
      <c r="G3" s="4"/>
      <c r="H3" s="5" t="s">
        <v>13</v>
      </c>
      <c r="I3" s="6"/>
      <c r="J3" s="6"/>
      <c r="K3" s="7"/>
      <c r="L3" s="627" t="s">
        <v>14</v>
      </c>
      <c r="M3" s="628"/>
      <c r="N3" s="629"/>
      <c r="O3" s="6"/>
      <c r="P3" s="6"/>
      <c r="Q3" s="6"/>
      <c r="R3" s="6"/>
      <c r="S3" s="8"/>
      <c r="T3" s="9" t="s">
        <v>15</v>
      </c>
      <c r="U3" s="10"/>
      <c r="V3" s="11"/>
      <c r="W3" s="12"/>
      <c r="X3" s="13"/>
      <c r="Y3" s="5" t="s">
        <v>16</v>
      </c>
      <c r="Z3" s="628"/>
      <c r="AA3" s="628"/>
      <c r="AB3" s="630"/>
      <c r="AC3" s="631"/>
      <c r="AD3" s="632" t="s">
        <v>17</v>
      </c>
      <c r="AE3" s="633"/>
      <c r="AF3" s="633"/>
      <c r="AG3" s="634"/>
    </row>
    <row r="4" spans="1:35" ht="24.75" customHeight="1">
      <c r="A4" s="14" t="s">
        <v>18</v>
      </c>
      <c r="B4" s="15"/>
      <c r="C4" s="16"/>
      <c r="D4" s="17"/>
      <c r="E4" s="17"/>
      <c r="F4" s="17"/>
      <c r="G4" s="17"/>
      <c r="H4" s="16"/>
      <c r="I4" s="17"/>
      <c r="J4" s="17"/>
      <c r="K4" s="18"/>
      <c r="L4" s="17"/>
      <c r="M4" s="18"/>
      <c r="N4" s="18"/>
      <c r="O4" s="17"/>
      <c r="P4" s="17"/>
      <c r="Q4" s="17"/>
      <c r="R4" s="17"/>
      <c r="T4" s="18"/>
      <c r="U4" s="16"/>
      <c r="W4" s="17"/>
      <c r="X4" s="17"/>
      <c r="Y4" s="16"/>
      <c r="Z4" s="17"/>
      <c r="AB4" s="17"/>
      <c r="AC4" s="17"/>
      <c r="AD4" s="17"/>
      <c r="AE4" s="17"/>
      <c r="AF4" s="17"/>
      <c r="AG4" s="17"/>
    </row>
    <row r="5" spans="1:35" ht="24.75" customHeight="1">
      <c r="A5" s="14" t="s">
        <v>19</v>
      </c>
      <c r="B5" s="1"/>
    </row>
    <row r="6" spans="1:35" ht="24.75" customHeight="1">
      <c r="A6" s="635" t="s">
        <v>20</v>
      </c>
      <c r="B6" s="628"/>
      <c r="C6" s="636"/>
      <c r="D6" s="635" t="s">
        <v>21</v>
      </c>
      <c r="E6" s="628"/>
      <c r="F6" s="628"/>
      <c r="G6" s="628"/>
      <c r="H6" s="637"/>
      <c r="I6" s="628"/>
      <c r="J6" s="628"/>
      <c r="K6" s="628"/>
      <c r="L6" s="638" t="s">
        <v>22</v>
      </c>
      <c r="M6" s="628"/>
      <c r="N6" s="628"/>
      <c r="O6" s="628"/>
      <c r="P6" s="628"/>
      <c r="Q6" s="628"/>
      <c r="R6" s="628"/>
      <c r="S6" s="636"/>
      <c r="T6" s="639"/>
      <c r="U6" s="628"/>
      <c r="V6" s="628"/>
      <c r="W6" s="628"/>
      <c r="X6" s="628"/>
      <c r="Y6" s="628"/>
      <c r="Z6" s="628"/>
      <c r="AA6" s="636"/>
      <c r="AB6" s="640"/>
      <c r="AC6" s="641"/>
      <c r="AD6" s="641"/>
      <c r="AE6" s="641"/>
      <c r="AF6" s="641"/>
      <c r="AG6" s="642"/>
    </row>
    <row r="7" spans="1:35" ht="24.75" customHeight="1">
      <c r="A7" s="635" t="s">
        <v>23</v>
      </c>
      <c r="B7" s="628"/>
      <c r="C7" s="628"/>
      <c r="D7" s="628"/>
      <c r="E7" s="628"/>
      <c r="F7" s="628"/>
      <c r="G7" s="628"/>
      <c r="H7" s="628"/>
      <c r="I7" s="628"/>
      <c r="J7" s="628"/>
      <c r="K7" s="636"/>
      <c r="L7" s="19" t="s">
        <v>24</v>
      </c>
      <c r="M7" s="8"/>
      <c r="N7" s="8"/>
      <c r="O7" s="8"/>
      <c r="P7" s="8"/>
      <c r="Q7" s="8"/>
      <c r="R7" s="8"/>
      <c r="S7" s="8"/>
      <c r="T7" s="8"/>
      <c r="U7" s="628"/>
      <c r="V7" s="628"/>
      <c r="W7" s="628"/>
      <c r="X7" s="628"/>
      <c r="Y7" s="628"/>
      <c r="Z7" s="628"/>
      <c r="AA7" s="628"/>
      <c r="AB7" s="643"/>
      <c r="AC7" s="628"/>
      <c r="AD7" s="628"/>
      <c r="AE7" s="628"/>
      <c r="AF7" s="628"/>
      <c r="AG7" s="636"/>
    </row>
    <row r="8" spans="1:35" ht="24.75" customHeight="1">
      <c r="A8" s="14" t="s">
        <v>25</v>
      </c>
      <c r="L8" s="20"/>
      <c r="AB8" s="1"/>
    </row>
    <row r="9" spans="1:35" ht="24.75" customHeight="1">
      <c r="A9" s="14" t="s">
        <v>26</v>
      </c>
      <c r="L9" s="20"/>
      <c r="AB9" s="1"/>
    </row>
    <row r="10" spans="1:35" ht="24.75" customHeight="1">
      <c r="B10" s="21" t="s">
        <v>27</v>
      </c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</row>
    <row r="11" spans="1:35" ht="24.75" customHeight="1" thickBot="1">
      <c r="A11" s="644" t="s">
        <v>28</v>
      </c>
      <c r="B11" s="645" t="s">
        <v>29</v>
      </c>
      <c r="C11" s="646">
        <v>1</v>
      </c>
      <c r="D11" s="647">
        <v>2</v>
      </c>
      <c r="E11" s="647">
        <v>3</v>
      </c>
      <c r="F11" s="647">
        <v>4</v>
      </c>
      <c r="G11" s="647">
        <v>5</v>
      </c>
      <c r="H11" s="647">
        <v>6</v>
      </c>
      <c r="I11" s="646">
        <v>7</v>
      </c>
      <c r="J11" s="646">
        <v>8</v>
      </c>
      <c r="K11" s="647">
        <v>9</v>
      </c>
      <c r="L11" s="647">
        <v>10</v>
      </c>
      <c r="M11" s="647">
        <v>11</v>
      </c>
      <c r="N11" s="647">
        <v>12</v>
      </c>
      <c r="O11" s="647">
        <v>13</v>
      </c>
      <c r="P11" s="646">
        <v>14</v>
      </c>
      <c r="Q11" s="646">
        <v>15</v>
      </c>
      <c r="R11" s="647">
        <v>16</v>
      </c>
      <c r="S11" s="647">
        <v>17</v>
      </c>
      <c r="T11" s="647">
        <v>18</v>
      </c>
      <c r="U11" s="647">
        <v>19</v>
      </c>
      <c r="V11" s="647">
        <v>20</v>
      </c>
      <c r="W11" s="646">
        <v>21</v>
      </c>
      <c r="X11" s="646">
        <v>22</v>
      </c>
      <c r="Y11" s="647">
        <v>23</v>
      </c>
      <c r="Z11" s="647">
        <v>24</v>
      </c>
      <c r="AA11" s="647">
        <v>25</v>
      </c>
      <c r="AB11" s="647">
        <v>26</v>
      </c>
      <c r="AC11" s="647">
        <v>27</v>
      </c>
      <c r="AD11" s="646">
        <v>28</v>
      </c>
      <c r="AE11" s="646">
        <v>29</v>
      </c>
      <c r="AF11" s="647">
        <v>30</v>
      </c>
      <c r="AG11" s="648">
        <v>31</v>
      </c>
      <c r="AH11" s="23"/>
      <c r="AI11" s="24"/>
    </row>
    <row r="12" spans="1:35" ht="24.75" customHeight="1">
      <c r="A12" s="649">
        <v>8500</v>
      </c>
      <c r="B12" s="544" t="s">
        <v>30</v>
      </c>
      <c r="C12" s="542"/>
      <c r="D12" s="650" t="s">
        <v>31</v>
      </c>
      <c r="E12" s="650" t="s">
        <v>31</v>
      </c>
      <c r="F12" s="541" t="s">
        <v>31</v>
      </c>
      <c r="G12" s="541" t="s">
        <v>31</v>
      </c>
      <c r="H12" s="541" t="s">
        <v>31</v>
      </c>
      <c r="I12" s="542"/>
      <c r="J12" s="542"/>
      <c r="K12" s="542" t="s">
        <v>31</v>
      </c>
      <c r="L12" s="542" t="s">
        <v>31</v>
      </c>
      <c r="M12" s="542" t="s">
        <v>31</v>
      </c>
      <c r="N12" s="542" t="s">
        <v>31</v>
      </c>
      <c r="O12" s="542" t="s">
        <v>31</v>
      </c>
      <c r="P12" s="542"/>
      <c r="Q12" s="542"/>
      <c r="R12" s="542" t="s">
        <v>31</v>
      </c>
      <c r="S12" s="542" t="s">
        <v>31</v>
      </c>
      <c r="T12" s="542" t="s">
        <v>31</v>
      </c>
      <c r="U12" s="542" t="s">
        <v>31</v>
      </c>
      <c r="V12" s="542" t="s">
        <v>31</v>
      </c>
      <c r="W12" s="542"/>
      <c r="X12" s="542"/>
      <c r="Y12" s="545" t="s">
        <v>31</v>
      </c>
      <c r="Z12" s="545" t="s">
        <v>31</v>
      </c>
      <c r="AA12" s="545" t="s">
        <v>31</v>
      </c>
      <c r="AB12" s="545" t="s">
        <v>31</v>
      </c>
      <c r="AC12" s="545" t="s">
        <v>31</v>
      </c>
      <c r="AD12" s="542"/>
      <c r="AE12" s="542"/>
      <c r="AF12" s="542">
        <v>1</v>
      </c>
      <c r="AG12" s="543">
        <v>1</v>
      </c>
      <c r="AH12" s="25"/>
      <c r="AI12" s="25"/>
    </row>
    <row r="13" spans="1:35" ht="24.75" customHeight="1">
      <c r="A13" s="651" t="s">
        <v>32</v>
      </c>
      <c r="B13" s="652"/>
      <c r="C13" s="652"/>
      <c r="D13" s="652"/>
      <c r="E13" s="652"/>
      <c r="F13" s="652"/>
      <c r="G13" s="652"/>
      <c r="H13" s="652"/>
      <c r="I13" s="652"/>
      <c r="J13" s="652"/>
      <c r="K13" s="652"/>
      <c r="L13" s="652"/>
      <c r="M13" s="652"/>
      <c r="N13" s="652"/>
      <c r="O13" s="652"/>
      <c r="P13" s="652"/>
      <c r="Q13" s="652"/>
      <c r="R13" s="652"/>
      <c r="S13" s="652"/>
      <c r="T13" s="652"/>
      <c r="U13" s="652"/>
      <c r="V13" s="652"/>
      <c r="W13" s="652"/>
      <c r="X13" s="652"/>
      <c r="Y13" s="652"/>
      <c r="Z13" s="652"/>
      <c r="AA13" s="652"/>
      <c r="AB13" s="652"/>
      <c r="AC13" s="652"/>
      <c r="AD13" s="652"/>
      <c r="AE13" s="652"/>
      <c r="AF13" s="652"/>
      <c r="AG13" s="653"/>
      <c r="AH13" s="26"/>
      <c r="AI13" s="26"/>
    </row>
    <row r="14" spans="1:35" ht="24.75" customHeight="1" thickBot="1">
      <c r="A14" s="27">
        <v>8546</v>
      </c>
      <c r="B14" s="654" t="s">
        <v>33</v>
      </c>
      <c r="C14" s="655"/>
      <c r="D14" s="656">
        <v>2</v>
      </c>
      <c r="E14" s="657">
        <v>2</v>
      </c>
      <c r="F14" s="658">
        <v>2</v>
      </c>
      <c r="G14" s="657">
        <v>2</v>
      </c>
      <c r="H14" s="657">
        <v>2</v>
      </c>
      <c r="I14" s="657" t="s">
        <v>34</v>
      </c>
      <c r="J14" s="657" t="s">
        <v>34</v>
      </c>
      <c r="K14" s="655" t="s">
        <v>35</v>
      </c>
      <c r="L14" s="657" t="s">
        <v>35</v>
      </c>
      <c r="M14" s="657" t="s">
        <v>35</v>
      </c>
      <c r="N14" s="657" t="s">
        <v>35</v>
      </c>
      <c r="O14" s="657" t="s">
        <v>35</v>
      </c>
      <c r="P14" s="657"/>
      <c r="Q14" s="657"/>
      <c r="R14" s="657">
        <v>4</v>
      </c>
      <c r="S14" s="658">
        <v>4</v>
      </c>
      <c r="T14" s="658">
        <v>4</v>
      </c>
      <c r="U14" s="657">
        <v>4</v>
      </c>
      <c r="V14" s="657">
        <v>4</v>
      </c>
      <c r="W14" s="657" t="s">
        <v>36</v>
      </c>
      <c r="X14" s="657" t="s">
        <v>36</v>
      </c>
      <c r="Y14" s="657" t="s">
        <v>35</v>
      </c>
      <c r="Z14" s="657" t="s">
        <v>35</v>
      </c>
      <c r="AA14" s="657" t="s">
        <v>35</v>
      </c>
      <c r="AB14" s="657" t="s">
        <v>35</v>
      </c>
      <c r="AC14" s="657" t="s">
        <v>35</v>
      </c>
      <c r="AD14" s="656"/>
      <c r="AE14" s="657"/>
      <c r="AF14" s="659">
        <v>1</v>
      </c>
      <c r="AG14" s="660">
        <v>1</v>
      </c>
      <c r="AH14" s="25"/>
      <c r="AI14" s="25"/>
    </row>
    <row r="15" spans="1:35" ht="24.75" customHeight="1">
      <c r="A15" s="661">
        <v>8546</v>
      </c>
      <c r="B15" s="547" t="s">
        <v>37</v>
      </c>
      <c r="C15" s="655"/>
      <c r="D15" s="657">
        <v>1</v>
      </c>
      <c r="E15" s="657">
        <v>1</v>
      </c>
      <c r="F15" s="656">
        <v>1</v>
      </c>
      <c r="G15" s="656">
        <v>1</v>
      </c>
      <c r="H15" s="656">
        <v>1</v>
      </c>
      <c r="I15" s="657"/>
      <c r="J15" s="655"/>
      <c r="K15" s="656">
        <v>2</v>
      </c>
      <c r="L15" s="657">
        <v>2</v>
      </c>
      <c r="M15" s="657">
        <v>2</v>
      </c>
      <c r="N15" s="657">
        <v>2</v>
      </c>
      <c r="O15" s="657">
        <v>2</v>
      </c>
      <c r="P15" s="657" t="s">
        <v>34</v>
      </c>
      <c r="Q15" s="657" t="s">
        <v>34</v>
      </c>
      <c r="R15" s="657" t="s">
        <v>35</v>
      </c>
      <c r="S15" s="657" t="s">
        <v>35</v>
      </c>
      <c r="T15" s="657" t="s">
        <v>35</v>
      </c>
      <c r="U15" s="657" t="s">
        <v>35</v>
      </c>
      <c r="V15" s="657" t="s">
        <v>35</v>
      </c>
      <c r="W15" s="657"/>
      <c r="X15" s="657"/>
      <c r="Y15" s="657">
        <v>4</v>
      </c>
      <c r="Z15" s="657">
        <v>4</v>
      </c>
      <c r="AA15" s="657">
        <v>4</v>
      </c>
      <c r="AB15" s="657">
        <v>4</v>
      </c>
      <c r="AC15" s="657">
        <v>4</v>
      </c>
      <c r="AD15" s="657" t="s">
        <v>36</v>
      </c>
      <c r="AE15" s="657" t="s">
        <v>36</v>
      </c>
      <c r="AF15" s="657" t="s">
        <v>35</v>
      </c>
      <c r="AG15" s="662" t="s">
        <v>35</v>
      </c>
      <c r="AH15" s="25"/>
      <c r="AI15" s="25"/>
    </row>
    <row r="16" spans="1:35" ht="24.75" customHeight="1">
      <c r="A16" s="661">
        <v>8546</v>
      </c>
      <c r="B16" s="654" t="s">
        <v>38</v>
      </c>
      <c r="C16" s="657"/>
      <c r="D16" s="657">
        <v>4</v>
      </c>
      <c r="E16" s="657">
        <v>4</v>
      </c>
      <c r="F16" s="657">
        <v>4</v>
      </c>
      <c r="G16" s="657">
        <v>4</v>
      </c>
      <c r="H16" s="657">
        <v>4</v>
      </c>
      <c r="I16" s="657" t="s">
        <v>36</v>
      </c>
      <c r="J16" s="657" t="s">
        <v>36</v>
      </c>
      <c r="K16" s="657" t="s">
        <v>35</v>
      </c>
      <c r="L16" s="657" t="s">
        <v>35</v>
      </c>
      <c r="M16" s="657" t="s">
        <v>35</v>
      </c>
      <c r="N16" s="656" t="s">
        <v>35</v>
      </c>
      <c r="O16" s="656" t="s">
        <v>35</v>
      </c>
      <c r="P16" s="656"/>
      <c r="Q16" s="656"/>
      <c r="R16" s="656">
        <v>1</v>
      </c>
      <c r="S16" s="657">
        <v>1</v>
      </c>
      <c r="T16" s="657">
        <v>1</v>
      </c>
      <c r="U16" s="657">
        <v>1</v>
      </c>
      <c r="V16" s="657">
        <v>1</v>
      </c>
      <c r="W16" s="655"/>
      <c r="X16" s="657"/>
      <c r="Y16" s="656">
        <v>2</v>
      </c>
      <c r="Z16" s="656">
        <v>2</v>
      </c>
      <c r="AA16" s="656">
        <v>2</v>
      </c>
      <c r="AB16" s="656">
        <v>2</v>
      </c>
      <c r="AC16" s="656">
        <v>2</v>
      </c>
      <c r="AD16" s="657" t="s">
        <v>34</v>
      </c>
      <c r="AE16" s="657" t="s">
        <v>34</v>
      </c>
      <c r="AF16" s="657" t="s">
        <v>35</v>
      </c>
      <c r="AG16" s="662" t="s">
        <v>35</v>
      </c>
      <c r="AH16" s="25"/>
      <c r="AI16" s="25"/>
    </row>
    <row r="17" spans="1:35" ht="24.75" customHeight="1">
      <c r="A17" s="661">
        <v>8546</v>
      </c>
      <c r="B17" s="663" t="s">
        <v>39</v>
      </c>
      <c r="C17" s="657" t="s">
        <v>34</v>
      </c>
      <c r="D17" s="655" t="s">
        <v>35</v>
      </c>
      <c r="E17" s="657" t="s">
        <v>35</v>
      </c>
      <c r="F17" s="656" t="s">
        <v>35</v>
      </c>
      <c r="G17" s="657" t="s">
        <v>35</v>
      </c>
      <c r="H17" s="657" t="s">
        <v>35</v>
      </c>
      <c r="I17" s="657"/>
      <c r="J17" s="657"/>
      <c r="K17" s="657">
        <v>4</v>
      </c>
      <c r="L17" s="657">
        <v>4</v>
      </c>
      <c r="M17" s="657">
        <v>4</v>
      </c>
      <c r="N17" s="657">
        <v>4</v>
      </c>
      <c r="O17" s="657">
        <v>4</v>
      </c>
      <c r="P17" s="657" t="s">
        <v>36</v>
      </c>
      <c r="Q17" s="657" t="s">
        <v>36</v>
      </c>
      <c r="R17" s="657" t="s">
        <v>35</v>
      </c>
      <c r="S17" s="657" t="s">
        <v>35</v>
      </c>
      <c r="T17" s="657" t="s">
        <v>35</v>
      </c>
      <c r="U17" s="657" t="s">
        <v>35</v>
      </c>
      <c r="V17" s="657" t="s">
        <v>35</v>
      </c>
      <c r="W17" s="657"/>
      <c r="X17" s="655"/>
      <c r="Y17" s="657">
        <v>1</v>
      </c>
      <c r="Z17" s="657">
        <v>1</v>
      </c>
      <c r="AA17" s="657">
        <v>1</v>
      </c>
      <c r="AB17" s="657">
        <v>1</v>
      </c>
      <c r="AC17" s="657">
        <v>1</v>
      </c>
      <c r="AD17" s="657"/>
      <c r="AE17" s="657"/>
      <c r="AF17" s="657">
        <v>2</v>
      </c>
      <c r="AG17" s="662">
        <v>2</v>
      </c>
      <c r="AH17" s="25"/>
      <c r="AI17" s="25"/>
    </row>
    <row r="18" spans="1:35" ht="24.75" customHeight="1">
      <c r="A18" s="661">
        <v>8546</v>
      </c>
      <c r="B18" s="654" t="s">
        <v>40</v>
      </c>
      <c r="C18" s="659" t="s">
        <v>36</v>
      </c>
      <c r="D18" s="655" t="s">
        <v>35</v>
      </c>
      <c r="E18" s="657" t="s">
        <v>35</v>
      </c>
      <c r="F18" s="657" t="s">
        <v>35</v>
      </c>
      <c r="G18" s="657" t="s">
        <v>35</v>
      </c>
      <c r="H18" s="657" t="s">
        <v>35</v>
      </c>
      <c r="I18" s="657"/>
      <c r="J18" s="656"/>
      <c r="K18" s="656">
        <v>1</v>
      </c>
      <c r="L18" s="657">
        <v>1</v>
      </c>
      <c r="M18" s="656">
        <v>1</v>
      </c>
      <c r="N18" s="656">
        <v>1</v>
      </c>
      <c r="O18" s="664">
        <v>1</v>
      </c>
      <c r="P18" s="657"/>
      <c r="Q18" s="657"/>
      <c r="R18" s="657">
        <v>2</v>
      </c>
      <c r="S18" s="657">
        <v>2</v>
      </c>
      <c r="T18" s="657">
        <v>2</v>
      </c>
      <c r="U18" s="656">
        <v>2</v>
      </c>
      <c r="V18" s="656">
        <v>2</v>
      </c>
      <c r="W18" s="657" t="s">
        <v>34</v>
      </c>
      <c r="X18" s="665" t="s">
        <v>34</v>
      </c>
      <c r="Y18" s="657" t="s">
        <v>35</v>
      </c>
      <c r="Z18" s="657" t="s">
        <v>35</v>
      </c>
      <c r="AA18" s="657" t="s">
        <v>35</v>
      </c>
      <c r="AB18" s="657" t="s">
        <v>35</v>
      </c>
      <c r="AC18" s="666" t="s">
        <v>35</v>
      </c>
      <c r="AD18" s="657"/>
      <c r="AE18" s="657"/>
      <c r="AF18" s="657">
        <v>4</v>
      </c>
      <c r="AG18" s="662">
        <v>4</v>
      </c>
      <c r="AH18" s="25"/>
      <c r="AI18" s="25"/>
    </row>
    <row r="19" spans="1:35" ht="24.75" customHeight="1" thickBot="1">
      <c r="A19" s="667" t="s">
        <v>41</v>
      </c>
      <c r="B19" s="668"/>
      <c r="C19" s="669"/>
      <c r="D19" s="669"/>
      <c r="E19" s="669"/>
      <c r="F19" s="669"/>
      <c r="G19" s="669"/>
      <c r="H19" s="669"/>
      <c r="I19" s="669"/>
      <c r="J19" s="669"/>
      <c r="K19" s="669"/>
      <c r="L19" s="669"/>
      <c r="M19" s="669"/>
      <c r="N19" s="669"/>
      <c r="O19" s="669"/>
      <c r="P19" s="669"/>
      <c r="Q19" s="669"/>
      <c r="R19" s="669"/>
      <c r="S19" s="669"/>
      <c r="T19" s="669"/>
      <c r="U19" s="669"/>
      <c r="V19" s="669"/>
      <c r="W19" s="669"/>
      <c r="X19" s="669"/>
      <c r="Y19" s="669"/>
      <c r="Z19" s="669"/>
      <c r="AA19" s="669"/>
      <c r="AB19" s="669"/>
      <c r="AC19" s="669"/>
      <c r="AD19" s="669"/>
      <c r="AE19" s="669"/>
      <c r="AF19" s="669"/>
      <c r="AG19" s="670"/>
      <c r="AH19" s="26"/>
      <c r="AI19" s="26"/>
    </row>
    <row r="20" spans="1:35" ht="24.75" customHeight="1">
      <c r="A20" s="546">
        <v>8500</v>
      </c>
      <c r="B20" s="547"/>
      <c r="C20" s="548"/>
      <c r="D20" s="548"/>
      <c r="E20" s="548"/>
      <c r="F20" s="671" t="s">
        <v>31</v>
      </c>
      <c r="G20" s="548"/>
      <c r="H20" s="548"/>
      <c r="I20" s="672"/>
      <c r="J20" s="548"/>
      <c r="K20" s="548"/>
      <c r="L20" s="548"/>
      <c r="M20" s="548"/>
      <c r="N20" s="548"/>
      <c r="O20" s="548"/>
      <c r="P20" s="548"/>
      <c r="Q20" s="548"/>
      <c r="R20" s="548"/>
      <c r="S20" s="548"/>
      <c r="T20" s="548"/>
      <c r="U20" s="672"/>
      <c r="V20" s="672"/>
      <c r="W20" s="548"/>
      <c r="X20" s="548"/>
      <c r="Y20" s="548"/>
      <c r="Z20" s="673"/>
      <c r="AA20" s="673"/>
      <c r="AB20" s="672"/>
      <c r="AC20" s="672"/>
      <c r="AD20" s="672"/>
      <c r="AE20" s="672"/>
      <c r="AF20" s="672"/>
      <c r="AG20" s="501"/>
      <c r="AH20" s="25"/>
      <c r="AI20" s="25"/>
    </row>
    <row r="21" spans="1:35" ht="24.75" customHeight="1">
      <c r="A21" s="674">
        <v>8500</v>
      </c>
      <c r="B21" s="675" t="s">
        <v>42</v>
      </c>
      <c r="C21" s="676" t="s">
        <v>36</v>
      </c>
      <c r="D21" s="677" t="s">
        <v>31</v>
      </c>
      <c r="E21" s="678" t="s">
        <v>31</v>
      </c>
      <c r="G21" s="671" t="s">
        <v>31</v>
      </c>
      <c r="H21" s="679" t="s">
        <v>31</v>
      </c>
      <c r="I21" s="679"/>
      <c r="J21" s="671"/>
      <c r="K21" s="680" t="s">
        <v>31</v>
      </c>
      <c r="L21" s="678" t="s">
        <v>31</v>
      </c>
      <c r="M21" s="671" t="s">
        <v>31</v>
      </c>
      <c r="N21" s="679" t="s">
        <v>31</v>
      </c>
      <c r="O21" s="671" t="s">
        <v>31</v>
      </c>
      <c r="P21" s="671"/>
      <c r="Q21" s="671"/>
      <c r="R21" s="680" t="s">
        <v>31</v>
      </c>
      <c r="S21" s="671" t="s">
        <v>31</v>
      </c>
      <c r="T21" s="671" t="s">
        <v>31</v>
      </c>
      <c r="U21" s="681" t="s">
        <v>31</v>
      </c>
      <c r="V21" s="681" t="s">
        <v>31</v>
      </c>
      <c r="W21" s="671"/>
      <c r="X21" s="671"/>
      <c r="Y21" s="680" t="s">
        <v>31</v>
      </c>
      <c r="Z21" s="671" t="s">
        <v>31</v>
      </c>
      <c r="AA21" s="682" t="s">
        <v>31</v>
      </c>
      <c r="AB21" s="671" t="s">
        <v>31</v>
      </c>
      <c r="AC21" s="671" t="s">
        <v>31</v>
      </c>
      <c r="AD21" s="671"/>
      <c r="AE21" s="679"/>
      <c r="AF21" s="679">
        <v>1</v>
      </c>
      <c r="AG21" s="683">
        <v>1</v>
      </c>
      <c r="AH21" s="25"/>
      <c r="AI21" s="25"/>
    </row>
    <row r="22" spans="1:35" ht="24.75" customHeight="1" thickBot="1">
      <c r="A22" s="674">
        <v>8500</v>
      </c>
      <c r="B22" s="684" t="s">
        <v>43</v>
      </c>
      <c r="C22" s="671" t="s">
        <v>0</v>
      </c>
      <c r="D22" s="680" t="s">
        <v>31</v>
      </c>
      <c r="E22" s="680" t="s">
        <v>31</v>
      </c>
      <c r="F22" s="680" t="s">
        <v>31</v>
      </c>
      <c r="G22" s="680" t="s">
        <v>31</v>
      </c>
      <c r="H22" s="680" t="s">
        <v>31</v>
      </c>
      <c r="I22" s="671"/>
      <c r="J22" s="671"/>
      <c r="K22" s="680" t="s">
        <v>31</v>
      </c>
      <c r="L22" s="680" t="s">
        <v>31</v>
      </c>
      <c r="M22" s="680" t="s">
        <v>31</v>
      </c>
      <c r="N22" s="680" t="s">
        <v>31</v>
      </c>
      <c r="O22" s="680">
        <v>1</v>
      </c>
      <c r="P22" s="681"/>
      <c r="Q22" s="681"/>
      <c r="R22" s="679" t="s">
        <v>44</v>
      </c>
      <c r="S22" s="657" t="s">
        <v>35</v>
      </c>
      <c r="T22" s="680" t="s">
        <v>31</v>
      </c>
      <c r="U22" s="680" t="s">
        <v>31</v>
      </c>
      <c r="V22" s="680" t="s">
        <v>31</v>
      </c>
      <c r="W22" s="681" t="s">
        <v>45</v>
      </c>
      <c r="X22" s="681" t="s">
        <v>45</v>
      </c>
      <c r="Y22" s="685" t="s">
        <v>31</v>
      </c>
      <c r="Z22" s="686" t="s">
        <v>31</v>
      </c>
      <c r="AA22" s="686" t="s">
        <v>31</v>
      </c>
      <c r="AB22" s="686" t="s">
        <v>31</v>
      </c>
      <c r="AC22" s="686" t="s">
        <v>31</v>
      </c>
      <c r="AD22" s="687"/>
      <c r="AE22" s="686"/>
      <c r="AF22" s="687" t="s">
        <v>31</v>
      </c>
      <c r="AG22" s="688" t="s">
        <v>31</v>
      </c>
      <c r="AH22" s="25"/>
      <c r="AI22" s="25"/>
    </row>
    <row r="23" spans="1:35" ht="24.75" customHeight="1">
      <c r="A23" s="674"/>
      <c r="B23" s="689" t="s">
        <v>46</v>
      </c>
      <c r="C23" s="679"/>
      <c r="D23" s="680" t="s">
        <v>31</v>
      </c>
      <c r="E23" s="680" t="s">
        <v>31</v>
      </c>
      <c r="F23" s="680" t="s">
        <v>31</v>
      </c>
      <c r="G23" s="680" t="s">
        <v>31</v>
      </c>
      <c r="H23" s="671" t="s">
        <v>31</v>
      </c>
      <c r="I23" s="679"/>
      <c r="J23" s="679"/>
      <c r="K23" s="690" t="s">
        <v>31</v>
      </c>
      <c r="L23" s="690" t="s">
        <v>31</v>
      </c>
      <c r="M23" s="690" t="s">
        <v>31</v>
      </c>
      <c r="N23" s="690" t="s">
        <v>31</v>
      </c>
      <c r="O23" s="690" t="s">
        <v>31</v>
      </c>
      <c r="P23" s="690"/>
      <c r="Q23" s="690"/>
      <c r="R23" s="680">
        <v>1</v>
      </c>
      <c r="S23" s="680">
        <v>1</v>
      </c>
      <c r="T23" s="680">
        <v>1</v>
      </c>
      <c r="U23" s="680">
        <v>1</v>
      </c>
      <c r="V23" s="680">
        <v>1</v>
      </c>
      <c r="W23" s="679"/>
      <c r="X23" s="679"/>
      <c r="Y23" s="656">
        <v>2</v>
      </c>
      <c r="Z23" s="656">
        <v>2</v>
      </c>
      <c r="AA23" s="656">
        <v>2</v>
      </c>
      <c r="AB23" s="656">
        <v>2</v>
      </c>
      <c r="AC23" s="656">
        <v>2</v>
      </c>
      <c r="AD23" s="657" t="s">
        <v>34</v>
      </c>
      <c r="AE23" s="657" t="s">
        <v>34</v>
      </c>
      <c r="AF23" s="680" t="s">
        <v>35</v>
      </c>
      <c r="AG23" s="680" t="s">
        <v>35</v>
      </c>
    </row>
    <row r="24" spans="1:35" ht="24.75" customHeight="1" thickBot="1">
      <c r="A24" s="691"/>
      <c r="B24" s="692"/>
      <c r="C24" s="693"/>
      <c r="D24" s="693"/>
      <c r="E24" s="693"/>
      <c r="F24" s="693"/>
      <c r="G24" s="693" t="s">
        <v>0</v>
      </c>
      <c r="H24" s="693"/>
      <c r="I24" s="693"/>
      <c r="J24" s="693"/>
      <c r="K24" s="693"/>
      <c r="L24" s="693" t="s">
        <v>0</v>
      </c>
      <c r="M24" s="693"/>
      <c r="N24" s="693" t="s">
        <v>0</v>
      </c>
      <c r="O24" s="693" t="s">
        <v>0</v>
      </c>
      <c r="P24" s="693"/>
      <c r="Q24" s="693"/>
      <c r="R24" s="693"/>
      <c r="S24" s="693"/>
      <c r="T24" s="693"/>
      <c r="U24" s="693" t="s">
        <v>0</v>
      </c>
      <c r="V24" s="693"/>
      <c r="W24" s="693"/>
      <c r="X24" s="693"/>
      <c r="Y24" s="693"/>
      <c r="Z24" s="693"/>
      <c r="AA24" s="693"/>
      <c r="AB24" s="693"/>
      <c r="AC24" s="693"/>
      <c r="AD24" s="693"/>
      <c r="AE24" s="693"/>
      <c r="AF24" s="693"/>
      <c r="AG24" s="28"/>
    </row>
    <row r="25" spans="1:35" ht="24.75" customHeight="1" thickBot="1">
      <c r="A25" s="29"/>
      <c r="D25" t="s">
        <v>47</v>
      </c>
      <c r="E25" t="s">
        <v>0</v>
      </c>
      <c r="G25" t="s">
        <v>47</v>
      </c>
      <c r="K25" t="s">
        <v>0</v>
      </c>
      <c r="L25" t="s">
        <v>0</v>
      </c>
      <c r="M25" t="s">
        <v>0</v>
      </c>
      <c r="N25" t="s">
        <v>0</v>
      </c>
      <c r="O25" t="s">
        <v>0</v>
      </c>
      <c r="Y25" s="577" t="s">
        <v>48</v>
      </c>
      <c r="Z25" s="577" t="s">
        <v>48</v>
      </c>
      <c r="AA25" s="577" t="s">
        <v>48</v>
      </c>
      <c r="AB25" s="577" t="s">
        <v>48</v>
      </c>
      <c r="AC25" s="577" t="s">
        <v>48</v>
      </c>
      <c r="AD25" s="577" t="s">
        <v>48</v>
      </c>
      <c r="AE25" s="577" t="s">
        <v>48</v>
      </c>
      <c r="AF25" s="694" t="s">
        <v>0</v>
      </c>
      <c r="AG25" s="647" t="s">
        <v>0</v>
      </c>
    </row>
    <row r="26" spans="1:35" ht="24.75" customHeight="1">
      <c r="A26" s="29"/>
      <c r="D26" t="s">
        <v>0</v>
      </c>
      <c r="O26" t="s">
        <v>0</v>
      </c>
      <c r="Y26" t="s">
        <v>0</v>
      </c>
      <c r="Z26" t="s">
        <v>0</v>
      </c>
      <c r="AA26" t="s">
        <v>0</v>
      </c>
      <c r="AB26" t="s">
        <v>0</v>
      </c>
      <c r="AC26" t="s">
        <v>0</v>
      </c>
    </row>
    <row r="27" spans="1:35" ht="24.75" customHeight="1">
      <c r="A27" s="29"/>
      <c r="AB27" s="679" t="s">
        <v>0</v>
      </c>
      <c r="AC27" s="679" t="s">
        <v>0</v>
      </c>
      <c r="AE27" s="679" t="s">
        <v>0</v>
      </c>
    </row>
    <row r="28" spans="1:35" ht="24.75" customHeight="1">
      <c r="A28" s="29"/>
      <c r="AA28" s="679" t="s">
        <v>0</v>
      </c>
      <c r="AB28" s="679" t="s">
        <v>0</v>
      </c>
      <c r="AE28" s="679" t="s">
        <v>44</v>
      </c>
    </row>
    <row r="29" spans="1:35" ht="24.75" customHeight="1">
      <c r="A29" s="29"/>
    </row>
    <row r="30" spans="1:35" ht="24.75" customHeight="1" thickBot="1">
      <c r="A30" s="14" t="s">
        <v>49</v>
      </c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</row>
    <row r="31" spans="1:35" ht="24.75" customHeight="1">
      <c r="A31" s="695" t="s">
        <v>50</v>
      </c>
      <c r="B31" s="696"/>
      <c r="C31" s="696"/>
      <c r="D31" s="697" t="s">
        <v>51</v>
      </c>
      <c r="E31" s="698"/>
      <c r="F31" s="698"/>
      <c r="G31" s="698"/>
      <c r="H31" s="698"/>
      <c r="I31" s="698"/>
      <c r="J31" s="698"/>
      <c r="K31" s="698"/>
      <c r="L31" s="698"/>
      <c r="M31" s="699" t="s">
        <v>52</v>
      </c>
      <c r="N31" s="698"/>
      <c r="O31" s="698"/>
      <c r="P31" s="698"/>
      <c r="Q31" s="698"/>
      <c r="R31" s="698"/>
      <c r="S31" s="700"/>
      <c r="T31" s="701" t="s">
        <v>53</v>
      </c>
      <c r="U31" s="702"/>
      <c r="V31" s="702"/>
      <c r="W31" s="702"/>
      <c r="X31" s="702"/>
      <c r="Y31" s="702"/>
      <c r="Z31" s="703"/>
      <c r="AA31" s="704" t="s">
        <v>54</v>
      </c>
      <c r="AB31" s="705"/>
      <c r="AC31" s="705"/>
      <c r="AD31" s="705"/>
      <c r="AE31" s="705"/>
      <c r="AF31" s="705"/>
      <c r="AG31" s="706"/>
    </row>
    <row r="32" spans="1:35" ht="24.75" customHeight="1">
      <c r="A32" s="707" t="s">
        <v>55</v>
      </c>
      <c r="B32" s="641"/>
      <c r="C32" s="641"/>
      <c r="D32" s="708" t="s">
        <v>56</v>
      </c>
      <c r="E32" s="709"/>
      <c r="F32" s="628"/>
      <c r="G32" s="628"/>
      <c r="H32" s="628"/>
      <c r="I32" s="628"/>
      <c r="J32" s="628"/>
      <c r="K32" s="628"/>
      <c r="L32" s="636"/>
      <c r="M32" s="710" t="s">
        <v>57</v>
      </c>
      <c r="N32" s="641"/>
      <c r="O32" s="711"/>
      <c r="P32" s="641"/>
      <c r="Q32" s="641"/>
      <c r="R32" s="641"/>
      <c r="S32" s="712"/>
      <c r="T32" s="708" t="s">
        <v>58</v>
      </c>
      <c r="U32" s="628"/>
      <c r="V32" s="709"/>
      <c r="W32" s="628"/>
      <c r="X32" s="628"/>
      <c r="Y32" s="628"/>
      <c r="Z32" s="636"/>
      <c r="AA32" s="31" t="s">
        <v>59</v>
      </c>
      <c r="AD32" s="20"/>
      <c r="AG32" s="32"/>
    </row>
    <row r="33" spans="1:35" ht="24.75" customHeight="1">
      <c r="A33" s="713" t="s">
        <v>60</v>
      </c>
      <c r="B33" s="628"/>
      <c r="C33" s="628"/>
      <c r="D33" s="714"/>
      <c r="E33" s="628"/>
      <c r="F33" s="628"/>
      <c r="G33" s="636"/>
      <c r="H33" s="643" t="s">
        <v>61</v>
      </c>
      <c r="I33" s="628"/>
      <c r="J33" s="628"/>
      <c r="K33" s="628"/>
      <c r="L33" s="628"/>
      <c r="M33" s="715"/>
      <c r="N33" s="628"/>
      <c r="O33" s="628"/>
      <c r="P33" s="628"/>
      <c r="Q33" s="628"/>
      <c r="R33" s="628"/>
      <c r="S33" s="628"/>
      <c r="T33" s="714"/>
      <c r="U33" s="14" t="s">
        <v>62</v>
      </c>
      <c r="AA33" s="711"/>
      <c r="AB33" s="641"/>
      <c r="AC33" s="641"/>
      <c r="AD33" s="641"/>
      <c r="AE33" s="641"/>
      <c r="AF33" s="641"/>
      <c r="AG33" s="716"/>
    </row>
    <row r="34" spans="1:35" ht="24.75" customHeight="1" thickBot="1">
      <c r="A34" s="717" t="s">
        <v>63</v>
      </c>
      <c r="B34" s="718"/>
      <c r="C34" s="718"/>
      <c r="D34" s="719"/>
      <c r="E34" s="718"/>
      <c r="F34" s="718"/>
      <c r="G34" s="720"/>
      <c r="H34" s="721" t="s">
        <v>64</v>
      </c>
      <c r="I34" s="720"/>
      <c r="J34" s="718"/>
      <c r="K34" s="718"/>
      <c r="L34" s="718"/>
      <c r="M34" s="722"/>
      <c r="N34" s="718"/>
      <c r="O34" s="718"/>
      <c r="P34" s="718"/>
      <c r="Q34" s="723"/>
      <c r="R34" s="723"/>
      <c r="S34" s="723"/>
      <c r="T34" s="719"/>
      <c r="U34" s="724" t="s">
        <v>65</v>
      </c>
      <c r="V34" s="718"/>
      <c r="W34" s="718"/>
      <c r="X34" s="718"/>
      <c r="Y34" s="718"/>
      <c r="Z34" s="718"/>
      <c r="AA34" s="718"/>
      <c r="AB34" s="718"/>
      <c r="AC34" s="718"/>
      <c r="AD34" s="718"/>
      <c r="AE34" s="718"/>
      <c r="AF34" s="718"/>
      <c r="AG34" s="725"/>
    </row>
    <row r="35" spans="1:35" ht="24.75" customHeight="1">
      <c r="B35" s="33" t="s">
        <v>27</v>
      </c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"/>
    </row>
    <row r="36" spans="1:35" ht="24.75" customHeight="1" thickBot="1">
      <c r="A36" s="726" t="s">
        <v>28</v>
      </c>
      <c r="B36" s="727" t="s">
        <v>29</v>
      </c>
      <c r="C36" s="646">
        <v>1</v>
      </c>
      <c r="D36" s="647">
        <v>2</v>
      </c>
      <c r="E36" s="647">
        <v>3</v>
      </c>
      <c r="F36" s="647">
        <v>4</v>
      </c>
      <c r="G36" s="647">
        <v>5</v>
      </c>
      <c r="H36" s="647">
        <v>6</v>
      </c>
      <c r="I36" s="646">
        <v>7</v>
      </c>
      <c r="J36" s="646">
        <v>8</v>
      </c>
      <c r="K36" s="647">
        <v>9</v>
      </c>
      <c r="L36" s="647">
        <v>10</v>
      </c>
      <c r="M36" s="647">
        <v>11</v>
      </c>
      <c r="N36" s="647">
        <v>12</v>
      </c>
      <c r="O36" s="647">
        <v>13</v>
      </c>
      <c r="P36" s="646">
        <v>14</v>
      </c>
      <c r="Q36" s="646">
        <v>15</v>
      </c>
      <c r="R36" s="647">
        <v>16</v>
      </c>
      <c r="S36" s="647">
        <v>17</v>
      </c>
      <c r="T36" s="647">
        <v>18</v>
      </c>
      <c r="U36" s="647">
        <v>19</v>
      </c>
      <c r="V36" s="647">
        <v>20</v>
      </c>
      <c r="W36" s="646">
        <v>21</v>
      </c>
      <c r="X36" s="646">
        <v>22</v>
      </c>
      <c r="Y36" s="647">
        <v>23</v>
      </c>
      <c r="Z36" s="647">
        <v>24</v>
      </c>
      <c r="AA36" s="647">
        <v>25</v>
      </c>
      <c r="AB36" s="647">
        <v>26</v>
      </c>
      <c r="AC36" s="647">
        <v>27</v>
      </c>
      <c r="AD36" s="646">
        <v>28</v>
      </c>
      <c r="AE36" s="646">
        <v>29</v>
      </c>
      <c r="AF36" s="647">
        <v>30</v>
      </c>
      <c r="AG36" s="648">
        <v>31</v>
      </c>
      <c r="AH36" s="23"/>
      <c r="AI36" s="24"/>
    </row>
    <row r="37" spans="1:35" ht="24.75" customHeight="1">
      <c r="A37" s="728">
        <v>1</v>
      </c>
      <c r="B37" s="689" t="s">
        <v>66</v>
      </c>
      <c r="C37" s="729" t="s">
        <v>67</v>
      </c>
      <c r="D37" s="542">
        <v>7</v>
      </c>
      <c r="E37" s="472">
        <v>7</v>
      </c>
      <c r="F37" s="472">
        <v>7</v>
      </c>
      <c r="G37" s="472">
        <v>7</v>
      </c>
      <c r="H37" s="730">
        <v>7</v>
      </c>
      <c r="I37" s="472"/>
      <c r="J37" s="542"/>
      <c r="K37" s="472">
        <v>4</v>
      </c>
      <c r="L37" s="731">
        <v>4</v>
      </c>
      <c r="M37" s="472">
        <v>4</v>
      </c>
      <c r="N37" s="472">
        <v>4</v>
      </c>
      <c r="O37" s="542">
        <v>4</v>
      </c>
      <c r="P37" s="472"/>
      <c r="Q37" s="471"/>
      <c r="R37" s="732">
        <v>3</v>
      </c>
      <c r="S37" s="729">
        <v>3</v>
      </c>
      <c r="T37" s="729">
        <v>3</v>
      </c>
      <c r="U37" s="729">
        <v>3</v>
      </c>
      <c r="V37" s="729">
        <v>3</v>
      </c>
      <c r="W37" s="729"/>
      <c r="X37" s="733"/>
      <c r="Y37" s="471">
        <v>11</v>
      </c>
      <c r="Z37" s="472">
        <v>11</v>
      </c>
      <c r="AA37" s="472">
        <v>11</v>
      </c>
      <c r="AB37" s="471">
        <v>11</v>
      </c>
      <c r="AC37" s="471">
        <v>11</v>
      </c>
      <c r="AD37" s="471" t="s">
        <v>68</v>
      </c>
      <c r="AE37" s="472" t="s">
        <v>68</v>
      </c>
      <c r="AF37" s="472" t="s">
        <v>35</v>
      </c>
      <c r="AG37" s="734" t="s">
        <v>35</v>
      </c>
      <c r="AH37" s="34"/>
      <c r="AI37" s="25"/>
    </row>
    <row r="38" spans="1:35" ht="24.75" customHeight="1">
      <c r="A38" s="735">
        <v>6</v>
      </c>
      <c r="B38" s="507"/>
      <c r="C38" s="575" t="s">
        <v>69</v>
      </c>
      <c r="D38" s="575">
        <v>8</v>
      </c>
      <c r="E38" s="575">
        <v>8</v>
      </c>
      <c r="F38" s="575">
        <v>8</v>
      </c>
      <c r="G38" s="575">
        <v>8</v>
      </c>
      <c r="H38" s="575">
        <v>8</v>
      </c>
      <c r="I38" s="575"/>
      <c r="J38" s="575"/>
      <c r="K38" s="575" t="s">
        <v>35</v>
      </c>
      <c r="L38" s="575" t="s">
        <v>35</v>
      </c>
      <c r="M38" s="575" t="s">
        <v>35</v>
      </c>
      <c r="N38" s="575" t="s">
        <v>35</v>
      </c>
      <c r="O38" s="575" t="s">
        <v>35</v>
      </c>
      <c r="P38" s="575"/>
      <c r="Q38" s="575"/>
      <c r="R38" s="575">
        <v>1</v>
      </c>
      <c r="S38" s="575">
        <v>1</v>
      </c>
      <c r="T38" s="575">
        <v>1</v>
      </c>
      <c r="U38" s="575">
        <v>1</v>
      </c>
      <c r="V38" s="575">
        <v>1</v>
      </c>
      <c r="W38" s="575"/>
      <c r="X38" s="575"/>
      <c r="Y38" s="575">
        <v>9</v>
      </c>
      <c r="Z38" s="575">
        <v>9</v>
      </c>
      <c r="AA38" s="575">
        <v>9</v>
      </c>
      <c r="AB38" s="575">
        <v>9</v>
      </c>
      <c r="AC38" s="575">
        <v>9</v>
      </c>
      <c r="AD38" s="575" t="s">
        <v>70</v>
      </c>
      <c r="AE38" s="570" t="s">
        <v>70</v>
      </c>
      <c r="AF38" s="575" t="s">
        <v>35</v>
      </c>
      <c r="AG38" s="736" t="s">
        <v>35</v>
      </c>
      <c r="AH38" s="34"/>
      <c r="AI38" s="25"/>
    </row>
    <row r="39" spans="1:35" ht="24.75" customHeight="1" thickBot="1">
      <c r="A39" s="737">
        <v>11</v>
      </c>
      <c r="B39" s="738" t="s">
        <v>71</v>
      </c>
      <c r="C39" s="647" t="s">
        <v>69</v>
      </c>
      <c r="D39" s="739">
        <v>6</v>
      </c>
      <c r="E39" s="739">
        <v>6</v>
      </c>
      <c r="F39" s="739">
        <v>6</v>
      </c>
      <c r="G39" s="739">
        <v>6</v>
      </c>
      <c r="H39" s="739">
        <v>6</v>
      </c>
      <c r="I39" s="739"/>
      <c r="J39" s="739"/>
      <c r="K39" s="577" t="s">
        <v>35</v>
      </c>
      <c r="L39" s="577" t="s">
        <v>35</v>
      </c>
      <c r="M39" s="577" t="s">
        <v>35</v>
      </c>
      <c r="N39" s="577" t="s">
        <v>35</v>
      </c>
      <c r="O39" s="647" t="s">
        <v>35</v>
      </c>
      <c r="P39" s="577"/>
      <c r="Q39" s="647"/>
      <c r="R39" s="740">
        <v>5</v>
      </c>
      <c r="S39" s="739">
        <v>5</v>
      </c>
      <c r="T39" s="739">
        <v>5</v>
      </c>
      <c r="U39" s="739">
        <v>5</v>
      </c>
      <c r="V39" s="741">
        <v>5</v>
      </c>
      <c r="W39" s="741"/>
      <c r="X39" s="741"/>
      <c r="Y39" s="577">
        <v>10</v>
      </c>
      <c r="Z39" s="577">
        <v>10</v>
      </c>
      <c r="AA39" s="577">
        <v>10</v>
      </c>
      <c r="AB39" s="742">
        <v>10</v>
      </c>
      <c r="AC39" s="742">
        <v>10</v>
      </c>
      <c r="AD39" s="742" t="s">
        <v>72</v>
      </c>
      <c r="AE39" s="577" t="s">
        <v>72</v>
      </c>
      <c r="AF39" s="577" t="s">
        <v>35</v>
      </c>
      <c r="AG39" s="743" t="s">
        <v>35</v>
      </c>
      <c r="AH39" s="34"/>
      <c r="AI39" s="25"/>
    </row>
    <row r="40" spans="1:35" ht="24.75" customHeight="1">
      <c r="A40" s="728">
        <v>2</v>
      </c>
      <c r="B40" s="134" t="s">
        <v>73</v>
      </c>
      <c r="C40" s="542"/>
      <c r="D40" s="744">
        <v>4</v>
      </c>
      <c r="E40" s="744">
        <v>4</v>
      </c>
      <c r="F40" s="744">
        <v>4</v>
      </c>
      <c r="G40" s="744">
        <v>4</v>
      </c>
      <c r="H40" s="745">
        <v>4</v>
      </c>
      <c r="I40" s="472"/>
      <c r="J40" s="542"/>
      <c r="K40" s="732">
        <v>3</v>
      </c>
      <c r="L40" s="729">
        <v>3</v>
      </c>
      <c r="M40" s="729">
        <v>3</v>
      </c>
      <c r="N40" s="746">
        <v>3</v>
      </c>
      <c r="O40" s="746">
        <v>3</v>
      </c>
      <c r="P40" s="746"/>
      <c r="Q40" s="746"/>
      <c r="R40" s="471">
        <v>11</v>
      </c>
      <c r="S40" s="542">
        <v>11</v>
      </c>
      <c r="T40" s="542">
        <v>11</v>
      </c>
      <c r="U40" s="471">
        <v>11</v>
      </c>
      <c r="V40" s="471">
        <v>11</v>
      </c>
      <c r="W40" s="471" t="s">
        <v>68</v>
      </c>
      <c r="X40" s="472" t="s">
        <v>68</v>
      </c>
      <c r="Y40" s="472" t="s">
        <v>35</v>
      </c>
      <c r="Z40" s="472" t="s">
        <v>35</v>
      </c>
      <c r="AA40" s="472" t="s">
        <v>35</v>
      </c>
      <c r="AB40" s="472" t="s">
        <v>35</v>
      </c>
      <c r="AC40" s="471" t="s">
        <v>35</v>
      </c>
      <c r="AD40" s="471" t="s">
        <v>69</v>
      </c>
      <c r="AE40" s="472" t="s">
        <v>69</v>
      </c>
      <c r="AF40" s="472">
        <v>8</v>
      </c>
      <c r="AG40" s="734">
        <v>8</v>
      </c>
      <c r="AH40" s="34"/>
      <c r="AI40" s="25"/>
    </row>
    <row r="41" spans="1:35" ht="24.75" customHeight="1">
      <c r="A41" s="735">
        <v>7</v>
      </c>
      <c r="B41" s="663" t="s">
        <v>74</v>
      </c>
      <c r="C41" s="570"/>
      <c r="D41" s="664" t="s">
        <v>35</v>
      </c>
      <c r="E41" s="664" t="s">
        <v>35</v>
      </c>
      <c r="F41" s="664" t="s">
        <v>35</v>
      </c>
      <c r="G41" s="664" t="s">
        <v>35</v>
      </c>
      <c r="H41" s="664" t="s">
        <v>35</v>
      </c>
      <c r="I41" s="664"/>
      <c r="J41" s="664"/>
      <c r="K41" s="664">
        <v>1</v>
      </c>
      <c r="L41" s="664">
        <v>1</v>
      </c>
      <c r="M41" s="664">
        <v>1</v>
      </c>
      <c r="N41" s="664">
        <v>1</v>
      </c>
      <c r="O41" s="664">
        <v>1</v>
      </c>
      <c r="P41" s="664"/>
      <c r="Q41" s="664"/>
      <c r="R41" s="664">
        <v>9</v>
      </c>
      <c r="S41" s="664">
        <v>9</v>
      </c>
      <c r="T41" s="664">
        <v>9</v>
      </c>
      <c r="U41" s="664">
        <v>9</v>
      </c>
      <c r="V41" s="664">
        <v>9</v>
      </c>
      <c r="W41" s="664" t="s">
        <v>70</v>
      </c>
      <c r="X41" s="664" t="s">
        <v>70</v>
      </c>
      <c r="Y41" s="664" t="s">
        <v>35</v>
      </c>
      <c r="Z41" s="664" t="s">
        <v>35</v>
      </c>
      <c r="AA41" s="664" t="s">
        <v>35</v>
      </c>
      <c r="AB41" s="664" t="s">
        <v>35</v>
      </c>
      <c r="AC41" s="664" t="s">
        <v>35</v>
      </c>
      <c r="AD41" s="664" t="s">
        <v>75</v>
      </c>
      <c r="AE41" s="664" t="s">
        <v>69</v>
      </c>
      <c r="AF41" s="664">
        <v>6</v>
      </c>
      <c r="AG41" s="747">
        <v>6</v>
      </c>
      <c r="AH41" s="34"/>
      <c r="AI41" s="25"/>
    </row>
    <row r="42" spans="1:35" ht="24.75" customHeight="1" thickBot="1">
      <c r="A42" s="737">
        <v>12</v>
      </c>
      <c r="B42" s="738" t="s">
        <v>76</v>
      </c>
      <c r="C42" s="577"/>
      <c r="D42" s="742" t="s">
        <v>35</v>
      </c>
      <c r="E42" s="577" t="s">
        <v>35</v>
      </c>
      <c r="F42" s="577" t="s">
        <v>35</v>
      </c>
      <c r="G42" s="577" t="s">
        <v>35</v>
      </c>
      <c r="H42" s="577" t="s">
        <v>35</v>
      </c>
      <c r="I42" s="577"/>
      <c r="J42" s="577"/>
      <c r="K42" s="740">
        <v>5</v>
      </c>
      <c r="L42" s="739">
        <v>5</v>
      </c>
      <c r="M42" s="741">
        <v>5</v>
      </c>
      <c r="N42" s="741">
        <v>5</v>
      </c>
      <c r="O42" s="741">
        <v>5</v>
      </c>
      <c r="P42" s="741"/>
      <c r="Q42" s="741"/>
      <c r="R42" s="577">
        <v>10</v>
      </c>
      <c r="S42" s="577">
        <v>10</v>
      </c>
      <c r="T42" s="577">
        <v>10</v>
      </c>
      <c r="U42" s="742">
        <v>10</v>
      </c>
      <c r="V42" s="742">
        <v>10</v>
      </c>
      <c r="W42" s="742" t="s">
        <v>72</v>
      </c>
      <c r="X42" s="577" t="s">
        <v>72</v>
      </c>
      <c r="Y42" s="577" t="s">
        <v>35</v>
      </c>
      <c r="Z42" s="577" t="s">
        <v>35</v>
      </c>
      <c r="AA42" s="577" t="s">
        <v>35</v>
      </c>
      <c r="AB42" s="577" t="s">
        <v>35</v>
      </c>
      <c r="AC42" s="647" t="s">
        <v>35</v>
      </c>
      <c r="AD42" s="647" t="s">
        <v>67</v>
      </c>
      <c r="AE42" s="647" t="s">
        <v>67</v>
      </c>
      <c r="AF42" s="647">
        <v>7</v>
      </c>
      <c r="AG42" s="648">
        <v>7</v>
      </c>
      <c r="AH42" s="34"/>
      <c r="AI42" s="25"/>
    </row>
    <row r="43" spans="1:35" ht="24.75" customHeight="1">
      <c r="A43" s="728">
        <v>3</v>
      </c>
      <c r="B43" s="730" t="s">
        <v>77</v>
      </c>
      <c r="C43" s="471"/>
      <c r="D43" s="471">
        <v>3</v>
      </c>
      <c r="E43" s="472">
        <v>3</v>
      </c>
      <c r="F43" s="472">
        <v>3</v>
      </c>
      <c r="G43" s="472">
        <v>3</v>
      </c>
      <c r="H43" s="472">
        <v>3</v>
      </c>
      <c r="I43" s="472"/>
      <c r="J43" s="471"/>
      <c r="K43" s="471">
        <v>11</v>
      </c>
      <c r="L43" s="471">
        <v>11</v>
      </c>
      <c r="M43" s="471">
        <v>11</v>
      </c>
      <c r="N43" s="471">
        <v>11</v>
      </c>
      <c r="O43" s="471">
        <v>11</v>
      </c>
      <c r="P43" s="471" t="s">
        <v>68</v>
      </c>
      <c r="Q43" s="472" t="s">
        <v>68</v>
      </c>
      <c r="R43" s="472" t="s">
        <v>35</v>
      </c>
      <c r="S43" s="472" t="s">
        <v>35</v>
      </c>
      <c r="T43" s="472" t="s">
        <v>35</v>
      </c>
      <c r="U43" s="472" t="s">
        <v>35</v>
      </c>
      <c r="V43" s="471" t="s">
        <v>35</v>
      </c>
      <c r="W43" s="748" t="s">
        <v>69</v>
      </c>
      <c r="X43" s="749" t="s">
        <v>78</v>
      </c>
      <c r="Y43" s="472">
        <v>8</v>
      </c>
      <c r="Z43" s="472">
        <v>8</v>
      </c>
      <c r="AA43" s="472">
        <v>8</v>
      </c>
      <c r="AB43" s="472">
        <v>8</v>
      </c>
      <c r="AC43" s="750">
        <v>8</v>
      </c>
      <c r="AD43" s="472"/>
      <c r="AE43" s="472"/>
      <c r="AF43" s="472" t="s">
        <v>35</v>
      </c>
      <c r="AG43" s="734" t="s">
        <v>35</v>
      </c>
      <c r="AH43" s="34"/>
      <c r="AI43" s="25"/>
    </row>
    <row r="44" spans="1:35" ht="24.75" customHeight="1">
      <c r="A44" s="735">
        <v>8</v>
      </c>
      <c r="B44" s="663"/>
      <c r="C44" s="656"/>
      <c r="D44" s="656">
        <v>1</v>
      </c>
      <c r="E44" s="656">
        <v>1</v>
      </c>
      <c r="F44" s="656">
        <v>1</v>
      </c>
      <c r="G44" s="656">
        <v>1</v>
      </c>
      <c r="H44" s="656">
        <v>1</v>
      </c>
      <c r="I44" s="570"/>
      <c r="J44" s="751"/>
      <c r="K44" s="575">
        <v>9</v>
      </c>
      <c r="L44" s="575">
        <v>9</v>
      </c>
      <c r="M44" s="575">
        <v>9</v>
      </c>
      <c r="N44" s="656">
        <v>9</v>
      </c>
      <c r="O44" s="570">
        <v>9</v>
      </c>
      <c r="P44" s="570" t="s">
        <v>70</v>
      </c>
      <c r="Q44" s="570" t="s">
        <v>70</v>
      </c>
      <c r="R44" s="570" t="s">
        <v>35</v>
      </c>
      <c r="S44" s="570" t="s">
        <v>35</v>
      </c>
      <c r="T44" s="570" t="s">
        <v>35</v>
      </c>
      <c r="U44" s="570" t="s">
        <v>35</v>
      </c>
      <c r="V44" s="570" t="s">
        <v>35</v>
      </c>
      <c r="W44" s="570" t="s">
        <v>75</v>
      </c>
      <c r="X44" s="751" t="s">
        <v>69</v>
      </c>
      <c r="Y44" s="570">
        <v>6</v>
      </c>
      <c r="Z44" s="570">
        <v>6</v>
      </c>
      <c r="AA44" s="570">
        <v>6</v>
      </c>
      <c r="AB44" s="570">
        <v>6</v>
      </c>
      <c r="AC44" s="570">
        <v>6</v>
      </c>
      <c r="AD44" s="570"/>
      <c r="AE44" s="570"/>
      <c r="AF44" s="570" t="s">
        <v>35</v>
      </c>
      <c r="AG44" s="752" t="s">
        <v>35</v>
      </c>
      <c r="AH44" s="34"/>
      <c r="AI44" s="25"/>
    </row>
    <row r="45" spans="1:35" ht="24.75" customHeight="1" thickBot="1">
      <c r="A45" s="737">
        <v>13</v>
      </c>
      <c r="B45" s="738" t="s">
        <v>79</v>
      </c>
      <c r="C45" s="647"/>
      <c r="D45" s="740">
        <v>5</v>
      </c>
      <c r="E45" s="739">
        <v>5</v>
      </c>
      <c r="F45" s="739">
        <v>5</v>
      </c>
      <c r="G45" s="739">
        <v>5</v>
      </c>
      <c r="H45" s="739">
        <v>5</v>
      </c>
      <c r="I45" s="739"/>
      <c r="J45" s="740"/>
      <c r="K45" s="577">
        <v>10</v>
      </c>
      <c r="L45" s="742">
        <v>10</v>
      </c>
      <c r="M45" s="577">
        <v>10</v>
      </c>
      <c r="N45" s="742">
        <v>10</v>
      </c>
      <c r="O45" s="742">
        <v>10</v>
      </c>
      <c r="P45" s="742" t="s">
        <v>72</v>
      </c>
      <c r="Q45" s="577" t="s">
        <v>72</v>
      </c>
      <c r="R45" s="577" t="s">
        <v>35</v>
      </c>
      <c r="S45" s="577" t="s">
        <v>35</v>
      </c>
      <c r="T45" s="577" t="s">
        <v>35</v>
      </c>
      <c r="U45" s="577" t="s">
        <v>35</v>
      </c>
      <c r="V45" s="577" t="s">
        <v>35</v>
      </c>
      <c r="W45" s="577" t="s">
        <v>67</v>
      </c>
      <c r="X45" s="577" t="s">
        <v>67</v>
      </c>
      <c r="Y45" s="647">
        <v>7</v>
      </c>
      <c r="Z45" s="577">
        <v>7</v>
      </c>
      <c r="AA45" s="577">
        <v>7</v>
      </c>
      <c r="AB45" s="577">
        <v>7</v>
      </c>
      <c r="AC45" s="577">
        <v>7</v>
      </c>
      <c r="AD45" s="577"/>
      <c r="AE45" s="647"/>
      <c r="AF45" s="577">
        <v>4</v>
      </c>
      <c r="AG45" s="743">
        <v>4</v>
      </c>
      <c r="AH45" s="34"/>
      <c r="AI45" s="25"/>
    </row>
    <row r="46" spans="1:35" ht="24.75" customHeight="1">
      <c r="A46" s="728">
        <v>4</v>
      </c>
      <c r="B46" s="730" t="s">
        <v>80</v>
      </c>
      <c r="C46" s="471"/>
      <c r="D46" s="471">
        <v>11</v>
      </c>
      <c r="E46" s="472">
        <v>11</v>
      </c>
      <c r="F46" s="472">
        <v>11</v>
      </c>
      <c r="G46" s="471">
        <v>11</v>
      </c>
      <c r="H46" s="471">
        <v>11</v>
      </c>
      <c r="I46" s="471" t="s">
        <v>68</v>
      </c>
      <c r="J46" s="472" t="s">
        <v>68</v>
      </c>
      <c r="K46" s="472" t="s">
        <v>35</v>
      </c>
      <c r="L46" s="471" t="s">
        <v>35</v>
      </c>
      <c r="M46" s="471" t="s">
        <v>35</v>
      </c>
      <c r="N46" s="472" t="s">
        <v>35</v>
      </c>
      <c r="O46" s="471" t="s">
        <v>35</v>
      </c>
      <c r="P46" s="471" t="s">
        <v>69</v>
      </c>
      <c r="Q46" s="542" t="s">
        <v>69</v>
      </c>
      <c r="R46" s="472">
        <v>8</v>
      </c>
      <c r="S46" s="472">
        <v>8</v>
      </c>
      <c r="T46" s="472">
        <v>8</v>
      </c>
      <c r="U46" s="472">
        <v>8</v>
      </c>
      <c r="V46" s="750">
        <v>8</v>
      </c>
      <c r="W46" s="472"/>
      <c r="X46" s="472"/>
      <c r="Y46" s="542" t="s">
        <v>35</v>
      </c>
      <c r="Z46" s="472" t="s">
        <v>35</v>
      </c>
      <c r="AA46" s="472" t="s">
        <v>35</v>
      </c>
      <c r="AB46" s="472" t="s">
        <v>35</v>
      </c>
      <c r="AC46" s="472" t="s">
        <v>35</v>
      </c>
      <c r="AD46" s="472"/>
      <c r="AE46" s="471"/>
      <c r="AF46" s="541">
        <v>1</v>
      </c>
      <c r="AG46" s="753">
        <v>1</v>
      </c>
      <c r="AH46" s="34"/>
      <c r="AI46" s="25"/>
    </row>
    <row r="47" spans="1:35" ht="24.75" customHeight="1">
      <c r="A47" s="735">
        <v>9</v>
      </c>
      <c r="B47" s="754" t="s">
        <v>81</v>
      </c>
      <c r="C47" s="751"/>
      <c r="D47" s="570">
        <v>9</v>
      </c>
      <c r="E47" s="570">
        <v>9</v>
      </c>
      <c r="F47" s="570">
        <v>9</v>
      </c>
      <c r="G47" s="570">
        <v>9</v>
      </c>
      <c r="H47" s="570">
        <v>9</v>
      </c>
      <c r="I47" s="570" t="s">
        <v>70</v>
      </c>
      <c r="J47" s="570" t="s">
        <v>70</v>
      </c>
      <c r="K47" s="570" t="s">
        <v>35</v>
      </c>
      <c r="L47" s="570" t="s">
        <v>35</v>
      </c>
      <c r="M47" s="570" t="s">
        <v>35</v>
      </c>
      <c r="N47" s="570" t="s">
        <v>35</v>
      </c>
      <c r="O47" s="570" t="s">
        <v>35</v>
      </c>
      <c r="P47" s="570" t="s">
        <v>75</v>
      </c>
      <c r="Q47" s="751" t="s">
        <v>69</v>
      </c>
      <c r="R47" s="570">
        <v>6</v>
      </c>
      <c r="S47" s="570">
        <v>6</v>
      </c>
      <c r="T47" s="570">
        <v>6</v>
      </c>
      <c r="U47" s="570">
        <v>6</v>
      </c>
      <c r="V47" s="570">
        <v>6</v>
      </c>
      <c r="W47" s="570"/>
      <c r="X47" s="570"/>
      <c r="Y47" s="570" t="s">
        <v>35</v>
      </c>
      <c r="Z47" s="570" t="s">
        <v>35</v>
      </c>
      <c r="AA47" s="570" t="s">
        <v>35</v>
      </c>
      <c r="AB47" s="570" t="s">
        <v>35</v>
      </c>
      <c r="AC47" s="570" t="s">
        <v>35</v>
      </c>
      <c r="AD47" s="570"/>
      <c r="AE47" s="570"/>
      <c r="AF47" s="570">
        <v>5</v>
      </c>
      <c r="AG47" s="752">
        <v>5</v>
      </c>
      <c r="AH47" s="34"/>
      <c r="AI47" s="25"/>
    </row>
    <row r="48" spans="1:35" ht="24.75" customHeight="1" thickBot="1">
      <c r="A48" s="737">
        <v>14</v>
      </c>
      <c r="B48" s="755" t="s">
        <v>82</v>
      </c>
      <c r="C48" s="647"/>
      <c r="D48" s="577">
        <v>10</v>
      </c>
      <c r="E48" s="577">
        <v>10</v>
      </c>
      <c r="F48" s="577">
        <v>10</v>
      </c>
      <c r="G48" s="742">
        <v>10</v>
      </c>
      <c r="H48" s="742">
        <v>10</v>
      </c>
      <c r="I48" s="741" t="s">
        <v>72</v>
      </c>
      <c r="J48" s="741" t="s">
        <v>72</v>
      </c>
      <c r="K48" s="577" t="s">
        <v>35</v>
      </c>
      <c r="L48" s="577" t="s">
        <v>35</v>
      </c>
      <c r="M48" s="577" t="s">
        <v>35</v>
      </c>
      <c r="N48" s="577" t="s">
        <v>35</v>
      </c>
      <c r="O48" s="647" t="s">
        <v>35</v>
      </c>
      <c r="P48" s="756" t="s">
        <v>67</v>
      </c>
      <c r="Q48" s="756" t="s">
        <v>67</v>
      </c>
      <c r="R48" s="756">
        <v>7</v>
      </c>
      <c r="S48" s="756">
        <v>7</v>
      </c>
      <c r="T48" s="756">
        <v>7</v>
      </c>
      <c r="U48" s="756">
        <v>7</v>
      </c>
      <c r="V48" s="756">
        <v>7</v>
      </c>
      <c r="W48" s="577"/>
      <c r="X48" s="647"/>
      <c r="Y48" s="739">
        <v>4</v>
      </c>
      <c r="Z48" s="739">
        <v>4</v>
      </c>
      <c r="AA48" s="739">
        <v>4</v>
      </c>
      <c r="AB48" s="739">
        <v>4</v>
      </c>
      <c r="AC48" s="740">
        <v>4</v>
      </c>
      <c r="AD48" s="739"/>
      <c r="AE48" s="739"/>
      <c r="AF48" s="740">
        <v>3</v>
      </c>
      <c r="AG48" s="757">
        <v>3</v>
      </c>
      <c r="AH48" s="34"/>
      <c r="AI48" s="25"/>
    </row>
    <row r="49" spans="1:35" ht="24.75" customHeight="1">
      <c r="A49" s="728">
        <v>5</v>
      </c>
      <c r="B49" s="663" t="s">
        <v>83</v>
      </c>
      <c r="C49" s="472" t="s">
        <v>68</v>
      </c>
      <c r="D49" s="472" t="s">
        <v>35</v>
      </c>
      <c r="E49" s="472" t="s">
        <v>35</v>
      </c>
      <c r="F49" s="472" t="s">
        <v>35</v>
      </c>
      <c r="G49" s="472" t="s">
        <v>35</v>
      </c>
      <c r="H49" s="471" t="s">
        <v>35</v>
      </c>
      <c r="I49" s="758" t="s">
        <v>69</v>
      </c>
      <c r="J49" s="542" t="s">
        <v>69</v>
      </c>
      <c r="K49" s="472">
        <v>8</v>
      </c>
      <c r="L49" s="472">
        <v>8</v>
      </c>
      <c r="M49" s="472">
        <v>8</v>
      </c>
      <c r="N49" s="472">
        <v>8</v>
      </c>
      <c r="O49" s="542">
        <v>8</v>
      </c>
      <c r="P49" s="472"/>
      <c r="Q49" s="472"/>
      <c r="R49" s="542" t="s">
        <v>35</v>
      </c>
      <c r="S49" s="472" t="s">
        <v>35</v>
      </c>
      <c r="T49" s="472" t="s">
        <v>35</v>
      </c>
      <c r="U49" s="471" t="s">
        <v>35</v>
      </c>
      <c r="V49" s="471" t="s">
        <v>35</v>
      </c>
      <c r="W49" s="471"/>
      <c r="X49" s="471"/>
      <c r="Y49" s="541">
        <v>1</v>
      </c>
      <c r="Z49" s="541">
        <v>1</v>
      </c>
      <c r="AA49" s="746">
        <v>1</v>
      </c>
      <c r="AB49" s="746">
        <v>1</v>
      </c>
      <c r="AC49" s="746">
        <v>1</v>
      </c>
      <c r="AD49" s="472"/>
      <c r="AE49" s="472"/>
      <c r="AF49" s="759">
        <v>9</v>
      </c>
      <c r="AG49" s="760">
        <v>9</v>
      </c>
      <c r="AH49" s="34"/>
      <c r="AI49" s="25"/>
    </row>
    <row r="50" spans="1:35" ht="24.75" customHeight="1">
      <c r="A50" s="735">
        <v>10</v>
      </c>
      <c r="B50" s="663" t="s">
        <v>84</v>
      </c>
      <c r="C50" s="570" t="s">
        <v>70</v>
      </c>
      <c r="D50" s="570" t="s">
        <v>35</v>
      </c>
      <c r="E50" s="570" t="s">
        <v>35</v>
      </c>
      <c r="F50" s="656" t="s">
        <v>35</v>
      </c>
      <c r="G50" s="575" t="s">
        <v>35</v>
      </c>
      <c r="H50" s="575" t="s">
        <v>35</v>
      </c>
      <c r="I50" s="575" t="s">
        <v>75</v>
      </c>
      <c r="J50" s="575" t="s">
        <v>69</v>
      </c>
      <c r="K50" s="575">
        <v>6</v>
      </c>
      <c r="L50" s="575">
        <v>6</v>
      </c>
      <c r="M50" s="575">
        <v>6</v>
      </c>
      <c r="N50" s="575">
        <v>6</v>
      </c>
      <c r="O50" s="575">
        <v>6</v>
      </c>
      <c r="P50" s="575"/>
      <c r="Q50" s="575"/>
      <c r="R50" s="575" t="s">
        <v>35</v>
      </c>
      <c r="S50" s="575" t="s">
        <v>35</v>
      </c>
      <c r="T50" s="575" t="s">
        <v>35</v>
      </c>
      <c r="U50" s="575" t="s">
        <v>35</v>
      </c>
      <c r="V50" s="575" t="s">
        <v>35</v>
      </c>
      <c r="W50" s="656"/>
      <c r="X50" s="570"/>
      <c r="Y50" s="751" t="s">
        <v>35</v>
      </c>
      <c r="Z50" s="570" t="s">
        <v>35</v>
      </c>
      <c r="AA50" s="679" t="s">
        <v>44</v>
      </c>
      <c r="AB50" s="679" t="s">
        <v>44</v>
      </c>
      <c r="AC50" s="679" t="s">
        <v>44</v>
      </c>
      <c r="AD50" s="761"/>
      <c r="AE50" s="761"/>
      <c r="AF50" s="761">
        <v>10</v>
      </c>
      <c r="AG50" s="762">
        <v>10</v>
      </c>
      <c r="AH50" s="34"/>
      <c r="AI50" s="25"/>
    </row>
    <row r="51" spans="1:35" ht="24.75" customHeight="1" thickBot="1">
      <c r="A51" s="737">
        <v>15</v>
      </c>
      <c r="B51" s="755" t="s">
        <v>85</v>
      </c>
      <c r="C51" s="577" t="s">
        <v>72</v>
      </c>
      <c r="D51" s="577" t="s">
        <v>35</v>
      </c>
      <c r="E51" s="577" t="s">
        <v>35</v>
      </c>
      <c r="F51" s="577" t="s">
        <v>35</v>
      </c>
      <c r="G51" s="577" t="s">
        <v>35</v>
      </c>
      <c r="H51" s="647" t="s">
        <v>35</v>
      </c>
      <c r="I51" s="647" t="s">
        <v>67</v>
      </c>
      <c r="J51" s="577" t="s">
        <v>67</v>
      </c>
      <c r="K51" s="647">
        <v>7</v>
      </c>
      <c r="L51" s="577">
        <v>7</v>
      </c>
      <c r="M51" s="577">
        <v>7</v>
      </c>
      <c r="N51" s="577">
        <v>7</v>
      </c>
      <c r="O51" s="577">
        <v>7</v>
      </c>
      <c r="P51" s="577"/>
      <c r="Q51" s="647"/>
      <c r="R51" s="577">
        <v>4</v>
      </c>
      <c r="S51" s="577">
        <v>4</v>
      </c>
      <c r="T51" s="577">
        <v>4</v>
      </c>
      <c r="U51" s="577">
        <v>4</v>
      </c>
      <c r="V51" s="577">
        <v>4</v>
      </c>
      <c r="W51" s="577"/>
      <c r="X51" s="577"/>
      <c r="Y51" s="763">
        <v>3</v>
      </c>
      <c r="Z51" s="763">
        <v>3</v>
      </c>
      <c r="AA51" s="763">
        <v>3</v>
      </c>
      <c r="AB51" s="763">
        <v>3</v>
      </c>
      <c r="AC51" s="763">
        <v>3</v>
      </c>
      <c r="AD51" s="577"/>
      <c r="AE51" s="647"/>
      <c r="AF51" s="742">
        <v>11</v>
      </c>
      <c r="AG51" s="764">
        <v>11</v>
      </c>
      <c r="AH51" s="34"/>
      <c r="AI51" s="25"/>
    </row>
    <row r="52" spans="1:35" ht="24.75" customHeight="1">
      <c r="A52" s="29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"/>
    </row>
    <row r="53" spans="1:35" ht="24.75" customHeight="1">
      <c r="A53" s="36"/>
      <c r="B53" s="37" t="s">
        <v>86</v>
      </c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1"/>
    </row>
    <row r="54" spans="1:35" ht="24.75" customHeight="1">
      <c r="A54" s="765" t="s">
        <v>28</v>
      </c>
      <c r="B54" s="765"/>
      <c r="C54" s="754"/>
      <c r="D54" s="765" t="s">
        <v>87</v>
      </c>
      <c r="E54" s="766"/>
      <c r="F54" s="754"/>
      <c r="G54" s="765" t="s">
        <v>88</v>
      </c>
      <c r="H54" s="766"/>
      <c r="I54" s="754"/>
      <c r="J54" s="765" t="s">
        <v>89</v>
      </c>
      <c r="K54" s="766"/>
      <c r="L54" s="754"/>
      <c r="M54" s="765" t="s">
        <v>90</v>
      </c>
      <c r="N54" s="766"/>
      <c r="O54" s="754"/>
      <c r="P54" s="765" t="s">
        <v>91</v>
      </c>
      <c r="Q54" s="766"/>
      <c r="R54" s="767"/>
      <c r="S54" s="768" t="s">
        <v>92</v>
      </c>
      <c r="T54" s="766"/>
      <c r="U54" s="754"/>
      <c r="V54" s="765" t="s">
        <v>93</v>
      </c>
      <c r="W54" s="766"/>
      <c r="X54" s="769" t="s">
        <v>94</v>
      </c>
      <c r="Y54" s="766"/>
      <c r="Z54" s="766"/>
      <c r="AA54" s="770"/>
      <c r="AB54" s="630"/>
      <c r="AC54" s="630"/>
      <c r="AD54" s="630"/>
      <c r="AE54" s="630"/>
      <c r="AF54" s="630"/>
      <c r="AG54" s="631"/>
      <c r="AH54" s="1"/>
    </row>
    <row r="55" spans="1:35" ht="24.75" customHeight="1">
      <c r="A55" s="771">
        <v>8517</v>
      </c>
      <c r="B55" s="661" t="s">
        <v>95</v>
      </c>
      <c r="C55" s="772" t="s">
        <v>96</v>
      </c>
      <c r="D55" s="773"/>
      <c r="E55" s="629"/>
      <c r="F55" s="772" t="s">
        <v>96</v>
      </c>
      <c r="G55" s="773"/>
      <c r="H55" s="629"/>
      <c r="I55" s="772" t="s">
        <v>96</v>
      </c>
      <c r="J55" s="773"/>
      <c r="K55" s="629"/>
      <c r="L55" s="772" t="s">
        <v>96</v>
      </c>
      <c r="M55" s="773"/>
      <c r="N55" s="629"/>
      <c r="O55" s="772" t="s">
        <v>97</v>
      </c>
      <c r="P55" s="773"/>
      <c r="Q55" s="629"/>
      <c r="R55" s="772" t="s">
        <v>96</v>
      </c>
      <c r="S55" s="773"/>
      <c r="T55" s="629"/>
      <c r="U55" s="772" t="s">
        <v>96</v>
      </c>
      <c r="V55" s="773"/>
      <c r="W55" s="629"/>
      <c r="X55" s="627"/>
      <c r="Y55" s="630"/>
      <c r="Z55" s="630"/>
      <c r="AA55" s="630"/>
      <c r="AB55" s="630"/>
      <c r="AC55" s="630"/>
      <c r="AD55" s="630"/>
      <c r="AE55" s="630"/>
      <c r="AF55" s="630"/>
      <c r="AG55" s="631"/>
      <c r="AH55" s="1"/>
    </row>
    <row r="56" spans="1:35" ht="24.75" customHeight="1">
      <c r="B56" s="774" t="s">
        <v>98</v>
      </c>
      <c r="C56" s="775" t="s">
        <v>99</v>
      </c>
      <c r="D56" s="776"/>
      <c r="E56" s="777"/>
      <c r="F56" s="775" t="s">
        <v>99</v>
      </c>
      <c r="G56" s="778"/>
      <c r="H56" s="777"/>
      <c r="I56" s="772" t="s">
        <v>99</v>
      </c>
      <c r="J56" s="773"/>
      <c r="K56" s="779"/>
      <c r="L56" s="772" t="s">
        <v>99</v>
      </c>
      <c r="M56" s="773"/>
      <c r="N56" s="779"/>
      <c r="O56" s="772" t="s">
        <v>100</v>
      </c>
      <c r="P56" s="773"/>
      <c r="Q56" s="629"/>
      <c r="R56" s="780" t="s">
        <v>0</v>
      </c>
      <c r="S56" s="773"/>
      <c r="T56" s="779"/>
      <c r="U56" s="773" t="s">
        <v>0</v>
      </c>
      <c r="V56" s="773"/>
      <c r="W56" s="629"/>
      <c r="X56" s="781" t="s">
        <v>0</v>
      </c>
      <c r="Y56" s="17"/>
      <c r="Z56" s="17"/>
      <c r="AA56" s="17"/>
      <c r="AB56" s="17"/>
      <c r="AC56" s="17"/>
      <c r="AD56" s="17"/>
      <c r="AE56" s="17"/>
      <c r="AF56" s="17"/>
      <c r="AG56" s="39"/>
      <c r="AH56" s="1"/>
    </row>
    <row r="57" spans="1:35" ht="24.75" customHeight="1">
      <c r="A57" s="782"/>
      <c r="B57" s="661" t="s">
        <v>101</v>
      </c>
      <c r="C57" s="772" t="s">
        <v>102</v>
      </c>
      <c r="D57" s="773"/>
      <c r="E57" s="629"/>
      <c r="F57" s="772" t="s">
        <v>102</v>
      </c>
      <c r="G57" s="773"/>
      <c r="H57" s="779"/>
      <c r="I57" s="772" t="s">
        <v>102</v>
      </c>
      <c r="J57" s="773"/>
      <c r="K57" s="779"/>
      <c r="L57" s="772" t="s">
        <v>102</v>
      </c>
      <c r="M57" s="773"/>
      <c r="N57" s="779"/>
      <c r="O57" s="772" t="s">
        <v>103</v>
      </c>
      <c r="P57" s="773"/>
      <c r="Q57" s="629"/>
      <c r="R57" s="40"/>
      <c r="S57" s="41"/>
      <c r="T57" s="779"/>
      <c r="U57" s="773"/>
      <c r="V57" s="773"/>
      <c r="W57" s="629"/>
      <c r="X57" s="627"/>
      <c r="Y57" s="630"/>
      <c r="Z57" s="630"/>
      <c r="AA57" s="630"/>
      <c r="AB57" s="630"/>
      <c r="AC57" s="630"/>
      <c r="AD57" s="630"/>
      <c r="AE57" s="630"/>
      <c r="AF57" s="630"/>
      <c r="AG57" s="631"/>
      <c r="AH57" s="1"/>
    </row>
    <row r="58" spans="1:35" ht="24.75" customHeight="1">
      <c r="A58" s="765"/>
      <c r="B58" s="774" t="s">
        <v>104</v>
      </c>
      <c r="C58" s="783" t="s">
        <v>105</v>
      </c>
      <c r="D58" s="783"/>
      <c r="E58" s="784"/>
      <c r="F58" s="783" t="s">
        <v>105</v>
      </c>
      <c r="G58" s="783"/>
      <c r="H58" s="784"/>
      <c r="I58" s="783" t="s">
        <v>105</v>
      </c>
      <c r="J58" s="783"/>
      <c r="K58" s="784"/>
      <c r="L58" s="783" t="s">
        <v>105</v>
      </c>
      <c r="M58" s="783"/>
      <c r="N58" s="784"/>
      <c r="O58" s="783" t="s">
        <v>105</v>
      </c>
      <c r="P58" s="783"/>
      <c r="Q58" s="784"/>
      <c r="R58" s="783" t="s">
        <v>105</v>
      </c>
      <c r="S58" s="783"/>
      <c r="T58" s="784"/>
      <c r="U58" s="783" t="s">
        <v>105</v>
      </c>
      <c r="V58" s="783"/>
      <c r="W58" s="784"/>
      <c r="X58" s="627"/>
      <c r="Y58" s="630"/>
      <c r="Z58" s="630"/>
      <c r="AA58" s="630"/>
      <c r="AB58" s="630"/>
      <c r="AC58" s="630"/>
      <c r="AD58" s="630"/>
      <c r="AE58" s="630"/>
      <c r="AF58" s="630"/>
      <c r="AG58" s="631"/>
      <c r="AH58" s="1"/>
    </row>
    <row r="59" spans="1:35" ht="24.75" customHeight="1">
      <c r="A59" s="42"/>
      <c r="B59" s="29"/>
      <c r="C59" s="22"/>
      <c r="D59" s="22"/>
      <c r="E59" s="18"/>
      <c r="F59" s="22"/>
      <c r="G59" s="22"/>
      <c r="H59" s="18"/>
      <c r="I59" s="22"/>
      <c r="J59" s="22"/>
      <c r="K59" s="18"/>
      <c r="L59" s="22"/>
      <c r="M59" s="22"/>
      <c r="N59" s="18"/>
      <c r="O59" s="22"/>
      <c r="P59" s="22"/>
      <c r="Q59" s="18"/>
      <c r="R59" s="22"/>
      <c r="S59" s="22"/>
      <c r="T59" s="18"/>
      <c r="U59" s="22"/>
      <c r="V59" s="22"/>
      <c r="W59" s="18"/>
      <c r="X59" s="18"/>
      <c r="Y59" s="17"/>
      <c r="Z59" s="17"/>
      <c r="AA59" s="17"/>
      <c r="AB59" s="17"/>
      <c r="AC59" s="17"/>
      <c r="AD59" s="17"/>
      <c r="AE59" s="17"/>
      <c r="AF59" s="17"/>
      <c r="AG59" s="17"/>
      <c r="AH59" s="1"/>
    </row>
    <row r="60" spans="1:35" ht="24.75" customHeight="1" thickBot="1">
      <c r="A60" s="785"/>
      <c r="B60" s="727" t="s">
        <v>29</v>
      </c>
      <c r="C60" s="786">
        <v>1</v>
      </c>
      <c r="D60" s="787">
        <v>2</v>
      </c>
      <c r="E60" s="787">
        <v>3</v>
      </c>
      <c r="F60" s="787">
        <v>4</v>
      </c>
      <c r="G60" s="787">
        <v>5</v>
      </c>
      <c r="H60" s="787">
        <v>6</v>
      </c>
      <c r="I60" s="786">
        <v>7</v>
      </c>
      <c r="J60" s="786">
        <v>8</v>
      </c>
      <c r="K60" s="787">
        <v>9</v>
      </c>
      <c r="L60" s="787">
        <v>10</v>
      </c>
      <c r="M60" s="787">
        <v>11</v>
      </c>
      <c r="N60" s="787">
        <v>12</v>
      </c>
      <c r="O60" s="787">
        <v>13</v>
      </c>
      <c r="P60" s="786">
        <v>14</v>
      </c>
      <c r="Q60" s="786">
        <v>15</v>
      </c>
      <c r="R60" s="787">
        <v>16</v>
      </c>
      <c r="S60" s="787">
        <v>17</v>
      </c>
      <c r="T60" s="787">
        <v>18</v>
      </c>
      <c r="U60" s="787">
        <v>19</v>
      </c>
      <c r="V60" s="787">
        <v>20</v>
      </c>
      <c r="W60" s="786">
        <v>21</v>
      </c>
      <c r="X60" s="786">
        <v>22</v>
      </c>
      <c r="Y60" s="787">
        <v>23</v>
      </c>
      <c r="Z60" s="787">
        <v>24</v>
      </c>
      <c r="AA60" s="787">
        <v>25</v>
      </c>
      <c r="AB60" s="787">
        <v>26</v>
      </c>
      <c r="AC60" s="787">
        <v>27</v>
      </c>
      <c r="AD60" s="786">
        <v>28</v>
      </c>
      <c r="AE60" s="786">
        <v>29</v>
      </c>
      <c r="AF60" s="787">
        <v>30</v>
      </c>
      <c r="AG60" s="788">
        <v>31</v>
      </c>
      <c r="AH60" s="1"/>
    </row>
    <row r="61" spans="1:35" ht="24.75" customHeight="1" thickBot="1">
      <c r="A61" s="789"/>
      <c r="B61" s="675" t="s">
        <v>106</v>
      </c>
      <c r="C61" s="790"/>
      <c r="D61" s="682">
        <v>5</v>
      </c>
      <c r="E61" s="682">
        <v>5</v>
      </c>
      <c r="F61" s="682">
        <v>5</v>
      </c>
      <c r="G61" s="682">
        <v>5</v>
      </c>
      <c r="H61" s="791" t="s">
        <v>107</v>
      </c>
      <c r="I61" s="742" t="s">
        <v>72</v>
      </c>
      <c r="J61" s="577" t="s">
        <v>72</v>
      </c>
      <c r="K61" s="570" t="s">
        <v>35</v>
      </c>
      <c r="L61" s="570" t="s">
        <v>35</v>
      </c>
      <c r="M61" s="570" t="s">
        <v>35</v>
      </c>
      <c r="N61" s="570" t="s">
        <v>35</v>
      </c>
      <c r="O61" s="570" t="s">
        <v>35</v>
      </c>
      <c r="P61" s="548" t="s">
        <v>108</v>
      </c>
      <c r="Q61" s="548"/>
      <c r="R61" s="548">
        <v>79</v>
      </c>
      <c r="S61" s="548">
        <v>79</v>
      </c>
      <c r="T61" s="548">
        <v>79</v>
      </c>
      <c r="U61" s="679" t="s">
        <v>44</v>
      </c>
      <c r="V61" s="679" t="s">
        <v>44</v>
      </c>
      <c r="W61" s="679" t="s">
        <v>44</v>
      </c>
      <c r="X61" s="792"/>
      <c r="Y61" s="793" t="s">
        <v>35</v>
      </c>
      <c r="Z61" s="793" t="s">
        <v>35</v>
      </c>
      <c r="AA61" s="793" t="s">
        <v>35</v>
      </c>
      <c r="AB61" s="792" t="s">
        <v>35</v>
      </c>
      <c r="AC61" s="792">
        <v>6</v>
      </c>
      <c r="AD61" s="794"/>
      <c r="AE61" s="794" t="s">
        <v>109</v>
      </c>
      <c r="AF61" s="548" t="s">
        <v>110</v>
      </c>
      <c r="AG61" s="795" t="s">
        <v>110</v>
      </c>
      <c r="AH61" s="1"/>
    </row>
    <row r="62" spans="1:35" ht="24.75" customHeight="1">
      <c r="A62" s="509"/>
      <c r="B62" s="675" t="s">
        <v>111</v>
      </c>
      <c r="C62" s="656"/>
      <c r="D62" s="656" t="s">
        <v>112</v>
      </c>
      <c r="E62" s="656">
        <v>1</v>
      </c>
      <c r="F62" s="656">
        <v>1</v>
      </c>
      <c r="G62" s="656">
        <v>1</v>
      </c>
      <c r="H62" s="656">
        <v>1</v>
      </c>
      <c r="I62" s="570" t="s">
        <v>45</v>
      </c>
      <c r="J62" s="751" t="s">
        <v>45</v>
      </c>
      <c r="K62" s="679">
        <v>26</v>
      </c>
      <c r="L62" s="681">
        <v>26</v>
      </c>
      <c r="M62" s="679">
        <v>26</v>
      </c>
      <c r="N62" s="512">
        <v>26</v>
      </c>
      <c r="O62" s="512">
        <v>26</v>
      </c>
      <c r="P62" s="512">
        <v>26</v>
      </c>
      <c r="Q62" s="512">
        <v>26</v>
      </c>
      <c r="R62" s="570" t="s">
        <v>35</v>
      </c>
      <c r="S62" s="570" t="s">
        <v>35</v>
      </c>
      <c r="T62" s="570" t="s">
        <v>35</v>
      </c>
      <c r="U62" s="570" t="s">
        <v>35</v>
      </c>
      <c r="V62" s="570" t="s">
        <v>35</v>
      </c>
      <c r="W62" s="570" t="s">
        <v>75</v>
      </c>
      <c r="X62" s="751" t="s">
        <v>69</v>
      </c>
      <c r="Y62" s="570">
        <v>6</v>
      </c>
      <c r="Z62" s="570">
        <v>6</v>
      </c>
      <c r="AA62" s="570">
        <v>6</v>
      </c>
      <c r="AB62" s="570">
        <v>6</v>
      </c>
      <c r="AC62" s="664">
        <v>6</v>
      </c>
      <c r="AD62" s="570" t="s">
        <v>45</v>
      </c>
      <c r="AE62" s="570" t="s">
        <v>45</v>
      </c>
      <c r="AF62" s="796" t="s">
        <v>35</v>
      </c>
      <c r="AG62" s="796" t="s">
        <v>35</v>
      </c>
      <c r="AH62" s="1"/>
    </row>
    <row r="63" spans="1:35" ht="24.75" customHeight="1" thickBot="1">
      <c r="A63" s="675"/>
      <c r="B63" s="507" t="s">
        <v>113</v>
      </c>
      <c r="C63" s="679"/>
      <c r="D63" s="797" t="s">
        <v>114</v>
      </c>
      <c r="E63" s="797" t="s">
        <v>114</v>
      </c>
      <c r="F63" s="797" t="s">
        <v>114</v>
      </c>
      <c r="G63" s="797" t="s">
        <v>114</v>
      </c>
      <c r="H63" s="797" t="s">
        <v>114</v>
      </c>
      <c r="I63" s="751"/>
      <c r="J63" s="751"/>
      <c r="K63" s="796" t="s">
        <v>114</v>
      </c>
      <c r="L63" s="796" t="s">
        <v>114</v>
      </c>
      <c r="M63" s="796" t="s">
        <v>114</v>
      </c>
      <c r="N63" s="798" t="s">
        <v>114</v>
      </c>
      <c r="O63" s="799" t="s">
        <v>114</v>
      </c>
      <c r="P63" s="514"/>
      <c r="Q63" s="514"/>
      <c r="R63" s="796" t="s">
        <v>115</v>
      </c>
      <c r="S63" s="796" t="s">
        <v>115</v>
      </c>
      <c r="T63" s="796" t="s">
        <v>115</v>
      </c>
      <c r="U63" s="796" t="s">
        <v>115</v>
      </c>
      <c r="V63" s="796" t="s">
        <v>115</v>
      </c>
      <c r="W63" s="798" t="s">
        <v>115</v>
      </c>
      <c r="X63" s="798" t="s">
        <v>69</v>
      </c>
      <c r="Y63" s="796" t="s">
        <v>35</v>
      </c>
      <c r="Z63" s="796" t="s">
        <v>35</v>
      </c>
      <c r="AA63" s="796" t="s">
        <v>35</v>
      </c>
      <c r="AB63" s="796" t="s">
        <v>35</v>
      </c>
      <c r="AC63" s="798">
        <v>6</v>
      </c>
      <c r="AD63" s="679" t="s">
        <v>108</v>
      </c>
      <c r="AE63" s="679" t="s">
        <v>108</v>
      </c>
      <c r="AF63" s="796" t="s">
        <v>35</v>
      </c>
      <c r="AG63" s="751" t="s">
        <v>35</v>
      </c>
      <c r="AH63" s="1"/>
    </row>
    <row r="64" spans="1:35" ht="24.75" customHeight="1">
      <c r="A64" s="507"/>
      <c r="B64" s="511" t="s">
        <v>116</v>
      </c>
      <c r="C64" s="679"/>
      <c r="D64" s="534">
        <v>26</v>
      </c>
      <c r="E64" s="534">
        <v>26</v>
      </c>
      <c r="F64" s="534">
        <v>26</v>
      </c>
      <c r="G64" s="534">
        <v>26</v>
      </c>
      <c r="H64" s="534">
        <v>26</v>
      </c>
      <c r="I64" s="512" t="s">
        <v>117</v>
      </c>
      <c r="J64" s="512">
        <v>26</v>
      </c>
      <c r="K64" s="800" t="s">
        <v>35</v>
      </c>
      <c r="L64" s="514" t="s">
        <v>35</v>
      </c>
      <c r="M64" s="679" t="s">
        <v>35</v>
      </c>
      <c r="N64" s="512" t="s">
        <v>118</v>
      </c>
      <c r="O64" s="512" t="s">
        <v>119</v>
      </c>
      <c r="P64" s="512"/>
      <c r="Q64" s="512"/>
      <c r="R64" s="512">
        <v>5</v>
      </c>
      <c r="S64" s="679">
        <v>5</v>
      </c>
      <c r="T64" s="679">
        <v>5</v>
      </c>
      <c r="U64" s="671">
        <v>5</v>
      </c>
      <c r="V64" s="513" t="s">
        <v>120</v>
      </c>
      <c r="W64" s="681"/>
      <c r="X64" s="513"/>
      <c r="Y64" s="679" t="s">
        <v>121</v>
      </c>
      <c r="Z64" s="679" t="s">
        <v>121</v>
      </c>
      <c r="AA64" s="679" t="s">
        <v>121</v>
      </c>
      <c r="AB64" s="679" t="s">
        <v>121</v>
      </c>
      <c r="AC64" s="679" t="s">
        <v>121</v>
      </c>
      <c r="AD64" s="801" t="s">
        <v>68</v>
      </c>
      <c r="AE64" s="802" t="s">
        <v>68</v>
      </c>
      <c r="AF64" s="679" t="s">
        <v>35</v>
      </c>
      <c r="AG64" s="683" t="s">
        <v>35</v>
      </c>
      <c r="AH64" s="1"/>
    </row>
    <row r="65" spans="1:36" ht="24.75" customHeight="1">
      <c r="A65" s="507"/>
      <c r="B65" s="511" t="s">
        <v>122</v>
      </c>
      <c r="C65" s="679" t="s">
        <v>0</v>
      </c>
      <c r="D65" s="679" t="s">
        <v>123</v>
      </c>
      <c r="E65" s="512" t="s">
        <v>123</v>
      </c>
      <c r="F65" s="512" t="s">
        <v>123</v>
      </c>
      <c r="G65" s="549" t="s">
        <v>123</v>
      </c>
      <c r="H65" s="512" t="s">
        <v>123</v>
      </c>
      <c r="I65" s="679"/>
      <c r="J65" s="680"/>
      <c r="K65" s="512" t="s">
        <v>123</v>
      </c>
      <c r="L65" s="512" t="s">
        <v>123</v>
      </c>
      <c r="M65" s="512" t="s">
        <v>123</v>
      </c>
      <c r="N65" s="512" t="s">
        <v>123</v>
      </c>
      <c r="O65" s="512" t="s">
        <v>123</v>
      </c>
      <c r="P65" s="680"/>
      <c r="Q65" s="679"/>
      <c r="R65" s="679">
        <v>26</v>
      </c>
      <c r="S65" s="679">
        <v>26</v>
      </c>
      <c r="T65" s="679">
        <v>26</v>
      </c>
      <c r="U65" s="679">
        <v>26</v>
      </c>
      <c r="V65" s="679">
        <v>26</v>
      </c>
      <c r="W65" s="512"/>
      <c r="X65" s="512"/>
      <c r="Y65" s="679" t="s">
        <v>44</v>
      </c>
      <c r="Z65" s="679" t="s">
        <v>44</v>
      </c>
      <c r="AA65" s="679" t="s">
        <v>44</v>
      </c>
      <c r="AB65" s="796" t="s">
        <v>35</v>
      </c>
      <c r="AC65" s="796" t="s">
        <v>35</v>
      </c>
      <c r="AD65" s="679"/>
      <c r="AE65" s="679" t="s">
        <v>44</v>
      </c>
      <c r="AF65" s="679" t="s">
        <v>44</v>
      </c>
      <c r="AG65" s="679" t="s">
        <v>44</v>
      </c>
      <c r="AH65" s="1"/>
    </row>
    <row r="66" spans="1:36" ht="24.75" customHeight="1" thickBot="1">
      <c r="A66" s="507"/>
      <c r="B66" s="507" t="s">
        <v>124</v>
      </c>
      <c r="C66" s="682"/>
      <c r="D66" s="679">
        <v>4</v>
      </c>
      <c r="E66" s="679">
        <v>4</v>
      </c>
      <c r="F66" s="679">
        <v>4</v>
      </c>
      <c r="G66" s="677">
        <v>4</v>
      </c>
      <c r="H66" s="678">
        <v>4</v>
      </c>
      <c r="I66" s="681"/>
      <c r="J66" s="513"/>
      <c r="K66" s="671">
        <v>5</v>
      </c>
      <c r="L66" s="671">
        <v>5</v>
      </c>
      <c r="M66" s="671">
        <v>5</v>
      </c>
      <c r="N66" s="679">
        <v>5</v>
      </c>
      <c r="O66" s="514" t="s">
        <v>31</v>
      </c>
      <c r="P66" s="514"/>
      <c r="Q66" s="679"/>
      <c r="R66" s="679" t="s">
        <v>121</v>
      </c>
      <c r="S66" s="679" t="s">
        <v>121</v>
      </c>
      <c r="T66" s="679" t="s">
        <v>121</v>
      </c>
      <c r="U66" s="679" t="s">
        <v>121</v>
      </c>
      <c r="V66" s="679" t="s">
        <v>121</v>
      </c>
      <c r="W66" s="803"/>
      <c r="X66" s="679" t="s">
        <v>0</v>
      </c>
      <c r="Y66" s="804" t="s">
        <v>110</v>
      </c>
      <c r="Z66" s="679" t="s">
        <v>110</v>
      </c>
      <c r="AA66" s="517" t="s">
        <v>110</v>
      </c>
      <c r="AB66" s="517" t="s">
        <v>110</v>
      </c>
      <c r="AC66" s="517" t="s">
        <v>110</v>
      </c>
      <c r="AD66" s="517" t="s">
        <v>108</v>
      </c>
      <c r="AE66" s="517" t="s">
        <v>108</v>
      </c>
      <c r="AF66" s="517" t="s">
        <v>35</v>
      </c>
      <c r="AG66" s="805" t="s">
        <v>125</v>
      </c>
      <c r="AH66" s="1"/>
    </row>
    <row r="67" spans="1:36" ht="24.75" customHeight="1">
      <c r="A67" s="507"/>
      <c r="B67" s="511" t="s">
        <v>126</v>
      </c>
      <c r="C67" s="671"/>
      <c r="D67" s="512">
        <v>25</v>
      </c>
      <c r="E67" s="512">
        <v>25</v>
      </c>
      <c r="F67" s="671">
        <v>25</v>
      </c>
      <c r="G67" s="671">
        <v>25</v>
      </c>
      <c r="H67" s="671" t="s">
        <v>127</v>
      </c>
      <c r="I67" s="679"/>
      <c r="J67" s="679"/>
      <c r="K67" s="806">
        <v>69</v>
      </c>
      <c r="L67" s="512" t="s">
        <v>128</v>
      </c>
      <c r="M67" s="512">
        <v>69</v>
      </c>
      <c r="N67" s="679">
        <v>69</v>
      </c>
      <c r="O67" s="679">
        <v>69</v>
      </c>
      <c r="P67" s="679"/>
      <c r="Q67" s="679"/>
      <c r="R67" s="512" t="s">
        <v>35</v>
      </c>
      <c r="S67" s="512" t="s">
        <v>35</v>
      </c>
      <c r="T67" s="512" t="s">
        <v>35</v>
      </c>
      <c r="U67" s="512" t="s">
        <v>35</v>
      </c>
      <c r="V67" s="512" t="s">
        <v>35</v>
      </c>
      <c r="W67" s="679" t="s">
        <v>44</v>
      </c>
      <c r="X67" s="679" t="s">
        <v>44</v>
      </c>
      <c r="Y67" s="801">
        <v>11</v>
      </c>
      <c r="Z67" s="802">
        <v>11</v>
      </c>
      <c r="AA67" s="802">
        <v>11</v>
      </c>
      <c r="AB67" s="801">
        <v>11</v>
      </c>
      <c r="AC67" s="801">
        <v>11</v>
      </c>
      <c r="AD67" s="801" t="s">
        <v>0</v>
      </c>
      <c r="AE67" s="802" t="s">
        <v>0</v>
      </c>
      <c r="AF67" s="682" t="s">
        <v>35</v>
      </c>
      <c r="AG67" s="682" t="s">
        <v>35</v>
      </c>
      <c r="AH67" s="1"/>
    </row>
    <row r="68" spans="1:36" ht="24.75" customHeight="1">
      <c r="A68" s="507"/>
      <c r="B68" s="675" t="s">
        <v>129</v>
      </c>
      <c r="C68" s="534"/>
      <c r="D68" s="534">
        <v>5</v>
      </c>
      <c r="E68" s="534">
        <v>5</v>
      </c>
      <c r="F68" s="534">
        <v>5</v>
      </c>
      <c r="G68" s="534">
        <v>5</v>
      </c>
      <c r="H68" s="534">
        <v>5</v>
      </c>
      <c r="I68" s="534"/>
      <c r="J68" s="534"/>
      <c r="K68" s="671" t="s">
        <v>31</v>
      </c>
      <c r="L68" s="535" t="s">
        <v>31</v>
      </c>
      <c r="M68" s="535" t="s">
        <v>31</v>
      </c>
      <c r="N68" s="535" t="s">
        <v>31</v>
      </c>
      <c r="O68" s="535" t="s">
        <v>31</v>
      </c>
      <c r="P68" s="535" t="s">
        <v>0</v>
      </c>
      <c r="Q68" s="535" t="s">
        <v>0</v>
      </c>
      <c r="R68" s="671" t="s">
        <v>31</v>
      </c>
      <c r="S68" s="535" t="s">
        <v>31</v>
      </c>
      <c r="T68" s="535" t="s">
        <v>31</v>
      </c>
      <c r="U68" s="535" t="s">
        <v>31</v>
      </c>
      <c r="V68" s="535" t="s">
        <v>31</v>
      </c>
      <c r="W68" s="535"/>
      <c r="X68" s="535"/>
      <c r="Y68" s="671" t="s">
        <v>31</v>
      </c>
      <c r="Z68" s="535" t="s">
        <v>31</v>
      </c>
      <c r="AA68" s="535" t="s">
        <v>31</v>
      </c>
      <c r="AB68" s="535" t="s">
        <v>31</v>
      </c>
      <c r="AC68" s="535" t="s">
        <v>31</v>
      </c>
      <c r="AD68" s="679"/>
      <c r="AE68" s="679"/>
      <c r="AF68" s="671" t="s">
        <v>31</v>
      </c>
      <c r="AG68" s="535" t="s">
        <v>31</v>
      </c>
      <c r="AH68" s="1"/>
    </row>
    <row r="69" spans="1:36" ht="24.75" customHeight="1" thickBot="1">
      <c r="A69" s="511"/>
      <c r="B69" s="675" t="s">
        <v>130</v>
      </c>
      <c r="C69" s="679"/>
      <c r="D69" s="679" t="s">
        <v>110</v>
      </c>
      <c r="E69" s="679" t="s">
        <v>110</v>
      </c>
      <c r="F69" s="516" t="s">
        <v>110</v>
      </c>
      <c r="G69" s="681" t="s">
        <v>110</v>
      </c>
      <c r="H69" s="681" t="s">
        <v>110</v>
      </c>
      <c r="I69" s="679" t="s">
        <v>108</v>
      </c>
      <c r="J69" s="679" t="s">
        <v>108</v>
      </c>
      <c r="K69" s="679" t="s">
        <v>35</v>
      </c>
      <c r="L69" s="679" t="s">
        <v>35</v>
      </c>
      <c r="M69" s="679" t="s">
        <v>35</v>
      </c>
      <c r="N69" s="671" t="s">
        <v>35</v>
      </c>
      <c r="O69" s="679" t="s">
        <v>35</v>
      </c>
      <c r="P69" s="647" t="s">
        <v>67</v>
      </c>
      <c r="Q69" s="577" t="s">
        <v>67</v>
      </c>
      <c r="R69" s="647">
        <v>7</v>
      </c>
      <c r="S69" s="577">
        <v>7</v>
      </c>
      <c r="T69" s="577">
        <v>7</v>
      </c>
      <c r="U69" s="577">
        <v>7</v>
      </c>
      <c r="V69" s="577">
        <v>7</v>
      </c>
      <c r="W69" s="679"/>
      <c r="X69" s="679"/>
      <c r="Y69" s="680" t="s">
        <v>35</v>
      </c>
      <c r="Z69" s="680" t="s">
        <v>35</v>
      </c>
      <c r="AA69" s="679" t="s">
        <v>35</v>
      </c>
      <c r="AB69" s="679" t="s">
        <v>44</v>
      </c>
      <c r="AC69" s="679" t="s">
        <v>131</v>
      </c>
      <c r="AD69" s="679">
        <v>26</v>
      </c>
      <c r="AE69" s="679">
        <v>26</v>
      </c>
      <c r="AF69" s="680" t="s">
        <v>35</v>
      </c>
      <c r="AG69" s="680" t="s">
        <v>35</v>
      </c>
      <c r="AH69" s="1"/>
    </row>
    <row r="70" spans="1:36" ht="24.75" customHeight="1">
      <c r="A70" s="511"/>
      <c r="B70" s="520" t="s">
        <v>132</v>
      </c>
      <c r="C70" s="518" t="s">
        <v>108</v>
      </c>
      <c r="D70" s="389" t="s">
        <v>118</v>
      </c>
      <c r="E70" s="549" t="s">
        <v>118</v>
      </c>
      <c r="F70" s="549" t="s">
        <v>35</v>
      </c>
      <c r="G70" s="679" t="s">
        <v>35</v>
      </c>
      <c r="H70" s="679" t="s">
        <v>35</v>
      </c>
      <c r="I70" s="518"/>
      <c r="J70" s="518"/>
      <c r="K70" s="518">
        <v>3</v>
      </c>
      <c r="L70" s="518">
        <v>3</v>
      </c>
      <c r="M70" s="518">
        <v>3</v>
      </c>
      <c r="N70" s="518">
        <v>3</v>
      </c>
      <c r="O70" s="518">
        <v>3</v>
      </c>
      <c r="P70" s="518"/>
      <c r="Q70" s="518"/>
      <c r="R70" s="570">
        <v>69</v>
      </c>
      <c r="S70" s="679" t="s">
        <v>44</v>
      </c>
      <c r="T70" s="679" t="s">
        <v>44</v>
      </c>
      <c r="U70" s="656" t="s">
        <v>35</v>
      </c>
      <c r="V70" s="570" t="s">
        <v>35</v>
      </c>
      <c r="W70" s="518"/>
      <c r="X70" s="518"/>
      <c r="Y70" s="518">
        <v>4</v>
      </c>
      <c r="Z70" s="518">
        <v>4</v>
      </c>
      <c r="AA70" s="518">
        <v>4</v>
      </c>
      <c r="AB70" s="514">
        <v>4</v>
      </c>
      <c r="AC70" s="518">
        <v>4</v>
      </c>
      <c r="AD70" s="518"/>
      <c r="AE70" s="518"/>
      <c r="AF70" s="518" t="s">
        <v>35</v>
      </c>
      <c r="AG70" s="679" t="s">
        <v>44</v>
      </c>
      <c r="AH70" s="1"/>
      <c r="AJ70" t="s">
        <v>0</v>
      </c>
    </row>
    <row r="71" spans="1:36" ht="24.75" customHeight="1">
      <c r="A71" s="682"/>
      <c r="B71" s="807" t="s">
        <v>133</v>
      </c>
      <c r="C71" s="682">
        <v>26</v>
      </c>
      <c r="D71" s="549" t="s">
        <v>35</v>
      </c>
      <c r="E71" s="808" t="s">
        <v>35</v>
      </c>
      <c r="F71" s="682" t="s">
        <v>35</v>
      </c>
      <c r="G71" s="682" t="s">
        <v>35</v>
      </c>
      <c r="H71" s="682">
        <v>5</v>
      </c>
      <c r="I71" s="682">
        <v>26</v>
      </c>
      <c r="J71" s="682"/>
      <c r="K71" s="809">
        <v>25</v>
      </c>
      <c r="L71" s="809">
        <v>25</v>
      </c>
      <c r="M71" s="809">
        <v>25</v>
      </c>
      <c r="N71" s="534">
        <v>25</v>
      </c>
      <c r="O71" s="534" t="s">
        <v>134</v>
      </c>
      <c r="P71" s="64" t="s">
        <v>109</v>
      </c>
      <c r="Q71" s="535"/>
      <c r="R71" s="679" t="s">
        <v>44</v>
      </c>
      <c r="S71" s="679" t="s">
        <v>44</v>
      </c>
      <c r="T71" s="679" t="s">
        <v>44</v>
      </c>
      <c r="U71" s="570" t="s">
        <v>35</v>
      </c>
      <c r="V71" s="570" t="s">
        <v>35</v>
      </c>
      <c r="W71" s="512">
        <v>26</v>
      </c>
      <c r="X71" s="64" t="s">
        <v>45</v>
      </c>
      <c r="Y71" s="682" t="s">
        <v>35</v>
      </c>
      <c r="Z71" s="682" t="s">
        <v>35</v>
      </c>
      <c r="AA71" s="682" t="s">
        <v>35</v>
      </c>
      <c r="AB71" s="679" t="s">
        <v>44</v>
      </c>
      <c r="AC71" s="682" t="s">
        <v>35</v>
      </c>
      <c r="AD71" s="679" t="s">
        <v>44</v>
      </c>
      <c r="AE71" s="679" t="s">
        <v>44</v>
      </c>
      <c r="AF71" s="682" t="s">
        <v>35</v>
      </c>
      <c r="AG71" s="682" t="s">
        <v>35</v>
      </c>
      <c r="AH71" s="1"/>
    </row>
    <row r="72" spans="1:36" ht="24.75" customHeight="1">
      <c r="A72" s="682"/>
      <c r="B72" s="684" t="s">
        <v>135</v>
      </c>
      <c r="C72" s="682">
        <v>23</v>
      </c>
      <c r="D72" s="682" t="s">
        <v>35</v>
      </c>
      <c r="E72" s="682" t="s">
        <v>35</v>
      </c>
      <c r="F72" s="682" t="s">
        <v>35</v>
      </c>
      <c r="G72" s="682" t="s">
        <v>35</v>
      </c>
      <c r="H72" s="810" t="s">
        <v>127</v>
      </c>
      <c r="I72" s="682"/>
      <c r="J72" s="682"/>
      <c r="K72" s="656" t="s">
        <v>136</v>
      </c>
      <c r="L72" s="656" t="s">
        <v>136</v>
      </c>
      <c r="M72" s="656" t="s">
        <v>136</v>
      </c>
      <c r="N72" s="656" t="s">
        <v>136</v>
      </c>
      <c r="O72" s="656">
        <v>4</v>
      </c>
      <c r="P72" s="682"/>
      <c r="Q72" s="682"/>
      <c r="R72" s="811" t="s">
        <v>35</v>
      </c>
      <c r="S72" s="575">
        <v>22</v>
      </c>
      <c r="T72" s="575">
        <v>22</v>
      </c>
      <c r="U72" s="575">
        <v>22</v>
      </c>
      <c r="V72" s="575">
        <v>22</v>
      </c>
      <c r="W72" s="575">
        <v>22</v>
      </c>
      <c r="X72" s="575">
        <v>22</v>
      </c>
      <c r="Y72" s="682" t="s">
        <v>35</v>
      </c>
      <c r="Z72" s="682" t="s">
        <v>35</v>
      </c>
      <c r="AA72" s="682" t="s">
        <v>35</v>
      </c>
      <c r="AB72" s="682" t="s">
        <v>35</v>
      </c>
      <c r="AC72" s="682" t="s">
        <v>35</v>
      </c>
      <c r="AD72" s="570" t="s">
        <v>75</v>
      </c>
      <c r="AE72" s="751" t="s">
        <v>69</v>
      </c>
      <c r="AF72" s="570">
        <v>6</v>
      </c>
      <c r="AG72" s="570">
        <v>6</v>
      </c>
      <c r="AH72" s="1"/>
    </row>
    <row r="73" spans="1:36" ht="24.75" customHeight="1" thickBot="1">
      <c r="A73" s="682" t="s">
        <v>0</v>
      </c>
      <c r="B73" s="812" t="s">
        <v>137</v>
      </c>
      <c r="C73" s="679" t="s">
        <v>67</v>
      </c>
      <c r="D73" s="518">
        <v>6</v>
      </c>
      <c r="E73" s="518">
        <v>6</v>
      </c>
      <c r="F73" s="518">
        <v>6</v>
      </c>
      <c r="G73" s="518">
        <v>6</v>
      </c>
      <c r="H73" s="518">
        <v>26</v>
      </c>
      <c r="I73" s="813"/>
      <c r="J73" s="813"/>
      <c r="K73" s="575">
        <v>9</v>
      </c>
      <c r="L73" s="575">
        <v>9</v>
      </c>
      <c r="M73" s="575">
        <v>9</v>
      </c>
      <c r="N73" s="656">
        <v>9</v>
      </c>
      <c r="O73" s="570">
        <v>9</v>
      </c>
      <c r="P73" s="570" t="s">
        <v>70</v>
      </c>
      <c r="Q73" s="570" t="s">
        <v>70</v>
      </c>
      <c r="R73" s="682" t="s">
        <v>35</v>
      </c>
      <c r="S73" s="682" t="s">
        <v>35</v>
      </c>
      <c r="T73" s="682" t="s">
        <v>35</v>
      </c>
      <c r="U73" s="679" t="s">
        <v>44</v>
      </c>
      <c r="V73" s="679" t="s">
        <v>44</v>
      </c>
      <c r="W73" s="813" t="s">
        <v>0</v>
      </c>
      <c r="X73" s="512">
        <v>26</v>
      </c>
      <c r="Y73" s="679" t="s">
        <v>44</v>
      </c>
      <c r="Z73" s="679" t="s">
        <v>44</v>
      </c>
      <c r="AA73" s="679" t="s">
        <v>44</v>
      </c>
      <c r="AB73" s="694" t="s">
        <v>35</v>
      </c>
      <c r="AC73" s="694" t="s">
        <v>35</v>
      </c>
      <c r="AD73" s="813"/>
      <c r="AE73" s="813"/>
      <c r="AF73" s="813" t="s">
        <v>35</v>
      </c>
      <c r="AG73" s="814" t="s">
        <v>35</v>
      </c>
      <c r="AH73" s="1"/>
    </row>
    <row r="74" spans="1:36" ht="24.75" customHeight="1" thickBot="1">
      <c r="A74" s="815"/>
      <c r="B74" s="816"/>
      <c r="C74" s="548"/>
      <c r="D74" s="817"/>
      <c r="E74" s="817"/>
      <c r="F74" s="672"/>
      <c r="G74" s="672"/>
      <c r="H74" s="672"/>
      <c r="I74" s="672"/>
      <c r="J74" s="672"/>
      <c r="K74" s="672"/>
      <c r="L74" s="817"/>
      <c r="M74" s="817"/>
      <c r="N74" s="817"/>
      <c r="O74" s="817"/>
      <c r="P74" s="817"/>
      <c r="Q74" s="817"/>
      <c r="R74" s="817"/>
      <c r="S74" s="817"/>
      <c r="T74" s="817"/>
      <c r="U74" s="548"/>
      <c r="W74" s="548"/>
      <c r="X74" s="548"/>
      <c r="Y74" s="548"/>
      <c r="Z74" s="548"/>
      <c r="AA74" s="548"/>
      <c r="AB74" s="548"/>
      <c r="AC74" s="548"/>
      <c r="AD74" s="548"/>
      <c r="AE74" s="548"/>
      <c r="AF74" s="548"/>
      <c r="AG74" s="795"/>
      <c r="AH74" s="1"/>
    </row>
    <row r="75" spans="1:36" ht="24.75" customHeight="1" thickBot="1">
      <c r="A75" s="818"/>
      <c r="B75" s="819"/>
      <c r="C75" s="820"/>
      <c r="D75" s="820"/>
      <c r="E75" s="820"/>
      <c r="F75" s="820"/>
      <c r="G75" s="820"/>
      <c r="H75" s="820"/>
      <c r="I75" s="820"/>
      <c r="J75" s="820"/>
      <c r="K75" s="820"/>
      <c r="L75" s="820"/>
      <c r="M75" s="820"/>
      <c r="N75" s="820"/>
      <c r="O75" s="820"/>
      <c r="P75" s="820"/>
      <c r="Q75" s="820"/>
      <c r="R75" s="820"/>
      <c r="S75" s="820"/>
      <c r="T75" s="820"/>
      <c r="U75" s="820"/>
      <c r="V75" s="820"/>
      <c r="W75" s="820"/>
      <c r="X75" s="820"/>
      <c r="Y75" s="820" t="s">
        <v>0</v>
      </c>
      <c r="Z75" s="820"/>
      <c r="AA75" s="820"/>
      <c r="AB75" s="820"/>
      <c r="AC75" s="820"/>
      <c r="AD75" s="820"/>
      <c r="AE75" s="820"/>
      <c r="AF75" s="820"/>
      <c r="AG75" s="821"/>
      <c r="AH75" s="1"/>
    </row>
    <row r="76" spans="1:36" ht="24.75" customHeight="1" thickBot="1">
      <c r="A76" s="473"/>
      <c r="B76" s="474" t="s">
        <v>138</v>
      </c>
      <c r="C76" s="646">
        <v>1</v>
      </c>
      <c r="D76" s="647">
        <v>2</v>
      </c>
      <c r="E76" s="647">
        <v>3</v>
      </c>
      <c r="F76" s="647">
        <v>4</v>
      </c>
      <c r="G76" s="647">
        <v>5</v>
      </c>
      <c r="H76" s="647">
        <v>6</v>
      </c>
      <c r="I76" s="646">
        <v>7</v>
      </c>
      <c r="J76" s="646">
        <v>8</v>
      </c>
      <c r="K76" s="647">
        <v>9</v>
      </c>
      <c r="L76" s="647">
        <v>10</v>
      </c>
      <c r="M76" s="647">
        <v>11</v>
      </c>
      <c r="N76" s="647">
        <v>12</v>
      </c>
      <c r="O76" s="647">
        <v>13</v>
      </c>
      <c r="P76" s="646">
        <v>14</v>
      </c>
      <c r="Q76" s="646">
        <v>15</v>
      </c>
      <c r="R76" s="647">
        <v>16</v>
      </c>
      <c r="S76" s="647">
        <v>17</v>
      </c>
      <c r="T76" s="647">
        <v>18</v>
      </c>
      <c r="U76" s="647">
        <v>19</v>
      </c>
      <c r="V76" s="647">
        <v>20</v>
      </c>
      <c r="W76" s="646">
        <v>21</v>
      </c>
      <c r="X76" s="646">
        <v>22</v>
      </c>
      <c r="Y76" s="647">
        <v>23</v>
      </c>
      <c r="Z76" s="647">
        <v>24</v>
      </c>
      <c r="AA76" s="647">
        <v>25</v>
      </c>
      <c r="AB76" s="647">
        <v>26</v>
      </c>
      <c r="AC76" s="647">
        <v>27</v>
      </c>
      <c r="AD76" s="646">
        <v>28</v>
      </c>
      <c r="AE76" s="646">
        <v>29</v>
      </c>
      <c r="AF76" s="647">
        <v>30</v>
      </c>
      <c r="AG76" s="648">
        <v>31</v>
      </c>
      <c r="AH76" s="1"/>
    </row>
    <row r="77" spans="1:36" ht="24.75" customHeight="1">
      <c r="A77" s="816"/>
      <c r="B77" s="511" t="s">
        <v>139</v>
      </c>
      <c r="C77" s="548" t="s">
        <v>0</v>
      </c>
      <c r="D77" s="679">
        <v>1</v>
      </c>
      <c r="E77" s="679" t="s">
        <v>47</v>
      </c>
      <c r="F77" s="679" t="s">
        <v>47</v>
      </c>
      <c r="G77" s="679">
        <v>4</v>
      </c>
      <c r="H77" s="679">
        <v>4</v>
      </c>
      <c r="I77" s="679"/>
      <c r="J77" s="679"/>
      <c r="K77" s="656">
        <v>1</v>
      </c>
      <c r="L77" s="656">
        <v>1</v>
      </c>
      <c r="M77" s="656">
        <v>1</v>
      </c>
      <c r="N77" s="656">
        <v>1</v>
      </c>
      <c r="O77" s="656">
        <v>1</v>
      </c>
      <c r="P77" s="679"/>
      <c r="Q77" s="679"/>
      <c r="R77" s="822" t="s">
        <v>140</v>
      </c>
      <c r="S77" s="761">
        <v>9</v>
      </c>
      <c r="T77" s="761">
        <v>9</v>
      </c>
      <c r="U77" s="656">
        <v>9</v>
      </c>
      <c r="V77" s="570">
        <v>9</v>
      </c>
      <c r="W77" s="570" t="s">
        <v>70</v>
      </c>
      <c r="X77" s="570" t="s">
        <v>70</v>
      </c>
      <c r="Y77" s="682" t="s">
        <v>35</v>
      </c>
      <c r="Z77" s="682" t="s">
        <v>35</v>
      </c>
      <c r="AA77" s="682" t="s">
        <v>35</v>
      </c>
      <c r="AB77" s="682">
        <v>22</v>
      </c>
      <c r="AC77" s="682">
        <v>22</v>
      </c>
      <c r="AD77" s="679">
        <v>22</v>
      </c>
      <c r="AE77" s="679">
        <v>22</v>
      </c>
      <c r="AF77" s="682" t="s">
        <v>35</v>
      </c>
      <c r="AG77" s="682" t="s">
        <v>35</v>
      </c>
      <c r="AH77" s="1"/>
    </row>
    <row r="78" spans="1:36" ht="24.75" customHeight="1">
      <c r="A78" s="511"/>
      <c r="B78" s="823" t="s">
        <v>141</v>
      </c>
      <c r="C78" s="518">
        <v>21</v>
      </c>
      <c r="D78" s="679" t="s">
        <v>35</v>
      </c>
      <c r="E78" s="679" t="s">
        <v>35</v>
      </c>
      <c r="F78" s="679" t="s">
        <v>35</v>
      </c>
      <c r="G78" s="679" t="s">
        <v>35</v>
      </c>
      <c r="H78" s="679" t="s">
        <v>35</v>
      </c>
      <c r="I78" s="679" t="s">
        <v>69</v>
      </c>
      <c r="J78" s="679"/>
      <c r="K78" s="679" t="s">
        <v>47</v>
      </c>
      <c r="L78" s="679" t="s">
        <v>47</v>
      </c>
      <c r="M78" s="679" t="s">
        <v>47</v>
      </c>
      <c r="N78" s="679" t="s">
        <v>47</v>
      </c>
      <c r="O78" s="679" t="s">
        <v>47</v>
      </c>
      <c r="P78" s="505"/>
      <c r="Q78" s="505"/>
      <c r="R78" s="512">
        <v>3</v>
      </c>
      <c r="S78" s="679">
        <v>3</v>
      </c>
      <c r="T78" s="679">
        <v>3</v>
      </c>
      <c r="U78" s="671">
        <v>3</v>
      </c>
      <c r="V78" s="671">
        <v>3</v>
      </c>
      <c r="W78" s="516"/>
      <c r="X78" s="679"/>
      <c r="Y78" s="679">
        <v>3</v>
      </c>
      <c r="Z78" s="679">
        <v>3</v>
      </c>
      <c r="AA78" s="679">
        <v>3</v>
      </c>
      <c r="AB78" s="679">
        <v>3</v>
      </c>
      <c r="AC78" s="679">
        <v>3</v>
      </c>
      <c r="AD78" s="679" t="s">
        <v>0</v>
      </c>
      <c r="AE78" s="679"/>
      <c r="AF78" s="679">
        <v>3</v>
      </c>
      <c r="AG78" s="679">
        <v>3</v>
      </c>
      <c r="AH78" s="1"/>
    </row>
    <row r="79" spans="1:36" ht="24.75" customHeight="1" thickBot="1">
      <c r="A79" s="522"/>
      <c r="B79" s="511" t="s">
        <v>142</v>
      </c>
      <c r="C79" s="679"/>
      <c r="D79" s="679"/>
      <c r="E79" s="679" t="s">
        <v>143</v>
      </c>
      <c r="F79" s="679"/>
      <c r="G79" s="679"/>
      <c r="H79" s="679"/>
      <c r="I79" s="679"/>
      <c r="J79" s="679"/>
      <c r="K79" s="679"/>
      <c r="L79" s="679"/>
      <c r="M79" s="679"/>
      <c r="N79" s="679"/>
      <c r="O79" s="679"/>
      <c r="P79" s="679"/>
      <c r="Q79" s="679"/>
      <c r="R79" s="679"/>
      <c r="S79" s="679"/>
      <c r="T79" s="679"/>
      <c r="U79" s="679"/>
      <c r="V79" s="679"/>
      <c r="W79" s="679"/>
      <c r="X79" s="679"/>
      <c r="Y79" s="679"/>
      <c r="Z79" s="679"/>
      <c r="AA79" s="679"/>
      <c r="AB79" s="679"/>
      <c r="AC79" s="679"/>
      <c r="AD79" s="679"/>
      <c r="AE79" s="679"/>
      <c r="AF79" s="679"/>
      <c r="AG79" s="679"/>
      <c r="AH79" s="1"/>
    </row>
    <row r="80" spans="1:36" ht="24.75" customHeight="1" thickBot="1">
      <c r="A80" s="401"/>
      <c r="B80" s="402" t="s">
        <v>144</v>
      </c>
      <c r="C80" s="693"/>
      <c r="D80" s="403">
        <v>25</v>
      </c>
      <c r="E80" s="403">
        <v>25</v>
      </c>
      <c r="F80" s="403">
        <v>25</v>
      </c>
      <c r="G80" s="403">
        <v>25</v>
      </c>
      <c r="H80" s="815">
        <v>25</v>
      </c>
      <c r="I80" s="815"/>
      <c r="J80" s="815"/>
      <c r="K80" s="404">
        <v>25</v>
      </c>
      <c r="L80" s="815">
        <v>25</v>
      </c>
      <c r="M80" s="815">
        <v>25</v>
      </c>
      <c r="N80" s="815">
        <v>25</v>
      </c>
      <c r="O80" s="815">
        <v>25</v>
      </c>
      <c r="P80" s="403"/>
      <c r="Q80" s="403"/>
      <c r="R80" s="403">
        <v>1</v>
      </c>
      <c r="S80" s="403">
        <v>1</v>
      </c>
      <c r="T80" s="403">
        <v>1</v>
      </c>
      <c r="U80" s="403">
        <v>1</v>
      </c>
      <c r="V80" s="403">
        <v>1</v>
      </c>
      <c r="W80" s="403"/>
      <c r="X80" s="403"/>
      <c r="Y80" s="46" t="s">
        <v>35</v>
      </c>
      <c r="Z80" s="46" t="s">
        <v>35</v>
      </c>
      <c r="AA80" s="46" t="s">
        <v>35</v>
      </c>
      <c r="AB80" s="679" t="s">
        <v>44</v>
      </c>
      <c r="AC80" s="679" t="s">
        <v>44</v>
      </c>
      <c r="AD80" s="46"/>
      <c r="AE80" s="46"/>
      <c r="AF80" s="693" t="s">
        <v>35</v>
      </c>
      <c r="AG80" s="28" t="s">
        <v>35</v>
      </c>
      <c r="AH80" s="1"/>
    </row>
    <row r="81" spans="1:39" ht="24.75" customHeight="1" thickBot="1">
      <c r="A81" s="51"/>
      <c r="B81" s="392" t="s">
        <v>145</v>
      </c>
      <c r="C81" s="393"/>
      <c r="D81" s="395"/>
      <c r="E81" s="395"/>
      <c r="F81" s="395"/>
      <c r="G81" s="395"/>
      <c r="H81" s="395"/>
      <c r="I81" s="395"/>
      <c r="J81" s="395"/>
      <c r="K81" s="395" t="s">
        <v>31</v>
      </c>
      <c r="L81" s="394" t="s">
        <v>146</v>
      </c>
      <c r="M81" s="394" t="s">
        <v>146</v>
      </c>
      <c r="N81" s="394" t="s">
        <v>146</v>
      </c>
      <c r="O81" s="394" t="s">
        <v>146</v>
      </c>
      <c r="P81" s="395"/>
      <c r="Q81" s="395"/>
      <c r="R81" s="395" t="s">
        <v>146</v>
      </c>
      <c r="S81" s="395" t="s">
        <v>146</v>
      </c>
      <c r="T81" s="395" t="s">
        <v>146</v>
      </c>
      <c r="U81" s="395" t="s">
        <v>146</v>
      </c>
      <c r="V81" s="395" t="s">
        <v>146</v>
      </c>
      <c r="W81" s="395"/>
      <c r="X81" s="395"/>
      <c r="Y81" s="395" t="s">
        <v>146</v>
      </c>
      <c r="Z81" s="395" t="s">
        <v>146</v>
      </c>
      <c r="AA81" s="395" t="s">
        <v>146</v>
      </c>
      <c r="AB81" s="395" t="s">
        <v>146</v>
      </c>
      <c r="AC81" s="395" t="s">
        <v>146</v>
      </c>
      <c r="AD81" s="395"/>
      <c r="AE81" s="395"/>
      <c r="AF81" s="395" t="s">
        <v>146</v>
      </c>
      <c r="AG81" s="395" t="s">
        <v>146</v>
      </c>
      <c r="AH81" s="1"/>
    </row>
    <row r="82" spans="1:39" ht="24.75" customHeight="1" thickBot="1">
      <c r="A82" s="44"/>
      <c r="B82" s="45" t="s">
        <v>147</v>
      </c>
      <c r="C82" s="46"/>
      <c r="D82" s="47"/>
      <c r="E82" s="47"/>
      <c r="F82" s="47"/>
      <c r="G82" s="47"/>
      <c r="H82" s="47"/>
      <c r="I82" s="46"/>
      <c r="J82" s="46"/>
      <c r="K82" s="47"/>
      <c r="L82" s="47"/>
      <c r="M82" s="47"/>
      <c r="N82" s="47"/>
      <c r="O82" s="47"/>
      <c r="P82" s="46"/>
      <c r="Q82" s="46"/>
      <c r="R82" s="46"/>
      <c r="S82" s="48"/>
      <c r="T82" s="48"/>
      <c r="U82" s="48"/>
      <c r="V82" s="49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50"/>
      <c r="AH82" s="1"/>
    </row>
    <row r="83" spans="1:39" ht="24.75" customHeight="1" thickBot="1">
      <c r="A83" s="51"/>
      <c r="B83" s="52" t="s">
        <v>148</v>
      </c>
      <c r="C83" s="575" t="s">
        <v>69</v>
      </c>
      <c r="D83" s="575">
        <v>8</v>
      </c>
      <c r="E83" s="575">
        <v>8</v>
      </c>
      <c r="F83" s="575">
        <v>8</v>
      </c>
      <c r="G83" s="575">
        <v>8</v>
      </c>
      <c r="H83" s="575">
        <v>8</v>
      </c>
      <c r="I83" s="575"/>
      <c r="J83" s="575"/>
      <c r="K83" s="575" t="s">
        <v>35</v>
      </c>
      <c r="L83" s="575" t="s">
        <v>35</v>
      </c>
      <c r="M83" s="575" t="s">
        <v>35</v>
      </c>
      <c r="N83" s="575" t="s">
        <v>35</v>
      </c>
      <c r="O83" s="575" t="s">
        <v>35</v>
      </c>
      <c r="P83" s="575"/>
      <c r="Q83" s="575"/>
      <c r="R83" s="575">
        <v>1</v>
      </c>
      <c r="S83" s="575">
        <v>1</v>
      </c>
      <c r="T83" s="575">
        <v>1</v>
      </c>
      <c r="U83" s="575">
        <v>1</v>
      </c>
      <c r="V83" s="575">
        <v>1</v>
      </c>
      <c r="W83" s="575"/>
      <c r="X83" s="575"/>
      <c r="Y83" s="575">
        <v>9</v>
      </c>
      <c r="Z83" s="575">
        <v>9</v>
      </c>
      <c r="AA83" s="575">
        <v>9</v>
      </c>
      <c r="AB83" s="575">
        <v>9</v>
      </c>
      <c r="AC83" s="575">
        <v>9</v>
      </c>
      <c r="AD83" s="575" t="s">
        <v>70</v>
      </c>
      <c r="AE83" s="570" t="s">
        <v>70</v>
      </c>
      <c r="AF83" s="575" t="s">
        <v>35</v>
      </c>
      <c r="AG83" s="736" t="s">
        <v>35</v>
      </c>
      <c r="AH83" s="1"/>
    </row>
    <row r="84" spans="1:39" ht="24.75" customHeight="1">
      <c r="A84" s="37" t="s">
        <v>149</v>
      </c>
      <c r="AH84" s="1"/>
    </row>
    <row r="85" spans="1:39" ht="24.75" customHeight="1" thickBot="1">
      <c r="A85" s="785"/>
      <c r="B85" s="727" t="s">
        <v>29</v>
      </c>
      <c r="C85" s="646">
        <v>1</v>
      </c>
      <c r="D85" s="647">
        <v>2</v>
      </c>
      <c r="E85" s="647">
        <v>3</v>
      </c>
      <c r="F85" s="647">
        <v>4</v>
      </c>
      <c r="G85" s="647">
        <v>5</v>
      </c>
      <c r="H85" s="647">
        <v>6</v>
      </c>
      <c r="I85" s="646">
        <v>7</v>
      </c>
      <c r="J85" s="646">
        <v>8</v>
      </c>
      <c r="K85" s="647">
        <v>9</v>
      </c>
      <c r="L85" s="647">
        <v>10</v>
      </c>
      <c r="M85" s="647">
        <v>11</v>
      </c>
      <c r="N85" s="647">
        <v>12</v>
      </c>
      <c r="O85" s="647">
        <v>13</v>
      </c>
      <c r="P85" s="646">
        <v>14</v>
      </c>
      <c r="Q85" s="646">
        <v>15</v>
      </c>
      <c r="R85" s="647">
        <v>16</v>
      </c>
      <c r="S85" s="647">
        <v>17</v>
      </c>
      <c r="T85" s="647">
        <v>18</v>
      </c>
      <c r="U85" s="647">
        <v>19</v>
      </c>
      <c r="V85" s="647">
        <v>20</v>
      </c>
      <c r="W85" s="646">
        <v>21</v>
      </c>
      <c r="X85" s="646">
        <v>22</v>
      </c>
      <c r="Y85" s="647">
        <v>23</v>
      </c>
      <c r="Z85" s="647">
        <v>24</v>
      </c>
      <c r="AA85" s="647">
        <v>25</v>
      </c>
      <c r="AB85" s="647">
        <v>26</v>
      </c>
      <c r="AC85" s="647">
        <v>27</v>
      </c>
      <c r="AD85" s="646">
        <v>28</v>
      </c>
      <c r="AE85" s="646">
        <v>29</v>
      </c>
      <c r="AF85" s="647">
        <v>30</v>
      </c>
      <c r="AG85" s="648">
        <v>31</v>
      </c>
      <c r="AH85" s="1"/>
    </row>
    <row r="86" spans="1:39" ht="24.75" customHeight="1" thickBot="1">
      <c r="A86" s="824"/>
      <c r="B86" s="825" t="s">
        <v>150</v>
      </c>
      <c r="C86" s="826"/>
      <c r="D86" s="750"/>
      <c r="E86" s="826"/>
      <c r="F86" s="826"/>
      <c r="G86" s="826"/>
      <c r="H86" s="826"/>
      <c r="I86" s="826"/>
      <c r="J86" s="826"/>
      <c r="K86" s="826"/>
      <c r="L86" s="826"/>
      <c r="M86" s="826"/>
      <c r="N86" s="826"/>
      <c r="O86" s="826"/>
      <c r="P86" s="826"/>
      <c r="Q86" s="826"/>
      <c r="R86" s="826"/>
      <c r="S86" s="826"/>
      <c r="T86" s="826"/>
      <c r="U86" s="826"/>
      <c r="V86" s="826"/>
      <c r="W86" s="826"/>
      <c r="X86" s="826"/>
      <c r="Y86" s="826"/>
      <c r="Z86" s="826"/>
      <c r="AA86" s="826"/>
      <c r="AB86" s="826"/>
      <c r="AC86" s="826"/>
      <c r="AD86" s="826"/>
      <c r="AE86" s="826"/>
      <c r="AF86" s="826"/>
      <c r="AG86" s="827"/>
      <c r="AH86" s="1"/>
    </row>
    <row r="87" spans="1:39" ht="24.75" customHeight="1">
      <c r="A87" s="828">
        <v>1</v>
      </c>
      <c r="B87" s="675" t="s">
        <v>151</v>
      </c>
      <c r="C87" s="829"/>
      <c r="D87" s="830">
        <v>99</v>
      </c>
      <c r="E87" s="830">
        <v>99</v>
      </c>
      <c r="F87" s="830">
        <v>99</v>
      </c>
      <c r="G87" s="830">
        <v>99</v>
      </c>
      <c r="H87" s="830" t="s">
        <v>35</v>
      </c>
      <c r="I87" s="829"/>
      <c r="J87" s="829"/>
      <c r="K87" s="831" t="s">
        <v>110</v>
      </c>
      <c r="L87" s="832" t="s">
        <v>110</v>
      </c>
      <c r="M87" s="833" t="s">
        <v>110</v>
      </c>
      <c r="N87" s="833" t="s">
        <v>110</v>
      </c>
      <c r="O87" s="833" t="s">
        <v>110</v>
      </c>
      <c r="P87" s="833"/>
      <c r="Q87" s="833"/>
      <c r="R87" s="833" t="s">
        <v>152</v>
      </c>
      <c r="S87" s="833" t="s">
        <v>152</v>
      </c>
      <c r="T87" s="833" t="s">
        <v>152</v>
      </c>
      <c r="U87" s="833" t="s">
        <v>152</v>
      </c>
      <c r="V87" s="833" t="s">
        <v>152</v>
      </c>
      <c r="W87" s="833"/>
      <c r="X87" s="833"/>
      <c r="Y87" s="833">
        <v>6</v>
      </c>
      <c r="Z87" s="833">
        <v>6</v>
      </c>
      <c r="AA87" s="833">
        <v>6</v>
      </c>
      <c r="AB87" s="833">
        <v>6</v>
      </c>
      <c r="AC87" s="833">
        <v>6</v>
      </c>
      <c r="AD87" s="833"/>
      <c r="AE87" s="833"/>
      <c r="AF87" s="833">
        <v>11</v>
      </c>
      <c r="AG87" s="834">
        <v>11</v>
      </c>
      <c r="AH87" s="1"/>
    </row>
    <row r="88" spans="1:39" ht="24.75" customHeight="1">
      <c r="A88" s="828">
        <v>2</v>
      </c>
      <c r="B88" s="675"/>
      <c r="C88" s="751"/>
      <c r="D88" s="761"/>
      <c r="E88" s="761"/>
      <c r="F88" s="761"/>
      <c r="G88" s="761"/>
      <c r="H88" s="761"/>
      <c r="I88" s="761"/>
      <c r="J88" s="761"/>
      <c r="K88" s="761"/>
      <c r="L88" s="761"/>
      <c r="M88" s="761"/>
      <c r="N88" s="761"/>
      <c r="O88" s="761"/>
      <c r="P88" s="761"/>
      <c r="Q88" s="761"/>
      <c r="R88" s="761"/>
      <c r="S88" s="761"/>
      <c r="T88" s="761"/>
      <c r="U88" s="761"/>
      <c r="V88" s="761"/>
      <c r="W88" s="761"/>
      <c r="X88" s="761"/>
      <c r="Y88" s="761"/>
      <c r="Z88" s="761"/>
      <c r="AA88" s="761"/>
      <c r="AB88" s="761"/>
      <c r="AC88" s="761"/>
      <c r="AD88" s="761"/>
      <c r="AE88" s="761"/>
      <c r="AF88" s="761"/>
      <c r="AG88" s="762"/>
      <c r="AH88" s="1"/>
    </row>
    <row r="89" spans="1:39" ht="24.75" customHeight="1">
      <c r="A89" s="828">
        <v>3</v>
      </c>
      <c r="B89" s="396" t="s">
        <v>153</v>
      </c>
      <c r="C89" s="761"/>
      <c r="D89" s="761"/>
      <c r="E89" s="761"/>
      <c r="F89" s="761"/>
      <c r="G89" s="761"/>
      <c r="H89" s="761"/>
      <c r="I89" s="761"/>
      <c r="J89" s="761"/>
      <c r="K89" s="761"/>
      <c r="L89" s="761"/>
      <c r="M89" s="761"/>
      <c r="N89" s="761"/>
      <c r="O89" s="761"/>
      <c r="P89" s="761" t="s">
        <v>0</v>
      </c>
      <c r="Q89" s="761"/>
      <c r="R89" s="761"/>
      <c r="S89" s="761"/>
      <c r="T89" s="761"/>
      <c r="U89" s="761"/>
      <c r="V89" s="761"/>
      <c r="W89" s="761"/>
      <c r="X89" s="761"/>
      <c r="Y89" s="761"/>
      <c r="Z89" s="761"/>
      <c r="AA89" s="761"/>
      <c r="AB89" s="761"/>
      <c r="AC89" s="761"/>
      <c r="AD89" s="761"/>
      <c r="AE89" s="761"/>
      <c r="AF89" s="761" t="s">
        <v>107</v>
      </c>
      <c r="AG89" s="762"/>
      <c r="AH89" s="1"/>
    </row>
    <row r="90" spans="1:39" ht="24.75" customHeight="1" thickBot="1">
      <c r="A90" s="828">
        <v>4</v>
      </c>
      <c r="B90" s="755"/>
      <c r="C90" s="647"/>
      <c r="D90" s="647"/>
      <c r="E90" s="647"/>
      <c r="F90" s="647"/>
      <c r="G90" s="647"/>
      <c r="H90" s="647"/>
      <c r="I90" s="647"/>
      <c r="J90" s="647"/>
      <c r="K90" s="647"/>
      <c r="L90" s="647"/>
      <c r="M90" s="647"/>
      <c r="N90" s="647"/>
      <c r="O90" s="647"/>
      <c r="P90" s="647"/>
      <c r="Q90" s="647"/>
      <c r="R90" s="835"/>
      <c r="S90" s="835"/>
      <c r="T90" s="835"/>
      <c r="U90" s="647"/>
      <c r="V90" s="647"/>
      <c r="W90" s="647"/>
      <c r="X90" s="647"/>
      <c r="Y90" s="647"/>
      <c r="Z90" s="647"/>
      <c r="AA90" s="647"/>
      <c r="AB90" s="647"/>
      <c r="AC90" s="647"/>
      <c r="AD90" s="647"/>
      <c r="AE90" s="647"/>
      <c r="AF90" s="647"/>
      <c r="AG90" s="648"/>
      <c r="AH90" s="1"/>
    </row>
    <row r="91" spans="1:39" ht="24.75" customHeight="1">
      <c r="A91" s="54"/>
      <c r="B91" s="55"/>
      <c r="C91" s="30"/>
      <c r="D91" s="30"/>
      <c r="E91" s="30"/>
      <c r="F91" s="30"/>
      <c r="G91" s="30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56"/>
      <c r="S91" s="56"/>
      <c r="T91" s="56"/>
      <c r="U91" s="30"/>
      <c r="V91" s="30"/>
      <c r="W91" s="30"/>
      <c r="X91" s="30"/>
      <c r="Y91" s="30"/>
      <c r="Z91" s="30"/>
      <c r="AA91" s="30"/>
      <c r="AB91" s="30"/>
      <c r="AC91" s="30"/>
      <c r="AD91" s="30"/>
      <c r="AE91" s="30"/>
      <c r="AF91" s="30"/>
      <c r="AG91" s="30"/>
      <c r="AH91" s="1"/>
    </row>
    <row r="92" spans="1:39" ht="24.75" customHeight="1" thickBot="1">
      <c r="A92" s="57" t="s">
        <v>154</v>
      </c>
      <c r="B92" s="58"/>
      <c r="C92" s="58"/>
      <c r="D92" s="58"/>
      <c r="E92" s="58"/>
      <c r="F92" s="58"/>
      <c r="G92" s="59"/>
      <c r="H92" s="58"/>
      <c r="I92" s="58"/>
      <c r="J92" s="58"/>
      <c r="K92" s="58"/>
      <c r="L92" s="58"/>
      <c r="M92" s="58"/>
      <c r="N92" s="58"/>
      <c r="O92" s="58"/>
      <c r="P92" s="58"/>
      <c r="Q92" s="58"/>
      <c r="R92" s="58"/>
      <c r="S92" s="58"/>
      <c r="T92" s="58"/>
      <c r="U92" s="58"/>
      <c r="V92" s="58"/>
      <c r="W92" s="58"/>
      <c r="X92" s="58"/>
      <c r="Y92" s="58"/>
      <c r="Z92" s="58"/>
      <c r="AA92" s="58"/>
      <c r="AB92" s="58"/>
      <c r="AC92" s="58"/>
      <c r="AD92" s="58"/>
      <c r="AE92" s="58"/>
      <c r="AF92" s="58"/>
      <c r="AG92" s="58"/>
      <c r="AH92" s="58"/>
      <c r="AI92" s="58"/>
    </row>
    <row r="93" spans="1:39" ht="24.75" customHeight="1" thickBot="1">
      <c r="A93" s="60"/>
      <c r="B93" s="836" t="s">
        <v>155</v>
      </c>
      <c r="C93" s="837"/>
      <c r="D93" s="838" t="s">
        <v>87</v>
      </c>
      <c r="E93" s="839"/>
      <c r="F93" s="840"/>
      <c r="G93" s="837"/>
      <c r="H93" s="838" t="s">
        <v>88</v>
      </c>
      <c r="I93" s="839"/>
      <c r="J93" s="840"/>
      <c r="K93" s="837"/>
      <c r="L93" s="838" t="s">
        <v>89</v>
      </c>
      <c r="M93" s="839"/>
      <c r="N93" s="840"/>
      <c r="O93" s="837"/>
      <c r="P93" s="838" t="s">
        <v>90</v>
      </c>
      <c r="Q93" s="839"/>
      <c r="R93" s="840"/>
      <c r="S93" s="841" t="s">
        <v>156</v>
      </c>
      <c r="T93" s="838"/>
      <c r="U93" s="839"/>
      <c r="V93" s="840"/>
      <c r="W93" s="837" t="s">
        <v>108</v>
      </c>
      <c r="X93" s="838" t="s">
        <v>157</v>
      </c>
      <c r="Y93" s="839"/>
      <c r="Z93" s="840"/>
      <c r="AA93" s="837" t="s">
        <v>108</v>
      </c>
      <c r="AB93" s="838" t="s">
        <v>93</v>
      </c>
      <c r="AC93" s="839"/>
      <c r="AD93" s="839"/>
      <c r="AE93" s="842" t="s">
        <v>158</v>
      </c>
      <c r="AF93" s="839"/>
      <c r="AG93" s="839"/>
      <c r="AH93" s="839"/>
      <c r="AI93" s="843"/>
    </row>
    <row r="94" spans="1:39" ht="24.75" customHeight="1">
      <c r="A94" s="60"/>
      <c r="B94" s="844" t="s">
        <v>159</v>
      </c>
      <c r="C94" s="845" t="s">
        <v>160</v>
      </c>
      <c r="D94" s="839"/>
      <c r="E94" s="846"/>
      <c r="F94" s="847"/>
      <c r="G94" s="845" t="s">
        <v>160</v>
      </c>
      <c r="H94" s="846"/>
      <c r="I94" s="846"/>
      <c r="J94" s="847"/>
      <c r="K94" s="848" t="s">
        <v>160</v>
      </c>
      <c r="L94" s="839"/>
      <c r="M94" s="839"/>
      <c r="N94" s="849"/>
      <c r="O94" s="848" t="s">
        <v>161</v>
      </c>
      <c r="P94" s="839"/>
      <c r="Q94" s="846"/>
      <c r="R94" s="847"/>
      <c r="S94" s="845" t="s">
        <v>162</v>
      </c>
      <c r="T94" s="846"/>
      <c r="U94" s="846"/>
      <c r="V94" s="850"/>
      <c r="W94" s="851"/>
      <c r="X94" s="852"/>
      <c r="Y94" s="852"/>
      <c r="Z94" s="853"/>
      <c r="AA94" s="850"/>
      <c r="AB94" s="846"/>
      <c r="AC94" s="846"/>
      <c r="AD94" s="850"/>
      <c r="AE94" s="854">
        <v>37</v>
      </c>
      <c r="AF94" s="839"/>
      <c r="AG94" s="846"/>
      <c r="AH94" s="850"/>
      <c r="AI94" s="855"/>
      <c r="AM94" t="s">
        <v>0</v>
      </c>
    </row>
    <row r="95" spans="1:39" ht="24.75" customHeight="1">
      <c r="A95" s="60"/>
      <c r="B95" s="856" t="s">
        <v>163</v>
      </c>
      <c r="C95" s="857" t="s">
        <v>156</v>
      </c>
      <c r="D95" s="858"/>
      <c r="E95" s="858"/>
      <c r="F95" s="859"/>
      <c r="G95" s="857" t="s">
        <v>164</v>
      </c>
      <c r="H95" s="858"/>
      <c r="I95" s="858"/>
      <c r="J95" s="859"/>
      <c r="K95" s="857" t="s">
        <v>165</v>
      </c>
      <c r="L95" s="860" t="s">
        <v>166</v>
      </c>
      <c r="M95" s="858"/>
      <c r="N95" s="859"/>
      <c r="O95" s="857" t="s">
        <v>165</v>
      </c>
      <c r="P95" s="860" t="s">
        <v>166</v>
      </c>
      <c r="Q95" s="858"/>
      <c r="R95" s="859"/>
      <c r="S95" s="857" t="s">
        <v>164</v>
      </c>
      <c r="T95" s="860" t="s">
        <v>167</v>
      </c>
      <c r="U95" s="858"/>
      <c r="V95" s="859"/>
      <c r="W95" s="61" t="s">
        <v>168</v>
      </c>
      <c r="X95" s="62" t="s">
        <v>169</v>
      </c>
      <c r="Y95" s="63"/>
      <c r="Z95" s="63"/>
      <c r="AA95" s="857" t="s">
        <v>170</v>
      </c>
      <c r="AB95" s="861" t="s">
        <v>157</v>
      </c>
      <c r="AC95" s="857"/>
      <c r="AD95" s="857"/>
      <c r="AE95" s="862">
        <v>68</v>
      </c>
      <c r="AF95" s="858"/>
      <c r="AG95" s="863"/>
      <c r="AH95" s="864"/>
      <c r="AI95" s="865"/>
    </row>
    <row r="96" spans="1:39" ht="24.75" customHeight="1">
      <c r="A96" s="60"/>
      <c r="B96" s="856" t="s">
        <v>171</v>
      </c>
      <c r="C96" s="866" t="s">
        <v>172</v>
      </c>
      <c r="D96" s="858"/>
      <c r="E96" s="858"/>
      <c r="F96" s="859"/>
      <c r="G96" s="858" t="s">
        <v>172</v>
      </c>
      <c r="H96" s="858"/>
      <c r="I96" s="858"/>
      <c r="J96" s="859"/>
      <c r="K96" s="858" t="s">
        <v>172</v>
      </c>
      <c r="L96" s="858"/>
      <c r="M96" s="858"/>
      <c r="N96" s="859"/>
      <c r="O96" s="858" t="s">
        <v>172</v>
      </c>
      <c r="P96" s="858"/>
      <c r="Q96" s="858"/>
      <c r="R96" s="859"/>
      <c r="S96" s="858" t="s">
        <v>172</v>
      </c>
      <c r="T96" s="858"/>
      <c r="U96" s="858"/>
      <c r="V96" s="859"/>
      <c r="W96" s="857"/>
      <c r="X96" s="858"/>
      <c r="Y96" s="858"/>
      <c r="Z96" s="859"/>
      <c r="AA96" s="857"/>
      <c r="AB96" s="858"/>
      <c r="AC96" s="858"/>
      <c r="AD96" s="860"/>
      <c r="AE96" s="862">
        <v>0</v>
      </c>
      <c r="AF96" s="863"/>
      <c r="AG96" s="858"/>
      <c r="AH96" s="860"/>
      <c r="AI96" s="867"/>
    </row>
    <row r="97" spans="1:35" ht="24.75" customHeight="1" thickBot="1">
      <c r="A97" s="60"/>
      <c r="B97" s="868" t="s">
        <v>173</v>
      </c>
      <c r="C97" s="64"/>
      <c r="D97" s="65" t="s">
        <v>174</v>
      </c>
      <c r="E97" s="64"/>
      <c r="F97" s="64"/>
      <c r="G97" s="869" t="s">
        <v>175</v>
      </c>
      <c r="H97" s="870"/>
      <c r="I97" s="871"/>
      <c r="J97" s="872"/>
      <c r="K97" s="869" t="s">
        <v>174</v>
      </c>
      <c r="L97" s="870"/>
      <c r="M97" s="871"/>
      <c r="N97" s="872"/>
      <c r="O97" s="869" t="s">
        <v>174</v>
      </c>
      <c r="P97" s="870"/>
      <c r="Q97" s="871"/>
      <c r="R97" s="872"/>
      <c r="S97" s="869" t="s">
        <v>174</v>
      </c>
      <c r="T97" s="870"/>
      <c r="U97" s="871"/>
      <c r="V97" s="872"/>
      <c r="W97" s="873"/>
      <c r="X97" s="871"/>
      <c r="Y97" s="871"/>
      <c r="Z97" s="874"/>
      <c r="AA97" s="875"/>
      <c r="AB97" s="871"/>
      <c r="AC97" s="871"/>
      <c r="AD97" s="875"/>
      <c r="AE97" s="876">
        <v>37</v>
      </c>
      <c r="AF97" s="871"/>
      <c r="AG97" s="871"/>
      <c r="AH97" s="875"/>
      <c r="AI97" s="877"/>
    </row>
    <row r="98" spans="1:35" ht="24.75" customHeight="1">
      <c r="A98" s="66"/>
      <c r="B98" s="60"/>
      <c r="C98" s="58"/>
      <c r="D98" s="63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58"/>
      <c r="P98" s="58"/>
      <c r="Q98" s="58"/>
      <c r="R98" s="58"/>
      <c r="S98" s="58"/>
      <c r="T98" s="58"/>
      <c r="U98" s="58"/>
      <c r="V98" s="58"/>
      <c r="W98" s="58"/>
      <c r="X98" s="58"/>
      <c r="Y98" s="58"/>
      <c r="Z98" s="58"/>
      <c r="AA98" s="58"/>
      <c r="AB98" s="58"/>
      <c r="AC98" s="58"/>
      <c r="AD98" s="58"/>
      <c r="AE98" s="58"/>
      <c r="AF98" s="58"/>
      <c r="AG98" s="58"/>
      <c r="AH98" s="58"/>
      <c r="AI98" s="58"/>
    </row>
    <row r="99" spans="1:35" ht="24.75" customHeight="1" thickBot="1">
      <c r="A99" s="878"/>
      <c r="B99" s="879" t="s">
        <v>29</v>
      </c>
      <c r="C99" s="646">
        <v>1</v>
      </c>
      <c r="D99" s="647">
        <v>2</v>
      </c>
      <c r="E99" s="647">
        <v>3</v>
      </c>
      <c r="F99" s="647">
        <v>4</v>
      </c>
      <c r="G99" s="647">
        <v>5</v>
      </c>
      <c r="H99" s="647">
        <v>6</v>
      </c>
      <c r="I99" s="646">
        <v>7</v>
      </c>
      <c r="J99" s="646">
        <v>8</v>
      </c>
      <c r="K99" s="647">
        <v>9</v>
      </c>
      <c r="L99" s="647">
        <v>10</v>
      </c>
      <c r="M99" s="647">
        <v>11</v>
      </c>
      <c r="N99" s="647">
        <v>12</v>
      </c>
      <c r="O99" s="647">
        <v>13</v>
      </c>
      <c r="P99" s="646">
        <v>14</v>
      </c>
      <c r="Q99" s="646">
        <v>15</v>
      </c>
      <c r="R99" s="647">
        <v>16</v>
      </c>
      <c r="S99" s="647">
        <v>17</v>
      </c>
      <c r="T99" s="647">
        <v>18</v>
      </c>
      <c r="U99" s="647">
        <v>19</v>
      </c>
      <c r="V99" s="647">
        <v>20</v>
      </c>
      <c r="W99" s="646">
        <v>21</v>
      </c>
      <c r="X99" s="646">
        <v>22</v>
      </c>
      <c r="Y99" s="647">
        <v>23</v>
      </c>
      <c r="Z99" s="647">
        <v>24</v>
      </c>
      <c r="AA99" s="647">
        <v>25</v>
      </c>
      <c r="AB99" s="647">
        <v>26</v>
      </c>
      <c r="AC99" s="647">
        <v>27</v>
      </c>
      <c r="AD99" s="646">
        <v>28</v>
      </c>
      <c r="AE99" s="646">
        <v>29</v>
      </c>
      <c r="AF99" s="647">
        <v>30</v>
      </c>
      <c r="AG99" s="648">
        <v>31</v>
      </c>
      <c r="AH99" s="67"/>
      <c r="AI99" s="68"/>
    </row>
    <row r="100" spans="1:35" ht="24.75" customHeight="1" thickBot="1">
      <c r="A100" s="880">
        <v>1</v>
      </c>
      <c r="B100" s="689"/>
      <c r="C100" s="881"/>
      <c r="D100" s="881" t="s">
        <v>110</v>
      </c>
      <c r="E100" s="881" t="s">
        <v>110</v>
      </c>
      <c r="F100" s="881" t="s">
        <v>110</v>
      </c>
      <c r="G100" s="881" t="s">
        <v>110</v>
      </c>
      <c r="H100" s="881" t="s">
        <v>110</v>
      </c>
      <c r="I100" s="881" t="s">
        <v>108</v>
      </c>
      <c r="J100" s="881" t="s">
        <v>108</v>
      </c>
      <c r="K100" s="881" t="s">
        <v>35</v>
      </c>
      <c r="L100" s="881" t="s">
        <v>35</v>
      </c>
      <c r="M100" s="881" t="s">
        <v>35</v>
      </c>
      <c r="N100" s="881" t="s">
        <v>35</v>
      </c>
      <c r="O100" s="881" t="s">
        <v>35</v>
      </c>
      <c r="P100" s="882"/>
      <c r="Q100" s="881"/>
      <c r="R100" s="881" t="s">
        <v>176</v>
      </c>
      <c r="S100" s="881" t="s">
        <v>176</v>
      </c>
      <c r="T100" s="881" t="s">
        <v>176</v>
      </c>
      <c r="U100" s="881" t="s">
        <v>176</v>
      </c>
      <c r="V100" s="881" t="s">
        <v>176</v>
      </c>
      <c r="W100" s="881"/>
      <c r="X100" s="883"/>
      <c r="Y100" s="883" t="s">
        <v>176</v>
      </c>
      <c r="Z100" s="883" t="s">
        <v>176</v>
      </c>
      <c r="AA100" s="883" t="s">
        <v>176</v>
      </c>
      <c r="AB100" s="881" t="s">
        <v>176</v>
      </c>
      <c r="AC100" s="881" t="s">
        <v>176</v>
      </c>
      <c r="AD100" s="881"/>
      <c r="AE100" s="881"/>
      <c r="AF100" s="881" t="s">
        <v>110</v>
      </c>
      <c r="AG100" s="884" t="s">
        <v>110</v>
      </c>
      <c r="AH100" s="69"/>
      <c r="AI100" s="70"/>
    </row>
    <row r="101" spans="1:35" ht="24.75" customHeight="1">
      <c r="A101" s="885">
        <v>2</v>
      </c>
      <c r="B101" s="663" t="s">
        <v>177</v>
      </c>
      <c r="C101" s="886"/>
      <c r="D101" s="886" t="s">
        <v>127</v>
      </c>
      <c r="E101" s="886" t="s">
        <v>127</v>
      </c>
      <c r="F101" s="886" t="s">
        <v>127</v>
      </c>
      <c r="G101" s="886" t="s">
        <v>127</v>
      </c>
      <c r="H101" s="886" t="s">
        <v>176</v>
      </c>
      <c r="I101" s="886"/>
      <c r="J101" s="887"/>
      <c r="K101" s="888" t="s">
        <v>110</v>
      </c>
      <c r="L101" s="887" t="s">
        <v>110</v>
      </c>
      <c r="M101" s="887" t="s">
        <v>110</v>
      </c>
      <c r="N101" s="887" t="s">
        <v>110</v>
      </c>
      <c r="O101" s="889" t="s">
        <v>119</v>
      </c>
      <c r="P101" s="664" t="s">
        <v>108</v>
      </c>
      <c r="Q101" s="887" t="s">
        <v>108</v>
      </c>
      <c r="R101" s="887" t="s">
        <v>35</v>
      </c>
      <c r="S101" s="887" t="s">
        <v>35</v>
      </c>
      <c r="T101" s="887" t="s">
        <v>35</v>
      </c>
      <c r="U101" s="890" t="s">
        <v>35</v>
      </c>
      <c r="V101" s="887" t="s">
        <v>35</v>
      </c>
      <c r="W101" s="891"/>
      <c r="X101" s="679" t="s">
        <v>44</v>
      </c>
      <c r="Y101" s="679" t="s">
        <v>44</v>
      </c>
      <c r="Z101" s="679" t="s">
        <v>44</v>
      </c>
      <c r="AA101" s="570" t="s">
        <v>35</v>
      </c>
      <c r="AB101" s="570" t="s">
        <v>35</v>
      </c>
      <c r="AC101" s="570" t="s">
        <v>35</v>
      </c>
      <c r="AD101" s="887"/>
      <c r="AE101" s="886"/>
      <c r="AF101" s="881" t="s">
        <v>48</v>
      </c>
      <c r="AG101" s="881" t="s">
        <v>48</v>
      </c>
      <c r="AH101" s="69"/>
      <c r="AI101" s="70"/>
    </row>
    <row r="102" spans="1:35" ht="24.75" customHeight="1">
      <c r="A102" s="885">
        <v>3</v>
      </c>
      <c r="B102" s="892" t="s">
        <v>178</v>
      </c>
      <c r="C102" s="389"/>
      <c r="D102" s="893" t="s">
        <v>136</v>
      </c>
      <c r="E102" s="894" t="s">
        <v>136</v>
      </c>
      <c r="F102" s="894" t="s">
        <v>136</v>
      </c>
      <c r="G102" s="887" t="s">
        <v>136</v>
      </c>
      <c r="H102" s="895" t="s">
        <v>136</v>
      </c>
      <c r="I102" s="895"/>
      <c r="J102" s="886"/>
      <c r="K102" s="886" t="s">
        <v>127</v>
      </c>
      <c r="L102" s="886" t="s">
        <v>127</v>
      </c>
      <c r="M102" s="886" t="s">
        <v>127</v>
      </c>
      <c r="N102" s="570" t="s">
        <v>127</v>
      </c>
      <c r="O102" s="570" t="s">
        <v>127</v>
      </c>
      <c r="P102" s="570"/>
      <c r="Q102" s="514"/>
      <c r="R102" s="679" t="s">
        <v>119</v>
      </c>
      <c r="S102" s="679" t="s">
        <v>119</v>
      </c>
      <c r="T102" s="516" t="s">
        <v>119</v>
      </c>
      <c r="U102" s="681" t="s">
        <v>119</v>
      </c>
      <c r="V102" s="681" t="s">
        <v>119</v>
      </c>
      <c r="W102" s="679" t="s">
        <v>108</v>
      </c>
      <c r="X102" s="679" t="s">
        <v>108</v>
      </c>
      <c r="Y102" s="570" t="s">
        <v>35</v>
      </c>
      <c r="Z102" s="890" t="s">
        <v>35</v>
      </c>
      <c r="AA102" s="890" t="s">
        <v>35</v>
      </c>
      <c r="AB102" s="890" t="s">
        <v>35</v>
      </c>
      <c r="AC102" s="890" t="s">
        <v>35</v>
      </c>
      <c r="AD102" s="891"/>
      <c r="AE102" s="887"/>
      <c r="AF102" s="797" t="s">
        <v>176</v>
      </c>
      <c r="AG102" s="797" t="s">
        <v>176</v>
      </c>
      <c r="AH102" s="69"/>
      <c r="AI102" s="70"/>
    </row>
    <row r="103" spans="1:35" ht="24.75" customHeight="1" thickBot="1">
      <c r="A103" s="896">
        <v>4</v>
      </c>
      <c r="B103" s="897"/>
      <c r="C103" s="898" t="s">
        <v>108</v>
      </c>
      <c r="D103" s="898" t="s">
        <v>35</v>
      </c>
      <c r="E103" s="898" t="s">
        <v>35</v>
      </c>
      <c r="F103" s="898" t="s">
        <v>35</v>
      </c>
      <c r="G103" s="898" t="s">
        <v>35</v>
      </c>
      <c r="H103" s="898" t="s">
        <v>35</v>
      </c>
      <c r="I103" s="898"/>
      <c r="J103" s="898"/>
      <c r="K103" s="898" t="s">
        <v>176</v>
      </c>
      <c r="L103" s="898" t="s">
        <v>176</v>
      </c>
      <c r="M103" s="898" t="s">
        <v>176</v>
      </c>
      <c r="N103" s="898" t="s">
        <v>176</v>
      </c>
      <c r="O103" s="898" t="s">
        <v>176</v>
      </c>
      <c r="P103" s="898"/>
      <c r="Q103" s="898"/>
      <c r="R103" s="898" t="s">
        <v>176</v>
      </c>
      <c r="S103" s="898" t="s">
        <v>176</v>
      </c>
      <c r="T103" s="898" t="s">
        <v>176</v>
      </c>
      <c r="U103" s="898" t="s">
        <v>176</v>
      </c>
      <c r="V103" s="898" t="s">
        <v>176</v>
      </c>
      <c r="W103" s="898" t="s">
        <v>0</v>
      </c>
      <c r="X103" s="898" t="s">
        <v>0</v>
      </c>
      <c r="Y103" s="898" t="s">
        <v>110</v>
      </c>
      <c r="Z103" s="898" t="s">
        <v>110</v>
      </c>
      <c r="AA103" s="898" t="s">
        <v>110</v>
      </c>
      <c r="AB103" s="898" t="s">
        <v>110</v>
      </c>
      <c r="AC103" s="898" t="s">
        <v>110</v>
      </c>
      <c r="AD103" s="898" t="s">
        <v>108</v>
      </c>
      <c r="AE103" s="898" t="s">
        <v>108</v>
      </c>
      <c r="AF103" s="898" t="s">
        <v>35</v>
      </c>
      <c r="AG103" s="899" t="s">
        <v>35</v>
      </c>
      <c r="AH103" s="69"/>
      <c r="AI103" s="70"/>
    </row>
    <row r="104" spans="1:35" ht="24.75" customHeight="1" thickBot="1">
      <c r="A104" s="71"/>
      <c r="B104" s="72"/>
      <c r="C104" s="73"/>
      <c r="D104" s="73"/>
      <c r="E104" s="73"/>
      <c r="F104" s="73"/>
      <c r="G104" s="73"/>
      <c r="H104" s="73"/>
      <c r="I104" s="73"/>
      <c r="J104" s="73"/>
      <c r="K104" s="73"/>
      <c r="L104" s="73"/>
      <c r="M104" s="73"/>
      <c r="N104" s="73"/>
      <c r="O104" s="73"/>
      <c r="P104" s="73"/>
      <c r="Q104" s="73"/>
      <c r="R104" s="73"/>
      <c r="S104" s="73"/>
      <c r="T104" s="73"/>
      <c r="U104" s="73"/>
      <c r="V104" s="73"/>
      <c r="W104" s="73"/>
      <c r="X104" s="73"/>
      <c r="Y104" s="73"/>
      <c r="Z104" s="73"/>
      <c r="AA104" s="73"/>
      <c r="AB104" s="73"/>
      <c r="AC104" s="73"/>
      <c r="AD104" s="73"/>
      <c r="AE104" s="73"/>
      <c r="AF104" s="73"/>
      <c r="AG104" s="74"/>
      <c r="AH104" s="75"/>
      <c r="AI104" s="70"/>
    </row>
    <row r="105" spans="1:35" ht="24.75" customHeight="1">
      <c r="A105" s="17"/>
      <c r="B105" s="900" t="s">
        <v>179</v>
      </c>
      <c r="C105" s="901"/>
      <c r="D105" s="902" t="s">
        <v>87</v>
      </c>
      <c r="E105" s="903"/>
      <c r="F105" s="901"/>
      <c r="G105" s="904" t="s">
        <v>88</v>
      </c>
      <c r="H105" s="905"/>
      <c r="I105" s="906"/>
      <c r="J105" s="904" t="s">
        <v>89</v>
      </c>
      <c r="K105" s="907"/>
      <c r="L105" s="906"/>
      <c r="M105" s="908" t="s">
        <v>90</v>
      </c>
      <c r="N105" s="907"/>
      <c r="O105" s="906"/>
      <c r="P105" s="904" t="s">
        <v>91</v>
      </c>
      <c r="Q105" s="909"/>
      <c r="R105" s="906"/>
      <c r="S105" s="904" t="s">
        <v>92</v>
      </c>
      <c r="T105" s="910"/>
      <c r="U105" s="906"/>
      <c r="V105" s="904" t="s">
        <v>93</v>
      </c>
      <c r="W105" s="909"/>
      <c r="X105" s="911" t="s">
        <v>158</v>
      </c>
      <c r="Y105" s="912"/>
      <c r="Z105" s="912"/>
      <c r="AA105" s="913"/>
      <c r="AB105" s="914" t="s">
        <v>94</v>
      </c>
      <c r="AC105" s="915"/>
      <c r="AD105" s="915"/>
      <c r="AE105" s="916"/>
      <c r="AF105" s="916"/>
      <c r="AG105" s="917"/>
      <c r="AH105" s="75"/>
      <c r="AI105" s="70"/>
    </row>
    <row r="106" spans="1:35" ht="24.75" customHeight="1">
      <c r="A106" s="17"/>
      <c r="B106" s="918" t="s">
        <v>180</v>
      </c>
      <c r="C106" s="919" t="s">
        <v>181</v>
      </c>
      <c r="D106" s="630"/>
      <c r="E106" s="631"/>
      <c r="F106" s="919" t="s">
        <v>181</v>
      </c>
      <c r="G106" s="630"/>
      <c r="H106" s="631"/>
      <c r="I106" s="919" t="s">
        <v>181</v>
      </c>
      <c r="J106" s="630"/>
      <c r="K106" s="631"/>
      <c r="L106" s="919" t="s">
        <v>181</v>
      </c>
      <c r="M106" s="630"/>
      <c r="N106" s="631"/>
      <c r="O106" s="919" t="s">
        <v>182</v>
      </c>
      <c r="P106" s="630"/>
      <c r="Q106" s="631"/>
      <c r="R106" s="919"/>
      <c r="S106" s="630"/>
      <c r="T106" s="631"/>
      <c r="U106" s="919"/>
      <c r="V106" s="630"/>
      <c r="W106" s="631"/>
      <c r="X106" s="919"/>
      <c r="Y106" s="920"/>
      <c r="Z106" s="920"/>
      <c r="AA106" s="920"/>
      <c r="AB106" s="627"/>
      <c r="AC106" s="920"/>
      <c r="AD106" s="920"/>
      <c r="AE106" s="920"/>
      <c r="AF106" s="920"/>
      <c r="AG106" s="921"/>
      <c r="AH106" s="75"/>
      <c r="AI106" s="70"/>
    </row>
    <row r="107" spans="1:35" ht="24.75" customHeight="1">
      <c r="A107" s="17"/>
      <c r="B107" s="16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75"/>
      <c r="AI107" s="70"/>
    </row>
    <row r="108" spans="1:35" ht="24.75" customHeight="1" thickBot="1">
      <c r="A108" s="785" t="s">
        <v>28</v>
      </c>
      <c r="B108" s="727" t="s">
        <v>29</v>
      </c>
      <c r="C108" s="646">
        <v>1</v>
      </c>
      <c r="D108" s="647">
        <v>2</v>
      </c>
      <c r="E108" s="647">
        <v>3</v>
      </c>
      <c r="F108" s="647">
        <v>4</v>
      </c>
      <c r="G108" s="647">
        <v>5</v>
      </c>
      <c r="H108" s="647">
        <v>6</v>
      </c>
      <c r="I108" s="646">
        <v>7</v>
      </c>
      <c r="J108" s="646">
        <v>8</v>
      </c>
      <c r="K108" s="647">
        <v>9</v>
      </c>
      <c r="L108" s="647">
        <v>10</v>
      </c>
      <c r="M108" s="647">
        <v>11</v>
      </c>
      <c r="N108" s="647">
        <v>12</v>
      </c>
      <c r="O108" s="647">
        <v>13</v>
      </c>
      <c r="P108" s="646">
        <v>14</v>
      </c>
      <c r="Q108" s="646">
        <v>15</v>
      </c>
      <c r="R108" s="647">
        <v>16</v>
      </c>
      <c r="S108" s="647">
        <v>17</v>
      </c>
      <c r="T108" s="647">
        <v>18</v>
      </c>
      <c r="U108" s="647">
        <v>19</v>
      </c>
      <c r="V108" s="647">
        <v>20</v>
      </c>
      <c r="W108" s="646">
        <v>21</v>
      </c>
      <c r="X108" s="646">
        <v>22</v>
      </c>
      <c r="Y108" s="647">
        <v>23</v>
      </c>
      <c r="Z108" s="647">
        <v>24</v>
      </c>
      <c r="AA108" s="647">
        <v>25</v>
      </c>
      <c r="AB108" s="647">
        <v>26</v>
      </c>
      <c r="AC108" s="647">
        <v>27</v>
      </c>
      <c r="AD108" s="646">
        <v>28</v>
      </c>
      <c r="AE108" s="646">
        <v>29</v>
      </c>
      <c r="AF108" s="647">
        <v>30</v>
      </c>
      <c r="AG108" s="648">
        <v>31</v>
      </c>
      <c r="AH108" s="75"/>
      <c r="AI108" s="70"/>
    </row>
    <row r="109" spans="1:35" ht="24.75" customHeight="1">
      <c r="A109" s="922">
        <v>8520</v>
      </c>
      <c r="B109" s="923" t="s">
        <v>183</v>
      </c>
      <c r="C109" s="542"/>
      <c r="D109" s="541" t="s">
        <v>118</v>
      </c>
      <c r="E109" s="541" t="s">
        <v>118</v>
      </c>
      <c r="F109" s="542" t="s">
        <v>118</v>
      </c>
      <c r="G109" s="542" t="s">
        <v>118</v>
      </c>
      <c r="H109" s="542" t="s">
        <v>118</v>
      </c>
      <c r="I109" s="542"/>
      <c r="J109" s="542"/>
      <c r="K109" s="833" t="s">
        <v>118</v>
      </c>
      <c r="L109" s="833" t="s">
        <v>118</v>
      </c>
      <c r="M109" s="833" t="s">
        <v>118</v>
      </c>
      <c r="N109" s="833" t="s">
        <v>184</v>
      </c>
      <c r="O109" s="650" t="s">
        <v>118</v>
      </c>
      <c r="P109" s="542"/>
      <c r="Q109" s="542"/>
      <c r="R109" s="542" t="s">
        <v>118</v>
      </c>
      <c r="S109" s="542" t="s">
        <v>118</v>
      </c>
      <c r="T109" s="542" t="s">
        <v>118</v>
      </c>
      <c r="U109" s="542" t="s">
        <v>118</v>
      </c>
      <c r="V109" s="542" t="s">
        <v>118</v>
      </c>
      <c r="W109" s="542"/>
      <c r="X109" s="542"/>
      <c r="Y109" s="542">
        <v>1</v>
      </c>
      <c r="Z109" s="542">
        <v>1</v>
      </c>
      <c r="AA109" s="542" t="s">
        <v>118</v>
      </c>
      <c r="AB109" s="542" t="s">
        <v>118</v>
      </c>
      <c r="AC109" s="542">
        <v>1</v>
      </c>
      <c r="AD109" s="542"/>
      <c r="AE109" s="542"/>
      <c r="AF109" s="542" t="s">
        <v>118</v>
      </c>
      <c r="AG109" s="542" t="s">
        <v>118</v>
      </c>
      <c r="AH109" s="75"/>
      <c r="AI109" s="70"/>
    </row>
    <row r="110" spans="1:35" ht="24.75" customHeight="1">
      <c r="AH110" s="76"/>
      <c r="AI110" s="76"/>
    </row>
    <row r="111" spans="1:35" ht="24.75" customHeight="1" thickBot="1">
      <c r="A111" s="77" t="s">
        <v>185</v>
      </c>
      <c r="B111" s="78"/>
      <c r="C111" s="78"/>
      <c r="D111" s="79"/>
      <c r="E111" s="79"/>
      <c r="F111" s="79"/>
      <c r="G111" s="80"/>
      <c r="H111" s="79"/>
      <c r="I111" s="79"/>
      <c r="J111" s="79"/>
      <c r="K111" s="79"/>
      <c r="L111" s="79"/>
      <c r="M111" s="79"/>
      <c r="N111" s="79"/>
      <c r="O111" s="79"/>
      <c r="P111" s="79"/>
      <c r="Q111" s="79"/>
      <c r="R111" s="79"/>
      <c r="S111" s="79"/>
      <c r="T111" s="79"/>
      <c r="U111" s="79"/>
      <c r="V111" s="79"/>
      <c r="W111" s="79"/>
      <c r="X111" s="79"/>
      <c r="Y111" s="79"/>
      <c r="Z111" s="79"/>
      <c r="AA111" s="79"/>
      <c r="AB111" s="79"/>
      <c r="AC111" s="79"/>
      <c r="AD111" s="79"/>
      <c r="AE111" s="79"/>
      <c r="AF111" s="79"/>
      <c r="AG111" s="79"/>
      <c r="AH111" s="78"/>
      <c r="AI111" s="78"/>
    </row>
    <row r="112" spans="1:35" ht="24.75" customHeight="1">
      <c r="A112" s="77"/>
      <c r="B112" s="900" t="s">
        <v>186</v>
      </c>
      <c r="C112" s="924"/>
      <c r="D112" s="925" t="s">
        <v>87</v>
      </c>
      <c r="E112" s="926"/>
      <c r="F112" s="927"/>
      <c r="G112" s="924"/>
      <c r="H112" s="925" t="s">
        <v>88</v>
      </c>
      <c r="I112" s="926"/>
      <c r="J112" s="927"/>
      <c r="K112" s="924"/>
      <c r="L112" s="925" t="s">
        <v>89</v>
      </c>
      <c r="M112" s="926"/>
      <c r="N112" s="927"/>
      <c r="O112" s="924"/>
      <c r="P112" s="925" t="s">
        <v>90</v>
      </c>
      <c r="Q112" s="926"/>
      <c r="R112" s="927"/>
      <c r="S112" s="924"/>
      <c r="T112" s="925" t="s">
        <v>91</v>
      </c>
      <c r="U112" s="926"/>
      <c r="V112" s="927"/>
      <c r="W112" s="924"/>
      <c r="X112" s="925" t="s">
        <v>92</v>
      </c>
      <c r="Y112" s="926"/>
      <c r="Z112" s="927"/>
      <c r="AA112" s="924"/>
      <c r="AB112" s="925" t="s">
        <v>93</v>
      </c>
      <c r="AC112" s="926"/>
      <c r="AD112" s="926"/>
      <c r="AE112" s="928" t="s">
        <v>94</v>
      </c>
      <c r="AF112" s="926"/>
      <c r="AG112" s="926"/>
      <c r="AH112" s="926"/>
      <c r="AI112" s="929"/>
    </row>
    <row r="113" spans="1:35" ht="24.75" customHeight="1">
      <c r="A113" s="77"/>
      <c r="B113" s="930" t="s">
        <v>159</v>
      </c>
      <c r="C113" s="931">
        <v>69</v>
      </c>
      <c r="D113" s="932" t="s">
        <v>187</v>
      </c>
      <c r="E113" s="932"/>
      <c r="F113" s="933"/>
      <c r="G113" s="931">
        <v>69</v>
      </c>
      <c r="H113" s="932" t="s">
        <v>187</v>
      </c>
      <c r="I113" s="932"/>
      <c r="J113" s="933"/>
      <c r="K113" s="931">
        <v>69</v>
      </c>
      <c r="L113" s="932" t="s">
        <v>187</v>
      </c>
      <c r="M113" s="932"/>
      <c r="N113" s="933"/>
      <c r="O113" s="931">
        <v>69</v>
      </c>
      <c r="P113" s="932" t="s">
        <v>187</v>
      </c>
      <c r="Q113" s="932"/>
      <c r="R113" s="933"/>
      <c r="S113" s="931">
        <v>69</v>
      </c>
      <c r="T113" s="932" t="s">
        <v>187</v>
      </c>
      <c r="U113" s="932"/>
      <c r="V113" s="933"/>
      <c r="W113" s="931"/>
      <c r="X113" s="934"/>
      <c r="Y113" s="934"/>
      <c r="Z113" s="935"/>
      <c r="AA113" s="931"/>
      <c r="AB113" s="932"/>
      <c r="AC113" s="932"/>
      <c r="AD113" s="773"/>
      <c r="AE113" s="936">
        <v>35</v>
      </c>
      <c r="AF113" s="932"/>
      <c r="AG113" s="932"/>
      <c r="AH113" s="773"/>
      <c r="AI113" s="937"/>
    </row>
    <row r="114" spans="1:35" ht="24.75" customHeight="1">
      <c r="A114" s="77"/>
      <c r="B114" s="930" t="s">
        <v>163</v>
      </c>
      <c r="C114" s="931">
        <v>79</v>
      </c>
      <c r="D114" s="932" t="s">
        <v>188</v>
      </c>
      <c r="E114" s="932"/>
      <c r="F114" s="933"/>
      <c r="G114" s="931">
        <v>79</v>
      </c>
      <c r="H114" s="932" t="s">
        <v>188</v>
      </c>
      <c r="I114" s="932"/>
      <c r="J114" s="933"/>
      <c r="K114" s="931">
        <v>79</v>
      </c>
      <c r="L114" s="932" t="s">
        <v>188</v>
      </c>
      <c r="M114" s="932"/>
      <c r="N114" s="933"/>
      <c r="O114" s="931">
        <v>79</v>
      </c>
      <c r="P114" s="932" t="s">
        <v>188</v>
      </c>
      <c r="Q114" s="932"/>
      <c r="R114" s="933"/>
      <c r="S114" s="931">
        <v>79</v>
      </c>
      <c r="T114" s="932" t="s">
        <v>188</v>
      </c>
      <c r="U114" s="932"/>
      <c r="V114" s="933"/>
      <c r="W114" s="931"/>
      <c r="X114" s="932"/>
      <c r="Y114" s="932"/>
      <c r="Z114" s="933"/>
      <c r="AA114" s="932"/>
      <c r="AB114" s="932"/>
      <c r="AC114" s="932"/>
      <c r="AD114" s="773"/>
      <c r="AE114" s="936">
        <v>40</v>
      </c>
      <c r="AF114" s="932"/>
      <c r="AG114" s="932"/>
      <c r="AH114" s="773"/>
      <c r="AI114" s="937"/>
    </row>
    <row r="115" spans="1:35" ht="24.75" customHeight="1">
      <c r="A115" s="77"/>
      <c r="B115" s="930" t="s">
        <v>171</v>
      </c>
      <c r="C115" s="931">
        <v>89</v>
      </c>
      <c r="D115" s="932" t="s">
        <v>189</v>
      </c>
      <c r="E115" s="932"/>
      <c r="F115" s="933"/>
      <c r="G115" s="931">
        <v>89</v>
      </c>
      <c r="H115" s="932" t="s">
        <v>189</v>
      </c>
      <c r="I115" s="932"/>
      <c r="J115" s="933"/>
      <c r="K115" s="931">
        <v>89</v>
      </c>
      <c r="L115" s="932" t="s">
        <v>189</v>
      </c>
      <c r="M115" s="932"/>
      <c r="N115" s="933"/>
      <c r="O115" s="931">
        <v>89</v>
      </c>
      <c r="P115" s="932" t="s">
        <v>189</v>
      </c>
      <c r="Q115" s="932"/>
      <c r="R115" s="933"/>
      <c r="S115" s="931">
        <v>89</v>
      </c>
      <c r="T115" s="932" t="s">
        <v>190</v>
      </c>
      <c r="U115" s="932"/>
      <c r="V115" s="933"/>
      <c r="W115" s="938"/>
      <c r="X115" s="939" t="s">
        <v>191</v>
      </c>
      <c r="Y115" s="939"/>
      <c r="Z115" s="940"/>
      <c r="AA115" s="938"/>
      <c r="AB115" s="939"/>
      <c r="AC115" s="939"/>
      <c r="AD115" s="776"/>
      <c r="AE115" s="936">
        <v>44</v>
      </c>
      <c r="AF115" s="932"/>
      <c r="AG115" s="932"/>
      <c r="AH115" s="773"/>
      <c r="AI115" s="937"/>
    </row>
    <row r="116" spans="1:35" ht="24.75" customHeight="1">
      <c r="A116" s="77"/>
      <c r="B116" s="81" t="s">
        <v>173</v>
      </c>
      <c r="C116" s="938">
        <v>99</v>
      </c>
      <c r="D116" s="939" t="s">
        <v>192</v>
      </c>
      <c r="E116" s="939"/>
      <c r="F116" s="940"/>
      <c r="G116" s="938">
        <v>99</v>
      </c>
      <c r="H116" s="939" t="s">
        <v>192</v>
      </c>
      <c r="I116" s="939"/>
      <c r="J116" s="940"/>
      <c r="K116" s="938">
        <v>99</v>
      </c>
      <c r="L116" s="939" t="s">
        <v>192</v>
      </c>
      <c r="M116" s="939"/>
      <c r="N116" s="940"/>
      <c r="O116" s="938">
        <v>99</v>
      </c>
      <c r="P116" s="939" t="s">
        <v>192</v>
      </c>
      <c r="Q116" s="939"/>
      <c r="R116" s="940"/>
      <c r="S116" s="938">
        <v>99</v>
      </c>
      <c r="T116" s="939" t="s">
        <v>172</v>
      </c>
      <c r="U116" s="939"/>
      <c r="V116" s="776"/>
      <c r="W116" s="775"/>
      <c r="X116" s="776"/>
      <c r="Y116" s="939"/>
      <c r="Z116" s="940"/>
      <c r="AA116" s="775"/>
      <c r="AB116" s="776"/>
      <c r="AC116" s="939"/>
      <c r="AD116" s="940"/>
      <c r="AE116" s="941">
        <v>28</v>
      </c>
      <c r="AF116" s="939"/>
      <c r="AG116" s="939"/>
      <c r="AH116" s="776"/>
      <c r="AI116" s="942"/>
    </row>
    <row r="117" spans="1:35" ht="24.75" customHeight="1" thickBot="1">
      <c r="A117" s="77"/>
      <c r="B117" s="943" t="s">
        <v>193</v>
      </c>
      <c r="C117" s="944" t="s">
        <v>47</v>
      </c>
      <c r="D117" s="945" t="s">
        <v>194</v>
      </c>
      <c r="E117" s="946"/>
      <c r="F117" s="720"/>
      <c r="G117" s="944" t="s">
        <v>47</v>
      </c>
      <c r="H117" s="945" t="s">
        <v>194</v>
      </c>
      <c r="I117" s="718"/>
      <c r="J117" s="946"/>
      <c r="K117" s="944" t="s">
        <v>47</v>
      </c>
      <c r="L117" s="945" t="s">
        <v>194</v>
      </c>
      <c r="M117" s="946"/>
      <c r="N117" s="947"/>
      <c r="O117" s="944" t="s">
        <v>47</v>
      </c>
      <c r="P117" s="945" t="s">
        <v>194</v>
      </c>
      <c r="Q117" s="946"/>
      <c r="R117" s="945"/>
      <c r="S117" s="944" t="s">
        <v>47</v>
      </c>
      <c r="T117" s="722" t="s">
        <v>195</v>
      </c>
      <c r="U117" s="945"/>
      <c r="V117" s="947"/>
      <c r="W117" s="946"/>
      <c r="X117" s="945"/>
      <c r="Y117" s="945"/>
      <c r="Z117" s="945"/>
      <c r="AA117" s="948"/>
      <c r="AB117" s="949"/>
      <c r="AC117" s="945"/>
      <c r="AD117" s="950"/>
      <c r="AE117" s="945"/>
      <c r="AF117" s="945"/>
      <c r="AG117" s="945"/>
      <c r="AH117" s="951"/>
      <c r="AI117" s="952"/>
    </row>
    <row r="118" spans="1:35" ht="24.75" customHeight="1">
      <c r="A118" s="82"/>
      <c r="B118" s="77"/>
      <c r="C118" s="79"/>
      <c r="D118" s="79"/>
      <c r="E118" s="79"/>
      <c r="F118" s="79"/>
      <c r="G118" s="79"/>
      <c r="H118" s="79"/>
      <c r="I118" s="79"/>
      <c r="J118" s="79"/>
      <c r="K118" s="79"/>
      <c r="L118" s="79"/>
      <c r="M118" s="79"/>
      <c r="N118" s="79"/>
      <c r="O118" s="79"/>
      <c r="P118" s="79"/>
      <c r="Q118" s="79"/>
      <c r="R118" s="79"/>
      <c r="S118" s="79"/>
      <c r="T118" s="79"/>
      <c r="U118" s="79"/>
      <c r="V118" s="79"/>
      <c r="W118" s="79"/>
      <c r="X118" s="79"/>
      <c r="Y118" s="79"/>
      <c r="Z118" s="79"/>
      <c r="AA118" s="79"/>
      <c r="AB118" s="79"/>
      <c r="AC118" s="79"/>
      <c r="AD118" s="79"/>
      <c r="AE118" s="79"/>
      <c r="AF118" s="79"/>
      <c r="AG118" s="79"/>
      <c r="AH118" s="78"/>
      <c r="AI118" s="78"/>
    </row>
    <row r="119" spans="1:35" ht="24.75" customHeight="1" thickBot="1">
      <c r="A119" s="785"/>
      <c r="B119" s="727" t="s">
        <v>29</v>
      </c>
      <c r="C119" s="646">
        <v>1</v>
      </c>
      <c r="D119" s="647">
        <v>2</v>
      </c>
      <c r="E119" s="647">
        <v>3</v>
      </c>
      <c r="F119" s="647">
        <v>4</v>
      </c>
      <c r="G119" s="647">
        <v>5</v>
      </c>
      <c r="H119" s="647">
        <v>6</v>
      </c>
      <c r="I119" s="646">
        <v>7</v>
      </c>
      <c r="J119" s="646">
        <v>8</v>
      </c>
      <c r="K119" s="647">
        <v>9</v>
      </c>
      <c r="L119" s="647">
        <v>10</v>
      </c>
      <c r="M119" s="647">
        <v>11</v>
      </c>
      <c r="N119" s="647">
        <v>12</v>
      </c>
      <c r="O119" s="647">
        <v>13</v>
      </c>
      <c r="P119" s="646">
        <v>14</v>
      </c>
      <c r="Q119" s="646">
        <v>15</v>
      </c>
      <c r="R119" s="647">
        <v>16</v>
      </c>
      <c r="S119" s="647">
        <v>17</v>
      </c>
      <c r="T119" s="647">
        <v>18</v>
      </c>
      <c r="U119" s="647">
        <v>19</v>
      </c>
      <c r="V119" s="647">
        <v>20</v>
      </c>
      <c r="W119" s="646">
        <v>21</v>
      </c>
      <c r="X119" s="646">
        <v>22</v>
      </c>
      <c r="Y119" s="647">
        <v>23</v>
      </c>
      <c r="Z119" s="647">
        <v>24</v>
      </c>
      <c r="AA119" s="647">
        <v>25</v>
      </c>
      <c r="AB119" s="647">
        <v>26</v>
      </c>
      <c r="AC119" s="647">
        <v>27</v>
      </c>
      <c r="AD119" s="646">
        <v>28</v>
      </c>
      <c r="AE119" s="646">
        <v>29</v>
      </c>
      <c r="AF119" s="647">
        <v>30</v>
      </c>
      <c r="AG119" s="648">
        <v>31</v>
      </c>
      <c r="AH119" s="23"/>
      <c r="AI119" s="24"/>
    </row>
    <row r="120" spans="1:35" ht="24.75" customHeight="1">
      <c r="A120" s="953">
        <v>1</v>
      </c>
      <c r="B120" s="954" t="s">
        <v>196</v>
      </c>
      <c r="C120" s="472"/>
      <c r="D120" s="472">
        <v>79</v>
      </c>
      <c r="E120" s="542">
        <v>79</v>
      </c>
      <c r="F120" s="542">
        <v>79</v>
      </c>
      <c r="G120" s="471">
        <v>79</v>
      </c>
      <c r="H120" s="472">
        <v>79</v>
      </c>
      <c r="I120" s="471"/>
      <c r="J120" s="471"/>
      <c r="K120" s="472">
        <v>89</v>
      </c>
      <c r="L120" s="471">
        <v>89</v>
      </c>
      <c r="M120" s="542">
        <v>89</v>
      </c>
      <c r="N120" s="472">
        <v>89</v>
      </c>
      <c r="O120" s="472">
        <v>89</v>
      </c>
      <c r="P120" s="472">
        <v>89</v>
      </c>
      <c r="Q120" s="472"/>
      <c r="R120" s="472">
        <v>99</v>
      </c>
      <c r="S120" s="542">
        <v>99</v>
      </c>
      <c r="T120" s="542">
        <v>99</v>
      </c>
      <c r="U120" s="472">
        <v>99</v>
      </c>
      <c r="V120" s="472" t="s">
        <v>35</v>
      </c>
      <c r="W120" s="472"/>
      <c r="X120" s="472"/>
      <c r="Y120" s="472" t="s">
        <v>47</v>
      </c>
      <c r="Z120" s="472" t="s">
        <v>47</v>
      </c>
      <c r="AA120" s="826">
        <v>1</v>
      </c>
      <c r="AB120" s="826">
        <v>1</v>
      </c>
      <c r="AC120" s="472" t="s">
        <v>47</v>
      </c>
      <c r="AD120" s="472"/>
      <c r="AE120" s="472"/>
      <c r="AF120" s="826">
        <v>1</v>
      </c>
      <c r="AG120" s="827">
        <v>1</v>
      </c>
      <c r="AH120" s="83"/>
      <c r="AI120" s="76"/>
    </row>
    <row r="121" spans="1:35" ht="24.75" customHeight="1">
      <c r="A121" s="955">
        <v>2</v>
      </c>
      <c r="B121" s="823" t="s">
        <v>197</v>
      </c>
      <c r="C121" s="656"/>
      <c r="D121" s="570">
        <v>89</v>
      </c>
      <c r="E121" s="751">
        <v>89</v>
      </c>
      <c r="F121" s="751">
        <v>89</v>
      </c>
      <c r="G121" s="570">
        <v>89</v>
      </c>
      <c r="H121" s="570">
        <v>89</v>
      </c>
      <c r="I121" s="570">
        <v>89</v>
      </c>
      <c r="J121" s="570"/>
      <c r="K121" s="570">
        <v>99</v>
      </c>
      <c r="L121" s="751">
        <v>99</v>
      </c>
      <c r="M121" s="751">
        <v>99</v>
      </c>
      <c r="N121" s="751">
        <v>99</v>
      </c>
      <c r="O121" s="570" t="s">
        <v>0</v>
      </c>
      <c r="P121" s="751" t="s">
        <v>0</v>
      </c>
      <c r="Q121" s="751" t="s">
        <v>0</v>
      </c>
      <c r="R121" s="751" t="s">
        <v>47</v>
      </c>
      <c r="S121" s="751" t="s">
        <v>47</v>
      </c>
      <c r="T121" s="751" t="s">
        <v>47</v>
      </c>
      <c r="U121" s="570" t="s">
        <v>47</v>
      </c>
      <c r="V121" s="570" t="s">
        <v>47</v>
      </c>
      <c r="W121" s="570"/>
      <c r="X121" s="570"/>
      <c r="Y121" s="570">
        <v>69</v>
      </c>
      <c r="Z121" s="751">
        <v>69</v>
      </c>
      <c r="AA121" s="751">
        <v>69</v>
      </c>
      <c r="AB121" s="656">
        <v>69</v>
      </c>
      <c r="AC121" s="570">
        <v>69</v>
      </c>
      <c r="AD121" s="656"/>
      <c r="AE121" s="656"/>
      <c r="AF121" s="570">
        <v>79</v>
      </c>
      <c r="AG121" s="956">
        <v>79</v>
      </c>
      <c r="AH121" s="84"/>
      <c r="AI121" s="85"/>
    </row>
    <row r="122" spans="1:35" ht="24.75" customHeight="1">
      <c r="A122" s="955">
        <v>3</v>
      </c>
      <c r="B122" s="823" t="s">
        <v>198</v>
      </c>
      <c r="C122" s="570"/>
      <c r="D122" s="570">
        <v>99</v>
      </c>
      <c r="E122" s="957">
        <v>99</v>
      </c>
      <c r="F122" s="751">
        <v>99</v>
      </c>
      <c r="G122" s="570">
        <v>99</v>
      </c>
      <c r="H122" s="888" t="s">
        <v>35</v>
      </c>
      <c r="I122" s="570"/>
      <c r="J122" s="656"/>
      <c r="K122" s="680" t="s">
        <v>31</v>
      </c>
      <c r="L122" s="680" t="s">
        <v>31</v>
      </c>
      <c r="M122" s="680" t="s">
        <v>31</v>
      </c>
      <c r="N122" s="680" t="s">
        <v>31</v>
      </c>
      <c r="O122" s="680" t="s">
        <v>31</v>
      </c>
      <c r="P122" s="570"/>
      <c r="Q122" s="570"/>
      <c r="R122" s="570" t="s">
        <v>35</v>
      </c>
      <c r="S122" s="570" t="s">
        <v>35</v>
      </c>
      <c r="T122" s="958" t="s">
        <v>35</v>
      </c>
      <c r="U122" s="958" t="s">
        <v>35</v>
      </c>
      <c r="V122" s="958" t="s">
        <v>35</v>
      </c>
      <c r="W122" s="958"/>
      <c r="X122" s="958"/>
      <c r="Y122" s="534" t="s">
        <v>31</v>
      </c>
      <c r="Z122" s="534" t="s">
        <v>31</v>
      </c>
      <c r="AA122" s="534" t="s">
        <v>31</v>
      </c>
      <c r="AB122" s="534" t="s">
        <v>31</v>
      </c>
      <c r="AC122" s="534" t="s">
        <v>31</v>
      </c>
      <c r="AD122" s="958"/>
      <c r="AE122" s="958"/>
      <c r="AF122" s="657">
        <v>2</v>
      </c>
      <c r="AG122" s="657">
        <v>2</v>
      </c>
      <c r="AH122" s="83"/>
      <c r="AI122" s="76"/>
    </row>
    <row r="123" spans="1:35" ht="24.75" customHeight="1">
      <c r="A123" s="955">
        <v>4</v>
      </c>
      <c r="B123" s="823"/>
      <c r="C123" s="959"/>
      <c r="D123" s="959" t="s">
        <v>47</v>
      </c>
      <c r="E123" s="959" t="s">
        <v>47</v>
      </c>
      <c r="F123" s="751" t="s">
        <v>47</v>
      </c>
      <c r="G123" s="570" t="s">
        <v>199</v>
      </c>
      <c r="H123" s="570" t="s">
        <v>199</v>
      </c>
      <c r="I123" s="570"/>
      <c r="J123" s="570"/>
      <c r="K123" s="570">
        <v>69</v>
      </c>
      <c r="L123" s="751">
        <v>69</v>
      </c>
      <c r="M123" s="751">
        <v>69</v>
      </c>
      <c r="N123" s="959">
        <v>69</v>
      </c>
      <c r="O123" s="959">
        <v>69</v>
      </c>
      <c r="P123" s="959"/>
      <c r="Q123" s="959"/>
      <c r="R123" s="959">
        <v>79</v>
      </c>
      <c r="S123" s="751">
        <v>79</v>
      </c>
      <c r="T123" s="957">
        <v>79</v>
      </c>
      <c r="U123" s="959">
        <v>79</v>
      </c>
      <c r="V123" s="959">
        <v>79</v>
      </c>
      <c r="W123" s="959"/>
      <c r="X123" s="959"/>
      <c r="Y123" s="959">
        <v>89</v>
      </c>
      <c r="Z123" s="568">
        <v>89</v>
      </c>
      <c r="AA123" s="568">
        <v>89</v>
      </c>
      <c r="AB123" s="959">
        <v>89</v>
      </c>
      <c r="AC123" s="959">
        <v>89</v>
      </c>
      <c r="AD123" s="959">
        <v>89</v>
      </c>
      <c r="AE123" s="959"/>
      <c r="AF123" s="959">
        <v>99</v>
      </c>
      <c r="AG123" s="960">
        <v>99</v>
      </c>
      <c r="AH123" s="83"/>
      <c r="AI123" s="76"/>
    </row>
    <row r="124" spans="1:35" ht="24.75" customHeight="1" thickBot="1">
      <c r="A124" s="961">
        <v>5</v>
      </c>
      <c r="B124" s="962" t="s">
        <v>200</v>
      </c>
      <c r="C124" s="694"/>
      <c r="D124" s="694">
        <v>69</v>
      </c>
      <c r="E124" s="694">
        <v>69</v>
      </c>
      <c r="F124" s="647">
        <v>69</v>
      </c>
      <c r="G124" s="577">
        <v>69</v>
      </c>
      <c r="H124" s="577">
        <v>69</v>
      </c>
      <c r="I124" s="963"/>
      <c r="J124" s="963"/>
      <c r="K124" s="577">
        <v>79</v>
      </c>
      <c r="L124" s="647">
        <v>79</v>
      </c>
      <c r="M124" s="647">
        <v>79</v>
      </c>
      <c r="N124" s="694">
        <v>79</v>
      </c>
      <c r="O124" s="694">
        <v>79</v>
      </c>
      <c r="P124" s="738"/>
      <c r="Q124" s="738"/>
      <c r="R124" s="694">
        <v>89</v>
      </c>
      <c r="S124" s="647">
        <v>89</v>
      </c>
      <c r="T124" s="964">
        <v>89</v>
      </c>
      <c r="U124" s="694">
        <v>89</v>
      </c>
      <c r="V124" s="694">
        <v>89</v>
      </c>
      <c r="W124" s="694">
        <v>89</v>
      </c>
      <c r="X124" s="694"/>
      <c r="Y124" s="694" t="s">
        <v>201</v>
      </c>
      <c r="Z124" s="694" t="s">
        <v>201</v>
      </c>
      <c r="AA124" s="694" t="s">
        <v>201</v>
      </c>
      <c r="AB124" s="694" t="s">
        <v>201</v>
      </c>
      <c r="AC124" s="694" t="s">
        <v>201</v>
      </c>
      <c r="AD124" s="694"/>
      <c r="AE124" s="694"/>
      <c r="AF124" s="694" t="s">
        <v>47</v>
      </c>
      <c r="AG124" s="965" t="s">
        <v>47</v>
      </c>
      <c r="AH124" s="83"/>
      <c r="AI124" s="76"/>
    </row>
    <row r="125" spans="1:35" ht="24.75" customHeight="1">
      <c r="A125" s="36"/>
      <c r="B125" s="87"/>
      <c r="C125" s="38"/>
      <c r="D125" s="38"/>
      <c r="E125" s="38"/>
      <c r="F125" s="38"/>
      <c r="G125" s="38"/>
      <c r="H125" s="38"/>
      <c r="I125" s="38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76"/>
      <c r="AI125" s="76"/>
    </row>
    <row r="126" spans="1:35" ht="24.75" customHeight="1" thickBot="1">
      <c r="A126" s="77" t="s">
        <v>202</v>
      </c>
      <c r="B126" s="78"/>
      <c r="C126" s="78"/>
      <c r="D126" s="79"/>
      <c r="E126" s="79"/>
      <c r="F126" s="79"/>
      <c r="G126" s="80"/>
      <c r="H126" s="79"/>
      <c r="I126" s="79"/>
      <c r="J126" s="79"/>
      <c r="K126" s="79"/>
      <c r="L126" s="79"/>
      <c r="M126" s="79"/>
      <c r="N126" s="79"/>
      <c r="O126" s="79"/>
      <c r="P126" s="79"/>
      <c r="Q126" s="79"/>
      <c r="R126" s="79"/>
      <c r="S126" s="79"/>
      <c r="T126" s="79"/>
      <c r="U126" s="79"/>
      <c r="V126" s="79"/>
      <c r="W126" s="79"/>
      <c r="X126" s="79"/>
      <c r="Y126" s="79"/>
      <c r="Z126" s="79"/>
      <c r="AA126" s="79"/>
      <c r="AB126" s="79"/>
      <c r="AC126" s="79"/>
      <c r="AD126" s="79"/>
      <c r="AE126" s="79"/>
      <c r="AF126" s="79"/>
      <c r="AG126" s="79"/>
      <c r="AH126" s="78"/>
      <c r="AI126" s="78"/>
    </row>
    <row r="127" spans="1:35" ht="24.75" customHeight="1">
      <c r="A127" s="77"/>
      <c r="B127" s="900" t="s">
        <v>186</v>
      </c>
      <c r="C127" s="924"/>
      <c r="D127" s="925" t="s">
        <v>87</v>
      </c>
      <c r="E127" s="926"/>
      <c r="F127" s="927"/>
      <c r="G127" s="924"/>
      <c r="H127" s="925" t="s">
        <v>88</v>
      </c>
      <c r="I127" s="926"/>
      <c r="J127" s="927"/>
      <c r="K127" s="924"/>
      <c r="L127" s="925" t="s">
        <v>89</v>
      </c>
      <c r="M127" s="926"/>
      <c r="N127" s="927"/>
      <c r="O127" s="924"/>
      <c r="P127" s="925" t="s">
        <v>90</v>
      </c>
      <c r="Q127" s="926"/>
      <c r="R127" s="927"/>
      <c r="S127" s="924"/>
      <c r="T127" s="925" t="s">
        <v>91</v>
      </c>
      <c r="U127" s="926"/>
      <c r="V127" s="927"/>
      <c r="W127" s="924"/>
      <c r="X127" s="925" t="s">
        <v>92</v>
      </c>
      <c r="Y127" s="926"/>
      <c r="Z127" s="927"/>
      <c r="AA127" s="924"/>
      <c r="AB127" s="925" t="s">
        <v>93</v>
      </c>
      <c r="AC127" s="926"/>
      <c r="AD127" s="926"/>
      <c r="AE127" s="928" t="s">
        <v>94</v>
      </c>
      <c r="AF127" s="926"/>
      <c r="AG127" s="926"/>
      <c r="AH127" s="926"/>
      <c r="AI127" s="929"/>
    </row>
    <row r="128" spans="1:35" ht="24.75" customHeight="1">
      <c r="A128" s="77"/>
      <c r="B128" s="930" t="s">
        <v>203</v>
      </c>
      <c r="C128" s="772" t="s">
        <v>204</v>
      </c>
      <c r="D128" s="932"/>
      <c r="E128" s="932"/>
      <c r="F128" s="933"/>
      <c r="G128" s="772" t="s">
        <v>204</v>
      </c>
      <c r="H128" s="932"/>
      <c r="I128" s="932"/>
      <c r="J128" s="933"/>
      <c r="K128" s="772" t="s">
        <v>204</v>
      </c>
      <c r="L128" s="932"/>
      <c r="M128" s="932"/>
      <c r="N128" s="933"/>
      <c r="O128" s="772" t="s">
        <v>204</v>
      </c>
      <c r="P128" s="932"/>
      <c r="Q128" s="932"/>
      <c r="R128" s="933"/>
      <c r="S128" s="772" t="s">
        <v>204</v>
      </c>
      <c r="T128" s="932"/>
      <c r="U128" s="932"/>
      <c r="V128" s="933"/>
      <c r="W128" s="772" t="s">
        <v>205</v>
      </c>
      <c r="X128" s="934"/>
      <c r="Y128" s="934"/>
      <c r="Z128" s="935"/>
      <c r="AA128" s="772" t="s">
        <v>205</v>
      </c>
      <c r="AB128" s="932"/>
      <c r="AC128" s="932"/>
      <c r="AD128" s="773"/>
      <c r="AE128" s="936">
        <v>68</v>
      </c>
      <c r="AF128" s="88"/>
      <c r="AG128" s="88"/>
      <c r="AH128" s="88"/>
      <c r="AI128" s="89"/>
    </row>
    <row r="129" spans="1:35" ht="24.75" customHeight="1">
      <c r="A129" s="77"/>
      <c r="B129" s="930" t="s">
        <v>163</v>
      </c>
      <c r="C129" s="772" t="s">
        <v>172</v>
      </c>
      <c r="D129" s="932"/>
      <c r="E129" s="932"/>
      <c r="F129" s="933"/>
      <c r="G129" s="772" t="s">
        <v>172</v>
      </c>
      <c r="H129" s="932"/>
      <c r="I129" s="932"/>
      <c r="J129" s="933"/>
      <c r="K129" s="772" t="s">
        <v>172</v>
      </c>
      <c r="L129" s="932"/>
      <c r="M129" s="932"/>
      <c r="N129" s="933"/>
      <c r="O129" s="772" t="s">
        <v>172</v>
      </c>
      <c r="P129" s="932"/>
      <c r="Q129" s="932"/>
      <c r="R129" s="933"/>
      <c r="S129" s="772" t="s">
        <v>172</v>
      </c>
      <c r="T129" s="932"/>
      <c r="U129" s="932"/>
      <c r="V129" s="933"/>
      <c r="W129" s="772" t="s">
        <v>172</v>
      </c>
      <c r="X129" s="932"/>
      <c r="Y129" s="932"/>
      <c r="Z129" s="933"/>
      <c r="AA129" s="932" t="s">
        <v>172</v>
      </c>
      <c r="AB129" s="932"/>
      <c r="AC129" s="932"/>
      <c r="AD129" s="773"/>
      <c r="AE129" s="936">
        <v>0</v>
      </c>
      <c r="AF129" s="88"/>
      <c r="AG129" s="88"/>
      <c r="AH129" s="88"/>
      <c r="AI129" s="89"/>
    </row>
    <row r="130" spans="1:35" ht="24.75" customHeight="1">
      <c r="A130" s="77"/>
      <c r="B130" s="930" t="s">
        <v>206</v>
      </c>
      <c r="C130" s="772" t="s">
        <v>204</v>
      </c>
      <c r="D130" s="932"/>
      <c r="E130" s="932"/>
      <c r="F130" s="933"/>
      <c r="G130" s="772" t="s">
        <v>204</v>
      </c>
      <c r="H130" s="932"/>
      <c r="I130" s="932"/>
      <c r="J130" s="933"/>
      <c r="K130" s="772" t="s">
        <v>204</v>
      </c>
      <c r="L130" s="932"/>
      <c r="M130" s="932"/>
      <c r="N130" s="933"/>
      <c r="O130" s="772" t="s">
        <v>204</v>
      </c>
      <c r="P130" s="932"/>
      <c r="Q130" s="932"/>
      <c r="R130" s="933"/>
      <c r="S130" s="772" t="s">
        <v>204</v>
      </c>
      <c r="T130" s="932"/>
      <c r="U130" s="932"/>
      <c r="V130" s="933"/>
      <c r="W130" s="772" t="s">
        <v>205</v>
      </c>
      <c r="X130" s="934"/>
      <c r="Y130" s="934"/>
      <c r="Z130" s="935"/>
      <c r="AA130" s="772" t="s">
        <v>205</v>
      </c>
      <c r="AB130" s="932"/>
      <c r="AC130" s="932"/>
      <c r="AD130" s="773"/>
      <c r="AE130" s="936">
        <v>68</v>
      </c>
      <c r="AF130" s="932"/>
      <c r="AG130" s="932" t="s">
        <v>0</v>
      </c>
      <c r="AH130" s="773"/>
      <c r="AI130" s="937"/>
    </row>
    <row r="131" spans="1:35" ht="24.75" customHeight="1">
      <c r="A131" s="77"/>
      <c r="B131" s="930" t="s">
        <v>173</v>
      </c>
      <c r="C131" s="772" t="s">
        <v>172</v>
      </c>
      <c r="D131" s="932"/>
      <c r="E131" s="932"/>
      <c r="F131" s="933"/>
      <c r="G131" s="772" t="s">
        <v>172</v>
      </c>
      <c r="H131" s="932"/>
      <c r="I131" s="932"/>
      <c r="J131" s="933"/>
      <c r="K131" s="772" t="s">
        <v>172</v>
      </c>
      <c r="L131" s="932"/>
      <c r="M131" s="932"/>
      <c r="N131" s="933"/>
      <c r="O131" s="772" t="s">
        <v>172</v>
      </c>
      <c r="P131" s="932"/>
      <c r="Q131" s="932"/>
      <c r="R131" s="933"/>
      <c r="S131" s="772" t="s">
        <v>172</v>
      </c>
      <c r="T131" s="932"/>
      <c r="U131" s="932"/>
      <c r="V131" s="933"/>
      <c r="W131" s="772" t="s">
        <v>172</v>
      </c>
      <c r="X131" s="932"/>
      <c r="Y131" s="932"/>
      <c r="Z131" s="933"/>
      <c r="AA131" s="932" t="s">
        <v>172</v>
      </c>
      <c r="AB131" s="932"/>
      <c r="AC131" s="932"/>
      <c r="AD131" s="773"/>
      <c r="AE131" s="936">
        <v>0</v>
      </c>
      <c r="AF131" s="932"/>
      <c r="AG131" s="932"/>
      <c r="AH131" s="773"/>
      <c r="AI131" s="937"/>
    </row>
    <row r="132" spans="1:35" ht="24.75" customHeight="1">
      <c r="A132" s="77"/>
      <c r="B132" s="930" t="s">
        <v>207</v>
      </c>
      <c r="C132" s="772" t="s">
        <v>204</v>
      </c>
      <c r="D132" s="932"/>
      <c r="E132" s="932"/>
      <c r="F132" s="933"/>
      <c r="G132" s="772" t="s">
        <v>204</v>
      </c>
      <c r="H132" s="932"/>
      <c r="I132" s="932"/>
      <c r="J132" s="933"/>
      <c r="K132" s="772" t="s">
        <v>204</v>
      </c>
      <c r="L132" s="932"/>
      <c r="M132" s="932"/>
      <c r="N132" s="933"/>
      <c r="O132" s="772" t="s">
        <v>204</v>
      </c>
      <c r="P132" s="932"/>
      <c r="Q132" s="932"/>
      <c r="R132" s="933"/>
      <c r="S132" s="772" t="s">
        <v>204</v>
      </c>
      <c r="T132" s="932"/>
      <c r="U132" s="932"/>
      <c r="V132" s="933"/>
      <c r="W132" s="772" t="s">
        <v>208</v>
      </c>
      <c r="X132" s="939"/>
      <c r="Y132" s="939"/>
      <c r="Z132" s="940"/>
      <c r="AA132" s="772" t="s">
        <v>208</v>
      </c>
      <c r="AB132" s="939"/>
      <c r="AC132" s="939"/>
      <c r="AD132" s="776"/>
      <c r="AE132" s="936">
        <v>68</v>
      </c>
      <c r="AF132" s="932"/>
      <c r="AG132" s="932"/>
      <c r="AH132" s="773"/>
      <c r="AI132" s="937"/>
    </row>
    <row r="133" spans="1:35" ht="24.75" customHeight="1" thickBot="1">
      <c r="A133" s="77"/>
      <c r="B133" s="930" t="s">
        <v>209</v>
      </c>
      <c r="C133" s="966" t="s">
        <v>172</v>
      </c>
      <c r="D133" s="967"/>
      <c r="E133" s="967"/>
      <c r="F133" s="968"/>
      <c r="G133" s="966" t="s">
        <v>172</v>
      </c>
      <c r="H133" s="967"/>
      <c r="I133" s="967"/>
      <c r="J133" s="968"/>
      <c r="K133" s="966" t="s">
        <v>172</v>
      </c>
      <c r="L133" s="967"/>
      <c r="M133" s="967"/>
      <c r="N133" s="968"/>
      <c r="O133" s="966" t="s">
        <v>172</v>
      </c>
      <c r="P133" s="967"/>
      <c r="Q133" s="967"/>
      <c r="R133" s="968"/>
      <c r="S133" s="966" t="s">
        <v>172</v>
      </c>
      <c r="T133" s="967"/>
      <c r="U133" s="967"/>
      <c r="V133" s="951"/>
      <c r="W133" s="966" t="s">
        <v>172</v>
      </c>
      <c r="X133" s="951"/>
      <c r="Y133" s="967"/>
      <c r="Z133" s="968"/>
      <c r="AA133" s="966" t="s">
        <v>172</v>
      </c>
      <c r="AB133" s="951"/>
      <c r="AC133" s="967"/>
      <c r="AD133" s="968"/>
      <c r="AE133" s="969" t="s">
        <v>210</v>
      </c>
      <c r="AF133" s="967"/>
      <c r="AG133" s="967"/>
      <c r="AH133" s="951"/>
      <c r="AI133" s="952"/>
    </row>
    <row r="134" spans="1:35" ht="24.75" customHeight="1">
      <c r="A134" s="82"/>
      <c r="B134" s="77"/>
      <c r="C134" s="79"/>
      <c r="D134" s="79"/>
      <c r="E134" s="79"/>
      <c r="F134" s="79"/>
      <c r="G134" s="79"/>
      <c r="H134" s="79"/>
      <c r="I134" s="79"/>
      <c r="J134" s="79"/>
      <c r="K134" s="79"/>
      <c r="L134" s="79"/>
      <c r="M134" s="79"/>
      <c r="N134" s="79"/>
      <c r="O134" s="79"/>
      <c r="P134" s="79"/>
      <c r="Q134" s="79"/>
      <c r="R134" s="79"/>
      <c r="S134" s="79"/>
      <c r="T134" s="79"/>
      <c r="U134" s="79"/>
      <c r="V134" s="79"/>
      <c r="W134" s="79"/>
      <c r="X134" s="79"/>
      <c r="Y134" s="79"/>
      <c r="Z134" s="79"/>
      <c r="AA134" s="79"/>
      <c r="AB134" s="79"/>
      <c r="AC134" s="79"/>
      <c r="AD134" s="79"/>
      <c r="AE134" s="79"/>
      <c r="AF134" s="79"/>
      <c r="AG134" s="79"/>
      <c r="AH134" s="78"/>
      <c r="AI134" s="78"/>
    </row>
    <row r="135" spans="1:35" ht="24.75" customHeight="1" thickBot="1">
      <c r="A135" s="785"/>
      <c r="B135" s="727" t="s">
        <v>29</v>
      </c>
      <c r="C135" s="646">
        <v>1</v>
      </c>
      <c r="D135" s="647">
        <v>2</v>
      </c>
      <c r="E135" s="647">
        <v>3</v>
      </c>
      <c r="F135" s="647">
        <v>4</v>
      </c>
      <c r="G135" s="647">
        <v>5</v>
      </c>
      <c r="H135" s="647">
        <v>6</v>
      </c>
      <c r="I135" s="646">
        <v>7</v>
      </c>
      <c r="J135" s="646">
        <v>8</v>
      </c>
      <c r="K135" s="647">
        <v>9</v>
      </c>
      <c r="L135" s="647">
        <v>10</v>
      </c>
      <c r="M135" s="647">
        <v>11</v>
      </c>
      <c r="N135" s="647">
        <v>12</v>
      </c>
      <c r="O135" s="647">
        <v>13</v>
      </c>
      <c r="P135" s="646">
        <v>14</v>
      </c>
      <c r="Q135" s="646">
        <v>15</v>
      </c>
      <c r="R135" s="647">
        <v>16</v>
      </c>
      <c r="S135" s="647">
        <v>17</v>
      </c>
      <c r="T135" s="647">
        <v>18</v>
      </c>
      <c r="U135" s="647">
        <v>19</v>
      </c>
      <c r="V135" s="647">
        <v>20</v>
      </c>
      <c r="W135" s="646">
        <v>21</v>
      </c>
      <c r="X135" s="646">
        <v>22</v>
      </c>
      <c r="Y135" s="647">
        <v>23</v>
      </c>
      <c r="Z135" s="647">
        <v>24</v>
      </c>
      <c r="AA135" s="647">
        <v>25</v>
      </c>
      <c r="AB135" s="647">
        <v>26</v>
      </c>
      <c r="AC135" s="647">
        <v>27</v>
      </c>
      <c r="AD135" s="646">
        <v>28</v>
      </c>
      <c r="AE135" s="646">
        <v>29</v>
      </c>
      <c r="AF135" s="647">
        <v>30</v>
      </c>
      <c r="AG135" s="648">
        <v>31</v>
      </c>
      <c r="AH135" s="23"/>
      <c r="AI135" s="24"/>
    </row>
    <row r="136" spans="1:35" ht="24.75" customHeight="1">
      <c r="A136" s="970">
        <v>1</v>
      </c>
      <c r="B136" s="523" t="s">
        <v>211</v>
      </c>
      <c r="C136" s="548"/>
      <c r="D136" s="548">
        <v>23</v>
      </c>
      <c r="E136" s="548">
        <v>23</v>
      </c>
      <c r="F136" s="548">
        <v>23</v>
      </c>
      <c r="G136" s="971">
        <v>23</v>
      </c>
      <c r="H136" s="548">
        <v>23</v>
      </c>
      <c r="I136" s="972">
        <v>23</v>
      </c>
      <c r="J136" s="971">
        <v>23</v>
      </c>
      <c r="K136" s="548" t="s">
        <v>35</v>
      </c>
      <c r="L136" s="972" t="s">
        <v>35</v>
      </c>
      <c r="M136" s="973" t="s">
        <v>35</v>
      </c>
      <c r="N136" s="971" t="s">
        <v>35</v>
      </c>
      <c r="O136" s="548" t="s">
        <v>35</v>
      </c>
      <c r="P136" s="548"/>
      <c r="Q136" s="548"/>
      <c r="R136" s="548">
        <v>21</v>
      </c>
      <c r="S136" s="548">
        <v>21</v>
      </c>
      <c r="T136" s="548">
        <v>21</v>
      </c>
      <c r="U136" s="548">
        <v>21</v>
      </c>
      <c r="V136" s="548">
        <v>21</v>
      </c>
      <c r="W136" s="972">
        <v>21</v>
      </c>
      <c r="X136" s="548">
        <v>21</v>
      </c>
      <c r="Y136" s="548" t="s">
        <v>35</v>
      </c>
      <c r="Z136" s="972" t="s">
        <v>35</v>
      </c>
      <c r="AA136" s="548" t="s">
        <v>35</v>
      </c>
      <c r="AB136" s="548" t="s">
        <v>35</v>
      </c>
      <c r="AC136" s="548" t="s">
        <v>35</v>
      </c>
      <c r="AD136" s="548"/>
      <c r="AE136" s="548"/>
      <c r="AF136" s="548">
        <v>22</v>
      </c>
      <c r="AG136" s="501">
        <v>22</v>
      </c>
      <c r="AH136" s="76"/>
      <c r="AI136" s="76"/>
    </row>
    <row r="137" spans="1:35" ht="24.75" customHeight="1">
      <c r="A137" s="524">
        <v>2</v>
      </c>
      <c r="B137" s="675" t="s">
        <v>212</v>
      </c>
      <c r="C137" s="679"/>
      <c r="D137" s="679">
        <v>21</v>
      </c>
      <c r="E137" s="679">
        <v>21</v>
      </c>
      <c r="F137" s="679">
        <v>21</v>
      </c>
      <c r="G137" s="679">
        <v>21</v>
      </c>
      <c r="H137" s="679">
        <v>21</v>
      </c>
      <c r="I137" s="516">
        <v>21</v>
      </c>
      <c r="J137" s="679">
        <v>21</v>
      </c>
      <c r="K137" s="679" t="s">
        <v>35</v>
      </c>
      <c r="L137" s="516" t="s">
        <v>35</v>
      </c>
      <c r="M137" s="679" t="s">
        <v>35</v>
      </c>
      <c r="N137" s="679" t="s">
        <v>35</v>
      </c>
      <c r="O137" s="679" t="s">
        <v>35</v>
      </c>
      <c r="P137" s="679"/>
      <c r="Q137" s="679"/>
      <c r="R137" s="678">
        <v>22</v>
      </c>
      <c r="S137" s="678">
        <v>22</v>
      </c>
      <c r="T137" s="678">
        <v>22</v>
      </c>
      <c r="U137" s="678">
        <v>22</v>
      </c>
      <c r="V137" s="678">
        <v>22</v>
      </c>
      <c r="W137" s="678">
        <v>22</v>
      </c>
      <c r="X137" s="678">
        <v>22</v>
      </c>
      <c r="Y137" s="679" t="s">
        <v>35</v>
      </c>
      <c r="Z137" s="516" t="s">
        <v>35</v>
      </c>
      <c r="AA137" s="679" t="s">
        <v>35</v>
      </c>
      <c r="AB137" s="679" t="s">
        <v>35</v>
      </c>
      <c r="AC137" s="679" t="s">
        <v>35</v>
      </c>
      <c r="AD137" s="679"/>
      <c r="AE137" s="679"/>
      <c r="AF137" s="679">
        <v>23</v>
      </c>
      <c r="AG137" s="683">
        <v>23</v>
      </c>
      <c r="AH137" s="76"/>
      <c r="AI137" s="76"/>
    </row>
    <row r="138" spans="1:35" ht="24.75" customHeight="1">
      <c r="A138" s="524">
        <v>3</v>
      </c>
      <c r="B138" s="675" t="s">
        <v>213</v>
      </c>
      <c r="C138" s="679"/>
      <c r="D138" s="679">
        <v>22</v>
      </c>
      <c r="E138" s="679">
        <v>22</v>
      </c>
      <c r="F138" s="679">
        <v>22</v>
      </c>
      <c r="G138" s="680">
        <v>22</v>
      </c>
      <c r="H138" s="680">
        <v>22</v>
      </c>
      <c r="I138" s="516">
        <v>22</v>
      </c>
      <c r="J138" s="679">
        <v>22</v>
      </c>
      <c r="K138" s="679" t="s">
        <v>35</v>
      </c>
      <c r="L138" s="516" t="s">
        <v>35</v>
      </c>
      <c r="M138" s="679" t="s">
        <v>35</v>
      </c>
      <c r="N138" s="679" t="s">
        <v>35</v>
      </c>
      <c r="O138" s="679" t="s">
        <v>35</v>
      </c>
      <c r="P138" s="679"/>
      <c r="Q138" s="679"/>
      <c r="R138" s="679">
        <v>23</v>
      </c>
      <c r="S138" s="679">
        <v>23</v>
      </c>
      <c r="T138" s="679">
        <v>23</v>
      </c>
      <c r="U138" s="680">
        <v>23</v>
      </c>
      <c r="V138" s="680">
        <v>23</v>
      </c>
      <c r="W138" s="516">
        <v>23</v>
      </c>
      <c r="X138" s="518">
        <v>23</v>
      </c>
      <c r="Y138" s="679" t="s">
        <v>35</v>
      </c>
      <c r="Z138" s="516" t="s">
        <v>35</v>
      </c>
      <c r="AA138" s="679" t="s">
        <v>35</v>
      </c>
      <c r="AB138" s="679" t="s">
        <v>35</v>
      </c>
      <c r="AC138" s="679" t="s">
        <v>35</v>
      </c>
      <c r="AD138" s="679"/>
      <c r="AE138" s="679"/>
      <c r="AF138" s="679">
        <v>21</v>
      </c>
      <c r="AG138" s="683">
        <v>21</v>
      </c>
      <c r="AH138" s="76"/>
      <c r="AI138" s="76"/>
    </row>
    <row r="139" spans="1:35" ht="24.75" customHeight="1">
      <c r="A139" s="524">
        <v>4</v>
      </c>
      <c r="B139" s="675" t="s">
        <v>214</v>
      </c>
      <c r="C139" s="679">
        <v>22</v>
      </c>
      <c r="D139" s="679" t="s">
        <v>35</v>
      </c>
      <c r="E139" s="516" t="s">
        <v>35</v>
      </c>
      <c r="F139" s="679" t="s">
        <v>35</v>
      </c>
      <c r="G139" s="679" t="s">
        <v>35</v>
      </c>
      <c r="H139" s="679" t="s">
        <v>35</v>
      </c>
      <c r="I139" s="679"/>
      <c r="J139" s="679"/>
      <c r="K139" s="679">
        <v>23</v>
      </c>
      <c r="L139" s="679">
        <v>23</v>
      </c>
      <c r="M139" s="679">
        <v>23</v>
      </c>
      <c r="N139" s="679">
        <v>23</v>
      </c>
      <c r="O139" s="525">
        <v>23</v>
      </c>
      <c r="P139" s="516">
        <v>23</v>
      </c>
      <c r="Q139" s="679">
        <v>23</v>
      </c>
      <c r="R139" s="679" t="s">
        <v>35</v>
      </c>
      <c r="S139" s="516" t="s">
        <v>35</v>
      </c>
      <c r="T139" s="679" t="s">
        <v>35</v>
      </c>
      <c r="U139" s="679" t="s">
        <v>35</v>
      </c>
      <c r="V139" s="679" t="s">
        <v>35</v>
      </c>
      <c r="W139" s="679"/>
      <c r="X139" s="679"/>
      <c r="Y139" s="679">
        <v>21</v>
      </c>
      <c r="Z139" s="679">
        <v>21</v>
      </c>
      <c r="AA139" s="534">
        <v>21</v>
      </c>
      <c r="AB139" s="534">
        <v>21</v>
      </c>
      <c r="AC139" s="534">
        <v>21</v>
      </c>
      <c r="AD139" s="534">
        <v>21</v>
      </c>
      <c r="AE139" s="534" t="s">
        <v>215</v>
      </c>
      <c r="AF139" s="679" t="s">
        <v>35</v>
      </c>
      <c r="AG139" s="519" t="s">
        <v>35</v>
      </c>
      <c r="AH139" s="76"/>
      <c r="AI139" s="76"/>
    </row>
    <row r="140" spans="1:35" ht="24.75" customHeight="1">
      <c r="A140" s="524">
        <v>5</v>
      </c>
      <c r="B140" s="675" t="s">
        <v>216</v>
      </c>
      <c r="C140" s="690">
        <v>23</v>
      </c>
      <c r="D140" s="679" t="s">
        <v>35</v>
      </c>
      <c r="E140" s="516" t="s">
        <v>35</v>
      </c>
      <c r="F140" s="679" t="s">
        <v>35</v>
      </c>
      <c r="G140" s="679" t="s">
        <v>35</v>
      </c>
      <c r="H140" s="679" t="s">
        <v>35</v>
      </c>
      <c r="I140" s="679"/>
      <c r="J140" s="679"/>
      <c r="K140" s="679">
        <v>21</v>
      </c>
      <c r="L140" s="679">
        <v>21</v>
      </c>
      <c r="M140" s="679">
        <v>21</v>
      </c>
      <c r="N140" s="679">
        <v>21</v>
      </c>
      <c r="O140" s="679">
        <v>21</v>
      </c>
      <c r="P140" s="516">
        <v>21</v>
      </c>
      <c r="Q140" s="679">
        <v>21</v>
      </c>
      <c r="R140" s="679" t="s">
        <v>35</v>
      </c>
      <c r="S140" s="516" t="s">
        <v>35</v>
      </c>
      <c r="T140" s="679" t="s">
        <v>35</v>
      </c>
      <c r="U140" s="679" t="s">
        <v>35</v>
      </c>
      <c r="V140" s="679" t="s">
        <v>35</v>
      </c>
      <c r="W140" s="679"/>
      <c r="X140" s="679"/>
      <c r="Y140" s="679">
        <v>22</v>
      </c>
      <c r="Z140" s="679">
        <v>22</v>
      </c>
      <c r="AA140" s="679">
        <v>22</v>
      </c>
      <c r="AB140" s="679">
        <v>22</v>
      </c>
      <c r="AC140" s="680">
        <v>22</v>
      </c>
      <c r="AD140" s="680">
        <v>22</v>
      </c>
      <c r="AE140" s="680">
        <v>22</v>
      </c>
      <c r="AF140" s="679" t="s">
        <v>35</v>
      </c>
      <c r="AG140" s="519" t="s">
        <v>35</v>
      </c>
      <c r="AH140" s="76"/>
      <c r="AI140" s="76"/>
    </row>
    <row r="141" spans="1:35" ht="24.75" customHeight="1" thickBot="1">
      <c r="A141" s="405">
        <v>6</v>
      </c>
      <c r="B141" s="406" t="s">
        <v>217</v>
      </c>
      <c r="C141" s="407">
        <v>21</v>
      </c>
      <c r="D141" s="693" t="s">
        <v>35</v>
      </c>
      <c r="E141" s="408" t="s">
        <v>35</v>
      </c>
      <c r="F141" s="693" t="s">
        <v>35</v>
      </c>
      <c r="G141" s="693" t="s">
        <v>35</v>
      </c>
      <c r="H141" s="409" t="s">
        <v>35</v>
      </c>
      <c r="I141" s="409"/>
      <c r="J141" s="409"/>
      <c r="K141" s="409">
        <v>22</v>
      </c>
      <c r="L141" s="409">
        <v>22</v>
      </c>
      <c r="M141" s="409">
        <v>22</v>
      </c>
      <c r="N141" s="410">
        <v>22</v>
      </c>
      <c r="O141" s="410">
        <v>22</v>
      </c>
      <c r="P141" s="408">
        <v>22</v>
      </c>
      <c r="Q141" s="693">
        <v>22</v>
      </c>
      <c r="R141" s="693" t="s">
        <v>35</v>
      </c>
      <c r="S141" s="408" t="s">
        <v>35</v>
      </c>
      <c r="T141" s="693" t="s">
        <v>35</v>
      </c>
      <c r="U141" s="693" t="s">
        <v>35</v>
      </c>
      <c r="V141" s="693" t="s">
        <v>35</v>
      </c>
      <c r="W141" s="693"/>
      <c r="X141" s="693"/>
      <c r="Y141" s="693">
        <v>23</v>
      </c>
      <c r="Z141" s="693">
        <v>23</v>
      </c>
      <c r="AA141" s="693">
        <v>23</v>
      </c>
      <c r="AB141" s="410">
        <v>23</v>
      </c>
      <c r="AC141" s="410">
        <v>23</v>
      </c>
      <c r="AD141" s="408">
        <v>23</v>
      </c>
      <c r="AE141" s="693">
        <v>23</v>
      </c>
      <c r="AF141" s="693" t="s">
        <v>35</v>
      </c>
      <c r="AG141" s="90" t="s">
        <v>35</v>
      </c>
      <c r="AH141" s="76"/>
      <c r="AI141" s="76"/>
    </row>
    <row r="142" spans="1:35" ht="24.75" customHeight="1">
      <c r="A142" s="36"/>
      <c r="B142" s="87"/>
      <c r="C142" s="91"/>
      <c r="D142" s="91"/>
      <c r="E142" s="85"/>
      <c r="F142" s="91"/>
      <c r="G142" s="91"/>
      <c r="H142" s="91"/>
      <c r="I142" s="91"/>
      <c r="J142" s="91"/>
      <c r="K142" s="91"/>
      <c r="L142" s="91"/>
      <c r="M142" s="91"/>
      <c r="N142" s="91"/>
      <c r="O142" s="91"/>
      <c r="P142" s="85"/>
      <c r="Q142" s="91"/>
      <c r="R142" s="91"/>
      <c r="S142" s="85"/>
      <c r="T142" s="91"/>
      <c r="U142" s="91"/>
      <c r="V142" s="91"/>
      <c r="W142" s="91"/>
      <c r="X142" s="91"/>
      <c r="Y142" s="91"/>
      <c r="Z142" s="91"/>
      <c r="AA142" s="91"/>
      <c r="AB142" s="91"/>
      <c r="AC142" s="92"/>
      <c r="AD142" s="92"/>
      <c r="AE142" s="92"/>
      <c r="AF142" s="91"/>
      <c r="AG142" s="85"/>
      <c r="AH142" s="76"/>
      <c r="AI142" s="76"/>
    </row>
    <row r="143" spans="1:35" ht="24.75" customHeight="1" thickBot="1">
      <c r="A143" s="14" t="s">
        <v>218</v>
      </c>
      <c r="D143" s="17"/>
      <c r="E143" s="17"/>
      <c r="F143" s="17"/>
      <c r="G143" s="80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  <c r="AG143" s="17"/>
    </row>
    <row r="144" spans="1:35" ht="24.75" customHeight="1">
      <c r="A144" s="1"/>
      <c r="B144" s="900" t="s">
        <v>186</v>
      </c>
      <c r="C144" s="901"/>
      <c r="D144" s="925" t="s">
        <v>87</v>
      </c>
      <c r="E144" s="705"/>
      <c r="F144" s="905"/>
      <c r="G144" s="901"/>
      <c r="H144" s="925" t="s">
        <v>88</v>
      </c>
      <c r="I144" s="705"/>
      <c r="J144" s="905"/>
      <c r="K144" s="901"/>
      <c r="L144" s="925" t="s">
        <v>89</v>
      </c>
      <c r="M144" s="705"/>
      <c r="N144" s="905"/>
      <c r="O144" s="901"/>
      <c r="P144" s="925" t="s">
        <v>90</v>
      </c>
      <c r="Q144" s="705"/>
      <c r="R144" s="905"/>
      <c r="S144" s="901"/>
      <c r="T144" s="925" t="s">
        <v>91</v>
      </c>
      <c r="U144" s="705"/>
      <c r="V144" s="905"/>
      <c r="W144" s="901"/>
      <c r="X144" s="925" t="s">
        <v>92</v>
      </c>
      <c r="Y144" s="705"/>
      <c r="Z144" s="905"/>
      <c r="AA144" s="901"/>
      <c r="AB144" s="925" t="s">
        <v>93</v>
      </c>
      <c r="AC144" s="705"/>
      <c r="AD144" s="705"/>
      <c r="AE144" s="928" t="s">
        <v>94</v>
      </c>
      <c r="AF144" s="705"/>
      <c r="AG144" s="705"/>
      <c r="AH144" s="705"/>
      <c r="AI144" s="706"/>
    </row>
    <row r="145" spans="1:35" ht="24.75" customHeight="1">
      <c r="A145" s="1"/>
      <c r="B145" s="930" t="s">
        <v>159</v>
      </c>
      <c r="C145" s="772" t="s">
        <v>187</v>
      </c>
      <c r="D145" s="628"/>
      <c r="E145" s="628"/>
      <c r="F145" s="933"/>
      <c r="G145" s="772" t="s">
        <v>187</v>
      </c>
      <c r="H145" s="628"/>
      <c r="I145" s="628"/>
      <c r="J145" s="933"/>
      <c r="K145" s="772" t="s">
        <v>187</v>
      </c>
      <c r="L145" s="628"/>
      <c r="M145" s="628"/>
      <c r="N145" s="933"/>
      <c r="O145" s="772" t="s">
        <v>219</v>
      </c>
      <c r="P145" s="628"/>
      <c r="Q145" s="628"/>
      <c r="R145" s="933"/>
      <c r="S145" s="772" t="s">
        <v>172</v>
      </c>
      <c r="T145" s="628"/>
      <c r="U145" s="628"/>
      <c r="V145" s="933"/>
      <c r="W145" s="974"/>
      <c r="X145" s="975"/>
      <c r="Y145" s="975"/>
      <c r="Z145" s="935"/>
      <c r="AA145" s="931"/>
      <c r="AB145" s="628"/>
      <c r="AC145" s="628"/>
      <c r="AD145" s="773"/>
      <c r="AE145" s="936">
        <v>27</v>
      </c>
      <c r="AF145" s="628"/>
      <c r="AG145" s="628"/>
      <c r="AH145" s="773"/>
      <c r="AI145" s="637"/>
    </row>
    <row r="146" spans="1:35" ht="24.75" customHeight="1">
      <c r="A146" s="1"/>
      <c r="B146" s="930" t="s">
        <v>163</v>
      </c>
      <c r="C146" s="772" t="s">
        <v>220</v>
      </c>
      <c r="D146" s="628"/>
      <c r="E146" s="628"/>
      <c r="F146" s="933"/>
      <c r="G146" s="772" t="s">
        <v>220</v>
      </c>
      <c r="H146" s="628"/>
      <c r="I146" s="628"/>
      <c r="J146" s="933"/>
      <c r="K146" s="772" t="s">
        <v>220</v>
      </c>
      <c r="L146" s="628"/>
      <c r="M146" s="628"/>
      <c r="N146" s="933"/>
      <c r="O146" s="772" t="s">
        <v>220</v>
      </c>
      <c r="P146" s="628"/>
      <c r="Q146" s="628"/>
      <c r="R146" s="933"/>
      <c r="S146" s="772" t="s">
        <v>187</v>
      </c>
      <c r="T146" s="628"/>
      <c r="U146" s="628"/>
      <c r="V146" s="933"/>
      <c r="W146" s="772"/>
      <c r="X146" s="628"/>
      <c r="Y146" s="628"/>
      <c r="Z146" s="933"/>
      <c r="AA146" s="628"/>
      <c r="AB146" s="628"/>
      <c r="AC146" s="628"/>
      <c r="AD146" s="773"/>
      <c r="AE146" s="936">
        <v>39</v>
      </c>
      <c r="AF146" s="628"/>
      <c r="AG146" s="628"/>
      <c r="AH146" s="773"/>
      <c r="AI146" s="637"/>
    </row>
    <row r="147" spans="1:35" ht="24.75" customHeight="1">
      <c r="A147" s="1"/>
      <c r="B147" s="930" t="s">
        <v>171</v>
      </c>
      <c r="C147" s="772" t="s">
        <v>220</v>
      </c>
      <c r="D147" s="628"/>
      <c r="E147" s="628"/>
      <c r="F147" s="933"/>
      <c r="G147" s="772" t="s">
        <v>220</v>
      </c>
      <c r="H147" s="628"/>
      <c r="I147" s="628"/>
      <c r="J147" s="933"/>
      <c r="K147" s="772" t="s">
        <v>220</v>
      </c>
      <c r="L147" s="628"/>
      <c r="M147" s="628"/>
      <c r="N147" s="933"/>
      <c r="O147" s="772" t="s">
        <v>220</v>
      </c>
      <c r="P147" s="628"/>
      <c r="Q147" s="628"/>
      <c r="R147" s="933"/>
      <c r="S147" s="772" t="s">
        <v>220</v>
      </c>
      <c r="T147" s="628"/>
      <c r="U147" s="628"/>
      <c r="V147" s="933"/>
      <c r="W147" s="775" t="s">
        <v>221</v>
      </c>
      <c r="X147" s="641"/>
      <c r="Y147" s="641"/>
      <c r="Z147" s="940"/>
      <c r="AA147" s="938"/>
      <c r="AB147" s="641"/>
      <c r="AC147" s="641"/>
      <c r="AD147" s="776"/>
      <c r="AE147" s="936">
        <v>45</v>
      </c>
      <c r="AF147" s="628"/>
      <c r="AG147" s="628"/>
      <c r="AH147" s="773"/>
      <c r="AI147" s="637"/>
    </row>
    <row r="148" spans="1:35" ht="24.75" customHeight="1" thickBot="1">
      <c r="A148" s="1"/>
      <c r="B148" s="976" t="s">
        <v>173</v>
      </c>
      <c r="C148" s="966"/>
      <c r="D148" s="718"/>
      <c r="E148" s="718"/>
      <c r="F148" s="968"/>
      <c r="G148" s="966"/>
      <c r="H148" s="718"/>
      <c r="I148" s="718"/>
      <c r="J148" s="968"/>
      <c r="K148" s="966"/>
      <c r="L148" s="718"/>
      <c r="M148" s="718"/>
      <c r="N148" s="968"/>
      <c r="O148" s="966"/>
      <c r="P148" s="718"/>
      <c r="Q148" s="718"/>
      <c r="R148" s="968"/>
      <c r="S148" s="966"/>
      <c r="T148" s="718"/>
      <c r="U148" s="718"/>
      <c r="V148" s="951"/>
      <c r="W148" s="966"/>
      <c r="X148" s="951"/>
      <c r="Y148" s="718"/>
      <c r="Z148" s="968"/>
      <c r="AA148" s="966"/>
      <c r="AB148" s="951"/>
      <c r="AC148" s="718"/>
      <c r="AD148" s="968"/>
      <c r="AE148" s="977"/>
      <c r="AF148" s="718"/>
      <c r="AG148" s="718"/>
      <c r="AH148" s="951"/>
      <c r="AI148" s="725"/>
    </row>
    <row r="149" spans="1:35" ht="24.75" customHeight="1">
      <c r="A149" s="82"/>
      <c r="B149" s="1" t="s">
        <v>222</v>
      </c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  <c r="AG149" s="17"/>
    </row>
    <row r="150" spans="1:35" ht="24.75" customHeight="1" thickBot="1">
      <c r="A150" s="785"/>
      <c r="B150" s="727" t="s">
        <v>29</v>
      </c>
      <c r="C150" s="646">
        <v>1</v>
      </c>
      <c r="D150" s="647">
        <v>2</v>
      </c>
      <c r="E150" s="647">
        <v>3</v>
      </c>
      <c r="F150" s="647">
        <v>4</v>
      </c>
      <c r="G150" s="647">
        <v>5</v>
      </c>
      <c r="H150" s="647">
        <v>6</v>
      </c>
      <c r="I150" s="646">
        <v>7</v>
      </c>
      <c r="J150" s="646">
        <v>8</v>
      </c>
      <c r="K150" s="647">
        <v>9</v>
      </c>
      <c r="L150" s="647">
        <v>10</v>
      </c>
      <c r="M150" s="647">
        <v>11</v>
      </c>
      <c r="N150" s="647">
        <v>12</v>
      </c>
      <c r="O150" s="647">
        <v>13</v>
      </c>
      <c r="P150" s="646">
        <v>14</v>
      </c>
      <c r="Q150" s="646">
        <v>15</v>
      </c>
      <c r="R150" s="647">
        <v>16</v>
      </c>
      <c r="S150" s="647">
        <v>17</v>
      </c>
      <c r="T150" s="647">
        <v>18</v>
      </c>
      <c r="U150" s="647">
        <v>19</v>
      </c>
      <c r="V150" s="647">
        <v>20</v>
      </c>
      <c r="W150" s="646">
        <v>21</v>
      </c>
      <c r="X150" s="646">
        <v>22</v>
      </c>
      <c r="Y150" s="647">
        <v>23</v>
      </c>
      <c r="Z150" s="647">
        <v>24</v>
      </c>
      <c r="AA150" s="647">
        <v>25</v>
      </c>
      <c r="AB150" s="647">
        <v>26</v>
      </c>
      <c r="AC150" s="647">
        <v>27</v>
      </c>
      <c r="AD150" s="646">
        <v>28</v>
      </c>
      <c r="AE150" s="646">
        <v>29</v>
      </c>
      <c r="AF150" s="647">
        <v>30</v>
      </c>
      <c r="AG150" s="648">
        <v>31</v>
      </c>
      <c r="AH150" s="23"/>
      <c r="AI150" s="24"/>
    </row>
    <row r="151" spans="1:35" ht="24.75" customHeight="1">
      <c r="A151" s="953">
        <v>1</v>
      </c>
      <c r="B151" s="978" t="s">
        <v>223</v>
      </c>
      <c r="C151" s="979"/>
      <c r="D151" s="545" t="s">
        <v>31</v>
      </c>
      <c r="E151" s="979" t="s">
        <v>31</v>
      </c>
      <c r="F151" s="979" t="s">
        <v>31</v>
      </c>
      <c r="G151" s="979" t="s">
        <v>31</v>
      </c>
      <c r="H151" s="979" t="s">
        <v>31</v>
      </c>
      <c r="I151" s="979"/>
      <c r="J151" s="979"/>
      <c r="K151" s="545" t="s">
        <v>31</v>
      </c>
      <c r="L151" s="979" t="s">
        <v>31</v>
      </c>
      <c r="M151" s="979" t="s">
        <v>31</v>
      </c>
      <c r="N151" s="979" t="s">
        <v>31</v>
      </c>
      <c r="O151" s="541" t="s">
        <v>31</v>
      </c>
      <c r="P151" s="979"/>
      <c r="Q151" s="979"/>
      <c r="R151" s="541" t="s">
        <v>31</v>
      </c>
      <c r="S151" s="541" t="s">
        <v>31</v>
      </c>
      <c r="T151" s="541" t="s">
        <v>31</v>
      </c>
      <c r="U151" s="541" t="s">
        <v>31</v>
      </c>
      <c r="V151" s="541" t="s">
        <v>31</v>
      </c>
      <c r="W151" s="979"/>
      <c r="X151" s="979"/>
      <c r="Y151" s="979" t="s">
        <v>31</v>
      </c>
      <c r="Z151" s="979" t="s">
        <v>31</v>
      </c>
      <c r="AA151" s="979" t="s">
        <v>31</v>
      </c>
      <c r="AB151" s="979" t="s">
        <v>31</v>
      </c>
      <c r="AC151" s="979" t="s">
        <v>31</v>
      </c>
      <c r="AD151" s="979"/>
      <c r="AE151" s="979"/>
      <c r="AF151" s="979" t="s">
        <v>31</v>
      </c>
      <c r="AG151" s="980" t="s">
        <v>31</v>
      </c>
      <c r="AH151" s="34"/>
      <c r="AI151" s="25"/>
    </row>
    <row r="152" spans="1:35" ht="24.75" customHeight="1">
      <c r="A152" s="955">
        <v>2</v>
      </c>
      <c r="B152" s="981" t="s">
        <v>224</v>
      </c>
      <c r="C152" s="796"/>
      <c r="D152" s="751" t="s">
        <v>115</v>
      </c>
      <c r="E152" s="796" t="s">
        <v>115</v>
      </c>
      <c r="F152" s="796" t="s">
        <v>115</v>
      </c>
      <c r="G152" s="796" t="s">
        <v>115</v>
      </c>
      <c r="H152" s="751" t="s">
        <v>115</v>
      </c>
      <c r="I152" s="796" t="s">
        <v>115</v>
      </c>
      <c r="J152" s="796"/>
      <c r="K152" s="796" t="s">
        <v>225</v>
      </c>
      <c r="L152" s="796" t="s">
        <v>225</v>
      </c>
      <c r="M152" s="796" t="s">
        <v>225</v>
      </c>
      <c r="N152" s="796" t="s">
        <v>225</v>
      </c>
      <c r="O152" s="796" t="s">
        <v>35</v>
      </c>
      <c r="P152" s="796"/>
      <c r="Q152" s="796"/>
      <c r="R152" s="796" t="s">
        <v>114</v>
      </c>
      <c r="S152" s="796" t="s">
        <v>114</v>
      </c>
      <c r="T152" s="796" t="s">
        <v>114</v>
      </c>
      <c r="U152" s="796" t="s">
        <v>114</v>
      </c>
      <c r="V152" s="796" t="s">
        <v>114</v>
      </c>
      <c r="W152" s="796"/>
      <c r="X152" s="796"/>
      <c r="Y152" s="751" t="s">
        <v>115</v>
      </c>
      <c r="Z152" s="796" t="s">
        <v>115</v>
      </c>
      <c r="AA152" s="796" t="s">
        <v>115</v>
      </c>
      <c r="AB152" s="796" t="s">
        <v>115</v>
      </c>
      <c r="AC152" s="751" t="s">
        <v>115</v>
      </c>
      <c r="AD152" s="796" t="s">
        <v>115</v>
      </c>
      <c r="AE152" s="796"/>
      <c r="AF152" s="796" t="s">
        <v>225</v>
      </c>
      <c r="AG152" s="751" t="s">
        <v>225</v>
      </c>
      <c r="AH152" s="34"/>
      <c r="AI152" s="25"/>
    </row>
    <row r="153" spans="1:35" ht="24.75" customHeight="1">
      <c r="A153" s="955">
        <v>3</v>
      </c>
      <c r="B153" s="981" t="s">
        <v>226</v>
      </c>
      <c r="C153" s="796"/>
      <c r="D153" s="796" t="s">
        <v>225</v>
      </c>
      <c r="E153" s="796" t="s">
        <v>225</v>
      </c>
      <c r="F153" s="796" t="s">
        <v>225</v>
      </c>
      <c r="G153" s="796" t="s">
        <v>225</v>
      </c>
      <c r="H153" s="796" t="s">
        <v>35</v>
      </c>
      <c r="I153" s="796"/>
      <c r="J153" s="796"/>
      <c r="K153" s="796" t="s">
        <v>114</v>
      </c>
      <c r="L153" s="796" t="s">
        <v>114</v>
      </c>
      <c r="M153" s="796" t="s">
        <v>114</v>
      </c>
      <c r="N153" s="796" t="s">
        <v>114</v>
      </c>
      <c r="O153" s="796" t="s">
        <v>114</v>
      </c>
      <c r="P153" s="796"/>
      <c r="Q153" s="796"/>
      <c r="R153" s="796" t="s">
        <v>115</v>
      </c>
      <c r="S153" s="796" t="s">
        <v>115</v>
      </c>
      <c r="T153" s="796" t="s">
        <v>115</v>
      </c>
      <c r="U153" s="796" t="s">
        <v>115</v>
      </c>
      <c r="V153" s="796" t="s">
        <v>115</v>
      </c>
      <c r="W153" s="796" t="s">
        <v>115</v>
      </c>
      <c r="X153" s="796"/>
      <c r="Y153" s="796" t="s">
        <v>225</v>
      </c>
      <c r="Z153" s="796" t="s">
        <v>225</v>
      </c>
      <c r="AA153" s="796" t="s">
        <v>225</v>
      </c>
      <c r="AB153" s="796" t="s">
        <v>225</v>
      </c>
      <c r="AC153" s="796" t="s">
        <v>35</v>
      </c>
      <c r="AD153" s="796"/>
      <c r="AE153" s="796"/>
      <c r="AF153" s="796" t="s">
        <v>114</v>
      </c>
      <c r="AG153" s="751" t="s">
        <v>114</v>
      </c>
      <c r="AH153" s="34"/>
      <c r="AI153" s="25"/>
    </row>
    <row r="154" spans="1:35" ht="24.75" customHeight="1">
      <c r="A154" s="955">
        <v>4</v>
      </c>
      <c r="B154" s="982" t="s">
        <v>227</v>
      </c>
      <c r="C154" s="796"/>
      <c r="D154" s="751"/>
      <c r="E154" s="751" t="s">
        <v>31</v>
      </c>
      <c r="F154" s="751" t="s">
        <v>31</v>
      </c>
      <c r="G154" s="751"/>
      <c r="H154" s="751" t="s">
        <v>31</v>
      </c>
      <c r="I154" s="796"/>
      <c r="J154" s="796"/>
      <c r="K154" s="751"/>
      <c r="L154" s="751" t="s">
        <v>31</v>
      </c>
      <c r="M154" s="751"/>
      <c r="N154" s="751"/>
      <c r="O154" s="751" t="s">
        <v>31</v>
      </c>
      <c r="P154" s="751" t="s">
        <v>115</v>
      </c>
      <c r="Q154" s="796"/>
      <c r="R154" s="751"/>
      <c r="S154" s="751" t="s">
        <v>31</v>
      </c>
      <c r="T154" s="751" t="s">
        <v>31</v>
      </c>
      <c r="U154" s="751"/>
      <c r="V154" s="751" t="s">
        <v>31</v>
      </c>
      <c r="W154" s="796"/>
      <c r="X154" s="796"/>
      <c r="Y154" s="751"/>
      <c r="Z154" s="751" t="s">
        <v>31</v>
      </c>
      <c r="AA154" s="751" t="s">
        <v>31</v>
      </c>
      <c r="AB154" s="751"/>
      <c r="AC154" s="751" t="s">
        <v>31</v>
      </c>
      <c r="AD154" s="796"/>
      <c r="AE154" s="796"/>
      <c r="AF154" s="796"/>
      <c r="AG154" s="983" t="s">
        <v>31</v>
      </c>
      <c r="AH154" s="34"/>
      <c r="AI154" s="25"/>
    </row>
    <row r="155" spans="1:35" ht="24.75" customHeight="1">
      <c r="A155" s="955">
        <v>5</v>
      </c>
      <c r="B155" s="982" t="s">
        <v>228</v>
      </c>
      <c r="C155" s="796"/>
      <c r="D155" s="796"/>
      <c r="E155" s="796" t="s">
        <v>31</v>
      </c>
      <c r="F155" s="796"/>
      <c r="G155" s="796" t="s">
        <v>31</v>
      </c>
      <c r="H155" s="796"/>
      <c r="I155" s="796"/>
      <c r="J155" s="796"/>
      <c r="K155" s="796"/>
      <c r="L155" s="796" t="s">
        <v>31</v>
      </c>
      <c r="M155" s="796"/>
      <c r="N155" s="796" t="s">
        <v>31</v>
      </c>
      <c r="O155" s="796"/>
      <c r="P155" s="796"/>
      <c r="Q155" s="796"/>
      <c r="R155" s="796"/>
      <c r="S155" s="796" t="s">
        <v>31</v>
      </c>
      <c r="T155" s="796"/>
      <c r="U155" s="796" t="s">
        <v>31</v>
      </c>
      <c r="V155" s="796"/>
      <c r="W155" s="796"/>
      <c r="X155" s="796"/>
      <c r="Y155" s="796"/>
      <c r="Z155" s="796" t="s">
        <v>31</v>
      </c>
      <c r="AA155" s="796"/>
      <c r="AB155" s="796" t="s">
        <v>31</v>
      </c>
      <c r="AC155" s="796"/>
      <c r="AD155" s="796"/>
      <c r="AE155" s="796"/>
      <c r="AF155" s="796"/>
      <c r="AG155" s="984" t="s">
        <v>31</v>
      </c>
      <c r="AH155" s="34"/>
      <c r="AI155" s="25"/>
    </row>
    <row r="156" spans="1:35" ht="24.75" customHeight="1" thickBot="1">
      <c r="A156" s="961">
        <v>6</v>
      </c>
      <c r="B156" s="755" t="s">
        <v>229</v>
      </c>
      <c r="C156" s="813"/>
      <c r="D156" s="813" t="s">
        <v>31</v>
      </c>
      <c r="E156" s="813" t="s">
        <v>31</v>
      </c>
      <c r="F156" s="813" t="s">
        <v>31</v>
      </c>
      <c r="G156" s="813" t="s">
        <v>31</v>
      </c>
      <c r="H156" s="813" t="s">
        <v>31</v>
      </c>
      <c r="I156" s="813"/>
      <c r="J156" s="813"/>
      <c r="K156" s="813" t="s">
        <v>31</v>
      </c>
      <c r="L156" s="813" t="s">
        <v>31</v>
      </c>
      <c r="M156" s="813" t="s">
        <v>31</v>
      </c>
      <c r="N156" s="813" t="s">
        <v>31</v>
      </c>
      <c r="O156" s="756" t="s">
        <v>31</v>
      </c>
      <c r="P156" s="813"/>
      <c r="Q156" s="813"/>
      <c r="R156" s="813" t="s">
        <v>31</v>
      </c>
      <c r="S156" s="813" t="s">
        <v>31</v>
      </c>
      <c r="T156" s="813" t="s">
        <v>31</v>
      </c>
      <c r="U156" s="813" t="s">
        <v>31</v>
      </c>
      <c r="V156" s="813" t="s">
        <v>31</v>
      </c>
      <c r="W156" s="813"/>
      <c r="X156" s="813"/>
      <c r="Y156" s="813" t="s">
        <v>31</v>
      </c>
      <c r="Z156" s="813" t="s">
        <v>31</v>
      </c>
      <c r="AA156" s="813" t="s">
        <v>31</v>
      </c>
      <c r="AB156" s="813" t="s">
        <v>31</v>
      </c>
      <c r="AC156" s="813" t="s">
        <v>31</v>
      </c>
      <c r="AD156" s="813"/>
      <c r="AE156" s="813"/>
      <c r="AF156" s="813" t="s">
        <v>31</v>
      </c>
      <c r="AG156" s="814" t="s">
        <v>31</v>
      </c>
      <c r="AH156" s="93"/>
      <c r="AI156" s="76"/>
    </row>
    <row r="157" spans="1:35" ht="24.75" customHeight="1">
      <c r="A157" s="36"/>
      <c r="B157" s="87"/>
      <c r="C157" s="133"/>
      <c r="D157" s="133"/>
      <c r="E157" s="133"/>
      <c r="F157" s="133"/>
      <c r="G157" s="133"/>
      <c r="H157" s="133"/>
      <c r="I157" s="133"/>
      <c r="J157" s="133"/>
      <c r="K157" s="133"/>
      <c r="L157" s="133"/>
      <c r="M157" s="133"/>
      <c r="N157" s="133"/>
      <c r="O157" s="133"/>
      <c r="P157" s="133"/>
      <c r="Q157" s="133"/>
      <c r="R157" s="133"/>
      <c r="S157" s="133"/>
      <c r="T157" s="133"/>
      <c r="U157" s="133"/>
      <c r="V157" s="133"/>
      <c r="W157" s="133"/>
      <c r="X157" s="133"/>
      <c r="Y157" s="133"/>
      <c r="Z157" s="133"/>
      <c r="AA157" s="133"/>
      <c r="AB157" s="133"/>
      <c r="AC157" s="133"/>
      <c r="AD157" s="78"/>
      <c r="AE157" s="78"/>
      <c r="AF157" s="78"/>
      <c r="AG157" s="78"/>
      <c r="AH157" s="76"/>
      <c r="AI157" s="76"/>
    </row>
    <row r="158" spans="1:35" ht="24.75" customHeight="1">
      <c r="A158" s="94" t="s">
        <v>230</v>
      </c>
      <c r="B158" s="17"/>
      <c r="C158" s="38" t="s">
        <v>96</v>
      </c>
      <c r="D158" s="17"/>
      <c r="E158" s="17"/>
      <c r="F158" s="38" t="s">
        <v>96</v>
      </c>
      <c r="G158" s="17"/>
      <c r="H158" s="17"/>
      <c r="I158" s="38" t="s">
        <v>96</v>
      </c>
      <c r="J158" s="38"/>
      <c r="K158" s="17"/>
      <c r="L158" s="38" t="s">
        <v>96</v>
      </c>
      <c r="M158" s="17"/>
      <c r="N158" s="17"/>
      <c r="O158" s="38" t="s">
        <v>96</v>
      </c>
      <c r="P158" s="17"/>
      <c r="Q158" s="38"/>
      <c r="R158" s="38" t="s">
        <v>96</v>
      </c>
      <c r="S158" s="17"/>
      <c r="T158" s="17"/>
      <c r="U158" s="38" t="s">
        <v>96</v>
      </c>
      <c r="V158" s="17"/>
      <c r="W158" s="38"/>
      <c r="X158" s="38"/>
      <c r="Y158" s="17"/>
      <c r="Z158" s="17"/>
      <c r="AA158" s="17"/>
      <c r="AB158" s="17"/>
      <c r="AC158" s="17"/>
      <c r="AD158" s="17"/>
      <c r="AE158" s="38"/>
      <c r="AF158" s="17"/>
      <c r="AG158" s="17"/>
      <c r="AH158" s="76"/>
      <c r="AI158" s="76"/>
    </row>
    <row r="159" spans="1:35" ht="24.75" customHeight="1">
      <c r="A159" s="36"/>
      <c r="B159" s="985" t="s">
        <v>231</v>
      </c>
      <c r="C159" s="986"/>
      <c r="D159" s="987" t="s">
        <v>87</v>
      </c>
      <c r="E159" s="988"/>
      <c r="F159" s="989"/>
      <c r="G159" s="990"/>
      <c r="H159" s="987" t="s">
        <v>88</v>
      </c>
      <c r="I159" s="988"/>
      <c r="J159" s="989"/>
      <c r="K159" s="990"/>
      <c r="L159" s="987" t="s">
        <v>89</v>
      </c>
      <c r="M159" s="988"/>
      <c r="N159" s="989"/>
      <c r="O159" s="990"/>
      <c r="P159" s="987" t="s">
        <v>90</v>
      </c>
      <c r="Q159" s="988"/>
      <c r="R159" s="989"/>
      <c r="S159" s="990"/>
      <c r="T159" s="987" t="s">
        <v>91</v>
      </c>
      <c r="U159" s="991"/>
      <c r="V159" s="271"/>
      <c r="W159" s="271"/>
      <c r="X159" s="292"/>
      <c r="Y159" s="271"/>
      <c r="Z159" s="271"/>
      <c r="AA159" s="271"/>
      <c r="AB159" s="292"/>
      <c r="AC159" s="271"/>
      <c r="AD159" s="271"/>
      <c r="AE159" s="292"/>
      <c r="AF159" s="271"/>
      <c r="AG159" s="271"/>
      <c r="AH159" s="271"/>
      <c r="AI159" s="271"/>
    </row>
    <row r="160" spans="1:35" ht="24.75" customHeight="1">
      <c r="A160" s="36"/>
      <c r="B160" s="499" t="s">
        <v>232</v>
      </c>
      <c r="C160" s="526" t="s">
        <v>233</v>
      </c>
      <c r="D160" s="992" t="s">
        <v>234</v>
      </c>
      <c r="E160" s="993"/>
      <c r="F160" s="527"/>
      <c r="G160" s="528"/>
      <c r="H160" s="992" t="s">
        <v>234</v>
      </c>
      <c r="I160" s="993"/>
      <c r="J160" s="527"/>
      <c r="K160" s="528"/>
      <c r="L160" s="992" t="s">
        <v>234</v>
      </c>
      <c r="M160" s="993"/>
      <c r="N160" s="527"/>
      <c r="O160" s="528"/>
      <c r="P160" s="992" t="s">
        <v>235</v>
      </c>
      <c r="Q160" s="993"/>
      <c r="R160" s="527"/>
      <c r="S160" s="528"/>
      <c r="T160" s="992" t="s">
        <v>236</v>
      </c>
      <c r="U160" s="527"/>
      <c r="V160" s="287"/>
      <c r="W160" s="288"/>
      <c r="X160" s="287"/>
      <c r="Y160" s="287"/>
      <c r="Z160" s="287"/>
      <c r="AA160" s="288"/>
      <c r="AB160" s="287"/>
      <c r="AC160" s="287"/>
      <c r="AD160" s="287"/>
      <c r="AE160" s="288"/>
      <c r="AF160" s="287"/>
      <c r="AG160" s="287"/>
      <c r="AH160" s="83"/>
      <c r="AI160" s="83"/>
    </row>
    <row r="161" spans="1:35" ht="24.75" customHeight="1">
      <c r="A161" s="36"/>
      <c r="B161" s="499" t="s">
        <v>232</v>
      </c>
      <c r="C161" s="526" t="s">
        <v>237</v>
      </c>
      <c r="D161" s="992" t="s">
        <v>234</v>
      </c>
      <c r="E161" s="993"/>
      <c r="F161" s="527"/>
      <c r="G161" s="528"/>
      <c r="H161" s="992" t="s">
        <v>234</v>
      </c>
      <c r="I161" s="993"/>
      <c r="J161" s="527"/>
      <c r="K161" s="528"/>
      <c r="L161" s="992" t="s">
        <v>234</v>
      </c>
      <c r="M161" s="993"/>
      <c r="N161" s="527"/>
      <c r="O161" s="528"/>
      <c r="P161" s="992" t="s">
        <v>235</v>
      </c>
      <c r="Q161" s="993"/>
      <c r="R161" s="527"/>
      <c r="S161" s="528"/>
      <c r="T161" s="992" t="s">
        <v>236</v>
      </c>
      <c r="U161" s="527"/>
      <c r="V161" s="287"/>
      <c r="W161" s="288"/>
      <c r="X161" s="287"/>
      <c r="Y161" s="287"/>
      <c r="Z161" s="287"/>
      <c r="AA161" s="288"/>
      <c r="AB161" s="287"/>
      <c r="AC161" s="287"/>
      <c r="AD161" s="287"/>
      <c r="AE161" s="288"/>
      <c r="AF161" s="287"/>
      <c r="AG161" s="287"/>
      <c r="AH161" s="83"/>
      <c r="AI161" s="83"/>
    </row>
    <row r="162" spans="1:35" ht="24.75" customHeight="1">
      <c r="A162" s="36"/>
      <c r="B162" s="499" t="s">
        <v>238</v>
      </c>
      <c r="C162" s="526" t="s">
        <v>201</v>
      </c>
      <c r="D162" s="992" t="s">
        <v>234</v>
      </c>
      <c r="E162" s="993"/>
      <c r="F162" s="527"/>
      <c r="G162" s="528"/>
      <c r="H162" s="992" t="s">
        <v>234</v>
      </c>
      <c r="I162" s="993"/>
      <c r="J162" s="527"/>
      <c r="K162" s="528"/>
      <c r="L162" s="992" t="s">
        <v>234</v>
      </c>
      <c r="M162" s="993"/>
      <c r="N162" s="527"/>
      <c r="O162" s="528"/>
      <c r="P162" s="992" t="s">
        <v>235</v>
      </c>
      <c r="Q162" s="993"/>
      <c r="R162" s="527"/>
      <c r="S162" s="528"/>
      <c r="T162" s="992" t="s">
        <v>236</v>
      </c>
      <c r="U162" s="527"/>
      <c r="V162" s="287"/>
      <c r="W162" s="288"/>
      <c r="X162" s="287"/>
      <c r="Y162" s="287"/>
      <c r="Z162" s="287"/>
      <c r="AA162" s="288"/>
      <c r="AB162" s="287"/>
      <c r="AC162" s="287"/>
      <c r="AD162" s="287"/>
      <c r="AE162" s="288"/>
      <c r="AF162" s="287"/>
      <c r="AG162" s="287"/>
      <c r="AH162" s="83"/>
      <c r="AI162" s="83"/>
    </row>
    <row r="163" spans="1:35" ht="24.75" customHeight="1">
      <c r="A163" s="36"/>
      <c r="B163" s="499" t="s">
        <v>239</v>
      </c>
      <c r="C163" s="526" t="s">
        <v>121</v>
      </c>
      <c r="D163" s="992" t="s">
        <v>240</v>
      </c>
      <c r="E163" s="993"/>
      <c r="F163" s="527"/>
      <c r="G163" s="528"/>
      <c r="H163" s="992" t="s">
        <v>240</v>
      </c>
      <c r="I163" s="993"/>
      <c r="J163" s="527"/>
      <c r="K163" s="528"/>
      <c r="L163" s="992" t="s">
        <v>240</v>
      </c>
      <c r="M163" s="993"/>
      <c r="N163" s="527"/>
      <c r="O163" s="528"/>
      <c r="P163" s="992" t="s">
        <v>241</v>
      </c>
      <c r="Q163" s="993"/>
      <c r="R163" s="527"/>
      <c r="S163" s="528"/>
      <c r="T163" s="992" t="s">
        <v>242</v>
      </c>
      <c r="U163" s="527"/>
      <c r="V163" s="287"/>
      <c r="W163" s="288"/>
      <c r="X163" s="287"/>
      <c r="Y163" s="287"/>
      <c r="Z163" s="287"/>
      <c r="AA163" s="288"/>
      <c r="AB163" s="287"/>
      <c r="AC163" s="287"/>
      <c r="AD163" s="287"/>
      <c r="AE163" s="288"/>
      <c r="AF163" s="287"/>
      <c r="AG163" s="287"/>
      <c r="AH163" s="83"/>
      <c r="AI163" s="83"/>
    </row>
    <row r="164" spans="1:35" ht="24.75" customHeight="1">
      <c r="A164" s="36"/>
      <c r="B164" s="499" t="s">
        <v>243</v>
      </c>
      <c r="C164" s="526" t="s">
        <v>244</v>
      </c>
      <c r="D164" s="992" t="s">
        <v>245</v>
      </c>
      <c r="E164" s="993"/>
      <c r="F164" s="527"/>
      <c r="G164" s="528"/>
      <c r="H164" s="992" t="s">
        <v>245</v>
      </c>
      <c r="I164" s="993"/>
      <c r="J164" s="527"/>
      <c r="K164" s="528"/>
      <c r="L164" s="992" t="s">
        <v>246</v>
      </c>
      <c r="M164" s="993"/>
      <c r="N164" s="527"/>
      <c r="O164" s="528"/>
      <c r="P164" s="992" t="s">
        <v>247</v>
      </c>
      <c r="Q164" s="993"/>
      <c r="R164" s="527"/>
      <c r="S164" s="528"/>
      <c r="T164" s="992" t="s">
        <v>242</v>
      </c>
      <c r="U164" s="527"/>
      <c r="V164" s="287"/>
      <c r="W164" s="288"/>
      <c r="X164" s="287"/>
      <c r="Y164" s="287"/>
      <c r="Z164" s="287"/>
      <c r="AA164" s="288"/>
      <c r="AB164" s="287"/>
      <c r="AC164" s="287"/>
      <c r="AD164" s="287"/>
      <c r="AE164" s="288"/>
      <c r="AF164" s="287"/>
      <c r="AG164" s="287"/>
      <c r="AH164" s="83"/>
      <c r="AI164" s="83"/>
    </row>
    <row r="165" spans="1:35" ht="24.75" customHeight="1">
      <c r="A165" s="36"/>
      <c r="B165" s="499" t="s">
        <v>248</v>
      </c>
      <c r="C165" s="526" t="s">
        <v>128</v>
      </c>
      <c r="D165" s="992" t="s">
        <v>234</v>
      </c>
      <c r="E165" s="993"/>
      <c r="F165" s="527"/>
      <c r="G165" s="528"/>
      <c r="H165" s="992" t="s">
        <v>234</v>
      </c>
      <c r="I165" s="993"/>
      <c r="J165" s="527"/>
      <c r="K165" s="528"/>
      <c r="L165" s="992" t="s">
        <v>234</v>
      </c>
      <c r="M165" s="993"/>
      <c r="N165" s="527"/>
      <c r="O165" s="528"/>
      <c r="P165" s="992" t="s">
        <v>234</v>
      </c>
      <c r="Q165" s="993"/>
      <c r="R165" s="527"/>
      <c r="S165" s="528"/>
      <c r="T165" s="554" t="s">
        <v>245</v>
      </c>
      <c r="U165" s="527"/>
      <c r="V165" s="287"/>
      <c r="W165" s="288"/>
      <c r="X165" s="287"/>
      <c r="Y165" s="287"/>
      <c r="Z165" s="287"/>
      <c r="AA165" s="288"/>
      <c r="AB165" s="287"/>
      <c r="AC165" s="287"/>
      <c r="AD165" s="287"/>
      <c r="AE165" s="288"/>
      <c r="AF165" s="287"/>
      <c r="AG165" s="287"/>
      <c r="AH165" s="83"/>
      <c r="AI165" s="83"/>
    </row>
    <row r="166" spans="1:35" ht="24.75" customHeight="1">
      <c r="A166" s="36"/>
      <c r="B166" s="499" t="s">
        <v>249</v>
      </c>
      <c r="C166" s="526" t="s">
        <v>250</v>
      </c>
      <c r="D166" s="992" t="s">
        <v>234</v>
      </c>
      <c r="E166" s="993"/>
      <c r="F166" s="527"/>
      <c r="G166" s="528"/>
      <c r="H166" s="992" t="s">
        <v>234</v>
      </c>
      <c r="I166" s="993"/>
      <c r="J166" s="527"/>
      <c r="K166" s="528"/>
      <c r="L166" s="992" t="s">
        <v>234</v>
      </c>
      <c r="M166" s="993"/>
      <c r="N166" s="527"/>
      <c r="O166" s="528"/>
      <c r="P166" s="992" t="s">
        <v>235</v>
      </c>
      <c r="Q166" s="993"/>
      <c r="R166" s="527"/>
      <c r="S166" s="528"/>
      <c r="T166" s="992" t="s">
        <v>236</v>
      </c>
      <c r="U166" s="527"/>
      <c r="V166" s="287"/>
      <c r="W166" s="288"/>
      <c r="X166" s="287"/>
      <c r="Y166" s="287"/>
      <c r="Z166" s="287"/>
      <c r="AA166" s="288"/>
      <c r="AB166" s="287"/>
      <c r="AC166" s="287"/>
      <c r="AD166" s="287"/>
      <c r="AE166" s="288"/>
      <c r="AF166" s="287"/>
      <c r="AG166" s="287"/>
      <c r="AH166" s="83"/>
      <c r="AI166" s="83"/>
    </row>
    <row r="167" spans="1:35" ht="24.75" customHeight="1">
      <c r="A167" s="36"/>
      <c r="B167" s="499" t="s">
        <v>249</v>
      </c>
      <c r="C167" s="526" t="s">
        <v>251</v>
      </c>
      <c r="D167" s="992" t="s">
        <v>234</v>
      </c>
      <c r="E167" s="993"/>
      <c r="F167" s="527"/>
      <c r="G167" s="528"/>
      <c r="H167" s="992" t="s">
        <v>234</v>
      </c>
      <c r="I167" s="993"/>
      <c r="J167" s="527"/>
      <c r="K167" s="528"/>
      <c r="L167" s="992" t="s">
        <v>234</v>
      </c>
      <c r="M167" s="993"/>
      <c r="N167" s="527"/>
      <c r="O167" s="528"/>
      <c r="P167" s="992" t="s">
        <v>235</v>
      </c>
      <c r="Q167" s="993"/>
      <c r="R167" s="527"/>
      <c r="S167" s="528"/>
      <c r="T167" s="992" t="s">
        <v>236</v>
      </c>
      <c r="U167" s="527"/>
      <c r="V167" s="287"/>
      <c r="W167" s="288"/>
      <c r="X167" s="287"/>
      <c r="Y167" s="287"/>
      <c r="Z167" s="287"/>
      <c r="AA167" s="288"/>
      <c r="AB167" s="287"/>
      <c r="AC167" s="287"/>
      <c r="AD167" s="287"/>
      <c r="AE167" s="288"/>
      <c r="AF167" s="287"/>
      <c r="AG167" s="287"/>
      <c r="AH167" s="83"/>
      <c r="AI167" s="83"/>
    </row>
    <row r="168" spans="1:35" ht="24.75" customHeight="1">
      <c r="A168" s="36"/>
      <c r="B168" s="499" t="s">
        <v>252</v>
      </c>
      <c r="C168" s="526" t="s">
        <v>253</v>
      </c>
      <c r="D168" s="992" t="s">
        <v>234</v>
      </c>
      <c r="E168" s="993"/>
      <c r="F168" s="527"/>
      <c r="G168" s="528"/>
      <c r="H168" s="992" t="s">
        <v>234</v>
      </c>
      <c r="I168" s="993"/>
      <c r="J168" s="527"/>
      <c r="K168" s="528"/>
      <c r="L168" s="992" t="s">
        <v>234</v>
      </c>
      <c r="M168" s="993"/>
      <c r="N168" s="527"/>
      <c r="O168" s="528"/>
      <c r="P168" s="992" t="s">
        <v>254</v>
      </c>
      <c r="Q168" s="993"/>
      <c r="R168" s="527"/>
      <c r="S168" s="528"/>
      <c r="T168" s="992" t="s">
        <v>242</v>
      </c>
      <c r="U168" s="527"/>
      <c r="V168" s="287"/>
      <c r="W168" s="288"/>
      <c r="X168" s="287"/>
      <c r="Y168" s="287"/>
      <c r="Z168" s="287"/>
      <c r="AA168" s="288"/>
      <c r="AB168" s="287"/>
      <c r="AC168" s="287"/>
      <c r="AD168" s="287"/>
      <c r="AE168" s="288"/>
      <c r="AF168" s="287"/>
      <c r="AG168" s="287"/>
      <c r="AH168" s="83"/>
      <c r="AI168" s="83"/>
    </row>
    <row r="169" spans="1:35" ht="24.75" customHeight="1">
      <c r="A169" s="36"/>
      <c r="B169" s="994" t="s">
        <v>255</v>
      </c>
      <c r="C169" s="526" t="s">
        <v>123</v>
      </c>
      <c r="D169" s="992" t="s">
        <v>234</v>
      </c>
      <c r="E169" s="993"/>
      <c r="F169" s="527"/>
      <c r="G169" s="528"/>
      <c r="H169" s="992" t="s">
        <v>234</v>
      </c>
      <c r="I169" s="993"/>
      <c r="J169" s="527"/>
      <c r="K169" s="528"/>
      <c r="L169" s="992" t="s">
        <v>234</v>
      </c>
      <c r="M169" s="993"/>
      <c r="N169" s="527"/>
      <c r="O169" s="528"/>
      <c r="P169" s="992" t="s">
        <v>235</v>
      </c>
      <c r="Q169" s="993"/>
      <c r="R169" s="527"/>
      <c r="S169" s="528"/>
      <c r="T169" s="992" t="s">
        <v>236</v>
      </c>
      <c r="U169" s="527"/>
      <c r="V169" s="287"/>
      <c r="W169" s="288"/>
      <c r="X169" s="287"/>
      <c r="Y169" s="287"/>
      <c r="Z169" s="287"/>
      <c r="AA169" s="288"/>
      <c r="AB169" s="287"/>
      <c r="AC169" s="287"/>
      <c r="AD169" s="287"/>
      <c r="AE169" s="288"/>
      <c r="AF169" s="287"/>
      <c r="AG169" s="287"/>
      <c r="AH169" s="83"/>
      <c r="AI169" s="83"/>
    </row>
    <row r="170" spans="1:35" ht="24.75" customHeight="1">
      <c r="A170" s="36"/>
      <c r="B170" s="499" t="s">
        <v>256</v>
      </c>
      <c r="C170" s="526" t="s">
        <v>146</v>
      </c>
      <c r="D170" s="992" t="s">
        <v>234</v>
      </c>
      <c r="E170" s="993"/>
      <c r="F170" s="527"/>
      <c r="G170" s="528"/>
      <c r="H170" s="992" t="s">
        <v>234</v>
      </c>
      <c r="I170" s="993"/>
      <c r="J170" s="527"/>
      <c r="K170" s="528"/>
      <c r="L170" s="992" t="s">
        <v>234</v>
      </c>
      <c r="M170" s="993"/>
      <c r="N170" s="527"/>
      <c r="O170" s="528"/>
      <c r="P170" s="992" t="s">
        <v>235</v>
      </c>
      <c r="Q170" s="993"/>
      <c r="R170" s="527"/>
      <c r="S170" s="528"/>
      <c r="T170" s="992" t="s">
        <v>236</v>
      </c>
      <c r="U170" s="527"/>
      <c r="V170" s="287"/>
      <c r="W170" s="288"/>
      <c r="X170" s="287"/>
      <c r="Y170" s="287"/>
      <c r="Z170" s="287"/>
      <c r="AA170" s="288"/>
      <c r="AB170" s="287"/>
      <c r="AC170" s="287"/>
      <c r="AD170" s="287"/>
      <c r="AE170" s="288"/>
      <c r="AF170" s="287"/>
      <c r="AG170" s="287"/>
      <c r="AH170" s="83"/>
      <c r="AI170" s="83"/>
    </row>
    <row r="171" spans="1:35" ht="24.75" customHeight="1">
      <c r="A171" s="36"/>
      <c r="B171" s="499" t="s">
        <v>257</v>
      </c>
      <c r="C171" s="529" t="s">
        <v>136</v>
      </c>
      <c r="D171" s="992" t="s">
        <v>258</v>
      </c>
      <c r="E171" s="993"/>
      <c r="F171" s="527"/>
      <c r="G171" s="528"/>
      <c r="H171" s="992" t="s">
        <v>258</v>
      </c>
      <c r="I171" s="993"/>
      <c r="J171" s="527"/>
      <c r="K171" s="528"/>
      <c r="L171" s="992" t="s">
        <v>258</v>
      </c>
      <c r="M171" s="993"/>
      <c r="N171" s="993"/>
      <c r="O171" s="528"/>
      <c r="P171" s="992" t="s">
        <v>258</v>
      </c>
      <c r="Q171" s="993"/>
      <c r="R171" s="993"/>
      <c r="S171" s="528"/>
      <c r="T171" s="992" t="s">
        <v>242</v>
      </c>
      <c r="U171" s="527"/>
      <c r="V171" s="287"/>
      <c r="W171" s="287"/>
      <c r="X171" s="287"/>
      <c r="Y171" s="287"/>
      <c r="Z171" s="287"/>
      <c r="AA171" s="288"/>
      <c r="AB171" s="287"/>
      <c r="AC171" s="287"/>
      <c r="AD171" s="287"/>
      <c r="AE171" s="288"/>
      <c r="AF171" s="287"/>
      <c r="AG171" s="287"/>
      <c r="AH171" s="83"/>
      <c r="AI171" s="83"/>
    </row>
    <row r="172" spans="1:35" ht="24.75" customHeight="1">
      <c r="A172" s="36"/>
      <c r="B172" s="499" t="s">
        <v>259</v>
      </c>
      <c r="C172" s="529" t="s">
        <v>112</v>
      </c>
      <c r="D172" s="992" t="s">
        <v>258</v>
      </c>
      <c r="E172" s="993"/>
      <c r="F172" s="527"/>
      <c r="G172" s="528"/>
      <c r="H172" s="992" t="s">
        <v>258</v>
      </c>
      <c r="I172" s="993"/>
      <c r="J172" s="527"/>
      <c r="K172" s="528"/>
      <c r="L172" s="992" t="s">
        <v>258</v>
      </c>
      <c r="M172" s="993"/>
      <c r="N172" s="993"/>
      <c r="O172" s="528"/>
      <c r="P172" s="992" t="s">
        <v>258</v>
      </c>
      <c r="Q172" s="993"/>
      <c r="R172" s="993"/>
      <c r="S172" s="528"/>
      <c r="T172" s="992" t="s">
        <v>242</v>
      </c>
      <c r="U172" s="527"/>
      <c r="V172" s="287"/>
      <c r="W172" s="287"/>
      <c r="X172" s="287"/>
      <c r="Y172" s="287"/>
      <c r="Z172" s="287"/>
      <c r="AA172" s="288"/>
      <c r="AB172" s="287"/>
      <c r="AC172" s="287"/>
      <c r="AD172" s="287"/>
      <c r="AE172" s="288"/>
      <c r="AF172" s="287"/>
      <c r="AG172" s="287"/>
      <c r="AH172" s="83"/>
      <c r="AI172" s="83"/>
    </row>
    <row r="173" spans="1:35" ht="24.75" customHeight="1">
      <c r="A173" s="36"/>
      <c r="B173" s="499" t="s">
        <v>260</v>
      </c>
      <c r="C173" s="529" t="s">
        <v>261</v>
      </c>
      <c r="D173" s="992" t="s">
        <v>258</v>
      </c>
      <c r="E173" s="993"/>
      <c r="F173" s="527"/>
      <c r="G173" s="528"/>
      <c r="H173" s="992" t="s">
        <v>258</v>
      </c>
      <c r="I173" s="993"/>
      <c r="J173" s="527"/>
      <c r="K173" s="528"/>
      <c r="L173" s="992" t="s">
        <v>258</v>
      </c>
      <c r="M173" s="993"/>
      <c r="N173" s="993"/>
      <c r="O173" s="528"/>
      <c r="P173" s="992" t="s">
        <v>258</v>
      </c>
      <c r="Q173" s="993"/>
      <c r="R173" s="993"/>
      <c r="S173" s="528"/>
      <c r="T173" s="992" t="s">
        <v>242</v>
      </c>
      <c r="U173" s="527"/>
      <c r="V173" s="17"/>
      <c r="W173" s="38"/>
      <c r="X173" s="38"/>
      <c r="Y173" s="17"/>
      <c r="Z173" s="17"/>
      <c r="AA173" s="17"/>
      <c r="AB173" s="17"/>
      <c r="AC173" s="17"/>
      <c r="AD173" s="17"/>
      <c r="AE173" s="38"/>
      <c r="AF173" s="17"/>
      <c r="AG173" s="17"/>
      <c r="AH173" s="76"/>
      <c r="AI173" s="76"/>
    </row>
    <row r="174" spans="1:35" ht="24.75" customHeight="1" thickBot="1">
      <c r="A174" s="96"/>
      <c r="B174" s="995" t="s">
        <v>29</v>
      </c>
      <c r="C174" s="996">
        <v>1</v>
      </c>
      <c r="D174" s="997">
        <v>2</v>
      </c>
      <c r="E174" s="997">
        <v>3</v>
      </c>
      <c r="F174" s="997">
        <v>4</v>
      </c>
      <c r="G174" s="997">
        <v>5</v>
      </c>
      <c r="H174" s="997">
        <v>6</v>
      </c>
      <c r="I174" s="996">
        <v>7</v>
      </c>
      <c r="J174" s="996">
        <v>8</v>
      </c>
      <c r="K174" s="997">
        <v>9</v>
      </c>
      <c r="L174" s="997">
        <v>10</v>
      </c>
      <c r="M174" s="997">
        <v>11</v>
      </c>
      <c r="N174" s="997">
        <v>12</v>
      </c>
      <c r="O174" s="997">
        <v>13</v>
      </c>
      <c r="P174" s="996">
        <v>14</v>
      </c>
      <c r="Q174" s="996">
        <v>15</v>
      </c>
      <c r="R174" s="997">
        <v>16</v>
      </c>
      <c r="S174" s="997">
        <v>17</v>
      </c>
      <c r="T174" s="997">
        <v>18</v>
      </c>
      <c r="U174" s="997">
        <v>19</v>
      </c>
      <c r="V174" s="647">
        <v>20</v>
      </c>
      <c r="W174" s="646">
        <v>21</v>
      </c>
      <c r="X174" s="646">
        <v>22</v>
      </c>
      <c r="Y174" s="647">
        <v>23</v>
      </c>
      <c r="Z174" s="647">
        <v>24</v>
      </c>
      <c r="AA174" s="647">
        <v>25</v>
      </c>
      <c r="AB174" s="647">
        <v>26</v>
      </c>
      <c r="AC174" s="647">
        <v>27</v>
      </c>
      <c r="AD174" s="646">
        <v>28</v>
      </c>
      <c r="AE174" s="646">
        <v>29</v>
      </c>
      <c r="AF174" s="647">
        <v>30</v>
      </c>
      <c r="AG174" s="648">
        <v>31</v>
      </c>
      <c r="AH174" s="97"/>
      <c r="AI174" s="24"/>
    </row>
    <row r="175" spans="1:35" ht="24.75" customHeight="1">
      <c r="A175" s="36"/>
      <c r="B175" s="998" t="s">
        <v>262</v>
      </c>
      <c r="C175" s="972"/>
      <c r="D175" s="972" t="s">
        <v>233</v>
      </c>
      <c r="E175" s="972" t="s">
        <v>233</v>
      </c>
      <c r="F175" s="972" t="s">
        <v>233</v>
      </c>
      <c r="G175" s="972" t="s">
        <v>233</v>
      </c>
      <c r="H175" s="972" t="s">
        <v>233</v>
      </c>
      <c r="I175" s="972"/>
      <c r="J175" s="972"/>
      <c r="K175" s="972" t="s">
        <v>233</v>
      </c>
      <c r="L175" s="972" t="s">
        <v>233</v>
      </c>
      <c r="M175" s="972" t="s">
        <v>233</v>
      </c>
      <c r="N175" s="972" t="s">
        <v>233</v>
      </c>
      <c r="O175" s="972" t="s">
        <v>233</v>
      </c>
      <c r="P175" s="972"/>
      <c r="Q175" s="972"/>
      <c r="R175" s="972" t="s">
        <v>233</v>
      </c>
      <c r="S175" s="972" t="s">
        <v>233</v>
      </c>
      <c r="T175" s="972" t="s">
        <v>233</v>
      </c>
      <c r="U175" s="972" t="s">
        <v>233</v>
      </c>
      <c r="V175" s="972" t="s">
        <v>233</v>
      </c>
      <c r="W175" s="972"/>
      <c r="X175" s="972"/>
      <c r="Y175" s="972" t="s">
        <v>233</v>
      </c>
      <c r="Z175" s="972" t="s">
        <v>233</v>
      </c>
      <c r="AA175" s="972" t="s">
        <v>233</v>
      </c>
      <c r="AB175" s="972" t="s">
        <v>233</v>
      </c>
      <c r="AC175" s="972" t="s">
        <v>233</v>
      </c>
      <c r="AD175" s="972"/>
      <c r="AE175" s="972"/>
      <c r="AF175" s="972" t="s">
        <v>233</v>
      </c>
      <c r="AG175" s="999" t="s">
        <v>233</v>
      </c>
      <c r="AH175" s="25"/>
      <c r="AI175" s="25"/>
    </row>
    <row r="176" spans="1:35" ht="24.75" customHeight="1">
      <c r="A176" s="36"/>
      <c r="B176" s="530" t="s">
        <v>263</v>
      </c>
      <c r="C176" s="516"/>
      <c r="D176" s="516" t="s">
        <v>233</v>
      </c>
      <c r="E176" s="516" t="s">
        <v>233</v>
      </c>
      <c r="F176" s="531" t="s">
        <v>264</v>
      </c>
      <c r="G176" s="516" t="s">
        <v>233</v>
      </c>
      <c r="H176" s="516" t="s">
        <v>233</v>
      </c>
      <c r="I176" s="516"/>
      <c r="J176" s="516"/>
      <c r="K176" s="516" t="s">
        <v>233</v>
      </c>
      <c r="L176" s="516" t="s">
        <v>233</v>
      </c>
      <c r="M176" s="516" t="s">
        <v>233</v>
      </c>
      <c r="N176" s="516" t="s">
        <v>233</v>
      </c>
      <c r="O176" s="516" t="s">
        <v>233</v>
      </c>
      <c r="P176" s="516"/>
      <c r="Q176" s="516"/>
      <c r="R176" s="1000" t="s">
        <v>233</v>
      </c>
      <c r="S176" s="531" t="s">
        <v>264</v>
      </c>
      <c r="T176" s="531" t="s">
        <v>264</v>
      </c>
      <c r="U176" s="516" t="s">
        <v>233</v>
      </c>
      <c r="V176" s="516" t="s">
        <v>233</v>
      </c>
      <c r="W176" s="516"/>
      <c r="X176" s="516"/>
      <c r="Y176" s="516" t="s">
        <v>233</v>
      </c>
      <c r="Z176" s="516" t="s">
        <v>233</v>
      </c>
      <c r="AA176" s="516" t="s">
        <v>233</v>
      </c>
      <c r="AB176" s="516" t="s">
        <v>233</v>
      </c>
      <c r="AC176" s="516" t="s">
        <v>233</v>
      </c>
      <c r="AD176" s="516"/>
      <c r="AE176" s="516"/>
      <c r="AF176" s="682" t="s">
        <v>233</v>
      </c>
      <c r="AG176" s="521" t="s">
        <v>233</v>
      </c>
      <c r="AH176" s="25"/>
      <c r="AI176" s="25"/>
    </row>
    <row r="177" spans="1:35" ht="24.75" customHeight="1">
      <c r="A177" s="36"/>
      <c r="B177" s="530" t="s">
        <v>265</v>
      </c>
      <c r="C177" s="516"/>
      <c r="D177" s="516" t="s">
        <v>237</v>
      </c>
      <c r="E177" s="516" t="s">
        <v>237</v>
      </c>
      <c r="F177" s="516" t="s">
        <v>237</v>
      </c>
      <c r="G177" s="516" t="s">
        <v>237</v>
      </c>
      <c r="H177" s="516" t="s">
        <v>237</v>
      </c>
      <c r="I177" s="516"/>
      <c r="J177" s="516"/>
      <c r="K177" s="516" t="s">
        <v>237</v>
      </c>
      <c r="L177" s="516" t="s">
        <v>237</v>
      </c>
      <c r="M177" s="516" t="s">
        <v>237</v>
      </c>
      <c r="N177" s="516" t="s">
        <v>237</v>
      </c>
      <c r="O177" s="516" t="s">
        <v>237</v>
      </c>
      <c r="P177" s="516"/>
      <c r="Q177" s="516"/>
      <c r="R177" s="516" t="s">
        <v>237</v>
      </c>
      <c r="S177" s="516" t="s">
        <v>237</v>
      </c>
      <c r="T177" s="516" t="s">
        <v>237</v>
      </c>
      <c r="U177" s="516" t="s">
        <v>237</v>
      </c>
      <c r="V177" s="516" t="s">
        <v>237</v>
      </c>
      <c r="W177" s="516"/>
      <c r="X177" s="516"/>
      <c r="Y177" s="516" t="s">
        <v>237</v>
      </c>
      <c r="Z177" s="516" t="s">
        <v>237</v>
      </c>
      <c r="AA177" s="516" t="s">
        <v>237</v>
      </c>
      <c r="AB177" s="516" t="s">
        <v>35</v>
      </c>
      <c r="AC177" s="516" t="s">
        <v>35</v>
      </c>
      <c r="AD177" s="679" t="s">
        <v>44</v>
      </c>
      <c r="AE177" s="679" t="s">
        <v>44</v>
      </c>
      <c r="AF177" s="679" t="s">
        <v>44</v>
      </c>
      <c r="AG177" s="519" t="s">
        <v>35</v>
      </c>
      <c r="AH177" s="25"/>
      <c r="AI177" s="25"/>
    </row>
    <row r="178" spans="1:35" ht="24.75" customHeight="1">
      <c r="A178" s="36"/>
      <c r="B178" s="530" t="s">
        <v>266</v>
      </c>
      <c r="C178" s="516"/>
      <c r="D178" s="505" t="s">
        <v>201</v>
      </c>
      <c r="E178" s="505" t="s">
        <v>201</v>
      </c>
      <c r="F178" s="505" t="s">
        <v>201</v>
      </c>
      <c r="G178" s="505" t="s">
        <v>201</v>
      </c>
      <c r="H178" s="505" t="s">
        <v>201</v>
      </c>
      <c r="I178" s="516"/>
      <c r="J178" s="516"/>
      <c r="K178" s="497" t="s">
        <v>201</v>
      </c>
      <c r="L178" s="516" t="s">
        <v>201</v>
      </c>
      <c r="M178" s="516" t="s">
        <v>201</v>
      </c>
      <c r="N178" s="516" t="s">
        <v>201</v>
      </c>
      <c r="O178" s="516" t="s">
        <v>201</v>
      </c>
      <c r="P178" s="516"/>
      <c r="Q178" s="516"/>
      <c r="R178" s="516" t="s">
        <v>201</v>
      </c>
      <c r="S178" s="516" t="s">
        <v>201</v>
      </c>
      <c r="T178" s="516" t="s">
        <v>201</v>
      </c>
      <c r="U178" s="516" t="s">
        <v>201</v>
      </c>
      <c r="V178" s="516" t="s">
        <v>201</v>
      </c>
      <c r="W178" s="516"/>
      <c r="X178" s="516"/>
      <c r="Y178" s="515" t="s">
        <v>201</v>
      </c>
      <c r="Z178" s="515" t="s">
        <v>201</v>
      </c>
      <c r="AA178" s="515" t="s">
        <v>201</v>
      </c>
      <c r="AB178" s="515" t="s">
        <v>201</v>
      </c>
      <c r="AC178" s="515" t="s">
        <v>201</v>
      </c>
      <c r="AD178" s="516"/>
      <c r="AE178" s="516"/>
      <c r="AF178" s="516" t="s">
        <v>201</v>
      </c>
      <c r="AG178" s="519" t="s">
        <v>201</v>
      </c>
      <c r="AH178" s="25"/>
      <c r="AI178" s="25"/>
    </row>
    <row r="179" spans="1:35" ht="24.75" customHeight="1">
      <c r="A179" s="36"/>
      <c r="B179" s="507" t="s">
        <v>267</v>
      </c>
      <c r="C179" s="516"/>
      <c r="D179" s="516" t="s">
        <v>121</v>
      </c>
      <c r="E179" s="516" t="s">
        <v>121</v>
      </c>
      <c r="F179" s="512" t="s">
        <v>121</v>
      </c>
      <c r="G179" s="516" t="s">
        <v>121</v>
      </c>
      <c r="H179" s="516" t="s">
        <v>121</v>
      </c>
      <c r="I179" s="516"/>
      <c r="J179" s="516"/>
      <c r="K179" s="516" t="s">
        <v>121</v>
      </c>
      <c r="L179" s="512" t="s">
        <v>121</v>
      </c>
      <c r="M179" s="512" t="s">
        <v>121</v>
      </c>
      <c r="N179" s="516" t="s">
        <v>121</v>
      </c>
      <c r="O179" s="516" t="s">
        <v>121</v>
      </c>
      <c r="P179" s="516"/>
      <c r="Q179" s="516"/>
      <c r="R179" s="516" t="s">
        <v>121</v>
      </c>
      <c r="S179" s="516" t="s">
        <v>121</v>
      </c>
      <c r="T179" s="516" t="s">
        <v>121</v>
      </c>
      <c r="U179" s="516" t="s">
        <v>121</v>
      </c>
      <c r="V179" s="516" t="s">
        <v>121</v>
      </c>
      <c r="W179" s="516"/>
      <c r="X179" s="516"/>
      <c r="Y179" s="516" t="s">
        <v>121</v>
      </c>
      <c r="Z179" s="516" t="s">
        <v>121</v>
      </c>
      <c r="AA179" s="516" t="s">
        <v>121</v>
      </c>
      <c r="AB179" s="516" t="s">
        <v>121</v>
      </c>
      <c r="AC179" s="516" t="s">
        <v>121</v>
      </c>
      <c r="AD179" s="516"/>
      <c r="AE179" s="516"/>
      <c r="AF179" s="516" t="s">
        <v>121</v>
      </c>
      <c r="AG179" s="519" t="s">
        <v>121</v>
      </c>
      <c r="AH179" s="25"/>
      <c r="AI179" s="25"/>
    </row>
    <row r="180" spans="1:35" ht="24.75" customHeight="1">
      <c r="A180" s="36"/>
      <c r="B180" s="530" t="s">
        <v>268</v>
      </c>
      <c r="D180" s="516" t="s">
        <v>244</v>
      </c>
      <c r="E180" s="516" t="s">
        <v>244</v>
      </c>
      <c r="F180" s="516" t="s">
        <v>244</v>
      </c>
      <c r="G180" s="516" t="s">
        <v>244</v>
      </c>
      <c r="H180" s="516" t="s">
        <v>244</v>
      </c>
      <c r="I180" s="516"/>
      <c r="J180" s="516"/>
      <c r="K180" s="516" t="s">
        <v>244</v>
      </c>
      <c r="L180" s="516" t="s">
        <v>244</v>
      </c>
      <c r="M180" s="516" t="s">
        <v>244</v>
      </c>
      <c r="N180" s="516" t="s">
        <v>244</v>
      </c>
      <c r="O180" s="516" t="s">
        <v>244</v>
      </c>
      <c r="P180" s="516"/>
      <c r="Q180" s="516"/>
      <c r="R180" s="678" t="s">
        <v>244</v>
      </c>
      <c r="S180" s="532" t="s">
        <v>244</v>
      </c>
      <c r="T180" s="532" t="s">
        <v>244</v>
      </c>
      <c r="U180" s="532" t="s">
        <v>244</v>
      </c>
      <c r="V180" s="532" t="s">
        <v>244</v>
      </c>
      <c r="W180" s="532" t="s">
        <v>0</v>
      </c>
      <c r="X180" s="532" t="s">
        <v>0</v>
      </c>
      <c r="Y180" s="679" t="s">
        <v>44</v>
      </c>
      <c r="Z180" s="679" t="s">
        <v>44</v>
      </c>
      <c r="AA180" s="679" t="s">
        <v>44</v>
      </c>
      <c r="AB180" s="532" t="s">
        <v>244</v>
      </c>
      <c r="AC180" s="532" t="s">
        <v>244</v>
      </c>
      <c r="AD180" s="516"/>
      <c r="AE180" s="681"/>
      <c r="AF180" s="532" t="s">
        <v>244</v>
      </c>
      <c r="AG180" s="532" t="s">
        <v>244</v>
      </c>
      <c r="AH180" s="25"/>
      <c r="AI180" s="25"/>
    </row>
    <row r="181" spans="1:35" ht="24.75" customHeight="1">
      <c r="A181" s="36"/>
      <c r="B181" s="530" t="s">
        <v>269</v>
      </c>
      <c r="C181" s="516"/>
      <c r="D181" s="516" t="s">
        <v>128</v>
      </c>
      <c r="E181" s="516" t="s">
        <v>128</v>
      </c>
      <c r="F181" s="516" t="s">
        <v>128</v>
      </c>
      <c r="G181" s="516" t="s">
        <v>128</v>
      </c>
      <c r="H181" s="516" t="s">
        <v>128</v>
      </c>
      <c r="I181" s="516"/>
      <c r="J181" s="516"/>
      <c r="K181" s="516" t="s">
        <v>128</v>
      </c>
      <c r="L181" s="534" t="s">
        <v>270</v>
      </c>
      <c r="M181" s="518" t="s">
        <v>128</v>
      </c>
      <c r="N181" s="518" t="s">
        <v>128</v>
      </c>
      <c r="O181" s="516" t="s">
        <v>128</v>
      </c>
      <c r="P181" s="516"/>
      <c r="Q181" s="516"/>
      <c r="R181" s="516" t="s">
        <v>128</v>
      </c>
      <c r="S181" s="516" t="s">
        <v>128</v>
      </c>
      <c r="T181" s="516" t="s">
        <v>128</v>
      </c>
      <c r="U181" s="516" t="s">
        <v>128</v>
      </c>
      <c r="V181" s="690" t="s">
        <v>128</v>
      </c>
      <c r="W181" s="516"/>
      <c r="X181" s="516"/>
      <c r="Y181" s="516" t="s">
        <v>128</v>
      </c>
      <c r="Z181" s="516" t="s">
        <v>128</v>
      </c>
      <c r="AA181" s="516" t="s">
        <v>128</v>
      </c>
      <c r="AB181" s="516" t="s">
        <v>128</v>
      </c>
      <c r="AC181" s="506" t="s">
        <v>128</v>
      </c>
      <c r="AD181" s="516"/>
      <c r="AE181" s="516"/>
      <c r="AF181" s="506" t="s">
        <v>128</v>
      </c>
      <c r="AG181" s="506" t="s">
        <v>128</v>
      </c>
      <c r="AH181" s="25"/>
      <c r="AI181" s="25"/>
    </row>
    <row r="182" spans="1:35" ht="24.75" customHeight="1" thickBot="1">
      <c r="A182" s="36"/>
      <c r="B182" s="511" t="s">
        <v>271</v>
      </c>
      <c r="C182" s="516"/>
      <c r="D182" s="516" t="s">
        <v>250</v>
      </c>
      <c r="E182" s="516" t="s">
        <v>250</v>
      </c>
      <c r="F182" s="516" t="s">
        <v>250</v>
      </c>
      <c r="G182" s="534" t="s">
        <v>272</v>
      </c>
      <c r="H182" s="682" t="s">
        <v>250</v>
      </c>
      <c r="I182" s="516"/>
      <c r="J182" s="516"/>
      <c r="K182" s="516" t="s">
        <v>250</v>
      </c>
      <c r="L182" s="516" t="s">
        <v>250</v>
      </c>
      <c r="M182" s="516" t="s">
        <v>250</v>
      </c>
      <c r="N182" s="516" t="s">
        <v>250</v>
      </c>
      <c r="O182" s="516" t="s">
        <v>250</v>
      </c>
      <c r="P182" s="516"/>
      <c r="Q182" s="516"/>
      <c r="R182" s="516" t="s">
        <v>250</v>
      </c>
      <c r="S182" s="516" t="s">
        <v>250</v>
      </c>
      <c r="T182" s="516" t="s">
        <v>250</v>
      </c>
      <c r="U182" s="516" t="s">
        <v>250</v>
      </c>
      <c r="V182" s="516" t="s">
        <v>250</v>
      </c>
      <c r="W182" s="516"/>
      <c r="X182" s="516"/>
      <c r="Y182" s="516" t="s">
        <v>250</v>
      </c>
      <c r="Z182" s="516" t="s">
        <v>250</v>
      </c>
      <c r="AA182" s="516" t="s">
        <v>250</v>
      </c>
      <c r="AB182" s="516" t="s">
        <v>250</v>
      </c>
      <c r="AC182" s="516" t="s">
        <v>121</v>
      </c>
      <c r="AD182" s="516"/>
      <c r="AE182" s="516"/>
      <c r="AF182" s="516" t="s">
        <v>250</v>
      </c>
      <c r="AG182" s="519" t="s">
        <v>250</v>
      </c>
      <c r="AH182" s="25"/>
      <c r="AI182" s="25"/>
    </row>
    <row r="183" spans="1:35" ht="24.75" customHeight="1" thickTop="1" thickBot="1">
      <c r="A183" s="36"/>
      <c r="B183" s="530" t="s">
        <v>273</v>
      </c>
      <c r="C183" s="516"/>
      <c r="D183" s="516" t="s">
        <v>251</v>
      </c>
      <c r="E183" s="516" t="s">
        <v>251</v>
      </c>
      <c r="F183" s="516" t="s">
        <v>251</v>
      </c>
      <c r="G183" s="516" t="s">
        <v>251</v>
      </c>
      <c r="H183" s="516" t="s">
        <v>251</v>
      </c>
      <c r="I183" s="516"/>
      <c r="J183" s="516"/>
      <c r="K183" s="516" t="s">
        <v>251</v>
      </c>
      <c r="L183" s="516" t="s">
        <v>251</v>
      </c>
      <c r="M183" s="516" t="s">
        <v>251</v>
      </c>
      <c r="N183" s="1001" t="s">
        <v>251</v>
      </c>
      <c r="O183" s="516" t="s">
        <v>251</v>
      </c>
      <c r="P183" s="516"/>
      <c r="Q183" s="516"/>
      <c r="R183" s="516" t="s">
        <v>251</v>
      </c>
      <c r="S183" s="516" t="s">
        <v>251</v>
      </c>
      <c r="T183" s="516" t="s">
        <v>251</v>
      </c>
      <c r="U183" s="391" t="s">
        <v>251</v>
      </c>
      <c r="V183" s="516" t="s">
        <v>251</v>
      </c>
      <c r="W183" s="516"/>
      <c r="X183" s="516"/>
      <c r="Y183" s="533" t="s">
        <v>251</v>
      </c>
      <c r="Z183" s="533" t="s">
        <v>251</v>
      </c>
      <c r="AA183" s="533" t="s">
        <v>251</v>
      </c>
      <c r="AB183" s="533" t="s">
        <v>251</v>
      </c>
      <c r="AC183" s="533" t="s">
        <v>251</v>
      </c>
      <c r="AD183" s="533"/>
      <c r="AE183" s="533"/>
      <c r="AF183" s="516" t="s">
        <v>251</v>
      </c>
      <c r="AG183" s="519" t="s">
        <v>251</v>
      </c>
      <c r="AH183" s="25"/>
      <c r="AI183" s="25"/>
    </row>
    <row r="184" spans="1:35" ht="24.75" customHeight="1" thickTop="1">
      <c r="A184" s="36"/>
      <c r="B184" s="530" t="s">
        <v>274</v>
      </c>
      <c r="C184" s="516"/>
      <c r="D184" s="516" t="s">
        <v>253</v>
      </c>
      <c r="E184" s="516" t="s">
        <v>253</v>
      </c>
      <c r="F184" s="516" t="s">
        <v>253</v>
      </c>
      <c r="G184" s="505" t="s">
        <v>253</v>
      </c>
      <c r="H184" s="505" t="s">
        <v>253</v>
      </c>
      <c r="I184" s="505"/>
      <c r="J184" s="505"/>
      <c r="K184" s="505" t="s">
        <v>253</v>
      </c>
      <c r="L184" s="516" t="s">
        <v>253</v>
      </c>
      <c r="M184" s="516" t="s">
        <v>253</v>
      </c>
      <c r="N184" s="516" t="s">
        <v>253</v>
      </c>
      <c r="O184" s="516" t="s">
        <v>253</v>
      </c>
      <c r="P184" s="516"/>
      <c r="Q184" s="516"/>
      <c r="R184" s="516" t="s">
        <v>253</v>
      </c>
      <c r="S184" s="516" t="s">
        <v>253</v>
      </c>
      <c r="T184" s="516" t="s">
        <v>253</v>
      </c>
      <c r="U184" s="516" t="s">
        <v>253</v>
      </c>
      <c r="V184" s="516" t="s">
        <v>253</v>
      </c>
      <c r="W184" s="516"/>
      <c r="X184" s="516"/>
      <c r="Y184" s="516" t="s">
        <v>253</v>
      </c>
      <c r="Z184" s="516" t="s">
        <v>253</v>
      </c>
      <c r="AA184" s="516" t="s">
        <v>253</v>
      </c>
      <c r="AB184" s="516" t="s">
        <v>253</v>
      </c>
      <c r="AC184" s="516" t="s">
        <v>253</v>
      </c>
      <c r="AD184" s="516"/>
      <c r="AE184" s="516"/>
      <c r="AF184" s="516" t="s">
        <v>253</v>
      </c>
      <c r="AG184" s="516" t="s">
        <v>253</v>
      </c>
      <c r="AH184" s="25"/>
      <c r="AI184" s="25"/>
    </row>
    <row r="185" spans="1:35" ht="24.75" customHeight="1">
      <c r="A185" s="36"/>
      <c r="B185" s="511" t="s">
        <v>275</v>
      </c>
      <c r="C185" s="516"/>
      <c r="D185" s="533" t="s">
        <v>123</v>
      </c>
      <c r="E185" s="533" t="s">
        <v>123</v>
      </c>
      <c r="F185" s="533" t="s">
        <v>123</v>
      </c>
      <c r="G185" s="533" t="s">
        <v>123</v>
      </c>
      <c r="H185" s="533" t="s">
        <v>123</v>
      </c>
      <c r="I185" s="533"/>
      <c r="J185" s="533"/>
      <c r="K185" s="533" t="s">
        <v>123</v>
      </c>
      <c r="L185" s="515" t="s">
        <v>123</v>
      </c>
      <c r="M185" s="515" t="s">
        <v>123</v>
      </c>
      <c r="N185" s="515" t="s">
        <v>123</v>
      </c>
      <c r="O185" s="515" t="s">
        <v>123</v>
      </c>
      <c r="P185" s="515"/>
      <c r="Q185" s="515"/>
      <c r="R185" s="516" t="s">
        <v>123</v>
      </c>
      <c r="S185" s="505" t="s">
        <v>123</v>
      </c>
      <c r="T185" s="671" t="s">
        <v>123</v>
      </c>
      <c r="U185" s="671" t="s">
        <v>123</v>
      </c>
      <c r="V185" s="671" t="s">
        <v>123</v>
      </c>
      <c r="W185" s="516"/>
      <c r="X185" s="516"/>
      <c r="Y185" s="516" t="s">
        <v>123</v>
      </c>
      <c r="Z185" s="516" t="s">
        <v>123</v>
      </c>
      <c r="AA185" s="516" t="s">
        <v>123</v>
      </c>
      <c r="AB185" s="516" t="s">
        <v>123</v>
      </c>
      <c r="AC185" s="516" t="s">
        <v>123</v>
      </c>
      <c r="AD185" s="516"/>
      <c r="AE185" s="680"/>
      <c r="AF185" s="516" t="s">
        <v>123</v>
      </c>
      <c r="AG185" s="519" t="s">
        <v>123</v>
      </c>
      <c r="AH185" s="25"/>
      <c r="AI185" s="25"/>
    </row>
    <row r="186" spans="1:35" ht="24.75" customHeight="1">
      <c r="A186" s="36"/>
      <c r="B186" s="530" t="s">
        <v>276</v>
      </c>
      <c r="C186" s="516"/>
      <c r="D186" s="516" t="s">
        <v>146</v>
      </c>
      <c r="E186" s="516" t="s">
        <v>146</v>
      </c>
      <c r="F186" s="516" t="s">
        <v>146</v>
      </c>
      <c r="G186" s="516" t="s">
        <v>146</v>
      </c>
      <c r="H186" s="516" t="s">
        <v>146</v>
      </c>
      <c r="I186" s="516"/>
      <c r="J186" s="516"/>
      <c r="K186" s="516" t="s">
        <v>146</v>
      </c>
      <c r="L186" s="516" t="s">
        <v>146</v>
      </c>
      <c r="M186" s="516" t="s">
        <v>146</v>
      </c>
      <c r="N186" s="516" t="s">
        <v>146</v>
      </c>
      <c r="O186" s="516" t="s">
        <v>146</v>
      </c>
      <c r="P186" s="516"/>
      <c r="Q186" s="516"/>
      <c r="R186" s="534" t="s">
        <v>146</v>
      </c>
      <c r="S186" s="534" t="s">
        <v>146</v>
      </c>
      <c r="T186" s="534" t="s">
        <v>146</v>
      </c>
      <c r="U186" s="534" t="s">
        <v>146</v>
      </c>
      <c r="V186" s="534" t="s">
        <v>146</v>
      </c>
      <c r="W186" s="534"/>
      <c r="X186" s="534"/>
      <c r="Y186" s="534" t="s">
        <v>146</v>
      </c>
      <c r="Z186" s="534" t="s">
        <v>146</v>
      </c>
      <c r="AA186" s="534" t="s">
        <v>146</v>
      </c>
      <c r="AB186" s="534" t="s">
        <v>146</v>
      </c>
      <c r="AC186" s="534" t="s">
        <v>146</v>
      </c>
      <c r="AD186" s="534"/>
      <c r="AE186" s="534"/>
      <c r="AF186" s="534" t="s">
        <v>146</v>
      </c>
      <c r="AG186" s="1002" t="s">
        <v>146</v>
      </c>
      <c r="AH186" s="25"/>
      <c r="AI186" s="25"/>
    </row>
    <row r="187" spans="1:35" ht="24.75" customHeight="1">
      <c r="A187" s="36"/>
      <c r="B187" s="1003" t="s">
        <v>277</v>
      </c>
      <c r="C187" s="1004"/>
      <c r="D187" s="1004" t="s">
        <v>136</v>
      </c>
      <c r="E187" s="1004" t="s">
        <v>136</v>
      </c>
      <c r="F187" s="1004" t="s">
        <v>136</v>
      </c>
      <c r="G187" s="1004" t="s">
        <v>136</v>
      </c>
      <c r="H187" s="1004" t="s">
        <v>136</v>
      </c>
      <c r="I187" s="1004"/>
      <c r="J187" s="1004"/>
      <c r="K187" s="1004" t="s">
        <v>136</v>
      </c>
      <c r="L187" s="1004" t="s">
        <v>136</v>
      </c>
      <c r="M187" s="1004" t="s">
        <v>136</v>
      </c>
      <c r="N187" s="1004" t="s">
        <v>136</v>
      </c>
      <c r="O187" s="1004" t="s">
        <v>136</v>
      </c>
      <c r="P187" s="1004"/>
      <c r="Q187" s="1004"/>
      <c r="R187" s="1004" t="s">
        <v>136</v>
      </c>
      <c r="S187" s="1004" t="s">
        <v>136</v>
      </c>
      <c r="T187" s="1004" t="s">
        <v>136</v>
      </c>
      <c r="U187" s="1004" t="s">
        <v>136</v>
      </c>
      <c r="V187" s="1004" t="s">
        <v>136</v>
      </c>
      <c r="W187" s="1004"/>
      <c r="X187" s="1004"/>
      <c r="Y187" s="1004" t="s">
        <v>136</v>
      </c>
      <c r="Z187" s="1004" t="s">
        <v>136</v>
      </c>
      <c r="AA187" s="1004" t="s">
        <v>136</v>
      </c>
      <c r="AB187" s="1004" t="s">
        <v>136</v>
      </c>
      <c r="AC187" s="1004" t="s">
        <v>136</v>
      </c>
      <c r="AD187" s="1004"/>
      <c r="AE187" s="1004"/>
      <c r="AF187" s="1004" t="s">
        <v>136</v>
      </c>
      <c r="AG187" s="1005" t="s">
        <v>136</v>
      </c>
      <c r="AH187" s="25"/>
      <c r="AI187" s="25"/>
    </row>
    <row r="188" spans="1:35" ht="24.75" customHeight="1">
      <c r="A188" s="36"/>
      <c r="B188" s="511" t="s">
        <v>278</v>
      </c>
      <c r="C188" s="536"/>
      <c r="D188" s="690" t="s">
        <v>112</v>
      </c>
      <c r="E188" s="536" t="s">
        <v>112</v>
      </c>
      <c r="F188" s="536" t="s">
        <v>112</v>
      </c>
      <c r="G188" s="536" t="s">
        <v>112</v>
      </c>
      <c r="H188" s="536" t="s">
        <v>112</v>
      </c>
      <c r="I188" s="536"/>
      <c r="J188" s="536"/>
      <c r="K188" s="536" t="s">
        <v>112</v>
      </c>
      <c r="L188" s="536" t="s">
        <v>112</v>
      </c>
      <c r="M188" s="536" t="s">
        <v>112</v>
      </c>
      <c r="N188" s="536" t="s">
        <v>112</v>
      </c>
      <c r="O188" s="536" t="s">
        <v>112</v>
      </c>
      <c r="P188" s="536"/>
      <c r="Q188" s="536"/>
      <c r="R188" s="536" t="s">
        <v>112</v>
      </c>
      <c r="S188" s="536" t="s">
        <v>112</v>
      </c>
      <c r="T188" s="536" t="s">
        <v>112</v>
      </c>
      <c r="U188" s="536" t="s">
        <v>112</v>
      </c>
      <c r="V188" s="536" t="s">
        <v>112</v>
      </c>
      <c r="W188" s="536"/>
      <c r="X188" s="536"/>
      <c r="Y188" s="536" t="s">
        <v>112</v>
      </c>
      <c r="Z188" s="536" t="s">
        <v>112</v>
      </c>
      <c r="AA188" s="536" t="s">
        <v>112</v>
      </c>
      <c r="AB188" s="679" t="s">
        <v>44</v>
      </c>
      <c r="AC188" s="679" t="s">
        <v>44</v>
      </c>
      <c r="AD188" s="679" t="s">
        <v>44</v>
      </c>
      <c r="AE188" s="536"/>
      <c r="AF188" s="536" t="s">
        <v>112</v>
      </c>
      <c r="AG188" s="536" t="s">
        <v>112</v>
      </c>
      <c r="AH188" s="76"/>
      <c r="AI188" s="76"/>
    </row>
    <row r="189" spans="1:35" ht="24.75" customHeight="1" thickBot="1">
      <c r="A189" s="96"/>
      <c r="B189" s="402" t="s">
        <v>279</v>
      </c>
      <c r="C189" s="502"/>
      <c r="D189" s="682" t="s">
        <v>261</v>
      </c>
      <c r="E189" s="502" t="s">
        <v>261</v>
      </c>
      <c r="F189" s="502" t="s">
        <v>261</v>
      </c>
      <c r="G189" s="502" t="s">
        <v>261</v>
      </c>
      <c r="H189" s="502" t="s">
        <v>261</v>
      </c>
      <c r="I189" s="502"/>
      <c r="J189" s="502"/>
      <c r="K189" s="515" t="s">
        <v>261</v>
      </c>
      <c r="L189" s="502" t="s">
        <v>261</v>
      </c>
      <c r="M189" s="502" t="s">
        <v>261</v>
      </c>
      <c r="N189" s="502" t="s">
        <v>261</v>
      </c>
      <c r="O189" s="502" t="s">
        <v>261</v>
      </c>
      <c r="P189" s="502"/>
      <c r="Q189" s="502"/>
      <c r="R189" s="502" t="s">
        <v>261</v>
      </c>
      <c r="S189" s="502" t="s">
        <v>261</v>
      </c>
      <c r="T189" s="502" t="s">
        <v>261</v>
      </c>
      <c r="U189" s="502" t="s">
        <v>261</v>
      </c>
      <c r="V189" s="502" t="s">
        <v>261</v>
      </c>
      <c r="W189" s="502"/>
      <c r="X189" s="502"/>
      <c r="Y189" s="502" t="s">
        <v>261</v>
      </c>
      <c r="Z189" s="502" t="s">
        <v>261</v>
      </c>
      <c r="AA189" s="502" t="s">
        <v>261</v>
      </c>
      <c r="AB189" s="502" t="s">
        <v>261</v>
      </c>
      <c r="AC189" s="502" t="s">
        <v>261</v>
      </c>
      <c r="AD189" s="502"/>
      <c r="AE189" s="502"/>
      <c r="AF189" s="532" t="s">
        <v>244</v>
      </c>
      <c r="AG189" s="532" t="s">
        <v>244</v>
      </c>
      <c r="AH189" s="99"/>
    </row>
    <row r="190" spans="1:35" ht="24.75" customHeight="1" thickBot="1">
      <c r="A190" s="1" t="s">
        <v>280</v>
      </c>
      <c r="B190" s="42"/>
      <c r="C190" s="100"/>
      <c r="D190" s="100"/>
      <c r="E190" s="100"/>
      <c r="F190" s="100"/>
      <c r="G190" s="100"/>
      <c r="H190" s="100"/>
      <c r="I190" s="100"/>
      <c r="J190" s="100"/>
      <c r="K190" s="100"/>
      <c r="L190" s="100"/>
      <c r="M190" s="100"/>
      <c r="N190" s="100"/>
      <c r="O190" s="100"/>
      <c r="P190" s="100"/>
      <c r="Q190" s="100"/>
      <c r="R190" s="100"/>
      <c r="S190" s="100"/>
      <c r="T190" s="100"/>
      <c r="U190" s="100"/>
      <c r="V190" s="100"/>
      <c r="W190" s="100"/>
      <c r="X190" s="100"/>
      <c r="Y190" s="100"/>
      <c r="Z190" s="100"/>
      <c r="AA190" s="100"/>
      <c r="AB190" s="100"/>
      <c r="AC190" s="100"/>
      <c r="AD190" s="100"/>
      <c r="AE190" s="100"/>
      <c r="AF190" s="100"/>
      <c r="AG190" s="100"/>
    </row>
    <row r="191" spans="1:35" ht="24.75" customHeight="1">
      <c r="A191" s="1"/>
      <c r="B191" s="557" t="s">
        <v>281</v>
      </c>
      <c r="C191" s="1006" t="s">
        <v>87</v>
      </c>
      <c r="D191" s="1006"/>
      <c r="E191" s="1006"/>
      <c r="F191" s="1006"/>
      <c r="G191" s="1007" t="s">
        <v>88</v>
      </c>
      <c r="H191" s="1006"/>
      <c r="I191" s="1006"/>
      <c r="J191" s="1006"/>
      <c r="K191" s="1007" t="s">
        <v>89</v>
      </c>
      <c r="L191" s="1006"/>
      <c r="M191" s="1006"/>
      <c r="N191" s="1006"/>
      <c r="O191" s="1007" t="s">
        <v>90</v>
      </c>
      <c r="P191" s="1006"/>
      <c r="Q191" s="1006"/>
      <c r="R191" s="1006"/>
      <c r="S191" s="1007" t="s">
        <v>91</v>
      </c>
      <c r="T191" s="1006"/>
      <c r="U191" s="1006"/>
      <c r="V191" s="1006"/>
      <c r="W191" s="1008" t="s">
        <v>92</v>
      </c>
      <c r="X191" s="705"/>
      <c r="Y191" s="1006"/>
      <c r="Z191" s="1009"/>
      <c r="AA191" s="1008" t="s">
        <v>93</v>
      </c>
      <c r="AB191" s="705"/>
      <c r="AC191" s="1006"/>
      <c r="AD191" s="1009"/>
      <c r="AE191" s="1010" t="s">
        <v>94</v>
      </c>
      <c r="AF191" s="1006"/>
      <c r="AG191" s="1006"/>
      <c r="AH191" s="1006"/>
      <c r="AI191" s="706"/>
    </row>
    <row r="192" spans="1:35" ht="24.75" customHeight="1">
      <c r="A192" s="1"/>
      <c r="B192" s="1011">
        <v>3701</v>
      </c>
      <c r="C192" s="87" t="s">
        <v>282</v>
      </c>
      <c r="D192" s="87"/>
      <c r="E192" s="87"/>
      <c r="F192" s="87"/>
      <c r="G192" s="1012" t="s">
        <v>283</v>
      </c>
      <c r="H192" s="87"/>
      <c r="I192" s="87"/>
      <c r="J192" s="87"/>
      <c r="K192" s="1012" t="s">
        <v>283</v>
      </c>
      <c r="L192" s="87"/>
      <c r="M192" s="87"/>
      <c r="N192" s="87"/>
      <c r="O192" s="1012" t="s">
        <v>283</v>
      </c>
      <c r="P192" s="87"/>
      <c r="Q192" s="87"/>
      <c r="R192" s="87"/>
      <c r="S192" s="1012" t="s">
        <v>284</v>
      </c>
      <c r="T192" s="87"/>
      <c r="U192" s="87"/>
      <c r="V192" s="87"/>
      <c r="W192" s="1013"/>
      <c r="X192" s="1014"/>
      <c r="Y192" s="715"/>
      <c r="Z192" s="1015"/>
      <c r="AA192" s="1013"/>
      <c r="AB192" s="1014"/>
      <c r="AC192" s="715"/>
      <c r="AD192" s="1015"/>
      <c r="AE192" s="931"/>
      <c r="AF192" s="715"/>
      <c r="AG192" s="715"/>
      <c r="AH192" s="715"/>
      <c r="AI192" s="637"/>
    </row>
    <row r="193" spans="1:35" ht="24.75" customHeight="1">
      <c r="A193" s="1016"/>
      <c r="B193" s="557"/>
      <c r="C193" s="1017"/>
      <c r="D193" s="554"/>
      <c r="E193" s="554"/>
      <c r="F193" s="1018"/>
      <c r="G193" s="1017"/>
      <c r="H193" s="554"/>
      <c r="I193" s="554"/>
      <c r="J193" s="1018"/>
      <c r="K193" s="1017"/>
      <c r="L193" s="554"/>
      <c r="M193" s="554"/>
      <c r="N193" s="1018"/>
      <c r="O193" s="1017"/>
      <c r="P193" s="554"/>
      <c r="Q193" s="554"/>
      <c r="R193" s="1018"/>
      <c r="S193" s="1017"/>
      <c r="T193" s="554"/>
      <c r="U193" s="554"/>
      <c r="V193" s="554"/>
      <c r="W193" s="1013"/>
      <c r="X193" s="1014"/>
      <c r="Y193" s="715"/>
      <c r="Z193" s="1015"/>
      <c r="AA193" s="1013"/>
      <c r="AB193" s="1014"/>
      <c r="AC193" s="715"/>
      <c r="AD193" s="1015"/>
      <c r="AE193" s="931"/>
      <c r="AF193" s="715"/>
      <c r="AG193" s="715"/>
      <c r="AH193" s="715"/>
      <c r="AI193" s="637"/>
    </row>
    <row r="194" spans="1:35" ht="24.75" customHeight="1">
      <c r="A194" s="1016"/>
      <c r="B194" s="557"/>
      <c r="C194" s="1017"/>
      <c r="D194" s="554"/>
      <c r="E194" s="554"/>
      <c r="F194" s="1018"/>
      <c r="G194" s="1017"/>
      <c r="H194" s="554"/>
      <c r="I194" s="554"/>
      <c r="J194" s="1018"/>
      <c r="K194" s="1017"/>
      <c r="L194" s="554"/>
      <c r="M194" s="554"/>
      <c r="N194" s="1018"/>
      <c r="O194" s="1017"/>
      <c r="P194" s="554"/>
      <c r="Q194" s="554"/>
      <c r="R194" s="1018"/>
      <c r="S194" s="1017"/>
      <c r="T194" s="554"/>
      <c r="U194" s="554"/>
      <c r="V194" s="554"/>
      <c r="W194" s="1013"/>
      <c r="X194" s="1014"/>
      <c r="Y194" s="715"/>
      <c r="Z194" s="1015"/>
      <c r="AA194" s="1013"/>
      <c r="AB194" s="1014"/>
      <c r="AC194" s="715"/>
      <c r="AD194" s="1015"/>
      <c r="AE194" s="931"/>
      <c r="AF194" s="715"/>
      <c r="AG194" s="715"/>
      <c r="AH194" s="715"/>
      <c r="AI194" s="637"/>
    </row>
    <row r="195" spans="1:35" ht="24.75" customHeight="1" thickBot="1">
      <c r="A195" s="411"/>
      <c r="B195" s="412"/>
      <c r="C195" s="1019"/>
      <c r="D195" s="1020"/>
      <c r="E195" s="1020"/>
      <c r="F195" s="1021"/>
      <c r="G195" s="1019"/>
      <c r="H195" s="1020"/>
      <c r="I195" s="1020"/>
      <c r="J195" s="1021"/>
      <c r="K195" s="1019"/>
      <c r="L195" s="1020"/>
      <c r="M195" s="1020"/>
      <c r="N195" s="1021"/>
      <c r="O195" s="1019"/>
      <c r="P195" s="1020"/>
      <c r="Q195" s="1020"/>
      <c r="R195" s="1021"/>
      <c r="S195" s="1019"/>
      <c r="T195" s="1020"/>
      <c r="U195" s="1020"/>
      <c r="V195" s="1020"/>
      <c r="W195" s="1022"/>
      <c r="X195" s="1023"/>
      <c r="Y195" s="1024"/>
      <c r="Z195" s="1025"/>
      <c r="AA195" s="1022"/>
      <c r="AB195" s="1023"/>
      <c r="AC195" s="1024"/>
      <c r="AD195" s="1025"/>
      <c r="AE195" s="944"/>
      <c r="AF195" s="722"/>
      <c r="AG195" s="722"/>
      <c r="AH195" s="722"/>
      <c r="AI195" s="725"/>
    </row>
    <row r="196" spans="1:35" ht="24.75" customHeight="1">
      <c r="A196" s="1"/>
      <c r="B196" s="42"/>
      <c r="C196" s="87"/>
      <c r="D196" s="87"/>
      <c r="E196" s="87"/>
      <c r="F196" s="87"/>
      <c r="G196" s="87"/>
      <c r="H196" s="87"/>
      <c r="I196" s="87"/>
      <c r="J196" s="87"/>
      <c r="K196" s="87"/>
      <c r="L196" s="87"/>
      <c r="M196" s="87"/>
      <c r="N196" s="87"/>
      <c r="O196" s="87"/>
      <c r="P196" s="87"/>
      <c r="Q196" s="87"/>
      <c r="R196" s="87"/>
      <c r="S196" s="87"/>
      <c r="T196" s="87"/>
      <c r="U196" s="87"/>
      <c r="V196" s="87"/>
      <c r="W196" s="87"/>
      <c r="X196" s="37"/>
      <c r="Y196" s="87"/>
      <c r="Z196" s="87"/>
      <c r="AA196" s="87"/>
      <c r="AB196" s="37"/>
      <c r="AC196" s="87"/>
      <c r="AD196" s="87"/>
      <c r="AE196" s="37"/>
      <c r="AF196" s="87"/>
      <c r="AG196" s="87"/>
      <c r="AH196" s="87"/>
    </row>
    <row r="197" spans="1:35" ht="24.75" customHeight="1">
      <c r="AG197" s="87"/>
      <c r="AH197" s="87"/>
    </row>
    <row r="198" spans="1:35" ht="24.75" customHeight="1">
      <c r="B198" s="557">
        <v>3700</v>
      </c>
      <c r="C198" s="715" t="s">
        <v>181</v>
      </c>
      <c r="D198" s="715"/>
      <c r="E198" s="715"/>
      <c r="F198" s="715"/>
      <c r="G198" s="1026" t="s">
        <v>181</v>
      </c>
      <c r="H198" s="715"/>
      <c r="I198" s="715"/>
      <c r="J198" s="715"/>
      <c r="K198" s="1026" t="s">
        <v>181</v>
      </c>
      <c r="L198" s="715"/>
      <c r="M198" s="715"/>
      <c r="N198" s="715"/>
      <c r="O198" s="1026" t="s">
        <v>181</v>
      </c>
      <c r="P198" s="715"/>
      <c r="Q198" s="715"/>
      <c r="R198" s="715"/>
      <c r="S198" s="1026" t="s">
        <v>182</v>
      </c>
      <c r="T198" s="715"/>
      <c r="U198" s="715"/>
      <c r="V198" s="715"/>
      <c r="W198" s="715"/>
      <c r="X198" s="1026"/>
      <c r="Y198" s="715"/>
      <c r="Z198" s="933"/>
      <c r="AA198" s="931"/>
      <c r="AB198" s="715"/>
      <c r="AC198" s="715"/>
      <c r="AD198" s="773"/>
      <c r="AE198" s="1027"/>
      <c r="AF198" s="715"/>
      <c r="AG198" s="715"/>
      <c r="AH198" s="773"/>
      <c r="AI198" s="637"/>
    </row>
    <row r="199" spans="1:35" ht="24.75" customHeight="1">
      <c r="A199" s="1"/>
      <c r="B199" s="557">
        <v>8514</v>
      </c>
      <c r="C199" s="715" t="s">
        <v>283</v>
      </c>
      <c r="D199" s="715"/>
      <c r="E199" s="715"/>
      <c r="F199" s="715"/>
      <c r="G199" s="1026" t="s">
        <v>283</v>
      </c>
      <c r="H199" s="715"/>
      <c r="I199" s="715"/>
      <c r="J199" s="715"/>
      <c r="K199" s="1026" t="s">
        <v>283</v>
      </c>
      <c r="L199" s="715"/>
      <c r="M199" s="715"/>
      <c r="N199" s="715"/>
      <c r="O199" s="1026" t="s">
        <v>283</v>
      </c>
      <c r="P199" s="715"/>
      <c r="Q199" s="715"/>
      <c r="R199" s="715"/>
      <c r="S199" s="1026" t="s">
        <v>285</v>
      </c>
      <c r="T199" s="715"/>
      <c r="U199" s="715"/>
      <c r="V199" s="715"/>
      <c r="W199" s="715"/>
      <c r="X199" s="1026"/>
      <c r="Y199" s="715"/>
      <c r="Z199" s="933"/>
      <c r="AA199" s="772"/>
      <c r="AB199" s="715"/>
      <c r="AC199" s="715"/>
      <c r="AD199" s="773"/>
      <c r="AE199" s="772"/>
      <c r="AF199" s="715"/>
      <c r="AG199" s="715"/>
      <c r="AH199" s="773"/>
      <c r="AI199" s="637"/>
    </row>
    <row r="200" spans="1:35" ht="24.75" customHeight="1">
      <c r="A200" s="1"/>
      <c r="B200" s="557">
        <v>8500</v>
      </c>
      <c r="C200" s="101" t="s">
        <v>286</v>
      </c>
      <c r="D200" s="101"/>
      <c r="E200" s="101"/>
      <c r="F200" s="101"/>
      <c r="G200" s="102" t="s">
        <v>286</v>
      </c>
      <c r="H200" s="101"/>
      <c r="I200" s="101"/>
      <c r="J200" s="101"/>
      <c r="K200" s="102" t="s">
        <v>286</v>
      </c>
      <c r="L200" s="101"/>
      <c r="M200" s="101"/>
      <c r="N200" s="101"/>
      <c r="O200" s="102" t="s">
        <v>286</v>
      </c>
      <c r="P200" s="101"/>
      <c r="Q200" s="101"/>
      <c r="R200" s="101"/>
      <c r="S200" s="102" t="s">
        <v>287</v>
      </c>
      <c r="T200" s="101"/>
      <c r="U200" s="101"/>
      <c r="V200" s="101"/>
      <c r="W200" s="101"/>
      <c r="X200" s="102"/>
      <c r="Y200" s="101"/>
      <c r="Z200" s="103"/>
      <c r="AA200" s="104"/>
      <c r="AB200" s="101"/>
      <c r="AC200" s="101"/>
      <c r="AD200" s="103"/>
      <c r="AE200" s="104"/>
      <c r="AF200" s="101"/>
      <c r="AG200" s="101"/>
      <c r="AH200" s="41"/>
      <c r="AI200" s="105"/>
    </row>
    <row r="201" spans="1:35" ht="24.75" customHeight="1">
      <c r="A201" s="1"/>
      <c r="B201" s="557">
        <v>8514</v>
      </c>
      <c r="C201" s="106" t="s">
        <v>283</v>
      </c>
      <c r="D201" s="106"/>
      <c r="E201" s="106"/>
      <c r="F201" s="106"/>
      <c r="G201" s="107" t="s">
        <v>283</v>
      </c>
      <c r="H201" s="106"/>
      <c r="I201" s="106"/>
      <c r="J201" s="106"/>
      <c r="K201" s="107" t="s">
        <v>283</v>
      </c>
      <c r="L201" s="106"/>
      <c r="M201" s="106"/>
      <c r="N201" s="106"/>
      <c r="O201" s="107" t="s">
        <v>283</v>
      </c>
      <c r="P201" s="106"/>
      <c r="Q201" s="106"/>
      <c r="R201" s="106"/>
      <c r="S201" s="107" t="s">
        <v>285</v>
      </c>
      <c r="T201" s="106"/>
      <c r="U201" s="106"/>
      <c r="V201" s="106"/>
      <c r="W201" s="106"/>
      <c r="X201" s="108"/>
      <c r="Y201" s="101"/>
      <c r="Z201" s="109"/>
      <c r="AA201" s="110"/>
      <c r="AB201" s="111"/>
      <c r="AC201" s="101"/>
      <c r="AD201" s="101"/>
      <c r="AE201" s="112"/>
      <c r="AF201" s="101"/>
      <c r="AG201" s="101"/>
      <c r="AH201" s="101"/>
      <c r="AI201" s="105"/>
    </row>
    <row r="202" spans="1:35" ht="24.75" customHeight="1" thickBot="1">
      <c r="A202" s="1"/>
      <c r="B202" s="1028" t="s">
        <v>288</v>
      </c>
      <c r="C202" s="722" t="s">
        <v>289</v>
      </c>
      <c r="D202" s="722"/>
      <c r="E202" s="722"/>
      <c r="F202" s="722"/>
      <c r="G202" s="559" t="s">
        <v>289</v>
      </c>
      <c r="H202" s="722"/>
      <c r="I202" s="722"/>
      <c r="J202" s="722"/>
      <c r="K202" s="560" t="s">
        <v>289</v>
      </c>
      <c r="L202" s="722"/>
      <c r="M202" s="722"/>
      <c r="N202" s="722"/>
      <c r="O202" s="559" t="s">
        <v>289</v>
      </c>
      <c r="P202" s="722"/>
      <c r="Q202" s="722"/>
      <c r="R202" s="722"/>
      <c r="S202" s="559" t="s">
        <v>290</v>
      </c>
      <c r="T202" s="722"/>
      <c r="U202" s="722"/>
      <c r="V202" s="722"/>
      <c r="W202" s="722"/>
      <c r="X202" s="559"/>
      <c r="Y202" s="722"/>
      <c r="Z202" s="968"/>
      <c r="AA202" s="944"/>
      <c r="AB202" s="722"/>
      <c r="AC202" s="722"/>
      <c r="AD202" s="951"/>
      <c r="AE202" s="561"/>
      <c r="AF202" s="722"/>
      <c r="AG202" s="722"/>
      <c r="AH202" s="951"/>
      <c r="AI202" s="725"/>
    </row>
    <row r="203" spans="1:35" ht="24.75" customHeight="1">
      <c r="A203" s="1"/>
      <c r="B203" s="113"/>
      <c r="C203" s="37"/>
      <c r="D203" s="87"/>
      <c r="E203" s="87"/>
      <c r="F203" s="22"/>
      <c r="G203" s="37"/>
      <c r="H203" s="87"/>
      <c r="I203" s="87"/>
      <c r="J203" s="22"/>
      <c r="K203" s="37"/>
      <c r="L203" s="87"/>
      <c r="M203" s="87"/>
      <c r="N203" s="22"/>
      <c r="O203" s="37"/>
      <c r="P203" s="87"/>
      <c r="Q203" s="87"/>
      <c r="R203" s="22"/>
      <c r="S203" s="37"/>
      <c r="T203" s="87"/>
      <c r="U203" s="87"/>
      <c r="V203" s="22"/>
      <c r="W203" s="22"/>
      <c r="Z203" s="22"/>
      <c r="AA203" s="22"/>
      <c r="AD203" s="22"/>
      <c r="AE203" s="22"/>
      <c r="AH203" s="22"/>
    </row>
    <row r="204" spans="1:35" ht="24.75" customHeight="1">
      <c r="A204" s="1" t="s">
        <v>291</v>
      </c>
      <c r="B204" s="113"/>
      <c r="C204" s="37"/>
      <c r="D204" s="87"/>
      <c r="E204" s="87"/>
      <c r="F204" s="22"/>
      <c r="G204" s="37"/>
      <c r="H204" s="87"/>
      <c r="I204" s="87"/>
      <c r="J204" s="22"/>
      <c r="K204" s="37"/>
      <c r="L204" s="87"/>
      <c r="M204" s="87"/>
      <c r="N204" s="22"/>
      <c r="O204" s="37"/>
      <c r="P204" s="87"/>
      <c r="Q204" s="87"/>
      <c r="R204" s="22"/>
      <c r="S204" s="37"/>
      <c r="T204" s="87"/>
      <c r="U204" s="87"/>
      <c r="V204" s="22"/>
      <c r="W204" s="22"/>
      <c r="Z204" s="22"/>
      <c r="AA204" s="22"/>
      <c r="AD204" s="22"/>
      <c r="AE204" s="22"/>
      <c r="AH204" s="22"/>
    </row>
    <row r="205" spans="1:35" ht="24.75" customHeight="1" thickBot="1">
      <c r="A205" s="785"/>
      <c r="B205" s="727" t="s">
        <v>29</v>
      </c>
      <c r="C205" s="786">
        <v>1</v>
      </c>
      <c r="D205" s="787">
        <v>2</v>
      </c>
      <c r="E205" s="787">
        <v>3</v>
      </c>
      <c r="F205" s="787">
        <v>4</v>
      </c>
      <c r="G205" s="787">
        <v>5</v>
      </c>
      <c r="H205" s="787">
        <v>6</v>
      </c>
      <c r="I205" s="786">
        <v>7</v>
      </c>
      <c r="J205" s="786">
        <v>8</v>
      </c>
      <c r="K205" s="787">
        <v>9</v>
      </c>
      <c r="L205" s="787">
        <v>10</v>
      </c>
      <c r="M205" s="787">
        <v>11</v>
      </c>
      <c r="N205" s="787">
        <v>12</v>
      </c>
      <c r="O205" s="787">
        <v>13</v>
      </c>
      <c r="P205" s="786">
        <v>14</v>
      </c>
      <c r="Q205" s="786">
        <v>15</v>
      </c>
      <c r="R205" s="787">
        <v>16</v>
      </c>
      <c r="S205" s="787">
        <v>17</v>
      </c>
      <c r="T205" s="787">
        <v>18</v>
      </c>
      <c r="U205" s="787">
        <v>19</v>
      </c>
      <c r="V205" s="787">
        <v>20</v>
      </c>
      <c r="W205" s="786">
        <v>21</v>
      </c>
      <c r="X205" s="786">
        <v>22</v>
      </c>
      <c r="Y205" s="787">
        <v>23</v>
      </c>
      <c r="Z205" s="787">
        <v>24</v>
      </c>
      <c r="AA205" s="787">
        <v>25</v>
      </c>
      <c r="AB205" s="787">
        <v>26</v>
      </c>
      <c r="AC205" s="787">
        <v>27</v>
      </c>
      <c r="AD205" s="786">
        <v>28</v>
      </c>
      <c r="AE205" s="786">
        <v>29</v>
      </c>
      <c r="AF205" s="787">
        <v>30</v>
      </c>
      <c r="AG205" s="788">
        <v>31</v>
      </c>
      <c r="AH205" s="23"/>
      <c r="AI205" s="24"/>
    </row>
    <row r="206" spans="1:35" ht="24.75" customHeight="1">
      <c r="A206" s="1029"/>
      <c r="B206" s="1030" t="s">
        <v>292</v>
      </c>
      <c r="C206" s="548"/>
      <c r="D206" s="1031" t="s">
        <v>31</v>
      </c>
      <c r="E206" s="548" t="s">
        <v>31</v>
      </c>
      <c r="F206" s="548" t="s">
        <v>31</v>
      </c>
      <c r="G206" s="548" t="s">
        <v>31</v>
      </c>
      <c r="H206" s="548" t="s">
        <v>31</v>
      </c>
      <c r="I206" s="548"/>
      <c r="J206" s="548"/>
      <c r="K206" s="548" t="s">
        <v>31</v>
      </c>
      <c r="L206" s="548" t="s">
        <v>31</v>
      </c>
      <c r="M206" s="548" t="s">
        <v>31</v>
      </c>
      <c r="N206" s="548" t="s">
        <v>31</v>
      </c>
      <c r="O206" s="548" t="s">
        <v>31</v>
      </c>
      <c r="P206" s="548"/>
      <c r="Q206" s="548"/>
      <c r="R206" s="548" t="s">
        <v>31</v>
      </c>
      <c r="S206" s="548" t="s">
        <v>31</v>
      </c>
      <c r="T206" s="548" t="s">
        <v>31</v>
      </c>
      <c r="U206" s="548" t="s">
        <v>31</v>
      </c>
      <c r="V206" s="1032" t="s">
        <v>31</v>
      </c>
      <c r="W206" s="548"/>
      <c r="X206" s="548"/>
      <c r="Y206" s="548" t="s">
        <v>31</v>
      </c>
      <c r="Z206" s="548" t="s">
        <v>31</v>
      </c>
      <c r="AA206" s="548" t="s">
        <v>31</v>
      </c>
      <c r="AB206" s="548" t="s">
        <v>31</v>
      </c>
      <c r="AC206" s="548" t="s">
        <v>31</v>
      </c>
      <c r="AD206" s="548"/>
      <c r="AE206" s="548"/>
      <c r="AF206" s="548" t="s">
        <v>31</v>
      </c>
      <c r="AG206" s="397" t="s">
        <v>31</v>
      </c>
      <c r="AH206" s="23"/>
      <c r="AI206" s="24"/>
    </row>
    <row r="207" spans="1:35" ht="24.75" customHeight="1">
      <c r="A207" s="486"/>
      <c r="B207" s="487" t="s">
        <v>293</v>
      </c>
      <c r="C207" s="679"/>
      <c r="D207" s="803" t="s">
        <v>31</v>
      </c>
      <c r="E207" s="679" t="s">
        <v>31</v>
      </c>
      <c r="F207" s="679" t="s">
        <v>31</v>
      </c>
      <c r="G207" s="679" t="s">
        <v>31</v>
      </c>
      <c r="H207" s="679" t="s">
        <v>31</v>
      </c>
      <c r="I207" s="679"/>
      <c r="J207" s="679"/>
      <c r="K207" s="679" t="s">
        <v>31</v>
      </c>
      <c r="L207" s="679" t="s">
        <v>31</v>
      </c>
      <c r="M207" s="679" t="s">
        <v>31</v>
      </c>
      <c r="N207" s="679" t="s">
        <v>31</v>
      </c>
      <c r="O207" s="679" t="s">
        <v>31</v>
      </c>
      <c r="P207" s="679"/>
      <c r="Q207" s="679"/>
      <c r="R207" s="679" t="s">
        <v>31</v>
      </c>
      <c r="S207" s="679" t="s">
        <v>31</v>
      </c>
      <c r="T207" s="679" t="s">
        <v>31</v>
      </c>
      <c r="U207" s="679" t="s">
        <v>31</v>
      </c>
      <c r="V207" s="679" t="s">
        <v>31</v>
      </c>
      <c r="W207" s="679"/>
      <c r="X207" s="679"/>
      <c r="Y207" s="679" t="s">
        <v>31</v>
      </c>
      <c r="Z207" s="679" t="s">
        <v>31</v>
      </c>
      <c r="AA207" s="679" t="s">
        <v>31</v>
      </c>
      <c r="AB207" s="679" t="s">
        <v>31</v>
      </c>
      <c r="AC207" s="679" t="s">
        <v>31</v>
      </c>
      <c r="AD207" s="679"/>
      <c r="AE207" s="679"/>
      <c r="AF207" s="679" t="s">
        <v>31</v>
      </c>
      <c r="AG207" s="1033" t="s">
        <v>31</v>
      </c>
      <c r="AH207" s="23"/>
      <c r="AI207" s="24"/>
    </row>
    <row r="208" spans="1:35" ht="24.75" customHeight="1">
      <c r="A208" s="489">
        <v>8514</v>
      </c>
      <c r="B208" s="507" t="s">
        <v>294</v>
      </c>
      <c r="C208" s="679"/>
      <c r="D208" s="803" t="s">
        <v>31</v>
      </c>
      <c r="E208" s="679" t="s">
        <v>31</v>
      </c>
      <c r="F208" s="679" t="s">
        <v>31</v>
      </c>
      <c r="G208" s="679" t="s">
        <v>31</v>
      </c>
      <c r="H208" s="679" t="s">
        <v>31</v>
      </c>
      <c r="I208" s="679"/>
      <c r="J208" s="679"/>
      <c r="K208" s="679" t="s">
        <v>31</v>
      </c>
      <c r="L208" s="679" t="s">
        <v>31</v>
      </c>
      <c r="M208" s="679" t="s">
        <v>31</v>
      </c>
      <c r="N208" s="679" t="s">
        <v>31</v>
      </c>
      <c r="O208" s="679" t="s">
        <v>31</v>
      </c>
      <c r="P208" s="679"/>
      <c r="Q208" s="679"/>
      <c r="R208" s="679" t="s">
        <v>31</v>
      </c>
      <c r="S208" s="518" t="s">
        <v>31</v>
      </c>
      <c r="T208" s="679" t="s">
        <v>31</v>
      </c>
      <c r="U208" s="679" t="s">
        <v>31</v>
      </c>
      <c r="V208" s="679" t="s">
        <v>31</v>
      </c>
      <c r="W208" s="679"/>
      <c r="X208" s="679"/>
      <c r="Y208" s="679" t="s">
        <v>31</v>
      </c>
      <c r="Z208" s="679" t="s">
        <v>31</v>
      </c>
      <c r="AA208" s="679" t="s">
        <v>31</v>
      </c>
      <c r="AB208" s="679" t="s">
        <v>31</v>
      </c>
      <c r="AC208" s="679" t="s">
        <v>31</v>
      </c>
      <c r="AD208" s="679"/>
      <c r="AE208" s="679"/>
      <c r="AF208" s="679" t="s">
        <v>31</v>
      </c>
      <c r="AG208" s="488" t="s">
        <v>31</v>
      </c>
      <c r="AH208" s="34"/>
      <c r="AI208" s="25"/>
    </row>
    <row r="209" spans="1:35" ht="24.75" customHeight="1">
      <c r="A209" s="489">
        <v>3701</v>
      </c>
      <c r="B209" s="507" t="s">
        <v>295</v>
      </c>
      <c r="C209" s="679"/>
      <c r="D209" s="679" t="s">
        <v>31</v>
      </c>
      <c r="E209" s="679" t="s">
        <v>31</v>
      </c>
      <c r="F209" s="679" t="s">
        <v>31</v>
      </c>
      <c r="G209" s="679" t="s">
        <v>31</v>
      </c>
      <c r="H209" s="679" t="s">
        <v>31</v>
      </c>
      <c r="I209" s="679"/>
      <c r="J209" s="679"/>
      <c r="K209" s="679" t="s">
        <v>31</v>
      </c>
      <c r="L209" s="679" t="s">
        <v>31</v>
      </c>
      <c r="M209" s="679" t="s">
        <v>31</v>
      </c>
      <c r="N209" s="679" t="s">
        <v>31</v>
      </c>
      <c r="O209" s="679" t="s">
        <v>31</v>
      </c>
      <c r="P209" s="679"/>
      <c r="Q209" s="679"/>
      <c r="R209" s="679" t="s">
        <v>31</v>
      </c>
      <c r="S209" s="679" t="s">
        <v>31</v>
      </c>
      <c r="T209" s="679" t="s">
        <v>31</v>
      </c>
      <c r="U209" s="679" t="s">
        <v>31</v>
      </c>
      <c r="V209" s="679" t="s">
        <v>31</v>
      </c>
      <c r="W209" s="679"/>
      <c r="X209" s="679"/>
      <c r="Y209" s="679" t="s">
        <v>31</v>
      </c>
      <c r="Z209" s="679" t="s">
        <v>31</v>
      </c>
      <c r="AA209" s="679" t="s">
        <v>31</v>
      </c>
      <c r="AB209" s="679" t="s">
        <v>31</v>
      </c>
      <c r="AC209" s="679" t="s">
        <v>31</v>
      </c>
      <c r="AD209" s="679"/>
      <c r="AE209" s="679"/>
      <c r="AF209" s="679" t="s">
        <v>31</v>
      </c>
      <c r="AG209" s="488" t="s">
        <v>31</v>
      </c>
      <c r="AH209" s="34"/>
      <c r="AI209" s="25"/>
    </row>
    <row r="210" spans="1:35" ht="24.75" customHeight="1">
      <c r="A210" s="489">
        <v>3701</v>
      </c>
      <c r="B210" s="507" t="s">
        <v>296</v>
      </c>
      <c r="C210" s="679"/>
      <c r="D210" s="679" t="s">
        <v>31</v>
      </c>
      <c r="E210" s="679" t="s">
        <v>31</v>
      </c>
      <c r="F210" s="679" t="s">
        <v>31</v>
      </c>
      <c r="G210" s="679" t="s">
        <v>31</v>
      </c>
      <c r="H210" s="679" t="s">
        <v>31</v>
      </c>
      <c r="I210" s="679"/>
      <c r="J210" s="679"/>
      <c r="K210" s="679" t="s">
        <v>31</v>
      </c>
      <c r="L210" s="679" t="s">
        <v>31</v>
      </c>
      <c r="M210" s="679" t="s">
        <v>31</v>
      </c>
      <c r="N210" s="679" t="s">
        <v>31</v>
      </c>
      <c r="O210" s="679" t="s">
        <v>31</v>
      </c>
      <c r="P210" s="679"/>
      <c r="Q210" s="679"/>
      <c r="R210" s="679" t="s">
        <v>31</v>
      </c>
      <c r="S210" s="679" t="s">
        <v>31</v>
      </c>
      <c r="T210" s="679" t="s">
        <v>31</v>
      </c>
      <c r="U210" s="679" t="s">
        <v>31</v>
      </c>
      <c r="V210" s="679" t="s">
        <v>31</v>
      </c>
      <c r="W210" s="679"/>
      <c r="X210" s="679"/>
      <c r="Y210" s="679" t="s">
        <v>31</v>
      </c>
      <c r="Z210" s="679" t="s">
        <v>31</v>
      </c>
      <c r="AA210" s="679" t="s">
        <v>31</v>
      </c>
      <c r="AB210" s="679" t="s">
        <v>31</v>
      </c>
      <c r="AC210" s="679" t="s">
        <v>31</v>
      </c>
      <c r="AD210" s="679"/>
      <c r="AE210" s="679"/>
      <c r="AF210" s="679" t="s">
        <v>31</v>
      </c>
      <c r="AG210" s="488" t="s">
        <v>31</v>
      </c>
      <c r="AH210" s="34"/>
      <c r="AI210" s="25"/>
    </row>
    <row r="211" spans="1:35" ht="24.75" customHeight="1">
      <c r="A211" s="489">
        <v>3701</v>
      </c>
      <c r="B211" s="507" t="s">
        <v>297</v>
      </c>
      <c r="C211" s="679"/>
      <c r="D211" s="681" t="s">
        <v>31</v>
      </c>
      <c r="E211" s="681" t="s">
        <v>31</v>
      </c>
      <c r="F211" s="679" t="s">
        <v>31</v>
      </c>
      <c r="G211" s="679" t="s">
        <v>31</v>
      </c>
      <c r="H211" s="679" t="s">
        <v>31</v>
      </c>
      <c r="I211" s="679"/>
      <c r="J211" s="679"/>
      <c r="K211" s="679" t="s">
        <v>31</v>
      </c>
      <c r="L211" s="679" t="s">
        <v>31</v>
      </c>
      <c r="M211" s="679" t="s">
        <v>31</v>
      </c>
      <c r="N211" s="679" t="s">
        <v>31</v>
      </c>
      <c r="O211" s="679" t="s">
        <v>31</v>
      </c>
      <c r="P211" s="679"/>
      <c r="Q211" s="679"/>
      <c r="R211" s="679">
        <v>19</v>
      </c>
      <c r="S211" s="679">
        <v>19</v>
      </c>
      <c r="T211" s="679">
        <v>19</v>
      </c>
      <c r="U211" s="679">
        <v>19</v>
      </c>
      <c r="V211" s="679">
        <v>19</v>
      </c>
      <c r="W211" s="679"/>
      <c r="X211" s="679"/>
      <c r="Y211" s="679" t="s">
        <v>31</v>
      </c>
      <c r="Z211" s="679" t="s">
        <v>31</v>
      </c>
      <c r="AA211" s="679" t="s">
        <v>31</v>
      </c>
      <c r="AB211" s="679" t="s">
        <v>31</v>
      </c>
      <c r="AC211" s="680" t="s">
        <v>31</v>
      </c>
      <c r="AD211" s="679"/>
      <c r="AE211" s="679"/>
      <c r="AF211" s="679" t="s">
        <v>31</v>
      </c>
      <c r="AG211" s="679" t="s">
        <v>31</v>
      </c>
      <c r="AH211" s="34"/>
      <c r="AI211" s="25"/>
    </row>
    <row r="212" spans="1:35" ht="24.75" customHeight="1">
      <c r="A212" s="489">
        <v>3701</v>
      </c>
      <c r="B212" s="507" t="s">
        <v>298</v>
      </c>
      <c r="C212" s="679"/>
      <c r="D212" s="679" t="s">
        <v>31</v>
      </c>
      <c r="E212" s="679" t="s">
        <v>31</v>
      </c>
      <c r="F212" s="679" t="s">
        <v>31</v>
      </c>
      <c r="G212" s="678" t="s">
        <v>31</v>
      </c>
      <c r="H212" s="679" t="s">
        <v>31</v>
      </c>
      <c r="I212" s="679"/>
      <c r="J212" s="679"/>
      <c r="K212" s="679" t="s">
        <v>31</v>
      </c>
      <c r="L212" s="679" t="s">
        <v>31</v>
      </c>
      <c r="M212" s="679" t="s">
        <v>31</v>
      </c>
      <c r="N212" s="679" t="s">
        <v>31</v>
      </c>
      <c r="O212" s="679" t="s">
        <v>31</v>
      </c>
      <c r="P212" s="679"/>
      <c r="Q212" s="679"/>
      <c r="R212" s="679" t="s">
        <v>31</v>
      </c>
      <c r="S212" s="679" t="s">
        <v>31</v>
      </c>
      <c r="T212" s="679" t="s">
        <v>31</v>
      </c>
      <c r="U212" s="681" t="s">
        <v>31</v>
      </c>
      <c r="V212" s="681" t="s">
        <v>31</v>
      </c>
      <c r="W212" s="679"/>
      <c r="X212" s="679"/>
      <c r="Y212" s="679" t="s">
        <v>31</v>
      </c>
      <c r="Z212" s="679" t="s">
        <v>31</v>
      </c>
      <c r="AA212" s="679" t="s">
        <v>31</v>
      </c>
      <c r="AB212" s="679" t="s">
        <v>31</v>
      </c>
      <c r="AC212" s="679" t="s">
        <v>31</v>
      </c>
      <c r="AD212" s="679"/>
      <c r="AE212" s="679"/>
      <c r="AF212" s="679">
        <v>19</v>
      </c>
      <c r="AG212" s="488">
        <v>19</v>
      </c>
      <c r="AH212" s="34"/>
      <c r="AI212" s="25"/>
    </row>
    <row r="213" spans="1:35" ht="24.75" customHeight="1">
      <c r="A213" s="489">
        <v>3701</v>
      </c>
      <c r="B213" s="507" t="s">
        <v>299</v>
      </c>
      <c r="C213" s="679"/>
      <c r="D213" s="679" t="s">
        <v>31</v>
      </c>
      <c r="E213" s="679" t="s">
        <v>31</v>
      </c>
      <c r="F213" s="679" t="s">
        <v>31</v>
      </c>
      <c r="G213" s="679" t="s">
        <v>31</v>
      </c>
      <c r="H213" s="679" t="s">
        <v>31</v>
      </c>
      <c r="I213" s="679"/>
      <c r="J213" s="679"/>
      <c r="K213" s="679" t="s">
        <v>31</v>
      </c>
      <c r="L213" s="679" t="s">
        <v>31</v>
      </c>
      <c r="M213" s="679" t="s">
        <v>31</v>
      </c>
      <c r="N213" s="679" t="s">
        <v>31</v>
      </c>
      <c r="O213" s="679" t="s">
        <v>31</v>
      </c>
      <c r="P213" s="679"/>
      <c r="Q213" s="679"/>
      <c r="R213" s="680" t="s">
        <v>31</v>
      </c>
      <c r="S213" s="680" t="s">
        <v>31</v>
      </c>
      <c r="T213" s="680" t="s">
        <v>31</v>
      </c>
      <c r="U213" s="679" t="s">
        <v>31</v>
      </c>
      <c r="V213" s="679" t="s">
        <v>31</v>
      </c>
      <c r="W213" s="679"/>
      <c r="X213" s="679"/>
      <c r="Y213" s="679">
        <v>19</v>
      </c>
      <c r="Z213" s="679">
        <v>19</v>
      </c>
      <c r="AA213" s="679">
        <v>19</v>
      </c>
      <c r="AB213" s="679">
        <v>19</v>
      </c>
      <c r="AC213" s="679">
        <v>19</v>
      </c>
      <c r="AD213" s="679"/>
      <c r="AE213" s="679"/>
      <c r="AF213" s="679" t="s">
        <v>31</v>
      </c>
      <c r="AG213" s="488" t="s">
        <v>31</v>
      </c>
      <c r="AH213" s="34"/>
      <c r="AI213" s="25"/>
    </row>
    <row r="214" spans="1:35" ht="24.75" customHeight="1">
      <c r="A214" s="489">
        <v>3701</v>
      </c>
      <c r="B214" s="507" t="s">
        <v>300</v>
      </c>
      <c r="C214" s="534" t="s">
        <v>109</v>
      </c>
      <c r="D214" s="679">
        <v>19</v>
      </c>
      <c r="E214" s="679">
        <v>19</v>
      </c>
      <c r="F214" s="679">
        <v>19</v>
      </c>
      <c r="G214" s="679">
        <v>19</v>
      </c>
      <c r="H214" s="679">
        <v>19</v>
      </c>
      <c r="I214" s="679"/>
      <c r="J214" s="679"/>
      <c r="K214" s="679" t="s">
        <v>31</v>
      </c>
      <c r="L214" s="679" t="s">
        <v>31</v>
      </c>
      <c r="M214" s="679" t="s">
        <v>31</v>
      </c>
      <c r="N214" s="679" t="s">
        <v>31</v>
      </c>
      <c r="O214" s="679" t="s">
        <v>31</v>
      </c>
      <c r="P214" s="679"/>
      <c r="Q214" s="679"/>
      <c r="R214" s="681" t="s">
        <v>31</v>
      </c>
      <c r="S214" s="681" t="s">
        <v>31</v>
      </c>
      <c r="T214" s="681" t="s">
        <v>31</v>
      </c>
      <c r="U214" s="679" t="s">
        <v>31</v>
      </c>
      <c r="V214" s="679" t="s">
        <v>31</v>
      </c>
      <c r="W214" s="679"/>
      <c r="X214" s="679"/>
      <c r="Y214" s="679" t="s">
        <v>31</v>
      </c>
      <c r="Z214" s="679" t="s">
        <v>31</v>
      </c>
      <c r="AA214" s="679" t="s">
        <v>31</v>
      </c>
      <c r="AB214" s="679" t="s">
        <v>31</v>
      </c>
      <c r="AC214" s="679" t="s">
        <v>31</v>
      </c>
      <c r="AD214" s="679"/>
      <c r="AE214" s="679"/>
      <c r="AF214" s="679" t="s">
        <v>31</v>
      </c>
      <c r="AG214" s="488" t="s">
        <v>31</v>
      </c>
      <c r="AH214" s="34"/>
      <c r="AI214" s="25"/>
    </row>
    <row r="215" spans="1:35" ht="24.75" customHeight="1">
      <c r="A215" s="489">
        <v>3701</v>
      </c>
      <c r="B215" s="507" t="s">
        <v>301</v>
      </c>
      <c r="C215" s="679"/>
      <c r="D215" s="679" t="s">
        <v>31</v>
      </c>
      <c r="E215" s="679" t="s">
        <v>31</v>
      </c>
      <c r="F215" s="679" t="s">
        <v>31</v>
      </c>
      <c r="G215" s="679" t="s">
        <v>31</v>
      </c>
      <c r="H215" s="679" t="s">
        <v>31</v>
      </c>
      <c r="I215" s="679"/>
      <c r="J215" s="505"/>
      <c r="K215" s="679">
        <v>19</v>
      </c>
      <c r="L215" s="679">
        <v>19</v>
      </c>
      <c r="M215" s="679">
        <v>19</v>
      </c>
      <c r="N215" s="679">
        <v>19</v>
      </c>
      <c r="O215" s="679">
        <v>19</v>
      </c>
      <c r="P215" s="679"/>
      <c r="Q215" s="679"/>
      <c r="R215" s="679" t="s">
        <v>31</v>
      </c>
      <c r="S215" s="679" t="s">
        <v>31</v>
      </c>
      <c r="T215" s="679" t="s">
        <v>31</v>
      </c>
      <c r="U215" s="679" t="s">
        <v>31</v>
      </c>
      <c r="V215" s="679" t="s">
        <v>31</v>
      </c>
      <c r="W215" s="679"/>
      <c r="X215" s="679"/>
      <c r="Y215" s="679" t="s">
        <v>44</v>
      </c>
      <c r="Z215" s="679" t="s">
        <v>44</v>
      </c>
      <c r="AA215" s="679" t="s">
        <v>44</v>
      </c>
      <c r="AB215" s="679" t="s">
        <v>35</v>
      </c>
      <c r="AC215" s="679" t="s">
        <v>35</v>
      </c>
      <c r="AD215" s="679"/>
      <c r="AE215" s="679"/>
      <c r="AF215" s="537" t="s">
        <v>31</v>
      </c>
      <c r="AG215" s="1034" t="s">
        <v>31</v>
      </c>
      <c r="AH215" s="34"/>
      <c r="AI215" s="25"/>
    </row>
    <row r="216" spans="1:35" ht="24.75" customHeight="1">
      <c r="A216" s="490">
        <v>3701</v>
      </c>
      <c r="B216" s="507" t="s">
        <v>302</v>
      </c>
      <c r="C216" s="679"/>
      <c r="D216" s="679" t="s">
        <v>31</v>
      </c>
      <c r="E216" s="679" t="s">
        <v>31</v>
      </c>
      <c r="F216" s="679" t="s">
        <v>31</v>
      </c>
      <c r="G216" s="679" t="s">
        <v>31</v>
      </c>
      <c r="H216" s="679" t="s">
        <v>31</v>
      </c>
      <c r="I216" s="679"/>
      <c r="J216" s="679"/>
      <c r="K216" s="539" t="s">
        <v>31</v>
      </c>
      <c r="L216" s="679" t="s">
        <v>31</v>
      </c>
      <c r="M216" s="679" t="s">
        <v>31</v>
      </c>
      <c r="N216" s="679" t="s">
        <v>31</v>
      </c>
      <c r="O216" s="679" t="s">
        <v>31</v>
      </c>
      <c r="P216" s="679"/>
      <c r="Q216" s="679"/>
      <c r="R216" s="679" t="s">
        <v>31</v>
      </c>
      <c r="S216" s="680" t="s">
        <v>31</v>
      </c>
      <c r="T216" s="680" t="s">
        <v>31</v>
      </c>
      <c r="U216" s="680" t="s">
        <v>31</v>
      </c>
      <c r="V216" s="680" t="s">
        <v>31</v>
      </c>
      <c r="W216" s="679"/>
      <c r="X216" s="679"/>
      <c r="Y216" s="679" t="s">
        <v>31</v>
      </c>
      <c r="Z216" s="679" t="s">
        <v>31</v>
      </c>
      <c r="AA216" s="679" t="s">
        <v>31</v>
      </c>
      <c r="AB216" s="679" t="s">
        <v>31</v>
      </c>
      <c r="AC216" s="679" t="s">
        <v>31</v>
      </c>
      <c r="AD216" s="679"/>
      <c r="AE216" s="679"/>
      <c r="AF216" s="679" t="s">
        <v>31</v>
      </c>
      <c r="AG216" s="488" t="s">
        <v>31</v>
      </c>
      <c r="AH216" s="34"/>
      <c r="AI216" s="25"/>
    </row>
    <row r="217" spans="1:35" ht="24.75" customHeight="1">
      <c r="A217" s="489">
        <v>3701</v>
      </c>
      <c r="B217" s="507" t="s">
        <v>303</v>
      </c>
      <c r="C217" s="679"/>
      <c r="D217" s="679" t="s">
        <v>31</v>
      </c>
      <c r="E217" s="534" t="s">
        <v>304</v>
      </c>
      <c r="F217" s="518" t="s">
        <v>31</v>
      </c>
      <c r="G217" s="518" t="s">
        <v>31</v>
      </c>
      <c r="H217" s="518" t="s">
        <v>31</v>
      </c>
      <c r="I217" s="679"/>
      <c r="J217" s="679"/>
      <c r="K217" s="679" t="s">
        <v>31</v>
      </c>
      <c r="L217" s="679" t="s">
        <v>31</v>
      </c>
      <c r="M217" s="679" t="s">
        <v>31</v>
      </c>
      <c r="N217" s="679" t="s">
        <v>31</v>
      </c>
      <c r="O217" s="679" t="s">
        <v>31</v>
      </c>
      <c r="P217" s="679"/>
      <c r="Q217" s="679"/>
      <c r="R217" s="1035" t="s">
        <v>31</v>
      </c>
      <c r="S217" s="1035" t="s">
        <v>31</v>
      </c>
      <c r="T217" s="1035" t="s">
        <v>31</v>
      </c>
      <c r="U217" s="1035" t="s">
        <v>31</v>
      </c>
      <c r="V217" s="1035" t="s">
        <v>31</v>
      </c>
      <c r="W217" s="681"/>
      <c r="X217" s="681"/>
      <c r="Y217" s="679" t="s">
        <v>31</v>
      </c>
      <c r="Z217" s="679" t="s">
        <v>31</v>
      </c>
      <c r="AA217" s="679" t="s">
        <v>31</v>
      </c>
      <c r="AB217" s="679" t="s">
        <v>31</v>
      </c>
      <c r="AC217" s="679" t="s">
        <v>31</v>
      </c>
      <c r="AD217" s="681"/>
      <c r="AE217" s="681"/>
      <c r="AF217" s="681" t="s">
        <v>31</v>
      </c>
      <c r="AG217" s="491" t="s">
        <v>31</v>
      </c>
      <c r="AH217" s="34"/>
      <c r="AI217" s="25"/>
    </row>
    <row r="218" spans="1:35" ht="24.75" customHeight="1">
      <c r="A218" s="489">
        <v>3701</v>
      </c>
      <c r="B218" s="507" t="s">
        <v>305</v>
      </c>
      <c r="C218" s="492"/>
      <c r="D218" s="492" t="s">
        <v>31</v>
      </c>
      <c r="E218" s="492" t="s">
        <v>31</v>
      </c>
      <c r="F218" s="492" t="s">
        <v>31</v>
      </c>
      <c r="G218" s="492" t="s">
        <v>31</v>
      </c>
      <c r="H218" s="534" t="s">
        <v>31</v>
      </c>
      <c r="I218" s="492"/>
      <c r="J218" s="492"/>
      <c r="K218" s="492" t="s">
        <v>31</v>
      </c>
      <c r="L218" s="492" t="s">
        <v>31</v>
      </c>
      <c r="M218" s="492" t="s">
        <v>31</v>
      </c>
      <c r="N218" s="492" t="s">
        <v>31</v>
      </c>
      <c r="O218" s="492" t="s">
        <v>31</v>
      </c>
      <c r="P218" s="492"/>
      <c r="Q218" s="492"/>
      <c r="R218" s="492" t="s">
        <v>31</v>
      </c>
      <c r="S218" s="492" t="s">
        <v>31</v>
      </c>
      <c r="T218" s="492" t="s">
        <v>31</v>
      </c>
      <c r="U218" s="492" t="s">
        <v>31</v>
      </c>
      <c r="V218" s="492" t="s">
        <v>31</v>
      </c>
      <c r="W218" s="492"/>
      <c r="X218" s="492"/>
      <c r="Y218" s="492" t="s">
        <v>31</v>
      </c>
      <c r="Z218" s="492" t="s">
        <v>31</v>
      </c>
      <c r="AA218" s="492" t="s">
        <v>31</v>
      </c>
      <c r="AB218" s="679" t="s">
        <v>31</v>
      </c>
      <c r="AC218" s="679" t="s">
        <v>31</v>
      </c>
      <c r="AD218" s="679"/>
      <c r="AE218" s="679"/>
      <c r="AF218" s="679" t="s">
        <v>31</v>
      </c>
      <c r="AG218" s="493" t="s">
        <v>31</v>
      </c>
      <c r="AH218" s="34"/>
      <c r="AI218" s="25"/>
    </row>
    <row r="219" spans="1:35" ht="24.75" customHeight="1">
      <c r="A219" s="489"/>
      <c r="B219" s="494" t="s">
        <v>277</v>
      </c>
      <c r="C219" s="679"/>
      <c r="D219" s="679"/>
      <c r="E219" s="679"/>
      <c r="F219" s="679"/>
      <c r="G219" s="679"/>
      <c r="H219" s="679"/>
      <c r="I219" s="679"/>
      <c r="J219" s="679"/>
      <c r="K219" s="679"/>
      <c r="L219" s="679"/>
      <c r="M219" s="679"/>
      <c r="N219" s="679"/>
      <c r="O219" s="679"/>
      <c r="P219" s="679"/>
      <c r="Q219" s="679"/>
      <c r="R219" s="679"/>
      <c r="S219" s="679"/>
      <c r="T219" s="679"/>
      <c r="U219" s="679"/>
      <c r="V219" s="679"/>
      <c r="W219" s="679"/>
      <c r="X219" s="679"/>
      <c r="Y219" s="679"/>
      <c r="Z219" s="679"/>
      <c r="AA219" s="679"/>
      <c r="AB219" s="679"/>
      <c r="AC219" s="679"/>
      <c r="AD219" s="679"/>
      <c r="AE219" s="679"/>
      <c r="AF219" s="679"/>
      <c r="AG219" s="488"/>
      <c r="AH219" s="34"/>
      <c r="AI219" s="25"/>
    </row>
    <row r="220" spans="1:35" ht="24.75" customHeight="1">
      <c r="A220" s="489"/>
      <c r="B220" s="507" t="s">
        <v>306</v>
      </c>
      <c r="C220" s="492"/>
      <c r="D220" s="492" t="s">
        <v>31</v>
      </c>
      <c r="E220" s="492" t="s">
        <v>31</v>
      </c>
      <c r="F220" s="492" t="s">
        <v>31</v>
      </c>
      <c r="G220" s="492" t="s">
        <v>31</v>
      </c>
      <c r="H220" s="492" t="s">
        <v>31</v>
      </c>
      <c r="I220" s="492"/>
      <c r="J220" s="492"/>
      <c r="K220" s="492" t="s">
        <v>31</v>
      </c>
      <c r="L220" s="492" t="s">
        <v>31</v>
      </c>
      <c r="M220" s="492" t="s">
        <v>31</v>
      </c>
      <c r="N220" s="492" t="s">
        <v>31</v>
      </c>
      <c r="O220" s="492" t="s">
        <v>31</v>
      </c>
      <c r="P220" s="492"/>
      <c r="Q220" s="492"/>
      <c r="R220" s="492" t="s">
        <v>31</v>
      </c>
      <c r="S220" s="492" t="s">
        <v>31</v>
      </c>
      <c r="T220" s="492" t="s">
        <v>31</v>
      </c>
      <c r="U220" s="492" t="s">
        <v>31</v>
      </c>
      <c r="V220" s="492" t="s">
        <v>31</v>
      </c>
      <c r="W220" s="492"/>
      <c r="X220" s="492"/>
      <c r="Y220" s="492" t="s">
        <v>31</v>
      </c>
      <c r="Z220" s="492" t="s">
        <v>31</v>
      </c>
      <c r="AA220" s="492" t="s">
        <v>31</v>
      </c>
      <c r="AB220" s="492" t="s">
        <v>31</v>
      </c>
      <c r="AC220" s="492" t="s">
        <v>31</v>
      </c>
      <c r="AD220" s="492"/>
      <c r="AE220" s="492"/>
      <c r="AF220" s="679" t="s">
        <v>31</v>
      </c>
      <c r="AG220" s="488" t="s">
        <v>31</v>
      </c>
      <c r="AH220" s="34"/>
      <c r="AI220" s="25"/>
    </row>
    <row r="221" spans="1:35" ht="24.75" customHeight="1">
      <c r="A221" s="489"/>
      <c r="B221" s="507" t="s">
        <v>307</v>
      </c>
      <c r="C221" s="679"/>
      <c r="D221" s="505" t="s">
        <v>31</v>
      </c>
      <c r="E221" s="505" t="s">
        <v>31</v>
      </c>
      <c r="F221" s="505" t="s">
        <v>31</v>
      </c>
      <c r="G221" s="505" t="s">
        <v>31</v>
      </c>
      <c r="H221" s="505" t="s">
        <v>31</v>
      </c>
      <c r="I221" s="679"/>
      <c r="J221" s="679"/>
      <c r="K221" s="679" t="s">
        <v>31</v>
      </c>
      <c r="L221" s="679" t="s">
        <v>31</v>
      </c>
      <c r="M221" s="534" t="s">
        <v>31</v>
      </c>
      <c r="N221" s="534" t="s">
        <v>31</v>
      </c>
      <c r="O221" s="534" t="s">
        <v>31</v>
      </c>
      <c r="P221" s="679"/>
      <c r="Q221" s="679"/>
      <c r="R221" s="679" t="s">
        <v>31</v>
      </c>
      <c r="S221" s="679" t="s">
        <v>31</v>
      </c>
      <c r="T221" s="679" t="s">
        <v>31</v>
      </c>
      <c r="U221" s="679" t="s">
        <v>31</v>
      </c>
      <c r="V221" s="679" t="s">
        <v>31</v>
      </c>
      <c r="W221" s="679"/>
      <c r="X221" s="679"/>
      <c r="Y221" s="679" t="s">
        <v>31</v>
      </c>
      <c r="Z221" s="679" t="s">
        <v>31</v>
      </c>
      <c r="AA221" s="679" t="s">
        <v>31</v>
      </c>
      <c r="AB221" s="679" t="s">
        <v>31</v>
      </c>
      <c r="AC221" s="679" t="s">
        <v>31</v>
      </c>
      <c r="AD221" s="679"/>
      <c r="AE221" s="679"/>
      <c r="AF221" s="679" t="s">
        <v>31</v>
      </c>
      <c r="AG221" s="488" t="s">
        <v>31</v>
      </c>
      <c r="AH221" s="34"/>
      <c r="AI221" s="25"/>
    </row>
    <row r="222" spans="1:35" ht="24.75" customHeight="1">
      <c r="A222" s="489"/>
      <c r="B222" s="507" t="s">
        <v>308</v>
      </c>
      <c r="C222" s="679"/>
      <c r="D222" s="534" t="s">
        <v>304</v>
      </c>
      <c r="E222" s="679" t="s">
        <v>31</v>
      </c>
      <c r="F222" s="679" t="s">
        <v>31</v>
      </c>
      <c r="G222" s="679" t="s">
        <v>31</v>
      </c>
      <c r="H222" s="679" t="s">
        <v>31</v>
      </c>
      <c r="I222" s="679"/>
      <c r="J222" s="679"/>
      <c r="K222" s="679" t="s">
        <v>31</v>
      </c>
      <c r="L222" s="679" t="s">
        <v>31</v>
      </c>
      <c r="M222" s="679" t="s">
        <v>31</v>
      </c>
      <c r="N222" s="505" t="s">
        <v>31</v>
      </c>
      <c r="O222" s="505" t="s">
        <v>31</v>
      </c>
      <c r="P222" s="679"/>
      <c r="Q222" s="679"/>
      <c r="R222" s="679" t="s">
        <v>31</v>
      </c>
      <c r="S222" s="679" t="s">
        <v>31</v>
      </c>
      <c r="T222" s="681" t="s">
        <v>31</v>
      </c>
      <c r="U222" s="679" t="s">
        <v>31</v>
      </c>
      <c r="V222" s="114" t="s">
        <v>31</v>
      </c>
      <c r="W222" s="679"/>
      <c r="X222" s="679"/>
      <c r="Y222" s="690" t="s">
        <v>31</v>
      </c>
      <c r="Z222" s="690" t="s">
        <v>31</v>
      </c>
      <c r="AA222" s="679" t="s">
        <v>31</v>
      </c>
      <c r="AB222" s="679" t="s">
        <v>31</v>
      </c>
      <c r="AC222" s="679" t="s">
        <v>31</v>
      </c>
      <c r="AD222" s="679"/>
      <c r="AE222" s="679"/>
      <c r="AF222" s="679" t="s">
        <v>31</v>
      </c>
      <c r="AG222" s="488" t="s">
        <v>31</v>
      </c>
      <c r="AH222" s="34"/>
      <c r="AI222" s="25"/>
    </row>
    <row r="223" spans="1:35" ht="24.75" customHeight="1">
      <c r="A223" s="489"/>
      <c r="B223" s="507" t="s">
        <v>309</v>
      </c>
      <c r="C223" s="679"/>
      <c r="D223" s="679" t="s">
        <v>31</v>
      </c>
      <c r="E223" s="679" t="s">
        <v>31</v>
      </c>
      <c r="F223" s="679" t="s">
        <v>31</v>
      </c>
      <c r="G223" s="679" t="s">
        <v>31</v>
      </c>
      <c r="H223" s="534" t="s">
        <v>304</v>
      </c>
      <c r="I223" s="518"/>
      <c r="J223" s="518"/>
      <c r="K223" s="518" t="s">
        <v>31</v>
      </c>
      <c r="L223" s="518" t="s">
        <v>31</v>
      </c>
      <c r="M223" s="518" t="s">
        <v>31</v>
      </c>
      <c r="N223" s="518" t="s">
        <v>31</v>
      </c>
      <c r="O223" s="518" t="s">
        <v>31</v>
      </c>
      <c r="P223" s="679"/>
      <c r="Q223" s="679"/>
      <c r="R223" s="679" t="s">
        <v>31</v>
      </c>
      <c r="S223" s="679" t="s">
        <v>31</v>
      </c>
      <c r="T223" s="679" t="s">
        <v>31</v>
      </c>
      <c r="U223" s="679" t="s">
        <v>31</v>
      </c>
      <c r="V223" s="679" t="s">
        <v>31</v>
      </c>
      <c r="W223" s="679"/>
      <c r="X223" s="679"/>
      <c r="Y223" s="679" t="s">
        <v>31</v>
      </c>
      <c r="Z223" s="679" t="s">
        <v>31</v>
      </c>
      <c r="AA223" s="679" t="s">
        <v>31</v>
      </c>
      <c r="AB223" s="679" t="s">
        <v>31</v>
      </c>
      <c r="AC223" s="681" t="s">
        <v>31</v>
      </c>
      <c r="AD223" s="681"/>
      <c r="AE223" s="681"/>
      <c r="AF223" s="681" t="s">
        <v>31</v>
      </c>
      <c r="AG223" s="491" t="s">
        <v>31</v>
      </c>
      <c r="AH223" s="34"/>
      <c r="AI223" s="25"/>
    </row>
    <row r="224" spans="1:35" ht="24.75" customHeight="1">
      <c r="A224" s="489"/>
      <c r="B224" s="495" t="s">
        <v>310</v>
      </c>
      <c r="C224" s="679"/>
      <c r="D224" s="679"/>
      <c r="E224" s="679"/>
      <c r="F224" s="679"/>
      <c r="G224" s="679"/>
      <c r="H224" s="679"/>
      <c r="I224" s="679"/>
      <c r="J224" s="679"/>
      <c r="K224" s="679"/>
      <c r="L224" s="679"/>
      <c r="M224" s="679"/>
      <c r="N224" s="679"/>
      <c r="O224" s="679"/>
      <c r="P224" s="679"/>
      <c r="Q224" s="679"/>
      <c r="R224" s="679"/>
      <c r="S224" s="679"/>
      <c r="T224" s="679"/>
      <c r="U224" s="679"/>
      <c r="V224" s="679"/>
      <c r="W224" s="679"/>
      <c r="X224" s="679"/>
      <c r="Y224" s="679"/>
      <c r="Z224" s="679"/>
      <c r="AA224" s="679"/>
      <c r="AB224" s="679"/>
      <c r="AC224" s="679"/>
      <c r="AD224" s="679"/>
      <c r="AE224" s="679"/>
      <c r="AF224" s="679"/>
      <c r="AG224" s="488"/>
      <c r="AH224" s="93"/>
      <c r="AI224" s="76"/>
    </row>
    <row r="225" spans="1:35" ht="24.75" customHeight="1">
      <c r="A225" s="489"/>
      <c r="B225" s="507"/>
      <c r="C225" s="679"/>
      <c r="D225" s="679"/>
      <c r="E225" s="679"/>
      <c r="F225" s="679"/>
      <c r="G225" s="679"/>
      <c r="H225" s="679"/>
      <c r="I225" s="679"/>
      <c r="J225" s="679"/>
      <c r="K225" s="679"/>
      <c r="L225" s="679"/>
      <c r="M225" s="679"/>
      <c r="N225" s="679"/>
      <c r="O225" s="679"/>
      <c r="P225" s="679"/>
      <c r="Q225" s="679"/>
      <c r="R225" s="679"/>
      <c r="S225" s="679"/>
      <c r="T225" s="679"/>
      <c r="U225" s="679"/>
      <c r="V225" s="679"/>
      <c r="W225" s="679"/>
      <c r="X225" s="679"/>
      <c r="Y225" s="679"/>
      <c r="Z225" s="679"/>
      <c r="AA225" s="679"/>
      <c r="AB225" s="679"/>
      <c r="AC225" s="679"/>
      <c r="AD225" s="679"/>
      <c r="AE225" s="679"/>
      <c r="AF225" s="679"/>
      <c r="AG225" s="496"/>
      <c r="AH225" s="93"/>
      <c r="AI225" s="76"/>
    </row>
    <row r="226" spans="1:35" ht="24.75" customHeight="1">
      <c r="A226" s="518"/>
      <c r="B226" s="518"/>
      <c r="C226" s="679"/>
      <c r="D226" s="679"/>
      <c r="E226" s="679"/>
      <c r="F226" s="679"/>
      <c r="G226" s="679"/>
      <c r="H226" s="679"/>
      <c r="I226" s="679"/>
      <c r="J226" s="679"/>
      <c r="K226" s="679"/>
      <c r="L226" s="679"/>
      <c r="M226" s="679"/>
      <c r="N226" s="679"/>
      <c r="O226" s="679"/>
      <c r="P226" s="679"/>
      <c r="Q226" s="679"/>
      <c r="R226" s="679"/>
      <c r="S226" s="679"/>
      <c r="T226" s="679"/>
      <c r="U226" s="679"/>
      <c r="V226" s="679"/>
      <c r="W226" s="679"/>
      <c r="X226" s="679"/>
      <c r="Y226" s="679"/>
      <c r="Z226" s="679"/>
      <c r="AA226" s="679"/>
      <c r="AB226" s="679"/>
      <c r="AC226" s="679"/>
      <c r="AD226" s="679"/>
      <c r="AE226" s="679"/>
      <c r="AF226" s="679"/>
      <c r="AG226" s="488"/>
      <c r="AH226" s="93"/>
      <c r="AI226" s="76"/>
    </row>
    <row r="227" spans="1:35" ht="24.75" customHeight="1">
      <c r="A227" s="518"/>
      <c r="B227" s="518"/>
      <c r="C227" s="679"/>
      <c r="D227" s="679"/>
      <c r="E227" s="679"/>
      <c r="F227" s="679"/>
      <c r="G227" s="679"/>
      <c r="H227" s="497"/>
      <c r="I227" s="679"/>
      <c r="J227" s="679"/>
      <c r="K227" s="679"/>
      <c r="L227" s="679"/>
      <c r="M227" s="679"/>
      <c r="N227" s="679"/>
      <c r="O227" s="679"/>
      <c r="P227" s="679"/>
      <c r="Q227" s="679"/>
      <c r="R227" s="679"/>
      <c r="S227" s="679"/>
      <c r="T227" s="679"/>
      <c r="U227" s="679"/>
      <c r="V227" s="679"/>
      <c r="W227" s="679"/>
      <c r="X227" s="679"/>
      <c r="Y227" s="679"/>
      <c r="Z227" s="679"/>
      <c r="AA227" s="679"/>
      <c r="AB227" s="679"/>
      <c r="AC227" s="679"/>
      <c r="AD227" s="679"/>
      <c r="AE227" s="679"/>
      <c r="AF227" s="679"/>
      <c r="AG227" s="496"/>
      <c r="AH227" s="93"/>
      <c r="AI227" s="76"/>
    </row>
    <row r="228" spans="1:35" ht="24.75" customHeight="1">
      <c r="A228" s="518"/>
      <c r="B228" s="518"/>
      <c r="C228" s="679"/>
      <c r="D228" s="679"/>
      <c r="E228" s="679"/>
      <c r="F228" s="679"/>
      <c r="G228" s="679"/>
      <c r="H228" s="679"/>
      <c r="I228" s="679"/>
      <c r="J228" s="679"/>
      <c r="K228" s="679"/>
      <c r="L228" s="679"/>
      <c r="M228" s="679"/>
      <c r="N228" s="679"/>
      <c r="O228" s="679"/>
      <c r="P228" s="679"/>
      <c r="Q228" s="679"/>
      <c r="R228" s="679"/>
      <c r="S228" s="679"/>
      <c r="T228" s="679"/>
      <c r="U228" s="679"/>
      <c r="V228" s="679"/>
      <c r="W228" s="679"/>
      <c r="X228" s="679"/>
      <c r="Y228" s="679"/>
      <c r="Z228" s="679"/>
      <c r="AA228" s="679"/>
      <c r="AB228" s="679"/>
      <c r="AC228" s="679"/>
      <c r="AD228" s="679"/>
      <c r="AE228" s="679"/>
      <c r="AF228" s="679"/>
      <c r="AG228" s="488"/>
      <c r="AH228" s="93"/>
      <c r="AI228" s="76"/>
    </row>
    <row r="229" spans="1:35" ht="24.75" customHeight="1">
      <c r="A229" s="518"/>
      <c r="B229" s="518"/>
      <c r="C229" s="679"/>
      <c r="D229" s="679"/>
      <c r="E229" s="679"/>
      <c r="F229" s="679"/>
      <c r="G229" s="679"/>
      <c r="H229" s="497"/>
      <c r="I229" s="679"/>
      <c r="J229" s="679"/>
      <c r="K229" s="679"/>
      <c r="L229" s="679"/>
      <c r="M229" s="679"/>
      <c r="N229" s="679"/>
      <c r="O229" s="679"/>
      <c r="P229" s="679"/>
      <c r="Q229" s="679"/>
      <c r="R229" s="679"/>
      <c r="S229" s="679"/>
      <c r="T229" s="679"/>
      <c r="U229" s="679"/>
      <c r="V229" s="679"/>
      <c r="W229" s="679"/>
      <c r="X229" s="679"/>
      <c r="Y229" s="679"/>
      <c r="Z229" s="679"/>
      <c r="AA229" s="679"/>
      <c r="AB229" s="679"/>
      <c r="AC229" s="679"/>
      <c r="AD229" s="679"/>
      <c r="AE229" s="679"/>
      <c r="AF229" s="679"/>
      <c r="AG229" s="496"/>
      <c r="AH229" s="93"/>
      <c r="AI229" s="76"/>
    </row>
    <row r="230" spans="1:35" ht="24.75" customHeight="1">
      <c r="A230" s="489"/>
      <c r="B230" s="494"/>
      <c r="C230" s="679"/>
      <c r="D230" s="679"/>
      <c r="E230" s="679"/>
      <c r="F230" s="679"/>
      <c r="G230" s="679"/>
      <c r="H230" s="679"/>
      <c r="I230" s="679"/>
      <c r="J230" s="679"/>
      <c r="K230" s="679"/>
      <c r="L230" s="679"/>
      <c r="M230" s="679"/>
      <c r="N230" s="679"/>
      <c r="O230" s="679"/>
      <c r="P230" s="679"/>
      <c r="Q230" s="679"/>
      <c r="R230" s="679"/>
      <c r="S230" s="679"/>
      <c r="T230" s="679"/>
      <c r="U230" s="679"/>
      <c r="V230" s="679"/>
      <c r="W230" s="679"/>
      <c r="X230" s="679"/>
      <c r="Y230" s="679"/>
      <c r="Z230" s="679"/>
      <c r="AA230" s="679"/>
      <c r="AB230" s="679"/>
      <c r="AC230" s="679"/>
      <c r="AD230" s="679"/>
      <c r="AE230" s="679"/>
      <c r="AF230" s="679"/>
      <c r="AG230" s="496"/>
      <c r="AH230" s="93"/>
      <c r="AI230" s="76"/>
    </row>
    <row r="231" spans="1:35" ht="24.75" customHeight="1">
      <c r="A231" s="489"/>
      <c r="B231" s="498"/>
      <c r="C231" s="679"/>
      <c r="D231" s="679"/>
      <c r="E231" s="679"/>
      <c r="F231" s="679"/>
      <c r="G231" s="679"/>
      <c r="H231" s="679"/>
      <c r="I231" s="679"/>
      <c r="J231" s="679"/>
      <c r="K231" s="679"/>
      <c r="L231" s="679"/>
      <c r="M231" s="679"/>
      <c r="N231" s="679"/>
      <c r="O231" s="679"/>
      <c r="P231" s="679"/>
      <c r="Q231" s="679"/>
      <c r="R231" s="679"/>
      <c r="S231" s="679"/>
      <c r="T231" s="679"/>
      <c r="U231" s="679"/>
      <c r="V231" s="679"/>
      <c r="W231" s="679"/>
      <c r="X231" s="679"/>
      <c r="Y231" s="679"/>
      <c r="Z231" s="679"/>
      <c r="AA231" s="679"/>
      <c r="AB231" s="679"/>
      <c r="AC231" s="679"/>
      <c r="AD231" s="679"/>
      <c r="AE231" s="679"/>
      <c r="AF231" s="679"/>
      <c r="AG231" s="496"/>
      <c r="AH231" s="93"/>
      <c r="AI231" s="76"/>
    </row>
    <row r="232" spans="1:35" ht="24.75" customHeight="1">
      <c r="A232" s="82"/>
      <c r="B232" s="115"/>
      <c r="C232" s="38"/>
      <c r="D232" s="38"/>
      <c r="E232" s="38"/>
      <c r="F232" s="38"/>
      <c r="G232" s="38"/>
      <c r="H232" s="38"/>
      <c r="I232" s="38"/>
      <c r="J232" s="38"/>
      <c r="L232" s="38"/>
      <c r="M232" s="38"/>
      <c r="N232" s="38"/>
      <c r="O232" s="38"/>
      <c r="P232" s="17"/>
      <c r="Q232" s="17"/>
      <c r="R232" s="17"/>
      <c r="S232" s="38"/>
      <c r="T232" s="38"/>
      <c r="U232" s="38"/>
      <c r="V232" s="38"/>
      <c r="W232" s="38"/>
      <c r="X232" s="38"/>
      <c r="Y232" s="38"/>
      <c r="Z232" s="38"/>
      <c r="AA232" s="38"/>
      <c r="AB232" s="38"/>
      <c r="AC232" s="38"/>
      <c r="AD232" s="38"/>
      <c r="AE232" s="38"/>
      <c r="AF232" s="38"/>
      <c r="AG232" s="38"/>
      <c r="AH232" s="76"/>
      <c r="AI232" s="76"/>
    </row>
    <row r="233" spans="1:35" ht="24.75" customHeight="1"/>
    <row r="234" spans="1:35" ht="24.75" customHeight="1"/>
    <row r="235" spans="1:35" ht="24.75" customHeight="1"/>
    <row r="236" spans="1:35" ht="24.75" customHeight="1" thickBot="1">
      <c r="A236" s="14" t="s">
        <v>311</v>
      </c>
    </row>
    <row r="237" spans="1:35" ht="24.75" customHeight="1">
      <c r="B237" s="1036" t="s">
        <v>281</v>
      </c>
      <c r="C237" s="901"/>
      <c r="D237" s="925" t="s">
        <v>87</v>
      </c>
      <c r="E237" s="705"/>
      <c r="F237" s="905"/>
      <c r="G237" s="901"/>
      <c r="H237" s="925" t="s">
        <v>88</v>
      </c>
      <c r="I237" s="705"/>
      <c r="J237" s="905"/>
      <c r="K237" s="901"/>
      <c r="L237" s="925" t="s">
        <v>89</v>
      </c>
      <c r="M237" s="705"/>
      <c r="N237" s="905"/>
      <c r="O237" s="901"/>
      <c r="P237" s="925" t="s">
        <v>90</v>
      </c>
      <c r="Q237" s="705"/>
      <c r="R237" s="905"/>
      <c r="S237" s="901"/>
      <c r="T237" s="925" t="s">
        <v>91</v>
      </c>
      <c r="U237" s="705"/>
      <c r="V237" s="905"/>
      <c r="W237" s="901"/>
      <c r="X237" s="925" t="s">
        <v>92</v>
      </c>
      <c r="Y237" s="705"/>
      <c r="Z237" s="905"/>
      <c r="AA237" s="901"/>
      <c r="AB237" s="925" t="s">
        <v>93</v>
      </c>
      <c r="AC237" s="705"/>
      <c r="AD237" s="705"/>
      <c r="AE237" s="928" t="s">
        <v>94</v>
      </c>
      <c r="AF237" s="705"/>
      <c r="AG237" s="705"/>
      <c r="AH237" s="705"/>
      <c r="AI237" s="706"/>
    </row>
    <row r="238" spans="1:35" ht="24.75" customHeight="1">
      <c r="B238" s="116"/>
      <c r="C238" s="110"/>
      <c r="D238" s="111"/>
      <c r="E238" s="101"/>
      <c r="F238" s="109"/>
      <c r="G238" s="110"/>
      <c r="H238" s="111"/>
      <c r="I238" s="101"/>
      <c r="J238" s="109"/>
      <c r="K238" s="110"/>
      <c r="L238" s="111"/>
      <c r="M238" s="101"/>
      <c r="N238" s="109"/>
      <c r="O238" s="110"/>
      <c r="P238" s="111"/>
      <c r="Q238" s="101"/>
      <c r="R238" s="109"/>
      <c r="S238" s="110"/>
      <c r="T238" s="111"/>
      <c r="U238" s="101"/>
      <c r="V238" s="109"/>
      <c r="W238" s="110"/>
      <c r="X238" s="111"/>
      <c r="Y238" s="101"/>
      <c r="Z238" s="109"/>
      <c r="AA238" s="110"/>
      <c r="AB238" s="111"/>
      <c r="AC238" s="101"/>
      <c r="AD238" s="101"/>
      <c r="AE238" s="112"/>
      <c r="AF238" s="101"/>
      <c r="AG238" s="8"/>
      <c r="AH238" s="8"/>
      <c r="AI238" s="105"/>
    </row>
    <row r="239" spans="1:35" ht="24.75" customHeight="1">
      <c r="A239" s="87"/>
      <c r="B239" s="562">
        <v>3701</v>
      </c>
      <c r="C239" s="772" t="s">
        <v>286</v>
      </c>
      <c r="D239" s="773"/>
      <c r="E239" s="101"/>
      <c r="F239" s="109"/>
      <c r="G239" s="772" t="s">
        <v>286</v>
      </c>
      <c r="H239" s="111"/>
      <c r="I239" s="101"/>
      <c r="J239" s="109"/>
      <c r="K239" s="772" t="s">
        <v>286</v>
      </c>
      <c r="L239" s="111"/>
      <c r="M239" s="101"/>
      <c r="N239" s="109"/>
      <c r="O239" s="772" t="s">
        <v>286</v>
      </c>
      <c r="P239" s="111"/>
      <c r="Q239" s="101"/>
      <c r="R239" s="109"/>
      <c r="S239" s="110" t="s">
        <v>287</v>
      </c>
      <c r="T239" s="111"/>
      <c r="U239" s="101"/>
      <c r="V239" s="109"/>
      <c r="W239" s="110"/>
      <c r="X239" s="111"/>
      <c r="Y239" s="101"/>
      <c r="Z239" s="109"/>
      <c r="AA239" s="110"/>
      <c r="AB239" s="111"/>
      <c r="AC239" s="101"/>
      <c r="AD239" s="101"/>
      <c r="AE239" s="112"/>
      <c r="AF239" s="101"/>
      <c r="AG239" s="8"/>
      <c r="AH239" s="8"/>
      <c r="AI239" s="105"/>
    </row>
    <row r="240" spans="1:35" ht="24.75" customHeight="1">
      <c r="B240" s="562"/>
      <c r="C240" s="772"/>
      <c r="D240" s="773"/>
      <c r="E240" s="101"/>
      <c r="F240" s="109"/>
      <c r="G240" s="772"/>
      <c r="H240" s="111"/>
      <c r="I240" s="101"/>
      <c r="J240" s="109"/>
      <c r="K240" s="772"/>
      <c r="L240" s="111"/>
      <c r="M240" s="101"/>
      <c r="N240" s="109"/>
      <c r="O240" s="772"/>
      <c r="P240" s="111"/>
      <c r="Q240" s="101"/>
      <c r="R240" s="109"/>
      <c r="S240" s="772"/>
      <c r="T240" s="111"/>
      <c r="U240" s="101"/>
      <c r="V240" s="109"/>
      <c r="W240" s="110"/>
      <c r="X240" s="111"/>
      <c r="Y240" s="101"/>
      <c r="Z240" s="109"/>
      <c r="AA240" s="110"/>
      <c r="AB240" s="111"/>
      <c r="AC240" s="101"/>
      <c r="AD240" s="101"/>
      <c r="AE240" s="112"/>
      <c r="AF240" s="101"/>
      <c r="AG240" s="8"/>
      <c r="AH240" s="8"/>
      <c r="AI240" s="105"/>
    </row>
    <row r="241" spans="1:35" ht="24.75" customHeight="1">
      <c r="B241" s="562">
        <v>3702</v>
      </c>
      <c r="C241" s="772" t="s">
        <v>312</v>
      </c>
      <c r="D241" s="773"/>
      <c r="E241" s="101"/>
      <c r="F241" s="109"/>
      <c r="G241" s="772" t="s">
        <v>312</v>
      </c>
      <c r="H241" s="773"/>
      <c r="I241" s="101"/>
      <c r="J241" s="109"/>
      <c r="K241" s="772" t="s">
        <v>312</v>
      </c>
      <c r="L241" s="773"/>
      <c r="M241" s="101"/>
      <c r="N241" s="109"/>
      <c r="O241" s="772" t="s">
        <v>312</v>
      </c>
      <c r="P241" s="773"/>
      <c r="Q241" s="101"/>
      <c r="R241" s="109"/>
      <c r="S241" s="772" t="s">
        <v>313</v>
      </c>
      <c r="T241" s="773"/>
      <c r="U241" s="101"/>
      <c r="V241" s="109"/>
      <c r="W241" s="110"/>
      <c r="X241" s="111"/>
      <c r="Y241" s="101"/>
      <c r="Z241" s="109"/>
      <c r="AA241" s="110"/>
      <c r="AB241" s="111"/>
      <c r="AC241" s="101"/>
      <c r="AD241" s="101"/>
      <c r="AE241" s="112"/>
      <c r="AF241" s="101"/>
      <c r="AG241" s="8"/>
      <c r="AH241" s="8"/>
      <c r="AI241" s="105"/>
    </row>
    <row r="242" spans="1:35" ht="24.75" customHeight="1">
      <c r="B242" s="562"/>
      <c r="C242" s="931"/>
      <c r="D242" s="773"/>
      <c r="E242" s="101"/>
      <c r="F242" s="109"/>
      <c r="G242" s="111"/>
      <c r="H242" s="111"/>
      <c r="I242" s="101"/>
      <c r="J242" s="109"/>
      <c r="K242" s="111"/>
      <c r="L242" s="111"/>
      <c r="M242" s="101"/>
      <c r="N242" s="109"/>
      <c r="O242" s="111"/>
      <c r="P242" s="111"/>
      <c r="Q242" s="101"/>
      <c r="R242" s="109"/>
      <c r="S242" s="111"/>
      <c r="T242" s="111"/>
      <c r="U242" s="101"/>
      <c r="V242" s="109"/>
      <c r="W242" s="110"/>
      <c r="X242" s="111"/>
      <c r="Y242" s="101"/>
      <c r="Z242" s="109"/>
      <c r="AA242" s="110"/>
      <c r="AB242" s="111"/>
      <c r="AC242" s="101"/>
      <c r="AD242" s="101"/>
      <c r="AE242" s="112"/>
      <c r="AF242" s="101"/>
      <c r="AG242" s="8"/>
      <c r="AH242" s="8"/>
      <c r="AI242" s="105"/>
    </row>
    <row r="243" spans="1:35" ht="24.75" customHeight="1">
      <c r="B243" s="562" t="s">
        <v>159</v>
      </c>
      <c r="C243" s="931" t="s">
        <v>314</v>
      </c>
      <c r="D243" s="773"/>
      <c r="E243" s="101"/>
      <c r="F243" s="109"/>
      <c r="G243" s="931" t="s">
        <v>314</v>
      </c>
      <c r="H243" s="773"/>
      <c r="I243" s="101"/>
      <c r="J243" s="109"/>
      <c r="K243" s="931" t="s">
        <v>314</v>
      </c>
      <c r="L243" s="773"/>
      <c r="M243" s="101"/>
      <c r="N243" s="109"/>
      <c r="O243" s="931" t="s">
        <v>314</v>
      </c>
      <c r="P243" s="773"/>
      <c r="Q243" s="101"/>
      <c r="R243" s="109"/>
      <c r="S243" s="111" t="s">
        <v>315</v>
      </c>
      <c r="T243" s="111"/>
      <c r="U243" s="101"/>
      <c r="V243" s="109"/>
      <c r="W243" s="110"/>
      <c r="X243" s="111"/>
      <c r="Y243" s="101"/>
      <c r="Z243" s="109"/>
      <c r="AA243" s="110"/>
      <c r="AB243" s="111"/>
      <c r="AC243" s="101"/>
      <c r="AD243" s="101"/>
      <c r="AE243" s="112"/>
      <c r="AF243" s="101"/>
      <c r="AG243" s="8"/>
      <c r="AH243" s="8"/>
      <c r="AI243" s="105"/>
    </row>
    <row r="244" spans="1:35" ht="24.75" customHeight="1">
      <c r="B244" s="562" t="s">
        <v>163</v>
      </c>
      <c r="C244" s="931" t="s">
        <v>316</v>
      </c>
      <c r="D244" s="773"/>
      <c r="E244" s="101"/>
      <c r="F244" s="109"/>
      <c r="G244" s="931" t="s">
        <v>316</v>
      </c>
      <c r="H244" s="773"/>
      <c r="I244" s="101"/>
      <c r="J244" s="109"/>
      <c r="K244" s="931" t="s">
        <v>316</v>
      </c>
      <c r="L244" s="773"/>
      <c r="M244" s="101"/>
      <c r="N244" s="109"/>
      <c r="O244" s="931" t="s">
        <v>316</v>
      </c>
      <c r="P244" s="773"/>
      <c r="Q244" s="101"/>
      <c r="R244" s="109"/>
      <c r="S244" s="111" t="s">
        <v>317</v>
      </c>
      <c r="T244" s="111"/>
      <c r="U244" s="101"/>
      <c r="V244" s="109"/>
      <c r="W244" s="110"/>
      <c r="X244" s="111"/>
      <c r="Y244" s="101"/>
      <c r="Z244" s="109"/>
      <c r="AA244" s="110"/>
      <c r="AB244" s="111"/>
      <c r="AC244" s="101"/>
      <c r="AD244" s="101"/>
      <c r="AE244" s="112"/>
      <c r="AF244" s="101"/>
      <c r="AG244" s="8"/>
      <c r="AH244" s="8"/>
      <c r="AI244" s="105"/>
    </row>
    <row r="245" spans="1:35" ht="24.75" customHeight="1" thickBot="1">
      <c r="B245" s="563" t="s">
        <v>171</v>
      </c>
      <c r="C245" s="944" t="s">
        <v>318</v>
      </c>
      <c r="D245" s="564"/>
      <c r="E245" s="1037"/>
      <c r="F245" s="1038"/>
      <c r="G245" s="944" t="s">
        <v>318</v>
      </c>
      <c r="H245" s="564"/>
      <c r="I245" s="1037"/>
      <c r="J245" s="1038"/>
      <c r="K245" s="944" t="s">
        <v>318</v>
      </c>
      <c r="L245" s="564"/>
      <c r="M245" s="1037"/>
      <c r="N245" s="1038"/>
      <c r="O245" s="944" t="s">
        <v>318</v>
      </c>
      <c r="P245" s="564"/>
      <c r="Q245" s="1037"/>
      <c r="R245" s="1038"/>
      <c r="S245" s="1039" t="s">
        <v>319</v>
      </c>
      <c r="T245" s="1039"/>
      <c r="U245" s="1037"/>
      <c r="V245" s="1038"/>
      <c r="W245" s="1040"/>
      <c r="X245" s="1039"/>
      <c r="Y245" s="1041"/>
      <c r="Z245" s="1042"/>
      <c r="AA245" s="1043"/>
      <c r="AB245" s="1039"/>
      <c r="AC245" s="1041"/>
      <c r="AD245" s="1041"/>
      <c r="AE245" s="1044"/>
      <c r="AF245" s="1041"/>
      <c r="AG245" s="1037"/>
      <c r="AH245" s="1037"/>
      <c r="AI245" s="1045"/>
    </row>
    <row r="246" spans="1:35" ht="24.75" customHeight="1">
      <c r="B246" s="42"/>
      <c r="C246" s="37"/>
      <c r="D246" s="113"/>
      <c r="G246" s="37"/>
      <c r="H246" s="113"/>
      <c r="K246" s="37"/>
      <c r="L246" s="113"/>
      <c r="O246" s="37"/>
      <c r="P246" s="113"/>
      <c r="S246" s="37"/>
      <c r="T246" s="37"/>
      <c r="X246" s="37"/>
      <c r="AB246" s="37"/>
      <c r="AE246" s="37"/>
    </row>
    <row r="247" spans="1:35" ht="24.75" customHeight="1">
      <c r="A247" s="117" t="s">
        <v>320</v>
      </c>
    </row>
    <row r="248" spans="1:35" ht="24.75" customHeight="1" thickBot="1">
      <c r="A248" s="565"/>
      <c r="B248" s="566" t="s">
        <v>29</v>
      </c>
      <c r="C248" s="646">
        <v>1</v>
      </c>
      <c r="D248" s="647">
        <v>2</v>
      </c>
      <c r="E248" s="647">
        <v>3</v>
      </c>
      <c r="F248" s="647">
        <v>4</v>
      </c>
      <c r="G248" s="647">
        <v>5</v>
      </c>
      <c r="H248" s="647">
        <v>6</v>
      </c>
      <c r="I248" s="646">
        <v>7</v>
      </c>
      <c r="J248" s="646">
        <v>8</v>
      </c>
      <c r="K248" s="647">
        <v>9</v>
      </c>
      <c r="L248" s="647">
        <v>10</v>
      </c>
      <c r="M248" s="647">
        <v>11</v>
      </c>
      <c r="N248" s="647">
        <v>12</v>
      </c>
      <c r="O248" s="647">
        <v>13</v>
      </c>
      <c r="P248" s="646">
        <v>14</v>
      </c>
      <c r="Q248" s="646">
        <v>15</v>
      </c>
      <c r="R248" s="647">
        <v>16</v>
      </c>
      <c r="S248" s="647">
        <v>17</v>
      </c>
      <c r="T248" s="647">
        <v>18</v>
      </c>
      <c r="U248" s="647">
        <v>19</v>
      </c>
      <c r="V248" s="647">
        <v>20</v>
      </c>
      <c r="W248" s="646">
        <v>21</v>
      </c>
      <c r="X248" s="646">
        <v>22</v>
      </c>
      <c r="Y248" s="647">
        <v>23</v>
      </c>
      <c r="Z248" s="647">
        <v>24</v>
      </c>
      <c r="AA248" s="647">
        <v>25</v>
      </c>
      <c r="AB248" s="647">
        <v>26</v>
      </c>
      <c r="AC248" s="647">
        <v>27</v>
      </c>
      <c r="AD248" s="646">
        <v>28</v>
      </c>
      <c r="AE248" s="646">
        <v>29</v>
      </c>
      <c r="AF248" s="647">
        <v>30</v>
      </c>
      <c r="AG248" s="648">
        <v>31</v>
      </c>
      <c r="AH248" s="23"/>
      <c r="AI248" s="24"/>
    </row>
    <row r="249" spans="1:35" ht="24.75" customHeight="1">
      <c r="A249" s="567"/>
      <c r="B249" s="663"/>
      <c r="C249" s="570"/>
      <c r="D249" s="570" t="s">
        <v>31</v>
      </c>
      <c r="E249" s="570" t="s">
        <v>31</v>
      </c>
      <c r="F249" s="570" t="s">
        <v>31</v>
      </c>
      <c r="G249" s="803" t="s">
        <v>31</v>
      </c>
      <c r="H249" s="570" t="s">
        <v>31</v>
      </c>
      <c r="I249" s="570"/>
      <c r="J249" s="570"/>
      <c r="K249" s="568" t="s">
        <v>31</v>
      </c>
      <c r="L249" s="568" t="s">
        <v>31</v>
      </c>
      <c r="M249" s="568" t="s">
        <v>31</v>
      </c>
      <c r="N249" s="568" t="s">
        <v>31</v>
      </c>
      <c r="O249" s="568" t="s">
        <v>31</v>
      </c>
      <c r="P249" s="568"/>
      <c r="Q249" s="568"/>
      <c r="R249" s="568" t="s">
        <v>31</v>
      </c>
      <c r="S249" s="568" t="s">
        <v>31</v>
      </c>
      <c r="T249" s="568" t="s">
        <v>31</v>
      </c>
      <c r="U249" s="568" t="s">
        <v>31</v>
      </c>
      <c r="V249" s="568" t="s">
        <v>31</v>
      </c>
      <c r="W249" s="570"/>
      <c r="X249" s="570"/>
      <c r="Y249" s="570" t="s">
        <v>31</v>
      </c>
      <c r="Z249" s="570" t="s">
        <v>31</v>
      </c>
      <c r="AA249" s="570" t="s">
        <v>31</v>
      </c>
      <c r="AB249" s="570" t="s">
        <v>31</v>
      </c>
      <c r="AC249" s="751" t="s">
        <v>31</v>
      </c>
      <c r="AD249" s="569"/>
      <c r="AE249" s="569"/>
      <c r="AF249" s="569" t="s">
        <v>31</v>
      </c>
      <c r="AG249" s="1046" t="s">
        <v>31</v>
      </c>
      <c r="AH249" s="34"/>
      <c r="AI249" s="25"/>
    </row>
    <row r="250" spans="1:35" ht="24.75" customHeight="1">
      <c r="A250" s="567">
        <v>3702</v>
      </c>
      <c r="B250" s="663" t="s">
        <v>321</v>
      </c>
      <c r="C250" s="570"/>
      <c r="D250" s="570" t="s">
        <v>31</v>
      </c>
      <c r="E250" s="570" t="s">
        <v>31</v>
      </c>
      <c r="F250" s="570" t="s">
        <v>31</v>
      </c>
      <c r="G250" s="570" t="s">
        <v>31</v>
      </c>
      <c r="H250" s="570" t="s">
        <v>31</v>
      </c>
      <c r="I250" s="570"/>
      <c r="J250" s="570"/>
      <c r="K250" s="570" t="s">
        <v>31</v>
      </c>
      <c r="L250" s="570" t="s">
        <v>31</v>
      </c>
      <c r="M250" s="570" t="s">
        <v>31</v>
      </c>
      <c r="N250" s="570" t="s">
        <v>31</v>
      </c>
      <c r="O250" s="570" t="s">
        <v>31</v>
      </c>
      <c r="P250" s="570"/>
      <c r="Q250" s="570"/>
      <c r="R250" s="570" t="s">
        <v>31</v>
      </c>
      <c r="S250" s="570" t="s">
        <v>31</v>
      </c>
      <c r="T250" s="570" t="s">
        <v>31</v>
      </c>
      <c r="U250" s="570" t="s">
        <v>31</v>
      </c>
      <c r="V250" s="570" t="s">
        <v>31</v>
      </c>
      <c r="W250" s="570"/>
      <c r="X250" s="570"/>
      <c r="Y250" s="570" t="s">
        <v>31</v>
      </c>
      <c r="Z250" s="570" t="s">
        <v>31</v>
      </c>
      <c r="AA250" s="570" t="s">
        <v>31</v>
      </c>
      <c r="AB250" s="570" t="s">
        <v>31</v>
      </c>
      <c r="AC250" s="570" t="s">
        <v>31</v>
      </c>
      <c r="AD250" s="570"/>
      <c r="AE250" s="570"/>
      <c r="AF250" s="570" t="s">
        <v>31</v>
      </c>
      <c r="AG250" s="1046" t="s">
        <v>31</v>
      </c>
      <c r="AH250" s="34"/>
      <c r="AI250" s="25"/>
    </row>
    <row r="251" spans="1:35" ht="24.75" customHeight="1">
      <c r="A251" s="567"/>
      <c r="B251" s="663"/>
      <c r="C251" s="570"/>
      <c r="D251" s="570"/>
      <c r="E251" s="570"/>
      <c r="F251" s="570"/>
      <c r="G251" s="570"/>
      <c r="H251" s="570"/>
      <c r="I251" s="570"/>
      <c r="J251" s="570"/>
      <c r="K251" s="570"/>
      <c r="L251" s="570"/>
      <c r="M251" s="571"/>
      <c r="N251" s="570"/>
      <c r="O251" s="570"/>
      <c r="P251" s="570"/>
      <c r="Q251" s="570"/>
      <c r="R251" s="570"/>
      <c r="S251" s="570"/>
      <c r="T251" s="570"/>
      <c r="U251" s="570"/>
      <c r="V251" s="570"/>
      <c r="W251" s="570"/>
      <c r="X251" s="570"/>
      <c r="Y251" s="570"/>
      <c r="Z251" s="570"/>
      <c r="AA251" s="570"/>
      <c r="AB251" s="570"/>
      <c r="AC251" s="570"/>
      <c r="AD251" s="570"/>
      <c r="AE251" s="570"/>
      <c r="AF251" s="570"/>
      <c r="AG251" s="1046"/>
      <c r="AH251" s="34"/>
      <c r="AI251" s="25"/>
    </row>
    <row r="252" spans="1:35" ht="24.75" customHeight="1">
      <c r="A252" s="572"/>
      <c r="B252" s="118"/>
      <c r="C252" s="751"/>
      <c r="D252" s="751"/>
      <c r="E252" s="751"/>
      <c r="F252" s="751"/>
      <c r="G252" s="751"/>
      <c r="H252" s="751"/>
      <c r="I252" s="751"/>
      <c r="J252" s="751"/>
      <c r="K252" s="751"/>
      <c r="L252" s="751"/>
      <c r="M252" s="751"/>
      <c r="N252" s="751"/>
      <c r="O252" s="751"/>
      <c r="P252" s="751"/>
      <c r="Q252" s="751"/>
      <c r="R252" s="751"/>
      <c r="S252" s="751"/>
      <c r="T252" s="751"/>
      <c r="U252" s="751"/>
      <c r="V252" s="751"/>
      <c r="W252" s="751"/>
      <c r="X252" s="751"/>
      <c r="Y252" s="751"/>
      <c r="Z252" s="751"/>
      <c r="AA252" s="751"/>
      <c r="AB252" s="751"/>
      <c r="AC252" s="751"/>
      <c r="AD252" s="751"/>
      <c r="AE252" s="751"/>
      <c r="AF252" s="751"/>
      <c r="AG252" s="1047"/>
      <c r="AH252" s="34"/>
      <c r="AI252" s="25"/>
    </row>
    <row r="253" spans="1:35" ht="24.75" customHeight="1">
      <c r="A253" s="573"/>
      <c r="B253" s="668" t="s">
        <v>322</v>
      </c>
      <c r="C253" s="1048"/>
      <c r="D253" s="1048"/>
      <c r="E253" s="1048"/>
      <c r="F253" s="1048"/>
      <c r="G253" s="1048"/>
      <c r="H253" s="1048"/>
      <c r="I253" s="1048"/>
      <c r="J253" s="1048"/>
      <c r="K253" s="1048"/>
      <c r="L253" s="1048"/>
      <c r="M253" s="1048"/>
      <c r="N253" s="1048"/>
      <c r="O253" s="1048"/>
      <c r="P253" s="1048"/>
      <c r="Q253" s="1048"/>
      <c r="R253" s="1048"/>
      <c r="S253" s="1048"/>
      <c r="T253" s="1048"/>
      <c r="U253" s="1048"/>
      <c r="V253" s="1048"/>
      <c r="W253" s="1048"/>
      <c r="X253" s="1048"/>
      <c r="Y253" s="1048"/>
      <c r="Z253" s="1048"/>
      <c r="AA253" s="1048"/>
      <c r="AB253" s="1048"/>
      <c r="AC253" s="1048"/>
      <c r="AD253" s="1048"/>
      <c r="AE253" s="1048"/>
      <c r="AF253" s="1048"/>
      <c r="AG253" s="1049"/>
      <c r="AH253" s="119"/>
      <c r="AI253" s="26"/>
    </row>
    <row r="254" spans="1:35" ht="24.75" customHeight="1">
      <c r="A254" s="567">
        <v>3702</v>
      </c>
      <c r="B254" s="1017" t="s">
        <v>323</v>
      </c>
      <c r="C254" s="570"/>
      <c r="D254" s="570" t="s">
        <v>152</v>
      </c>
      <c r="E254" s="570" t="s">
        <v>152</v>
      </c>
      <c r="F254" s="958" t="s">
        <v>152</v>
      </c>
      <c r="G254" s="958" t="s">
        <v>152</v>
      </c>
      <c r="H254" s="958" t="s">
        <v>152</v>
      </c>
      <c r="I254" s="958"/>
      <c r="J254" s="958"/>
      <c r="K254" s="958" t="s">
        <v>324</v>
      </c>
      <c r="L254" s="570" t="s">
        <v>152</v>
      </c>
      <c r="M254" s="570" t="s">
        <v>152</v>
      </c>
      <c r="N254" s="570" t="s">
        <v>152</v>
      </c>
      <c r="O254" s="570" t="s">
        <v>152</v>
      </c>
      <c r="P254" s="570"/>
      <c r="Q254" s="570"/>
      <c r="R254" s="570" t="s">
        <v>152</v>
      </c>
      <c r="S254" s="570" t="s">
        <v>152</v>
      </c>
      <c r="T254" s="570" t="s">
        <v>152</v>
      </c>
      <c r="U254" s="803" t="s">
        <v>152</v>
      </c>
      <c r="V254" s="570" t="s">
        <v>152</v>
      </c>
      <c r="W254" s="570"/>
      <c r="X254" s="570"/>
      <c r="Y254" s="570" t="s">
        <v>152</v>
      </c>
      <c r="Z254" s="570" t="s">
        <v>152</v>
      </c>
      <c r="AA254" s="570" t="s">
        <v>152</v>
      </c>
      <c r="AB254" s="570" t="s">
        <v>152</v>
      </c>
      <c r="AC254" s="570" t="s">
        <v>152</v>
      </c>
      <c r="AD254" s="570"/>
      <c r="AE254" s="570"/>
      <c r="AF254" s="570" t="s">
        <v>152</v>
      </c>
      <c r="AG254" s="1046" t="s">
        <v>152</v>
      </c>
      <c r="AH254" s="34"/>
      <c r="AI254" s="25"/>
    </row>
    <row r="255" spans="1:35" ht="24.75" customHeight="1">
      <c r="A255" s="567"/>
      <c r="B255" s="1013" t="s">
        <v>325</v>
      </c>
      <c r="C255" s="570"/>
      <c r="D255" s="570" t="s">
        <v>326</v>
      </c>
      <c r="E255" s="570" t="s">
        <v>326</v>
      </c>
      <c r="F255" s="570" t="s">
        <v>326</v>
      </c>
      <c r="G255" s="575" t="s">
        <v>326</v>
      </c>
      <c r="H255" s="575" t="s">
        <v>326</v>
      </c>
      <c r="I255" s="570"/>
      <c r="J255" s="570"/>
      <c r="K255" s="570" t="s">
        <v>326</v>
      </c>
      <c r="L255" s="570" t="s">
        <v>326</v>
      </c>
      <c r="M255" s="570" t="s">
        <v>326</v>
      </c>
      <c r="N255" s="570" t="s">
        <v>326</v>
      </c>
      <c r="O255" s="570" t="s">
        <v>326</v>
      </c>
      <c r="P255" s="570"/>
      <c r="Q255" s="570"/>
      <c r="R255" s="568" t="s">
        <v>326</v>
      </c>
      <c r="S255" s="568" t="s">
        <v>326</v>
      </c>
      <c r="T255" s="568" t="s">
        <v>326</v>
      </c>
      <c r="U255" s="568" t="s">
        <v>326</v>
      </c>
      <c r="V255" s="681" t="s">
        <v>326</v>
      </c>
      <c r="W255" s="803"/>
      <c r="X255" s="570"/>
      <c r="Y255" s="570" t="s">
        <v>326</v>
      </c>
      <c r="Z255" s="570" t="s">
        <v>326</v>
      </c>
      <c r="AA255" s="570" t="s">
        <v>326</v>
      </c>
      <c r="AB255" s="570" t="s">
        <v>326</v>
      </c>
      <c r="AC255" s="570" t="s">
        <v>326</v>
      </c>
      <c r="AD255" s="570"/>
      <c r="AE255" s="570"/>
      <c r="AF255" s="570" t="s">
        <v>326</v>
      </c>
      <c r="AG255" s="1046" t="s">
        <v>326</v>
      </c>
      <c r="AH255" s="34"/>
      <c r="AI255" s="25"/>
    </row>
    <row r="256" spans="1:35" ht="24.75" customHeight="1" thickBot="1">
      <c r="A256" s="576"/>
      <c r="B256" s="1022" t="s">
        <v>327</v>
      </c>
      <c r="C256" s="577"/>
      <c r="D256" s="577" t="s">
        <v>328</v>
      </c>
      <c r="E256" s="577" t="s">
        <v>328</v>
      </c>
      <c r="F256" s="577" t="s">
        <v>328</v>
      </c>
      <c r="G256" s="577" t="s">
        <v>328</v>
      </c>
      <c r="H256" s="1050" t="s">
        <v>328</v>
      </c>
      <c r="I256" s="577"/>
      <c r="J256" s="577"/>
      <c r="K256" s="577" t="s">
        <v>328</v>
      </c>
      <c r="L256" s="577" t="s">
        <v>328</v>
      </c>
      <c r="M256" s="577" t="s">
        <v>328</v>
      </c>
      <c r="N256" s="577" t="s">
        <v>328</v>
      </c>
      <c r="O256" s="577" t="s">
        <v>328</v>
      </c>
      <c r="P256" s="577"/>
      <c r="Q256" s="577"/>
      <c r="R256" s="577" t="s">
        <v>328</v>
      </c>
      <c r="S256" s="577" t="s">
        <v>328</v>
      </c>
      <c r="T256" s="577" t="s">
        <v>328</v>
      </c>
      <c r="U256" s="577" t="s">
        <v>328</v>
      </c>
      <c r="V256" s="577" t="s">
        <v>328</v>
      </c>
      <c r="W256" s="577"/>
      <c r="X256" s="577"/>
      <c r="Y256" s="577" t="s">
        <v>328</v>
      </c>
      <c r="Z256" s="577" t="s">
        <v>328</v>
      </c>
      <c r="AA256" s="577" t="s">
        <v>328</v>
      </c>
      <c r="AB256" s="577" t="s">
        <v>328</v>
      </c>
      <c r="AC256" s="577" t="s">
        <v>328</v>
      </c>
      <c r="AD256" s="578"/>
      <c r="AE256" s="577"/>
      <c r="AF256" s="679" t="s">
        <v>44</v>
      </c>
      <c r="AG256" s="679" t="s">
        <v>44</v>
      </c>
      <c r="AH256" s="34"/>
      <c r="AI256" s="25"/>
    </row>
    <row r="257" spans="1:35" ht="24.75" customHeight="1"/>
    <row r="258" spans="1:35" ht="24.75" customHeight="1"/>
    <row r="259" spans="1:35" ht="24.75" customHeight="1" thickBot="1">
      <c r="A259" s="14" t="s">
        <v>329</v>
      </c>
    </row>
    <row r="260" spans="1:35" ht="24.75" customHeight="1">
      <c r="B260" s="1036" t="s">
        <v>281</v>
      </c>
      <c r="C260" s="901"/>
      <c r="D260" s="925" t="s">
        <v>87</v>
      </c>
      <c r="E260" s="705"/>
      <c r="F260" s="905"/>
      <c r="G260" s="901"/>
      <c r="H260" s="925" t="s">
        <v>88</v>
      </c>
      <c r="I260" s="705"/>
      <c r="J260" s="905"/>
      <c r="K260" s="901"/>
      <c r="L260" s="925" t="s">
        <v>89</v>
      </c>
      <c r="M260" s="705"/>
      <c r="N260" s="905"/>
      <c r="O260" s="901"/>
      <c r="P260" s="925" t="s">
        <v>90</v>
      </c>
      <c r="Q260" s="705"/>
      <c r="R260" s="905"/>
      <c r="S260" s="901"/>
      <c r="T260" s="925" t="s">
        <v>91</v>
      </c>
      <c r="U260" s="705"/>
      <c r="V260" s="905"/>
      <c r="W260" s="901"/>
      <c r="X260" s="925" t="s">
        <v>92</v>
      </c>
      <c r="Y260" s="705"/>
      <c r="Z260" s="905"/>
      <c r="AA260" s="901"/>
      <c r="AB260" s="925" t="s">
        <v>93</v>
      </c>
      <c r="AC260" s="705"/>
      <c r="AD260" s="705"/>
      <c r="AE260" s="928" t="s">
        <v>94</v>
      </c>
      <c r="AF260" s="705"/>
      <c r="AG260" s="705"/>
      <c r="AH260" s="705"/>
      <c r="AI260" s="706"/>
    </row>
    <row r="261" spans="1:35" ht="24.75" customHeight="1">
      <c r="B261" s="116">
        <v>8500</v>
      </c>
      <c r="C261" s="772" t="s">
        <v>330</v>
      </c>
      <c r="D261" s="111"/>
      <c r="E261" s="8"/>
      <c r="F261" s="120"/>
      <c r="G261" s="772" t="s">
        <v>330</v>
      </c>
      <c r="H261" s="111"/>
      <c r="I261" s="8"/>
      <c r="J261" s="120"/>
      <c r="K261" s="772" t="s">
        <v>330</v>
      </c>
      <c r="L261" s="111"/>
      <c r="M261" s="8"/>
      <c r="N261" s="120"/>
      <c r="O261" s="772" t="s">
        <v>330</v>
      </c>
      <c r="P261" s="111"/>
      <c r="Q261" s="8"/>
      <c r="R261" s="120"/>
      <c r="S261" s="772" t="s">
        <v>331</v>
      </c>
      <c r="T261" s="111"/>
      <c r="U261" s="8"/>
      <c r="V261" s="120"/>
      <c r="W261" s="121"/>
      <c r="X261" s="111"/>
      <c r="Y261" s="8"/>
      <c r="Z261" s="120"/>
      <c r="AA261" s="121"/>
      <c r="AB261" s="111"/>
      <c r="AC261" s="8"/>
      <c r="AD261" s="8"/>
      <c r="AE261" s="112"/>
      <c r="AF261" s="8"/>
      <c r="AG261" s="8"/>
      <c r="AH261" s="8"/>
      <c r="AI261" s="105"/>
    </row>
    <row r="262" spans="1:35" ht="24.75" customHeight="1" thickBot="1">
      <c r="A262" s="87"/>
      <c r="B262" s="579"/>
      <c r="C262" s="1051"/>
      <c r="D262" s="1052"/>
      <c r="E262" s="1037"/>
      <c r="F262" s="1038"/>
      <c r="G262" s="1051"/>
      <c r="H262" s="1039"/>
      <c r="I262" s="1037"/>
      <c r="J262" s="1038"/>
      <c r="K262" s="1051"/>
      <c r="L262" s="1039"/>
      <c r="M262" s="1037"/>
      <c r="N262" s="1038"/>
      <c r="O262" s="1051"/>
      <c r="P262" s="1039"/>
      <c r="Q262" s="1037"/>
      <c r="R262" s="1038"/>
      <c r="S262" s="1051"/>
      <c r="T262" s="1039"/>
      <c r="U262" s="1037"/>
      <c r="V262" s="1038"/>
      <c r="W262" s="1040"/>
      <c r="X262" s="1039"/>
      <c r="Y262" s="1037"/>
      <c r="Z262" s="1038"/>
      <c r="AA262" s="1040"/>
      <c r="AB262" s="1039"/>
      <c r="AC262" s="1037"/>
      <c r="AD262" s="1037"/>
      <c r="AE262" s="1044"/>
      <c r="AF262" s="1037"/>
      <c r="AG262" s="1037"/>
      <c r="AH262" s="1037"/>
      <c r="AI262" s="1045"/>
    </row>
    <row r="263" spans="1:35" ht="24.75" customHeight="1">
      <c r="A263" s="122" t="s">
        <v>332</v>
      </c>
    </row>
    <row r="264" spans="1:35" ht="24.75" customHeight="1" thickBot="1">
      <c r="A264" s="580"/>
      <c r="B264" s="566" t="s">
        <v>29</v>
      </c>
      <c r="C264" s="646">
        <v>1</v>
      </c>
      <c r="D264" s="647">
        <v>2</v>
      </c>
      <c r="E264" s="647">
        <v>3</v>
      </c>
      <c r="F264" s="647">
        <v>4</v>
      </c>
      <c r="G264" s="647">
        <v>5</v>
      </c>
      <c r="H264" s="647">
        <v>6</v>
      </c>
      <c r="I264" s="646">
        <v>7</v>
      </c>
      <c r="J264" s="646">
        <v>8</v>
      </c>
      <c r="K264" s="647">
        <v>9</v>
      </c>
      <c r="L264" s="647">
        <v>10</v>
      </c>
      <c r="M264" s="647">
        <v>11</v>
      </c>
      <c r="N264" s="647">
        <v>12</v>
      </c>
      <c r="O264" s="647">
        <v>13</v>
      </c>
      <c r="P264" s="646">
        <v>14</v>
      </c>
      <c r="Q264" s="646">
        <v>15</v>
      </c>
      <c r="R264" s="647">
        <v>16</v>
      </c>
      <c r="S264" s="647">
        <v>17</v>
      </c>
      <c r="T264" s="647">
        <v>18</v>
      </c>
      <c r="U264" s="647">
        <v>19</v>
      </c>
      <c r="V264" s="647">
        <v>20</v>
      </c>
      <c r="W264" s="646">
        <v>21</v>
      </c>
      <c r="X264" s="646">
        <v>22</v>
      </c>
      <c r="Y264" s="647">
        <v>23</v>
      </c>
      <c r="Z264" s="647">
        <v>24</v>
      </c>
      <c r="AA264" s="647">
        <v>25</v>
      </c>
      <c r="AB264" s="647">
        <v>26</v>
      </c>
      <c r="AC264" s="647">
        <v>27</v>
      </c>
      <c r="AD264" s="646">
        <v>28</v>
      </c>
      <c r="AE264" s="646">
        <v>29</v>
      </c>
      <c r="AF264" s="647">
        <v>30</v>
      </c>
      <c r="AG264" s="648">
        <v>31</v>
      </c>
      <c r="AH264" s="23"/>
      <c r="AI264" s="24"/>
    </row>
    <row r="265" spans="1:35" ht="24.75" customHeight="1">
      <c r="A265" s="121">
        <v>8500</v>
      </c>
      <c r="B265" s="123" t="s">
        <v>333</v>
      </c>
      <c r="C265" s="1053"/>
      <c r="D265" s="1031" t="s">
        <v>31</v>
      </c>
      <c r="E265" s="1053" t="s">
        <v>31</v>
      </c>
      <c r="F265" s="1053" t="s">
        <v>31</v>
      </c>
      <c r="G265" s="1053" t="s">
        <v>31</v>
      </c>
      <c r="H265" s="1053" t="s">
        <v>31</v>
      </c>
      <c r="I265" s="1053"/>
      <c r="J265" s="1053"/>
      <c r="K265" s="1053" t="s">
        <v>31</v>
      </c>
      <c r="L265" s="1053" t="s">
        <v>31</v>
      </c>
      <c r="M265" s="1053" t="s">
        <v>31</v>
      </c>
      <c r="N265" s="1053" t="s">
        <v>31</v>
      </c>
      <c r="O265" s="1053" t="s">
        <v>31</v>
      </c>
      <c r="P265" s="1053"/>
      <c r="Q265" s="1053"/>
      <c r="R265" s="1053" t="s">
        <v>31</v>
      </c>
      <c r="S265" s="1053" t="s">
        <v>31</v>
      </c>
      <c r="T265" s="1053" t="s">
        <v>31</v>
      </c>
      <c r="U265" s="1053" t="s">
        <v>31</v>
      </c>
      <c r="V265" s="1053" t="s">
        <v>31</v>
      </c>
      <c r="W265" s="1053"/>
      <c r="X265" s="1053"/>
      <c r="Y265" s="1053" t="s">
        <v>31</v>
      </c>
      <c r="Z265" s="1053" t="s">
        <v>31</v>
      </c>
      <c r="AA265" s="1053" t="s">
        <v>31</v>
      </c>
      <c r="AB265" s="1053" t="s">
        <v>31</v>
      </c>
      <c r="AC265" s="1053" t="s">
        <v>31</v>
      </c>
      <c r="AD265" s="1053"/>
      <c r="AE265" s="1053"/>
      <c r="AF265" s="1053" t="s">
        <v>31</v>
      </c>
      <c r="AG265" s="502" t="s">
        <v>31</v>
      </c>
      <c r="AH265" s="124"/>
      <c r="AI265" s="125"/>
    </row>
    <row r="266" spans="1:35" ht="24.75" customHeight="1">
      <c r="A266" s="774"/>
      <c r="B266" s="581" t="s">
        <v>334</v>
      </c>
      <c r="C266" s="502"/>
      <c r="D266" s="690" t="s">
        <v>31</v>
      </c>
      <c r="E266" s="690" t="s">
        <v>31</v>
      </c>
      <c r="F266" s="690" t="s">
        <v>31</v>
      </c>
      <c r="G266" s="690" t="s">
        <v>31</v>
      </c>
      <c r="H266" s="690" t="s">
        <v>31</v>
      </c>
      <c r="I266" s="690"/>
      <c r="J266" s="690"/>
      <c r="K266" s="690" t="s">
        <v>31</v>
      </c>
      <c r="L266" s="690" t="s">
        <v>31</v>
      </c>
      <c r="M266" s="690" t="s">
        <v>31</v>
      </c>
      <c r="N266" s="1054" t="s">
        <v>31</v>
      </c>
      <c r="O266" s="1054" t="s">
        <v>31</v>
      </c>
      <c r="P266" s="502"/>
      <c r="Q266" s="502"/>
      <c r="R266" s="502" t="s">
        <v>31</v>
      </c>
      <c r="S266" s="502" t="s">
        <v>31</v>
      </c>
      <c r="T266" s="502" t="s">
        <v>31</v>
      </c>
      <c r="U266" s="502" t="s">
        <v>31</v>
      </c>
      <c r="V266" s="502" t="s">
        <v>31</v>
      </c>
      <c r="W266" s="502"/>
      <c r="X266" s="502"/>
      <c r="Y266" s="502" t="s">
        <v>31</v>
      </c>
      <c r="Z266" s="502" t="s">
        <v>31</v>
      </c>
      <c r="AA266" s="502" t="s">
        <v>31</v>
      </c>
      <c r="AB266" s="502" t="s">
        <v>31</v>
      </c>
      <c r="AC266" s="502" t="s">
        <v>31</v>
      </c>
      <c r="AD266" s="502"/>
      <c r="AE266" s="502"/>
      <c r="AF266" s="502" t="s">
        <v>31</v>
      </c>
      <c r="AG266" s="502" t="s">
        <v>31</v>
      </c>
      <c r="AH266" s="124"/>
      <c r="AI266" s="125"/>
    </row>
    <row r="267" spans="1:35" ht="24.75" customHeight="1">
      <c r="A267" s="1055"/>
      <c r="B267" s="581" t="s">
        <v>335</v>
      </c>
      <c r="C267" s="502"/>
      <c r="D267" s="502" t="s">
        <v>31</v>
      </c>
      <c r="E267" s="502" t="s">
        <v>31</v>
      </c>
      <c r="F267" s="534" t="s">
        <v>31</v>
      </c>
      <c r="G267" s="534" t="s">
        <v>336</v>
      </c>
      <c r="H267" s="518" t="s">
        <v>31</v>
      </c>
      <c r="I267" s="502"/>
      <c r="J267" s="502"/>
      <c r="K267" s="502" t="s">
        <v>31</v>
      </c>
      <c r="L267" s="502" t="s">
        <v>31</v>
      </c>
      <c r="M267" s="502" t="s">
        <v>31</v>
      </c>
      <c r="N267" s="687" t="s">
        <v>31</v>
      </c>
      <c r="O267" s="687" t="s">
        <v>31</v>
      </c>
      <c r="P267" s="502"/>
      <c r="Q267" s="502"/>
      <c r="R267" s="687" t="s">
        <v>31</v>
      </c>
      <c r="S267" s="502" t="s">
        <v>31</v>
      </c>
      <c r="T267" s="502" t="s">
        <v>31</v>
      </c>
      <c r="U267" s="502" t="s">
        <v>31</v>
      </c>
      <c r="V267" s="502" t="s">
        <v>31</v>
      </c>
      <c r="W267" s="502"/>
      <c r="X267" s="502"/>
      <c r="Y267" s="502" t="s">
        <v>31</v>
      </c>
      <c r="Z267" s="502" t="s">
        <v>31</v>
      </c>
      <c r="AA267" s="502" t="s">
        <v>31</v>
      </c>
      <c r="AB267" s="502" t="s">
        <v>31</v>
      </c>
      <c r="AC267" s="502" t="s">
        <v>31</v>
      </c>
      <c r="AD267" s="502"/>
      <c r="AE267" s="502"/>
      <c r="AF267" s="502" t="s">
        <v>31</v>
      </c>
      <c r="AG267" s="687" t="s">
        <v>31</v>
      </c>
      <c r="AH267" s="124"/>
      <c r="AI267" s="125"/>
    </row>
    <row r="268" spans="1:35" ht="24.75" customHeight="1">
      <c r="A268" s="29"/>
      <c r="B268" s="582"/>
      <c r="C268" s="502"/>
      <c r="D268" s="502"/>
      <c r="E268" s="502"/>
      <c r="F268" s="502"/>
      <c r="G268" s="502"/>
      <c r="H268" s="502"/>
      <c r="I268" s="502"/>
      <c r="J268" s="502"/>
      <c r="K268" s="502"/>
      <c r="L268" s="502"/>
      <c r="M268" s="502"/>
      <c r="N268" s="502"/>
      <c r="O268" s="502"/>
      <c r="P268" s="502"/>
      <c r="Q268" s="502"/>
      <c r="R268" s="502"/>
      <c r="S268" s="502"/>
      <c r="T268" s="502"/>
      <c r="U268" s="502"/>
      <c r="V268" s="502"/>
      <c r="W268" s="502"/>
      <c r="X268" s="502"/>
      <c r="Y268" s="502"/>
      <c r="Z268" s="502"/>
      <c r="AA268" s="502"/>
      <c r="AB268" s="502"/>
      <c r="AC268" s="502"/>
      <c r="AD268" s="502"/>
      <c r="AE268" s="502"/>
      <c r="AF268" s="502"/>
      <c r="AG268" s="505"/>
      <c r="AH268" s="124"/>
      <c r="AI268" s="125"/>
    </row>
    <row r="269" spans="1:35" ht="24.75" customHeight="1">
      <c r="A269" s="499"/>
      <c r="B269" s="582"/>
      <c r="C269" s="570"/>
      <c r="D269" s="570"/>
      <c r="E269" s="570"/>
      <c r="F269" s="570"/>
      <c r="G269" s="570"/>
      <c r="H269" s="570"/>
      <c r="I269" s="570"/>
      <c r="J269" s="570"/>
      <c r="K269" s="570"/>
      <c r="L269" s="570"/>
      <c r="M269" s="570"/>
      <c r="N269" s="751"/>
      <c r="O269" s="751"/>
      <c r="P269" s="570"/>
      <c r="Q269" s="570"/>
      <c r="R269" s="570"/>
      <c r="S269" s="570"/>
      <c r="T269" s="570"/>
      <c r="U269" s="570"/>
      <c r="V269" s="570"/>
      <c r="W269" s="570"/>
      <c r="X269" s="570"/>
      <c r="Y269" s="570"/>
      <c r="Z269" s="570"/>
      <c r="AA269" s="570"/>
      <c r="AB269" s="751"/>
      <c r="AC269" s="751"/>
      <c r="AD269" s="570"/>
      <c r="AE269" s="570"/>
      <c r="AF269" s="570"/>
      <c r="AG269" s="570"/>
      <c r="AH269" s="126"/>
      <c r="AI269" s="127"/>
    </row>
    <row r="270" spans="1:35" ht="24.75" customHeight="1">
      <c r="A270" s="500"/>
      <c r="B270" s="583"/>
      <c r="C270" s="570"/>
      <c r="D270" s="570"/>
      <c r="E270" s="570"/>
      <c r="F270" s="570"/>
      <c r="G270" s="570"/>
      <c r="H270" s="570"/>
      <c r="I270" s="570"/>
      <c r="J270" s="570"/>
      <c r="K270" s="570"/>
      <c r="L270" s="570"/>
      <c r="M270" s="570"/>
      <c r="N270" s="751"/>
      <c r="O270" s="751"/>
      <c r="P270" s="570"/>
      <c r="Q270" s="570"/>
      <c r="R270" s="570"/>
      <c r="S270" s="570"/>
      <c r="T270" s="570"/>
      <c r="U270" s="570"/>
      <c r="V270" s="570"/>
      <c r="W270" s="570"/>
      <c r="X270" s="570"/>
      <c r="Y270" s="570"/>
      <c r="Z270" s="570"/>
      <c r="AA270" s="570"/>
      <c r="AB270" s="751"/>
      <c r="AC270" s="751"/>
      <c r="AD270" s="570"/>
      <c r="AE270" s="570"/>
      <c r="AF270" s="570"/>
      <c r="AG270" s="570"/>
      <c r="AH270" s="126"/>
      <c r="AI270" s="127"/>
    </row>
    <row r="271" spans="1:35" ht="24.75" customHeight="1" thickBot="1">
      <c r="A271" s="691"/>
      <c r="B271" s="413"/>
      <c r="C271" s="584"/>
      <c r="D271" s="585"/>
      <c r="E271" s="585"/>
      <c r="F271" s="585"/>
      <c r="G271" s="585"/>
      <c r="H271" s="585"/>
      <c r="I271" s="585"/>
      <c r="J271" s="585"/>
      <c r="K271" s="585"/>
      <c r="L271" s="585"/>
      <c r="M271" s="585"/>
      <c r="N271" s="586"/>
      <c r="O271" s="586"/>
      <c r="P271" s="585"/>
      <c r="Q271" s="585"/>
      <c r="R271" s="585"/>
      <c r="S271" s="585"/>
      <c r="T271" s="585"/>
      <c r="U271" s="585"/>
      <c r="V271" s="585"/>
      <c r="W271" s="585"/>
      <c r="X271" s="585"/>
      <c r="Y271" s="585"/>
      <c r="Z271" s="585"/>
      <c r="AA271" s="585"/>
      <c r="AB271" s="586"/>
      <c r="AC271" s="586"/>
      <c r="AD271" s="585"/>
      <c r="AE271" s="585"/>
      <c r="AF271" s="585"/>
      <c r="AG271" s="587"/>
      <c r="AH271" s="126"/>
      <c r="AI271" s="127"/>
    </row>
    <row r="272" spans="1:35" ht="24.75" customHeight="1"/>
    <row r="273" spans="1:35" ht="24.75" customHeight="1" thickBot="1">
      <c r="A273" s="14" t="s">
        <v>337</v>
      </c>
    </row>
    <row r="274" spans="1:35" ht="24.75" customHeight="1">
      <c r="A274" s="1"/>
      <c r="B274" s="1036" t="s">
        <v>281</v>
      </c>
      <c r="C274" s="901"/>
      <c r="D274" s="925" t="s">
        <v>87</v>
      </c>
      <c r="E274" s="705"/>
      <c r="F274" s="905"/>
      <c r="G274" s="901"/>
      <c r="H274" s="925" t="s">
        <v>88</v>
      </c>
      <c r="I274" s="705"/>
      <c r="J274" s="905"/>
      <c r="K274" s="901"/>
      <c r="L274" s="925" t="s">
        <v>89</v>
      </c>
      <c r="M274" s="705"/>
      <c r="N274" s="905"/>
      <c r="O274" s="901"/>
      <c r="P274" s="925" t="s">
        <v>90</v>
      </c>
      <c r="Q274" s="705"/>
      <c r="R274" s="905"/>
      <c r="S274" s="901"/>
      <c r="T274" s="925" t="s">
        <v>91</v>
      </c>
      <c r="U274" s="705"/>
      <c r="V274" s="905"/>
      <c r="W274" s="901"/>
      <c r="X274" s="925" t="s">
        <v>92</v>
      </c>
      <c r="Y274" s="705"/>
      <c r="Z274" s="905"/>
      <c r="AA274" s="901"/>
      <c r="AB274" s="925" t="s">
        <v>93</v>
      </c>
      <c r="AC274" s="705"/>
      <c r="AD274" s="705"/>
      <c r="AE274" s="928" t="s">
        <v>94</v>
      </c>
      <c r="AF274" s="705"/>
      <c r="AG274" s="705"/>
      <c r="AH274" s="705"/>
      <c r="AI274" s="706"/>
    </row>
    <row r="275" spans="1:35" ht="24.75" customHeight="1">
      <c r="A275" s="1"/>
      <c r="B275" s="116"/>
      <c r="C275" s="121"/>
      <c r="D275" s="111"/>
      <c r="E275" s="8"/>
      <c r="F275" s="120"/>
      <c r="G275" s="121"/>
      <c r="H275" s="111"/>
      <c r="I275" s="8"/>
      <c r="J275" s="120"/>
      <c r="K275" s="121"/>
      <c r="L275" s="111"/>
      <c r="M275" s="8"/>
      <c r="N275" s="120"/>
      <c r="O275" s="121"/>
      <c r="P275" s="111"/>
      <c r="Q275" s="8"/>
      <c r="R275" s="120"/>
      <c r="S275" s="121"/>
      <c r="T275" s="111"/>
      <c r="U275" s="8"/>
      <c r="V275" s="120"/>
      <c r="W275" s="121"/>
      <c r="X275" s="111"/>
      <c r="Y275" s="8"/>
      <c r="Z275" s="120"/>
      <c r="AA275" s="121"/>
      <c r="AB275" s="111"/>
      <c r="AC275" s="8"/>
      <c r="AD275" s="8"/>
      <c r="AE275" s="112"/>
      <c r="AF275" s="8"/>
      <c r="AG275" s="8"/>
      <c r="AH275" s="8"/>
      <c r="AI275" s="105"/>
    </row>
    <row r="276" spans="1:35" ht="24.75" customHeight="1">
      <c r="A276" s="87"/>
      <c r="B276" s="562"/>
      <c r="C276" s="772"/>
      <c r="D276" s="628"/>
      <c r="E276" s="628"/>
      <c r="F276" s="933"/>
      <c r="G276" s="772"/>
      <c r="H276" s="628"/>
      <c r="I276" s="628"/>
      <c r="J276" s="933"/>
      <c r="K276" s="772"/>
      <c r="L276" s="628"/>
      <c r="M276" s="628"/>
      <c r="N276" s="933"/>
      <c r="O276" s="772"/>
      <c r="P276" s="628"/>
      <c r="Q276" s="628"/>
      <c r="R276" s="933"/>
      <c r="S276" s="772"/>
      <c r="T276" s="628"/>
      <c r="U276" s="628"/>
      <c r="V276" s="933"/>
      <c r="W276" s="772"/>
      <c r="X276" s="628"/>
      <c r="Y276" s="628"/>
      <c r="Z276" s="933"/>
      <c r="AA276" s="931"/>
      <c r="AB276" s="628"/>
      <c r="AC276" s="628"/>
      <c r="AD276" s="773"/>
      <c r="AE276" s="1056"/>
      <c r="AF276" s="628"/>
      <c r="AG276" s="628"/>
      <c r="AH276" s="773"/>
      <c r="AI276" s="637"/>
    </row>
    <row r="277" spans="1:35" ht="24.75" customHeight="1" thickBot="1">
      <c r="A277" s="1"/>
      <c r="B277" s="943"/>
      <c r="C277" s="944"/>
      <c r="D277" s="718"/>
      <c r="E277" s="718"/>
      <c r="F277" s="968"/>
      <c r="G277" s="944"/>
      <c r="H277" s="718"/>
      <c r="I277" s="718"/>
      <c r="J277" s="968"/>
      <c r="K277" s="944"/>
      <c r="L277" s="718"/>
      <c r="M277" s="718"/>
      <c r="N277" s="968"/>
      <c r="O277" s="944"/>
      <c r="P277" s="718"/>
      <c r="Q277" s="718"/>
      <c r="R277" s="968"/>
      <c r="S277" s="944"/>
      <c r="T277" s="718"/>
      <c r="U277" s="718"/>
      <c r="V277" s="968"/>
      <c r="W277" s="966"/>
      <c r="X277" s="718"/>
      <c r="Y277" s="718"/>
      <c r="Z277" s="968"/>
      <c r="AA277" s="966"/>
      <c r="AB277" s="718"/>
      <c r="AC277" s="718"/>
      <c r="AD277" s="951"/>
      <c r="AE277" s="966"/>
      <c r="AF277" s="718"/>
      <c r="AG277" s="718"/>
      <c r="AH277" s="951"/>
      <c r="AI277" s="725"/>
    </row>
    <row r="278" spans="1:35" ht="24.75" customHeight="1">
      <c r="A278" s="1"/>
      <c r="B278" s="113"/>
      <c r="C278" s="37"/>
      <c r="F278" s="22"/>
      <c r="G278" s="37"/>
      <c r="J278" s="22"/>
      <c r="K278" s="37"/>
      <c r="N278" s="22"/>
      <c r="O278" s="37"/>
      <c r="R278" s="22"/>
      <c r="S278" s="37"/>
      <c r="V278" s="22"/>
      <c r="W278" s="22"/>
      <c r="Z278" s="22"/>
      <c r="AA278" s="22"/>
      <c r="AD278" s="22"/>
      <c r="AE278" s="22"/>
      <c r="AH278" s="22"/>
    </row>
    <row r="279" spans="1:35" ht="24.75" customHeight="1">
      <c r="A279" s="14" t="s">
        <v>338</v>
      </c>
      <c r="B279" s="113"/>
      <c r="C279" s="37"/>
      <c r="F279" s="22"/>
      <c r="G279" s="37"/>
      <c r="J279" s="22"/>
      <c r="K279" s="37"/>
      <c r="N279" s="22"/>
      <c r="O279" s="37"/>
      <c r="R279" s="22"/>
      <c r="S279" s="37"/>
      <c r="V279" s="22"/>
      <c r="W279" s="22"/>
      <c r="Z279" s="22"/>
      <c r="AA279" s="22"/>
      <c r="AD279" s="22"/>
      <c r="AE279" s="22"/>
      <c r="AH279" s="22"/>
    </row>
    <row r="280" spans="1:35" ht="24.75" customHeight="1" thickBot="1">
      <c r="A280" s="565" t="s">
        <v>28</v>
      </c>
      <c r="B280" s="566" t="s">
        <v>29</v>
      </c>
      <c r="C280" s="647">
        <v>1</v>
      </c>
      <c r="D280" s="647">
        <v>2</v>
      </c>
      <c r="E280" s="647">
        <v>3</v>
      </c>
      <c r="F280" s="647">
        <v>4</v>
      </c>
      <c r="G280" s="647">
        <v>5</v>
      </c>
      <c r="H280" s="647">
        <v>6</v>
      </c>
      <c r="I280" s="647">
        <v>7</v>
      </c>
      <c r="J280" s="647">
        <v>8</v>
      </c>
      <c r="K280" s="647">
        <v>9</v>
      </c>
      <c r="L280" s="647">
        <v>10</v>
      </c>
      <c r="M280" s="647">
        <v>11</v>
      </c>
      <c r="N280" s="647">
        <v>12</v>
      </c>
      <c r="O280" s="647">
        <v>13</v>
      </c>
      <c r="P280" s="647">
        <v>14</v>
      </c>
      <c r="Q280" s="647">
        <v>15</v>
      </c>
      <c r="R280" s="647">
        <v>16</v>
      </c>
      <c r="S280" s="647">
        <v>17</v>
      </c>
      <c r="T280" s="647">
        <v>18</v>
      </c>
      <c r="U280" s="647">
        <v>19</v>
      </c>
      <c r="V280" s="647">
        <v>20</v>
      </c>
      <c r="W280" s="647">
        <v>21</v>
      </c>
      <c r="X280" s="647">
        <v>22</v>
      </c>
      <c r="Y280" s="647">
        <v>23</v>
      </c>
      <c r="Z280" s="647">
        <v>24</v>
      </c>
      <c r="AA280" s="647">
        <v>25</v>
      </c>
      <c r="AB280" s="647">
        <v>26</v>
      </c>
      <c r="AC280" s="647">
        <v>27</v>
      </c>
      <c r="AD280" s="647">
        <v>28</v>
      </c>
      <c r="AE280" s="647">
        <v>29</v>
      </c>
      <c r="AF280" s="647">
        <v>30</v>
      </c>
      <c r="AG280" s="648">
        <v>31</v>
      </c>
      <c r="AH280" s="128"/>
      <c r="AI280" s="24"/>
    </row>
    <row r="281" spans="1:35" ht="24.75" customHeight="1">
      <c r="A281" s="129"/>
      <c r="B281" s="130" t="s">
        <v>339</v>
      </c>
      <c r="C281" s="690"/>
      <c r="D281" s="690" t="s">
        <v>31</v>
      </c>
      <c r="E281" s="690" t="s">
        <v>31</v>
      </c>
      <c r="F281" s="690" t="s">
        <v>31</v>
      </c>
      <c r="G281" s="690" t="s">
        <v>31</v>
      </c>
      <c r="H281" s="690" t="s">
        <v>31</v>
      </c>
      <c r="I281" s="690"/>
      <c r="J281" s="690"/>
      <c r="K281" s="690" t="s">
        <v>31</v>
      </c>
      <c r="L281" s="690" t="s">
        <v>31</v>
      </c>
      <c r="M281" s="502" t="s">
        <v>31</v>
      </c>
      <c r="N281" s="502" t="s">
        <v>31</v>
      </c>
      <c r="O281" s="502" t="s">
        <v>31</v>
      </c>
      <c r="P281" s="502"/>
      <c r="Q281" s="502"/>
      <c r="R281" s="502" t="s">
        <v>31</v>
      </c>
      <c r="S281" s="502" t="s">
        <v>31</v>
      </c>
      <c r="T281" s="502" t="s">
        <v>31</v>
      </c>
      <c r="U281" s="502" t="s">
        <v>31</v>
      </c>
      <c r="V281" s="502" t="s">
        <v>31</v>
      </c>
      <c r="W281" s="502"/>
      <c r="X281" s="502"/>
      <c r="Y281" s="502" t="s">
        <v>31</v>
      </c>
      <c r="Z281" s="502" t="s">
        <v>31</v>
      </c>
      <c r="AA281" s="502" t="s">
        <v>31</v>
      </c>
      <c r="AB281" s="502" t="s">
        <v>31</v>
      </c>
      <c r="AC281" s="502" t="s">
        <v>31</v>
      </c>
      <c r="AD281" s="502"/>
      <c r="AE281" s="502"/>
      <c r="AF281" s="687" t="s">
        <v>31</v>
      </c>
      <c r="AG281" s="687" t="s">
        <v>31</v>
      </c>
      <c r="AH281" s="131"/>
      <c r="AI281" s="125"/>
    </row>
    <row r="282" spans="1:35" ht="24.75" customHeight="1">
      <c r="A282" s="588"/>
      <c r="B282" s="589" t="s">
        <v>340</v>
      </c>
      <c r="C282" s="679"/>
      <c r="D282" s="681" t="s">
        <v>31</v>
      </c>
      <c r="E282" s="681" t="s">
        <v>31</v>
      </c>
      <c r="F282" s="681" t="s">
        <v>31</v>
      </c>
      <c r="G282" s="681" t="s">
        <v>31</v>
      </c>
      <c r="H282" s="681" t="s">
        <v>31</v>
      </c>
      <c r="I282" s="502"/>
      <c r="J282" s="502"/>
      <c r="K282" s="502" t="s">
        <v>31</v>
      </c>
      <c r="L282" s="502" t="s">
        <v>31</v>
      </c>
      <c r="M282" s="502" t="s">
        <v>31</v>
      </c>
      <c r="N282" s="502" t="s">
        <v>31</v>
      </c>
      <c r="O282" s="502" t="s">
        <v>31</v>
      </c>
      <c r="P282" s="502"/>
      <c r="Q282" s="502"/>
      <c r="R282" s="502" t="s">
        <v>31</v>
      </c>
      <c r="S282" s="502" t="s">
        <v>31</v>
      </c>
      <c r="T282" s="502" t="s">
        <v>31</v>
      </c>
      <c r="U282" s="502" t="s">
        <v>31</v>
      </c>
      <c r="V282" s="690" t="s">
        <v>31</v>
      </c>
      <c r="W282" s="502"/>
      <c r="X282" s="502"/>
      <c r="Y282" s="502" t="s">
        <v>31</v>
      </c>
      <c r="Z282" s="502" t="s">
        <v>31</v>
      </c>
      <c r="AA282" s="502" t="s">
        <v>31</v>
      </c>
      <c r="AB282" s="502" t="s">
        <v>31</v>
      </c>
      <c r="AC282" s="502" t="s">
        <v>31</v>
      </c>
      <c r="AD282" s="502"/>
      <c r="AE282" s="502"/>
      <c r="AF282" s="687" t="s">
        <v>31</v>
      </c>
      <c r="AG282" s="1057" t="s">
        <v>31</v>
      </c>
      <c r="AH282" s="131"/>
      <c r="AI282" s="125"/>
    </row>
    <row r="283" spans="1:35" ht="24.75" customHeight="1">
      <c r="A283" s="567"/>
      <c r="B283" s="589" t="s">
        <v>341</v>
      </c>
      <c r="C283" s="518"/>
      <c r="D283" s="518" t="s">
        <v>31</v>
      </c>
      <c r="E283" s="518" t="s">
        <v>31</v>
      </c>
      <c r="F283" s="518" t="s">
        <v>31</v>
      </c>
      <c r="G283" s="518" t="s">
        <v>31</v>
      </c>
      <c r="H283" s="518" t="s">
        <v>31</v>
      </c>
      <c r="I283" s="518"/>
      <c r="J283" s="518"/>
      <c r="K283" s="518" t="s">
        <v>31</v>
      </c>
      <c r="L283" s="518" t="s">
        <v>31</v>
      </c>
      <c r="M283" s="502" t="s">
        <v>31</v>
      </c>
      <c r="N283" s="502" t="s">
        <v>31</v>
      </c>
      <c r="O283" s="502" t="s">
        <v>31</v>
      </c>
      <c r="P283" s="502"/>
      <c r="Q283" s="502"/>
      <c r="R283" s="502" t="s">
        <v>31</v>
      </c>
      <c r="S283" s="502" t="s">
        <v>31</v>
      </c>
      <c r="T283" s="502" t="s">
        <v>31</v>
      </c>
      <c r="U283" s="502" t="s">
        <v>31</v>
      </c>
      <c r="V283" s="502" t="s">
        <v>31</v>
      </c>
      <c r="W283" s="502"/>
      <c r="X283" s="502"/>
      <c r="Y283" s="502" t="s">
        <v>31</v>
      </c>
      <c r="Z283" s="502" t="s">
        <v>31</v>
      </c>
      <c r="AA283" s="502" t="s">
        <v>31</v>
      </c>
      <c r="AB283" s="502" t="s">
        <v>31</v>
      </c>
      <c r="AC283" s="502" t="s">
        <v>31</v>
      </c>
      <c r="AD283" s="502"/>
      <c r="AE283" s="502"/>
      <c r="AF283" s="502" t="s">
        <v>31</v>
      </c>
      <c r="AG283" s="502" t="s">
        <v>31</v>
      </c>
      <c r="AH283" s="131"/>
      <c r="AI283" s="125"/>
    </row>
    <row r="284" spans="1:35" ht="24.75" customHeight="1">
      <c r="A284" s="567"/>
      <c r="B284" s="589" t="s">
        <v>342</v>
      </c>
      <c r="C284" s="679"/>
      <c r="D284" s="803" t="s">
        <v>31</v>
      </c>
      <c r="E284" s="534" t="s">
        <v>31</v>
      </c>
      <c r="F284" s="534" t="s">
        <v>304</v>
      </c>
      <c r="G284" s="535" t="s">
        <v>31</v>
      </c>
      <c r="H284" s="535" t="s">
        <v>31</v>
      </c>
      <c r="I284" s="502"/>
      <c r="J284" s="502"/>
      <c r="K284" s="502" t="s">
        <v>31</v>
      </c>
      <c r="L284" s="502" t="s">
        <v>31</v>
      </c>
      <c r="M284" s="502" t="s">
        <v>31</v>
      </c>
      <c r="N284" s="502" t="s">
        <v>31</v>
      </c>
      <c r="O284" s="502" t="s">
        <v>31</v>
      </c>
      <c r="P284" s="502"/>
      <c r="Q284" s="502"/>
      <c r="R284" s="502" t="s">
        <v>31</v>
      </c>
      <c r="S284" s="502" t="s">
        <v>31</v>
      </c>
      <c r="T284" s="502" t="s">
        <v>31</v>
      </c>
      <c r="U284" s="502" t="s">
        <v>31</v>
      </c>
      <c r="V284" s="502" t="s">
        <v>31</v>
      </c>
      <c r="W284" s="502"/>
      <c r="X284" s="502"/>
      <c r="Y284" s="502" t="s">
        <v>31</v>
      </c>
      <c r="Z284" s="502" t="s">
        <v>31</v>
      </c>
      <c r="AA284" s="502" t="s">
        <v>31</v>
      </c>
      <c r="AB284" s="502" t="s">
        <v>31</v>
      </c>
      <c r="AC284" s="502" t="s">
        <v>31</v>
      </c>
      <c r="AD284" s="502"/>
      <c r="AE284" s="502"/>
      <c r="AF284" s="502" t="s">
        <v>31</v>
      </c>
      <c r="AG284" s="502" t="s">
        <v>31</v>
      </c>
      <c r="AH284" s="131"/>
      <c r="AI284" s="125"/>
    </row>
    <row r="285" spans="1:35" ht="24.75" customHeight="1">
      <c r="A285" s="567"/>
      <c r="B285" s="589" t="s">
        <v>343</v>
      </c>
      <c r="C285" s="679"/>
      <c r="D285" s="803" t="s">
        <v>31</v>
      </c>
      <c r="E285" s="679" t="s">
        <v>31</v>
      </c>
      <c r="F285" s="679" t="s">
        <v>31</v>
      </c>
      <c r="G285" s="502" t="s">
        <v>31</v>
      </c>
      <c r="H285" s="502" t="s">
        <v>31</v>
      </c>
      <c r="I285" s="502"/>
      <c r="J285" s="502"/>
      <c r="K285" s="502" t="s">
        <v>31</v>
      </c>
      <c r="L285" s="502" t="s">
        <v>31</v>
      </c>
      <c r="M285" s="502" t="s">
        <v>31</v>
      </c>
      <c r="N285" s="502" t="s">
        <v>31</v>
      </c>
      <c r="O285" s="678" t="s">
        <v>31</v>
      </c>
      <c r="P285" s="502"/>
      <c r="Q285" s="502"/>
      <c r="R285" s="502" t="s">
        <v>31</v>
      </c>
      <c r="S285" s="502" t="s">
        <v>31</v>
      </c>
      <c r="T285" s="502" t="s">
        <v>31</v>
      </c>
      <c r="U285" s="502" t="s">
        <v>31</v>
      </c>
      <c r="V285" s="502" t="s">
        <v>31</v>
      </c>
      <c r="W285" s="502"/>
      <c r="X285" s="502"/>
      <c r="Y285" s="502" t="s">
        <v>31</v>
      </c>
      <c r="Z285" s="502" t="s">
        <v>31</v>
      </c>
      <c r="AA285" s="502" t="s">
        <v>31</v>
      </c>
      <c r="AB285" s="502" t="s">
        <v>31</v>
      </c>
      <c r="AC285" s="502" t="s">
        <v>31</v>
      </c>
      <c r="AD285" s="502"/>
      <c r="AE285" s="502"/>
      <c r="AF285" s="502" t="s">
        <v>31</v>
      </c>
      <c r="AG285" s="570" t="s">
        <v>31</v>
      </c>
      <c r="AH285" s="131"/>
      <c r="AI285" s="125"/>
    </row>
    <row r="286" spans="1:35" ht="24.75" customHeight="1">
      <c r="A286" s="567"/>
      <c r="B286" s="589" t="s">
        <v>344</v>
      </c>
      <c r="C286" s="679"/>
      <c r="D286" s="690" t="s">
        <v>31</v>
      </c>
      <c r="E286" s="681" t="s">
        <v>31</v>
      </c>
      <c r="F286" s="681" t="s">
        <v>31</v>
      </c>
      <c r="G286" s="681" t="s">
        <v>31</v>
      </c>
      <c r="H286" s="681" t="s">
        <v>31</v>
      </c>
      <c r="I286" s="502"/>
      <c r="J286" s="502"/>
      <c r="K286" s="502" t="s">
        <v>31</v>
      </c>
      <c r="L286" s="502" t="s">
        <v>31</v>
      </c>
      <c r="M286" s="502" t="s">
        <v>31</v>
      </c>
      <c r="N286" s="502" t="s">
        <v>31</v>
      </c>
      <c r="O286" s="502" t="s">
        <v>31</v>
      </c>
      <c r="P286" s="502"/>
      <c r="Q286" s="502"/>
      <c r="R286" s="502" t="s">
        <v>31</v>
      </c>
      <c r="S286" s="502" t="s">
        <v>31</v>
      </c>
      <c r="T286" s="502" t="s">
        <v>31</v>
      </c>
      <c r="U286" s="502" t="s">
        <v>31</v>
      </c>
      <c r="V286" s="502" t="s">
        <v>31</v>
      </c>
      <c r="W286" s="502"/>
      <c r="X286" s="502"/>
      <c r="Y286" s="690" t="s">
        <v>31</v>
      </c>
      <c r="Z286" s="502" t="s">
        <v>31</v>
      </c>
      <c r="AA286" s="502" t="s">
        <v>31</v>
      </c>
      <c r="AB286" s="502" t="s">
        <v>31</v>
      </c>
      <c r="AC286" s="502" t="s">
        <v>31</v>
      </c>
      <c r="AD286" s="502"/>
      <c r="AE286" s="502"/>
      <c r="AF286" s="515" t="s">
        <v>31</v>
      </c>
      <c r="AG286" s="1058" t="s">
        <v>31</v>
      </c>
      <c r="AH286" s="131"/>
      <c r="AI286" s="125"/>
    </row>
    <row r="287" spans="1:35" ht="24.75" customHeight="1">
      <c r="A287" s="567"/>
      <c r="B287" s="589" t="s">
        <v>345</v>
      </c>
      <c r="C287" s="679"/>
      <c r="D287" s="803" t="s">
        <v>31</v>
      </c>
      <c r="E287" s="679" t="s">
        <v>31</v>
      </c>
      <c r="F287" s="679" t="s">
        <v>31</v>
      </c>
      <c r="G287" s="502" t="s">
        <v>31</v>
      </c>
      <c r="H287" s="690" t="s">
        <v>31</v>
      </c>
      <c r="I287" s="502"/>
      <c r="J287" s="502"/>
      <c r="K287" s="502" t="s">
        <v>31</v>
      </c>
      <c r="L287" s="502" t="s">
        <v>31</v>
      </c>
      <c r="M287" s="502" t="s">
        <v>31</v>
      </c>
      <c r="N287" s="502" t="s">
        <v>31</v>
      </c>
      <c r="O287" s="502" t="s">
        <v>31</v>
      </c>
      <c r="P287" s="502"/>
      <c r="Q287" s="502"/>
      <c r="R287" s="690" t="s">
        <v>31</v>
      </c>
      <c r="S287" s="518" t="s">
        <v>31</v>
      </c>
      <c r="T287" s="502" t="s">
        <v>31</v>
      </c>
      <c r="U287" s="502" t="s">
        <v>31</v>
      </c>
      <c r="V287" s="502" t="s">
        <v>31</v>
      </c>
      <c r="W287" s="502"/>
      <c r="X287" s="502"/>
      <c r="Y287" s="502" t="s">
        <v>31</v>
      </c>
      <c r="Z287" s="502" t="s">
        <v>31</v>
      </c>
      <c r="AA287" s="502" t="s">
        <v>31</v>
      </c>
      <c r="AB287" s="502" t="s">
        <v>31</v>
      </c>
      <c r="AC287" s="502" t="s">
        <v>31</v>
      </c>
      <c r="AD287" s="502"/>
      <c r="AE287" s="502"/>
      <c r="AF287" s="502" t="s">
        <v>31</v>
      </c>
      <c r="AG287" s="570" t="s">
        <v>31</v>
      </c>
      <c r="AH287" s="131"/>
      <c r="AI287" s="125"/>
    </row>
    <row r="288" spans="1:35" ht="24.75" customHeight="1">
      <c r="A288" s="567"/>
      <c r="B288" s="589" t="s">
        <v>346</v>
      </c>
      <c r="C288" s="679"/>
      <c r="D288" s="803" t="s">
        <v>31</v>
      </c>
      <c r="E288" s="679" t="s">
        <v>31</v>
      </c>
      <c r="F288" s="679" t="s">
        <v>31</v>
      </c>
      <c r="G288" s="502" t="s">
        <v>31</v>
      </c>
      <c r="H288" s="502" t="s">
        <v>31</v>
      </c>
      <c r="I288" s="502"/>
      <c r="J288" s="502"/>
      <c r="K288" s="502" t="s">
        <v>31</v>
      </c>
      <c r="L288" s="502" t="s">
        <v>31</v>
      </c>
      <c r="M288" s="502" t="s">
        <v>31</v>
      </c>
      <c r="N288" s="502" t="s">
        <v>31</v>
      </c>
      <c r="O288" s="502" t="s">
        <v>31</v>
      </c>
      <c r="P288" s="502"/>
      <c r="Q288" s="502"/>
      <c r="R288" s="502" t="s">
        <v>31</v>
      </c>
      <c r="S288" s="502" t="s">
        <v>31</v>
      </c>
      <c r="T288" s="502" t="s">
        <v>31</v>
      </c>
      <c r="U288" s="502" t="s">
        <v>31</v>
      </c>
      <c r="V288" s="502" t="s">
        <v>31</v>
      </c>
      <c r="W288" s="502"/>
      <c r="X288" s="502"/>
      <c r="Y288" s="502" t="s">
        <v>31</v>
      </c>
      <c r="Z288" s="502" t="s">
        <v>31</v>
      </c>
      <c r="AA288" s="502" t="s">
        <v>31</v>
      </c>
      <c r="AB288" s="502" t="s">
        <v>31</v>
      </c>
      <c r="AC288" s="502" t="s">
        <v>31</v>
      </c>
      <c r="AD288" s="502"/>
      <c r="AE288" s="502"/>
      <c r="AF288" s="502" t="s">
        <v>31</v>
      </c>
      <c r="AG288" s="570" t="s">
        <v>31</v>
      </c>
      <c r="AH288" s="131"/>
      <c r="AI288" s="125"/>
    </row>
    <row r="289" spans="1:35" ht="24.75" customHeight="1">
      <c r="A289" s="567"/>
      <c r="B289" s="581" t="s">
        <v>347</v>
      </c>
      <c r="C289" s="505"/>
      <c r="D289" s="505" t="s">
        <v>31</v>
      </c>
      <c r="E289" s="679" t="s">
        <v>31</v>
      </c>
      <c r="F289" s="679" t="s">
        <v>31</v>
      </c>
      <c r="G289" s="502" t="s">
        <v>31</v>
      </c>
      <c r="H289" s="502" t="s">
        <v>31</v>
      </c>
      <c r="I289" s="502"/>
      <c r="J289" s="502"/>
      <c r="K289" s="502" t="s">
        <v>31</v>
      </c>
      <c r="L289" s="502" t="s">
        <v>31</v>
      </c>
      <c r="M289" s="502" t="s">
        <v>31</v>
      </c>
      <c r="N289" s="502" t="s">
        <v>31</v>
      </c>
      <c r="O289" s="502" t="s">
        <v>31</v>
      </c>
      <c r="P289" s="502"/>
      <c r="Q289" s="502"/>
      <c r="R289" s="502" t="s">
        <v>31</v>
      </c>
      <c r="S289" s="502" t="s">
        <v>31</v>
      </c>
      <c r="T289" s="502" t="s">
        <v>31</v>
      </c>
      <c r="U289" s="502" t="s">
        <v>31</v>
      </c>
      <c r="V289" s="502" t="s">
        <v>31</v>
      </c>
      <c r="W289" s="502"/>
      <c r="X289" s="502"/>
      <c r="Y289" s="502" t="s">
        <v>31</v>
      </c>
      <c r="Z289" s="502" t="s">
        <v>31</v>
      </c>
      <c r="AA289" s="502" t="s">
        <v>31</v>
      </c>
      <c r="AB289" s="502" t="s">
        <v>31</v>
      </c>
      <c r="AC289" s="502" t="s">
        <v>31</v>
      </c>
      <c r="AD289" s="502"/>
      <c r="AE289" s="502"/>
      <c r="AF289" s="502" t="s">
        <v>31</v>
      </c>
      <c r="AG289" s="570" t="s">
        <v>31</v>
      </c>
      <c r="AH289" s="131"/>
      <c r="AI289" s="125"/>
    </row>
    <row r="290" spans="1:35" ht="24.75" customHeight="1">
      <c r="A290" s="567"/>
      <c r="B290" s="1059" t="s">
        <v>348</v>
      </c>
      <c r="C290" s="679"/>
      <c r="D290" s="681" t="s">
        <v>31</v>
      </c>
      <c r="E290" s="681" t="s">
        <v>31</v>
      </c>
      <c r="F290" s="681" t="s">
        <v>31</v>
      </c>
      <c r="G290" s="681" t="s">
        <v>31</v>
      </c>
      <c r="H290" s="681" t="s">
        <v>31</v>
      </c>
      <c r="I290" s="502"/>
      <c r="J290" s="502"/>
      <c r="K290" s="502" t="s">
        <v>31</v>
      </c>
      <c r="L290" s="502" t="s">
        <v>31</v>
      </c>
      <c r="M290" s="502" t="s">
        <v>31</v>
      </c>
      <c r="N290" s="502" t="s">
        <v>31</v>
      </c>
      <c r="O290" s="502" t="s">
        <v>31</v>
      </c>
      <c r="P290" s="502"/>
      <c r="Q290" s="502"/>
      <c r="R290" s="502" t="s">
        <v>31</v>
      </c>
      <c r="S290" s="502" t="s">
        <v>31</v>
      </c>
      <c r="T290" s="502" t="s">
        <v>31</v>
      </c>
      <c r="U290" s="502" t="s">
        <v>31</v>
      </c>
      <c r="V290" s="502" t="s">
        <v>31</v>
      </c>
      <c r="W290" s="502"/>
      <c r="X290" s="502"/>
      <c r="Y290" s="502" t="s">
        <v>31</v>
      </c>
      <c r="Z290" s="502" t="s">
        <v>31</v>
      </c>
      <c r="AA290" s="502" t="s">
        <v>31</v>
      </c>
      <c r="AB290" s="502" t="s">
        <v>31</v>
      </c>
      <c r="AC290" s="502" t="s">
        <v>31</v>
      </c>
      <c r="AD290" s="502"/>
      <c r="AE290" s="502"/>
      <c r="AF290" s="502" t="s">
        <v>31</v>
      </c>
      <c r="AG290" s="570" t="s">
        <v>31</v>
      </c>
      <c r="AH290" s="131"/>
      <c r="AI290" s="125"/>
    </row>
    <row r="291" spans="1:35" ht="24.75" customHeight="1">
      <c r="A291" s="567"/>
      <c r="B291" s="507" t="s">
        <v>349</v>
      </c>
      <c r="C291" s="679"/>
      <c r="D291" s="803" t="s">
        <v>31</v>
      </c>
      <c r="E291" s="679" t="s">
        <v>31</v>
      </c>
      <c r="F291" s="679" t="s">
        <v>31</v>
      </c>
      <c r="G291" s="502" t="s">
        <v>31</v>
      </c>
      <c r="H291" s="502" t="s">
        <v>31</v>
      </c>
      <c r="I291" s="502"/>
      <c r="J291" s="502"/>
      <c r="K291" s="502" t="s">
        <v>31</v>
      </c>
      <c r="L291" s="502" t="s">
        <v>31</v>
      </c>
      <c r="M291" s="502" t="s">
        <v>31</v>
      </c>
      <c r="N291" s="502" t="s">
        <v>31</v>
      </c>
      <c r="O291" s="502" t="s">
        <v>31</v>
      </c>
      <c r="P291" s="502"/>
      <c r="Q291" s="502"/>
      <c r="R291" s="502" t="s">
        <v>31</v>
      </c>
      <c r="S291" s="502" t="s">
        <v>31</v>
      </c>
      <c r="T291" s="502" t="s">
        <v>31</v>
      </c>
      <c r="U291" s="502" t="s">
        <v>31</v>
      </c>
      <c r="V291" s="502" t="s">
        <v>31</v>
      </c>
      <c r="W291" s="502"/>
      <c r="X291" s="502"/>
      <c r="Y291" s="502" t="s">
        <v>31</v>
      </c>
      <c r="Z291" s="502" t="s">
        <v>31</v>
      </c>
      <c r="AA291" s="502" t="s">
        <v>31</v>
      </c>
      <c r="AB291" s="502" t="s">
        <v>31</v>
      </c>
      <c r="AC291" s="502" t="s">
        <v>31</v>
      </c>
      <c r="AD291" s="502"/>
      <c r="AE291" s="502"/>
      <c r="AF291" s="502" t="s">
        <v>31</v>
      </c>
      <c r="AG291" s="570" t="s">
        <v>31</v>
      </c>
      <c r="AH291" s="131"/>
      <c r="AI291" s="125"/>
    </row>
    <row r="292" spans="1:35" ht="24.75" customHeight="1">
      <c r="A292" s="567"/>
      <c r="B292" s="1059"/>
      <c r="C292" s="679"/>
      <c r="D292" s="803"/>
      <c r="E292" s="679"/>
      <c r="F292" s="679"/>
      <c r="G292" s="502"/>
      <c r="H292" s="502"/>
      <c r="I292" s="502"/>
      <c r="J292" s="502"/>
      <c r="K292" s="502"/>
      <c r="L292" s="502"/>
      <c r="M292" s="502"/>
      <c r="N292" s="502"/>
      <c r="O292" s="502"/>
      <c r="P292" s="502"/>
      <c r="Q292" s="502"/>
      <c r="R292" s="502"/>
      <c r="S292" s="502"/>
      <c r="T292" s="502"/>
      <c r="U292" s="502"/>
      <c r="V292" s="502"/>
      <c r="W292" s="502"/>
      <c r="X292" s="502"/>
      <c r="Y292" s="502"/>
      <c r="Z292" s="502"/>
      <c r="AA292" s="502"/>
      <c r="AB292" s="502"/>
      <c r="AC292" s="502"/>
      <c r="AD292" s="502"/>
      <c r="AE292" s="502"/>
      <c r="AF292" s="502"/>
      <c r="AG292" s="570"/>
      <c r="AH292" s="131"/>
      <c r="AI292" s="125"/>
    </row>
    <row r="293" spans="1:35" ht="24.75" customHeight="1">
      <c r="A293" s="767"/>
      <c r="B293" s="1059"/>
      <c r="C293" s="570"/>
      <c r="D293" s="570"/>
      <c r="E293" s="570"/>
      <c r="F293" s="570"/>
      <c r="G293" s="570"/>
      <c r="H293" s="570"/>
      <c r="I293" s="570"/>
      <c r="J293" s="570"/>
      <c r="K293" s="570"/>
      <c r="L293" s="570"/>
      <c r="M293" s="570"/>
      <c r="N293" s="751"/>
      <c r="O293" s="751"/>
      <c r="P293" s="570"/>
      <c r="Q293" s="570"/>
      <c r="R293" s="570"/>
      <c r="S293" s="570"/>
      <c r="T293" s="570"/>
      <c r="U293" s="570"/>
      <c r="V293" s="570"/>
      <c r="W293" s="570"/>
      <c r="X293" s="570"/>
      <c r="Y293" s="570"/>
      <c r="Z293" s="570"/>
      <c r="AA293" s="570"/>
      <c r="AB293" s="751"/>
      <c r="AC293" s="751"/>
      <c r="AD293" s="570"/>
      <c r="AE293" s="570"/>
      <c r="AF293" s="570"/>
      <c r="AG293" s="570"/>
      <c r="AH293" s="131"/>
      <c r="AI293" s="127"/>
    </row>
    <row r="294" spans="1:35" ht="24.75" customHeight="1" thickBot="1">
      <c r="A294" s="414"/>
      <c r="B294" s="415"/>
      <c r="C294" s="584"/>
      <c r="D294" s="585"/>
      <c r="E294" s="585"/>
      <c r="F294" s="585"/>
      <c r="G294" s="585"/>
      <c r="H294" s="585"/>
      <c r="I294" s="585"/>
      <c r="J294" s="585"/>
      <c r="K294" s="585"/>
      <c r="L294" s="585"/>
      <c r="M294" s="585"/>
      <c r="N294" s="586"/>
      <c r="O294" s="586"/>
      <c r="P294" s="585"/>
      <c r="Q294" s="585"/>
      <c r="R294" s="585"/>
      <c r="S294" s="585"/>
      <c r="T294" s="585"/>
      <c r="U294" s="585"/>
      <c r="V294" s="585"/>
      <c r="W294" s="585"/>
      <c r="X294" s="585"/>
      <c r="Y294" s="585"/>
      <c r="Z294" s="585"/>
      <c r="AA294" s="585"/>
      <c r="AB294" s="586"/>
      <c r="AC294" s="586"/>
      <c r="AD294" s="585"/>
      <c r="AE294" s="585"/>
      <c r="AF294" s="585"/>
      <c r="AG294" s="585"/>
      <c r="AH294" s="131"/>
      <c r="AI294" s="127"/>
    </row>
    <row r="295" spans="1:35" ht="19.5" customHeight="1"/>
    <row r="296" spans="1:35" ht="19.5" customHeight="1"/>
  </sheetData>
  <sheetProtection algorithmName="SHA-512" hashValue="svl7J59HXHrPPzaUCNFc/AzoXhk66WkIFDCW08oMb89Rg0OY0M41UffwWiB4C2nYhbFbBEqSSj3re2S/yZY9og==" saltValue="rPuXHNFFhNN2roZOA5GVgg==" spinCount="100000" sheet="1" objects="1" scenarios="1"/>
  <protectedRanges>
    <protectedRange sqref="B220" name="Område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20:B121" name="Område1_3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23:B124" name="Område1_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</protectedRanges>
  <mergeCells count="1">
    <mergeCell ref="T31:Z31"/>
  </mergeCells>
  <pageMargins left="0.7" right="0.7" top="0.75" bottom="0.75" header="0.3" footer="0.3"/>
  <pageSetup paperSize="9" scale="58" fitToHeight="0" orientation="landscape" r:id="rId1"/>
  <ignoredErrors>
    <ignoredError sqref="V64" numberStoredAsText="1"/>
  </ignoredError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F2C9A-072C-478E-8D14-F4D5581D85D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FC1CA0-EEFB-4957-9B71-66FB8CDBB976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B0780-05B0-4F8E-8E62-583A3700D1C8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D4776-EC85-4658-AA88-86147B4ECC5E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58C14-5840-4E4C-B97B-62A35B766F7C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A05B6-4713-4D36-A6AE-48844890E47E}">
  <sheetPr codeName="Ark1"/>
  <dimension ref="A1:AI288"/>
  <sheetViews>
    <sheetView topLeftCell="A213" zoomScale="80" zoomScaleNormal="80" workbookViewId="0">
      <selection activeCell="A241" sqref="A241:AG249"/>
    </sheetView>
  </sheetViews>
  <sheetFormatPr defaultRowHeight="15"/>
  <cols>
    <col min="2" max="2" width="27.28515625" customWidth="1"/>
    <col min="3" max="35" width="5.28515625" customWidth="1"/>
  </cols>
  <sheetData>
    <row r="1" spans="1:35" ht="18" customHeight="1">
      <c r="A1" t="s">
        <v>0</v>
      </c>
      <c r="B1" s="1" t="s">
        <v>1</v>
      </c>
    </row>
    <row r="2" spans="1:35" ht="18" customHeight="1">
      <c r="B2" s="1060" t="s">
        <v>2</v>
      </c>
      <c r="C2" s="1061" t="s">
        <v>3</v>
      </c>
      <c r="D2" s="1062"/>
      <c r="E2" s="1063" t="s">
        <v>4</v>
      </c>
      <c r="F2" s="1064"/>
      <c r="G2" s="1065"/>
      <c r="H2" s="1065"/>
      <c r="I2" s="1065"/>
      <c r="J2" s="1065"/>
      <c r="K2" s="1066"/>
      <c r="L2" s="1067" t="s">
        <v>5</v>
      </c>
      <c r="M2" s="1068"/>
      <c r="N2" s="1069"/>
      <c r="O2" s="1070" t="s">
        <v>6</v>
      </c>
      <c r="P2" s="1071"/>
      <c r="Q2" s="1072"/>
      <c r="R2" s="1073"/>
      <c r="S2" s="1074" t="s">
        <v>7</v>
      </c>
      <c r="T2" s="1075"/>
      <c r="U2" s="1076"/>
      <c r="V2" s="1075"/>
      <c r="W2" s="1077" t="s">
        <v>8</v>
      </c>
      <c r="X2" s="1078"/>
      <c r="Y2" s="1079"/>
      <c r="Z2" s="2" t="s">
        <v>9</v>
      </c>
      <c r="AA2" s="618"/>
      <c r="AB2" s="619"/>
      <c r="AC2" s="620"/>
      <c r="AD2" s="621" t="s">
        <v>10</v>
      </c>
      <c r="AE2" s="622"/>
      <c r="AF2" s="622"/>
      <c r="AG2" s="623"/>
    </row>
    <row r="3" spans="1:35" ht="18" customHeight="1">
      <c r="A3" s="1"/>
      <c r="B3" s="1080" t="s">
        <v>11</v>
      </c>
      <c r="C3" s="1081" t="s">
        <v>12</v>
      </c>
      <c r="D3" s="1082"/>
      <c r="E3" s="3"/>
      <c r="F3" s="4"/>
      <c r="G3" s="4"/>
      <c r="H3" s="5" t="s">
        <v>13</v>
      </c>
      <c r="I3" s="6"/>
      <c r="J3" s="6"/>
      <c r="K3" s="7"/>
      <c r="L3" s="1083" t="s">
        <v>14</v>
      </c>
      <c r="M3" s="1084"/>
      <c r="N3" s="1085"/>
      <c r="O3" s="6"/>
      <c r="P3" s="6"/>
      <c r="Q3" s="6"/>
      <c r="R3" s="6"/>
      <c r="S3" s="8"/>
      <c r="T3" s="9" t="s">
        <v>15</v>
      </c>
      <c r="U3" s="10"/>
      <c r="V3" s="11"/>
      <c r="W3" s="12"/>
      <c r="X3" s="13"/>
      <c r="Y3" s="5" t="s">
        <v>16</v>
      </c>
      <c r="Z3" s="1084"/>
      <c r="AA3" s="1084"/>
      <c r="AB3" s="1086"/>
      <c r="AC3" s="1087"/>
      <c r="AD3" s="1088" t="s">
        <v>17</v>
      </c>
      <c r="AE3" s="1089"/>
      <c r="AF3" s="1089"/>
      <c r="AG3" s="1090"/>
    </row>
    <row r="4" spans="1:35" ht="18" customHeight="1">
      <c r="A4" s="14" t="s">
        <v>18</v>
      </c>
      <c r="B4" s="15"/>
      <c r="C4" s="16"/>
      <c r="D4" s="17"/>
      <c r="E4" s="17"/>
      <c r="F4" s="17"/>
      <c r="G4" s="17"/>
      <c r="H4" s="16"/>
      <c r="I4" s="17"/>
      <c r="J4" s="17"/>
      <c r="K4" s="18"/>
      <c r="L4" s="17"/>
      <c r="M4" s="18"/>
      <c r="N4" s="18"/>
      <c r="O4" s="17"/>
      <c r="P4" s="17"/>
      <c r="Q4" s="17"/>
      <c r="R4" s="17"/>
      <c r="T4" s="18"/>
      <c r="U4" s="16"/>
      <c r="W4" s="17"/>
      <c r="X4" s="17"/>
      <c r="Y4" s="16"/>
      <c r="Z4" s="17"/>
      <c r="AB4" s="17"/>
      <c r="AC4" s="17"/>
      <c r="AD4" s="17"/>
      <c r="AE4" s="17"/>
      <c r="AF4" s="17"/>
      <c r="AG4" s="17"/>
    </row>
    <row r="5" spans="1:35" ht="18" customHeight="1">
      <c r="A5" s="14" t="s">
        <v>19</v>
      </c>
      <c r="B5" s="1"/>
    </row>
    <row r="6" spans="1:35" ht="18" customHeight="1">
      <c r="A6" s="1091" t="s">
        <v>20</v>
      </c>
      <c r="B6" s="1084"/>
      <c r="C6" s="1092"/>
      <c r="D6" s="1091" t="s">
        <v>21</v>
      </c>
      <c r="E6" s="1084"/>
      <c r="F6" s="1084"/>
      <c r="G6" s="1084"/>
      <c r="H6" s="1093"/>
      <c r="I6" s="1084"/>
      <c r="J6" s="1084"/>
      <c r="K6" s="1084"/>
      <c r="L6" s="1094" t="s">
        <v>22</v>
      </c>
      <c r="M6" s="1084"/>
      <c r="N6" s="1084"/>
      <c r="O6" s="1084"/>
      <c r="P6" s="1084"/>
      <c r="Q6" s="1084"/>
      <c r="R6" s="1084"/>
      <c r="S6" s="1092"/>
      <c r="T6" s="1095"/>
      <c r="U6" s="1084"/>
      <c r="V6" s="1084"/>
      <c r="W6" s="1084"/>
      <c r="X6" s="1084"/>
      <c r="Y6" s="1084"/>
      <c r="Z6" s="1084"/>
      <c r="AA6" s="1092"/>
      <c r="AB6" s="640"/>
      <c r="AC6" s="641"/>
      <c r="AD6" s="641"/>
      <c r="AE6" s="641"/>
      <c r="AF6" s="641"/>
      <c r="AG6" s="642"/>
    </row>
    <row r="7" spans="1:35" ht="18" customHeight="1">
      <c r="A7" s="1091" t="s">
        <v>23</v>
      </c>
      <c r="B7" s="1084"/>
      <c r="C7" s="1084"/>
      <c r="D7" s="1084"/>
      <c r="E7" s="1084"/>
      <c r="F7" s="1084"/>
      <c r="G7" s="1084"/>
      <c r="H7" s="1084"/>
      <c r="I7" s="1084"/>
      <c r="J7" s="1084"/>
      <c r="K7" s="1092"/>
      <c r="L7" s="19" t="s">
        <v>24</v>
      </c>
      <c r="M7" s="8"/>
      <c r="N7" s="8"/>
      <c r="O7" s="8"/>
      <c r="P7" s="8"/>
      <c r="Q7" s="8"/>
      <c r="R7" s="8"/>
      <c r="S7" s="8"/>
      <c r="T7" s="8"/>
      <c r="U7" s="1084"/>
      <c r="V7" s="1084"/>
      <c r="W7" s="1084"/>
      <c r="X7" s="1084"/>
      <c r="Y7" s="1084"/>
      <c r="Z7" s="1084"/>
      <c r="AA7" s="1084"/>
      <c r="AB7" s="1096"/>
      <c r="AC7" s="1084"/>
      <c r="AD7" s="1084"/>
      <c r="AE7" s="1084"/>
      <c r="AF7" s="1084"/>
      <c r="AG7" s="1092"/>
    </row>
    <row r="8" spans="1:35" ht="18" customHeight="1">
      <c r="A8" s="14" t="s">
        <v>25</v>
      </c>
      <c r="L8" s="20"/>
      <c r="AB8" s="1"/>
    </row>
    <row r="9" spans="1:35" ht="18" customHeight="1">
      <c r="A9" s="14" t="s">
        <v>26</v>
      </c>
      <c r="L9" s="20"/>
      <c r="AB9" s="1"/>
    </row>
    <row r="10" spans="1:35" ht="18" customHeight="1">
      <c r="B10" s="21" t="s">
        <v>27</v>
      </c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</row>
    <row r="11" spans="1:35" ht="18" customHeight="1" thickBot="1">
      <c r="A11" s="1097" t="s">
        <v>28</v>
      </c>
      <c r="B11" s="1098" t="s">
        <v>29</v>
      </c>
      <c r="C11" s="1099">
        <v>1</v>
      </c>
      <c r="D11" s="1100">
        <v>2</v>
      </c>
      <c r="E11" s="1100">
        <v>3</v>
      </c>
      <c r="F11" s="1099">
        <v>4</v>
      </c>
      <c r="G11" s="1099">
        <v>5</v>
      </c>
      <c r="H11" s="1100">
        <v>6</v>
      </c>
      <c r="I11" s="1100">
        <v>7</v>
      </c>
      <c r="J11" s="1100">
        <v>8</v>
      </c>
      <c r="K11" s="1100">
        <v>9</v>
      </c>
      <c r="L11" s="1100">
        <v>10</v>
      </c>
      <c r="M11" s="1099">
        <v>11</v>
      </c>
      <c r="N11" s="1099">
        <v>12</v>
      </c>
      <c r="O11" s="1100">
        <v>13</v>
      </c>
      <c r="P11" s="1100">
        <v>14</v>
      </c>
      <c r="Q11" s="1100">
        <v>15</v>
      </c>
      <c r="R11" s="1100">
        <v>16</v>
      </c>
      <c r="S11" s="1099">
        <v>17</v>
      </c>
      <c r="T11" s="1099">
        <v>18</v>
      </c>
      <c r="U11" s="1099">
        <v>19</v>
      </c>
      <c r="V11" s="1100">
        <v>20</v>
      </c>
      <c r="W11" s="1100">
        <v>21</v>
      </c>
      <c r="X11" s="1100">
        <v>22</v>
      </c>
      <c r="Y11" s="1100">
        <v>23</v>
      </c>
      <c r="Z11" s="1100">
        <v>24</v>
      </c>
      <c r="AA11" s="1099">
        <v>25</v>
      </c>
      <c r="AB11" s="1099">
        <v>26</v>
      </c>
      <c r="AC11" s="1100">
        <v>27</v>
      </c>
      <c r="AD11" s="1100">
        <v>28</v>
      </c>
      <c r="AE11" s="1100">
        <v>29</v>
      </c>
      <c r="AF11" s="1099">
        <v>30</v>
      </c>
      <c r="AG11" s="1101">
        <v>31</v>
      </c>
      <c r="AH11" s="23"/>
      <c r="AI11" s="24"/>
    </row>
    <row r="12" spans="1:35" ht="18" customHeight="1">
      <c r="A12" s="649">
        <v>8500</v>
      </c>
      <c r="B12" s="1102" t="s">
        <v>30</v>
      </c>
      <c r="C12" s="826"/>
      <c r="D12" s="1103" t="s">
        <v>31</v>
      </c>
      <c r="E12" s="1103" t="s">
        <v>31</v>
      </c>
      <c r="F12" s="826"/>
      <c r="G12" s="826"/>
      <c r="H12" s="826" t="s">
        <v>31</v>
      </c>
      <c r="I12" s="826" t="s">
        <v>31</v>
      </c>
      <c r="J12" s="826" t="s">
        <v>31</v>
      </c>
      <c r="K12" s="826" t="s">
        <v>31</v>
      </c>
      <c r="L12" s="826" t="s">
        <v>31</v>
      </c>
      <c r="M12" s="826"/>
      <c r="N12" s="826"/>
      <c r="O12" s="826" t="s">
        <v>31</v>
      </c>
      <c r="P12" s="826" t="s">
        <v>31</v>
      </c>
      <c r="Q12" s="826" t="s">
        <v>31</v>
      </c>
      <c r="R12" s="826" t="s">
        <v>31</v>
      </c>
      <c r="S12" s="826"/>
      <c r="T12" s="826"/>
      <c r="U12" s="826"/>
      <c r="V12" s="826" t="s">
        <v>31</v>
      </c>
      <c r="W12" s="826" t="s">
        <v>31</v>
      </c>
      <c r="X12" s="826" t="s">
        <v>31</v>
      </c>
      <c r="Y12" s="826" t="s">
        <v>31</v>
      </c>
      <c r="Z12" s="1103" t="s">
        <v>31</v>
      </c>
      <c r="AA12" s="826"/>
      <c r="AB12" s="826" t="s">
        <v>31</v>
      </c>
      <c r="AC12" s="826" t="s">
        <v>31</v>
      </c>
      <c r="AD12" s="826" t="s">
        <v>31</v>
      </c>
      <c r="AE12" s="826" t="s">
        <v>31</v>
      </c>
      <c r="AF12" s="826"/>
      <c r="AG12" s="1104" t="s">
        <v>31</v>
      </c>
      <c r="AH12" s="25"/>
      <c r="AI12" s="25"/>
    </row>
    <row r="13" spans="1:35" ht="18" customHeight="1" thickBot="1">
      <c r="A13" s="1105" t="s">
        <v>32</v>
      </c>
      <c r="B13" s="1106"/>
      <c r="C13" s="1106"/>
      <c r="D13" s="1106"/>
      <c r="E13" s="1106"/>
      <c r="F13" s="1106"/>
      <c r="G13" s="1106"/>
      <c r="H13" s="1106"/>
      <c r="I13" s="1106"/>
      <c r="J13" s="1106"/>
      <c r="K13" s="1106"/>
      <c r="L13" s="1106"/>
      <c r="M13" s="1106"/>
      <c r="N13" s="1106"/>
      <c r="O13" s="1106"/>
      <c r="P13" s="1106"/>
      <c r="Q13" s="1106"/>
      <c r="R13" s="1106"/>
      <c r="S13" s="1106"/>
      <c r="T13" s="1106"/>
      <c r="U13" s="1106"/>
      <c r="V13" s="1106"/>
      <c r="W13" s="1106"/>
      <c r="X13" s="1106"/>
      <c r="Y13" s="1106"/>
      <c r="Z13" s="1106"/>
      <c r="AA13" s="1106"/>
      <c r="AB13" s="1106"/>
      <c r="AC13" s="1106"/>
      <c r="AD13" s="1106"/>
      <c r="AE13" s="1106"/>
      <c r="AF13" s="1106"/>
      <c r="AG13" s="1107"/>
      <c r="AH13" s="26"/>
      <c r="AI13" s="26"/>
    </row>
    <row r="14" spans="1:35" ht="18" customHeight="1">
      <c r="A14" s="27">
        <v>8546</v>
      </c>
      <c r="B14" s="1108" t="s">
        <v>33</v>
      </c>
      <c r="C14" s="1109" t="s">
        <v>35</v>
      </c>
      <c r="D14" s="574" t="s">
        <v>35</v>
      </c>
      <c r="E14" s="1110" t="s">
        <v>35</v>
      </c>
      <c r="F14" s="1111"/>
      <c r="G14" s="1110"/>
      <c r="H14" s="1110">
        <v>4</v>
      </c>
      <c r="I14" s="1110">
        <v>4</v>
      </c>
      <c r="J14" s="1110">
        <v>4</v>
      </c>
      <c r="K14" s="1109">
        <v>4</v>
      </c>
      <c r="L14" s="1110">
        <v>4</v>
      </c>
      <c r="M14" s="1110" t="s">
        <v>36</v>
      </c>
      <c r="N14" s="1110" t="s">
        <v>36</v>
      </c>
      <c r="O14" s="1110" t="s">
        <v>35</v>
      </c>
      <c r="P14" s="1110" t="s">
        <v>35</v>
      </c>
      <c r="Q14" s="1110" t="s">
        <v>35</v>
      </c>
      <c r="R14" s="1110" t="s">
        <v>35</v>
      </c>
      <c r="S14" s="1111" t="s">
        <v>35</v>
      </c>
      <c r="T14" s="1111"/>
      <c r="U14" s="1110"/>
      <c r="V14" s="1112">
        <v>1</v>
      </c>
      <c r="W14" s="1112">
        <v>1</v>
      </c>
      <c r="X14" s="1112">
        <v>1</v>
      </c>
      <c r="Y14" s="1110">
        <v>1</v>
      </c>
      <c r="Z14" s="1110">
        <v>1</v>
      </c>
      <c r="AA14" s="1110"/>
      <c r="AB14" s="1110"/>
      <c r="AC14" s="826" t="s">
        <v>31</v>
      </c>
      <c r="AD14" s="574">
        <v>2</v>
      </c>
      <c r="AE14" s="1110">
        <v>2</v>
      </c>
      <c r="AF14" s="1110">
        <v>2</v>
      </c>
      <c r="AG14" s="1113">
        <v>2</v>
      </c>
      <c r="AH14" s="25"/>
      <c r="AI14" s="25"/>
    </row>
    <row r="15" spans="1:35" ht="18" customHeight="1">
      <c r="A15" s="1114">
        <v>8546</v>
      </c>
      <c r="B15" s="1108" t="s">
        <v>350</v>
      </c>
      <c r="C15" s="1109">
        <v>2</v>
      </c>
      <c r="D15" s="830">
        <v>25</v>
      </c>
      <c r="E15" s="830">
        <v>5</v>
      </c>
      <c r="F15" s="1115" t="s">
        <v>34</v>
      </c>
      <c r="G15" s="1115" t="s">
        <v>34</v>
      </c>
      <c r="H15" s="574" t="s">
        <v>35</v>
      </c>
      <c r="I15" s="1110" t="s">
        <v>35</v>
      </c>
      <c r="J15" s="1109" t="s">
        <v>35</v>
      </c>
      <c r="K15" s="574" t="s">
        <v>35</v>
      </c>
      <c r="L15" s="1110" t="s">
        <v>35</v>
      </c>
      <c r="M15" s="1110"/>
      <c r="N15" s="1110"/>
      <c r="O15" s="1110">
        <v>4</v>
      </c>
      <c r="P15" s="1110">
        <v>4</v>
      </c>
      <c r="Q15" s="1110">
        <v>4</v>
      </c>
      <c r="R15" s="1110">
        <v>4</v>
      </c>
      <c r="S15" s="1110">
        <v>4</v>
      </c>
      <c r="T15" s="1110" t="s">
        <v>36</v>
      </c>
      <c r="U15" s="1110" t="s">
        <v>36</v>
      </c>
      <c r="V15" s="1110" t="s">
        <v>35</v>
      </c>
      <c r="W15" s="1110" t="s">
        <v>35</v>
      </c>
      <c r="X15" s="1110" t="s">
        <v>35</v>
      </c>
      <c r="Y15" s="1110" t="s">
        <v>35</v>
      </c>
      <c r="Z15" s="1110" t="s">
        <v>35</v>
      </c>
      <c r="AA15" s="1110"/>
      <c r="AB15" s="1110"/>
      <c r="AC15" s="1110">
        <v>1</v>
      </c>
      <c r="AD15" s="1112">
        <v>1</v>
      </c>
      <c r="AE15" s="1112">
        <v>1</v>
      </c>
      <c r="AF15" s="1110">
        <v>1</v>
      </c>
      <c r="AG15" s="747">
        <v>1</v>
      </c>
      <c r="AH15" s="25"/>
      <c r="AI15" s="25"/>
    </row>
    <row r="16" spans="1:35" ht="18" customHeight="1" thickBot="1">
      <c r="A16" s="1114">
        <v>8546</v>
      </c>
      <c r="B16" s="1108" t="s">
        <v>38</v>
      </c>
      <c r="C16" s="1110" t="s">
        <v>35</v>
      </c>
      <c r="D16" s="1110" t="s">
        <v>35</v>
      </c>
      <c r="E16" s="1110" t="s">
        <v>35</v>
      </c>
      <c r="F16" s="1110"/>
      <c r="G16" s="1110"/>
      <c r="H16" s="1110">
        <v>1</v>
      </c>
      <c r="I16" s="1110">
        <v>1</v>
      </c>
      <c r="J16" s="1110">
        <v>1</v>
      </c>
      <c r="K16" s="1110">
        <v>1</v>
      </c>
      <c r="L16" s="1116">
        <v>1</v>
      </c>
      <c r="M16" s="1110"/>
      <c r="N16" s="574"/>
      <c r="O16" s="574">
        <v>2</v>
      </c>
      <c r="P16" s="574">
        <v>2</v>
      </c>
      <c r="Q16" s="574">
        <v>2</v>
      </c>
      <c r="R16" s="574">
        <v>2</v>
      </c>
      <c r="S16" s="1110">
        <v>2</v>
      </c>
      <c r="T16" s="1110" t="s">
        <v>34</v>
      </c>
      <c r="U16" s="1110" t="s">
        <v>34</v>
      </c>
      <c r="V16" s="1110" t="s">
        <v>35</v>
      </c>
      <c r="W16" s="1109" t="s">
        <v>35</v>
      </c>
      <c r="X16" s="1110" t="s">
        <v>35</v>
      </c>
      <c r="Y16" s="574" t="s">
        <v>35</v>
      </c>
      <c r="Z16" s="574" t="s">
        <v>35</v>
      </c>
      <c r="AA16" s="574"/>
      <c r="AB16" s="574"/>
      <c r="AC16" s="574">
        <v>4</v>
      </c>
      <c r="AD16" s="1110">
        <v>4</v>
      </c>
      <c r="AE16" s="1110">
        <v>4</v>
      </c>
      <c r="AF16" s="1110">
        <v>4</v>
      </c>
      <c r="AG16" s="1113">
        <v>4</v>
      </c>
      <c r="AH16" s="25"/>
      <c r="AI16" s="25"/>
    </row>
    <row r="17" spans="1:35" ht="18" customHeight="1">
      <c r="A17" s="1114">
        <v>8546</v>
      </c>
      <c r="B17" s="1117" t="s">
        <v>39</v>
      </c>
      <c r="C17" s="1110">
        <v>4</v>
      </c>
      <c r="D17" s="1109">
        <v>4</v>
      </c>
      <c r="E17" s="958">
        <v>4</v>
      </c>
      <c r="F17" s="958" t="s">
        <v>36</v>
      </c>
      <c r="G17" s="958" t="s">
        <v>36</v>
      </c>
      <c r="H17" s="822" t="s">
        <v>351</v>
      </c>
      <c r="I17" s="1110" t="s">
        <v>35</v>
      </c>
      <c r="J17" s="1110" t="s">
        <v>35</v>
      </c>
      <c r="K17" s="1110" t="s">
        <v>35</v>
      </c>
      <c r="L17" s="1110" t="s">
        <v>35</v>
      </c>
      <c r="M17" s="1110"/>
      <c r="N17" s="1110"/>
      <c r="O17" s="1110">
        <v>1</v>
      </c>
      <c r="P17" s="1110">
        <v>1</v>
      </c>
      <c r="Q17" s="1110">
        <v>1</v>
      </c>
      <c r="R17" s="1110">
        <v>1</v>
      </c>
      <c r="S17" s="1110">
        <v>1</v>
      </c>
      <c r="T17" s="1110"/>
      <c r="U17" s="1110"/>
      <c r="V17" s="1110">
        <v>2</v>
      </c>
      <c r="W17" s="1110">
        <v>2</v>
      </c>
      <c r="X17" s="1109">
        <v>2</v>
      </c>
      <c r="Y17" s="1110">
        <v>2</v>
      </c>
      <c r="Z17" s="1110">
        <v>2</v>
      </c>
      <c r="AA17" s="1110" t="s">
        <v>34</v>
      </c>
      <c r="AB17" s="1110" t="s">
        <v>34</v>
      </c>
      <c r="AC17" s="826" t="s">
        <v>31</v>
      </c>
      <c r="AD17" s="797" t="s">
        <v>35</v>
      </c>
      <c r="AE17" s="797" t="s">
        <v>35</v>
      </c>
      <c r="AF17" s="797" t="s">
        <v>35</v>
      </c>
      <c r="AG17" s="1118" t="s">
        <v>35</v>
      </c>
      <c r="AH17" s="25"/>
      <c r="AI17" s="25"/>
    </row>
    <row r="18" spans="1:35" ht="18" customHeight="1">
      <c r="A18" s="1114">
        <v>8546</v>
      </c>
      <c r="B18" s="1108" t="s">
        <v>40</v>
      </c>
      <c r="C18" s="1110">
        <v>1</v>
      </c>
      <c r="D18" s="1112">
        <v>1</v>
      </c>
      <c r="E18" s="1112">
        <v>1</v>
      </c>
      <c r="F18" s="1110"/>
      <c r="G18" s="1110"/>
      <c r="H18" s="1110">
        <v>2</v>
      </c>
      <c r="I18" s="1110">
        <v>2</v>
      </c>
      <c r="J18" s="574">
        <v>2</v>
      </c>
      <c r="K18" s="574">
        <v>2</v>
      </c>
      <c r="L18" s="1110">
        <v>2</v>
      </c>
      <c r="M18" s="574" t="s">
        <v>34</v>
      </c>
      <c r="N18" s="574" t="s">
        <v>34</v>
      </c>
      <c r="O18" s="1110" t="s">
        <v>35</v>
      </c>
      <c r="P18" s="1110" t="s">
        <v>35</v>
      </c>
      <c r="Q18" s="1110" t="s">
        <v>35</v>
      </c>
      <c r="R18" s="1110" t="s">
        <v>35</v>
      </c>
      <c r="S18" s="1110" t="s">
        <v>35</v>
      </c>
      <c r="T18" s="1110"/>
      <c r="U18" s="574"/>
      <c r="V18" s="574">
        <v>4</v>
      </c>
      <c r="W18" s="1110">
        <v>4</v>
      </c>
      <c r="X18" s="1110">
        <v>4</v>
      </c>
      <c r="Y18" s="1110">
        <v>4</v>
      </c>
      <c r="Z18" s="1110">
        <v>4</v>
      </c>
      <c r="AA18" s="1110" t="s">
        <v>36</v>
      </c>
      <c r="AB18" s="1110" t="s">
        <v>36</v>
      </c>
      <c r="AC18" s="1119" t="s">
        <v>35</v>
      </c>
      <c r="AD18" s="1110" t="s">
        <v>35</v>
      </c>
      <c r="AE18" s="1110" t="s">
        <v>35</v>
      </c>
      <c r="AF18" s="1110" t="s">
        <v>35</v>
      </c>
      <c r="AG18" s="1113" t="s">
        <v>35</v>
      </c>
      <c r="AH18" s="25"/>
      <c r="AI18" s="25"/>
    </row>
    <row r="19" spans="1:35" ht="18" customHeight="1" thickBot="1">
      <c r="A19" s="667" t="s">
        <v>41</v>
      </c>
      <c r="B19" s="1120"/>
      <c r="C19" s="1121"/>
      <c r="D19" s="1121"/>
      <c r="E19" s="1121"/>
      <c r="F19" s="1121"/>
      <c r="G19" s="1121"/>
      <c r="H19" s="1121"/>
      <c r="I19" s="1121"/>
      <c r="J19" s="1121"/>
      <c r="K19" s="1121"/>
      <c r="L19" s="1121"/>
      <c r="M19" s="1121"/>
      <c r="N19" s="1121"/>
      <c r="O19" s="1121"/>
      <c r="P19" s="1121"/>
      <c r="Q19" s="1121"/>
      <c r="R19" s="1121"/>
      <c r="S19" s="1121"/>
      <c r="T19" s="1121"/>
      <c r="U19" s="1121"/>
      <c r="V19" s="1121"/>
      <c r="W19" s="1121"/>
      <c r="X19" s="1121"/>
      <c r="Y19" s="1121"/>
      <c r="Z19" s="1121"/>
      <c r="AA19" s="1121"/>
      <c r="AB19" s="1121"/>
      <c r="AC19" s="1121"/>
      <c r="AD19" s="1121"/>
      <c r="AE19" s="1121"/>
      <c r="AF19" s="1121"/>
      <c r="AG19" s="1122"/>
      <c r="AH19" s="26"/>
      <c r="AI19" s="26"/>
    </row>
    <row r="20" spans="1:35" ht="18" customHeight="1" thickBot="1">
      <c r="A20" s="1123">
        <v>8500</v>
      </c>
      <c r="B20" s="1124" t="s">
        <v>37</v>
      </c>
      <c r="C20" s="826"/>
      <c r="D20" s="826">
        <v>2</v>
      </c>
      <c r="E20" s="826">
        <v>2</v>
      </c>
      <c r="F20" s="826" t="s">
        <v>34</v>
      </c>
      <c r="G20" s="826" t="s">
        <v>34</v>
      </c>
      <c r="H20" s="826" t="s">
        <v>35</v>
      </c>
      <c r="I20" s="826" t="s">
        <v>35</v>
      </c>
      <c r="J20" s="826" t="s">
        <v>35</v>
      </c>
      <c r="K20" s="826" t="s">
        <v>35</v>
      </c>
      <c r="L20" s="826" t="s">
        <v>35</v>
      </c>
      <c r="M20" s="826"/>
      <c r="N20" s="826"/>
      <c r="O20" s="744" t="s">
        <v>31</v>
      </c>
      <c r="P20" s="826" t="s">
        <v>31</v>
      </c>
      <c r="Q20" s="826" t="s">
        <v>31</v>
      </c>
      <c r="R20" s="826" t="s">
        <v>31</v>
      </c>
      <c r="S20" s="826"/>
      <c r="T20" s="826"/>
      <c r="U20" s="826"/>
      <c r="V20" s="826">
        <v>1</v>
      </c>
      <c r="W20" s="826">
        <v>1</v>
      </c>
      <c r="X20" s="826">
        <v>1</v>
      </c>
      <c r="Y20" s="1103" t="s">
        <v>31</v>
      </c>
      <c r="Z20" s="1103" t="s">
        <v>31</v>
      </c>
      <c r="AA20" s="1110"/>
      <c r="AB20" s="1110"/>
      <c r="AC20" s="826" t="s">
        <v>31</v>
      </c>
      <c r="AD20" s="1103" t="s">
        <v>31</v>
      </c>
      <c r="AE20" s="1103" t="s">
        <v>31</v>
      </c>
      <c r="AF20" s="826"/>
      <c r="AG20" s="827" t="s">
        <v>31</v>
      </c>
      <c r="AH20" s="25"/>
      <c r="AI20" s="25"/>
    </row>
    <row r="21" spans="1:35" ht="18" customHeight="1" thickBot="1">
      <c r="A21" s="1125">
        <v>8500</v>
      </c>
      <c r="B21" s="1126" t="s">
        <v>42</v>
      </c>
      <c r="C21" s="1127"/>
      <c r="D21" s="1128">
        <v>1</v>
      </c>
      <c r="E21" s="826">
        <v>1</v>
      </c>
      <c r="F21" s="1127"/>
      <c r="G21" s="1127"/>
      <c r="H21" s="1129" t="s">
        <v>31</v>
      </c>
      <c r="I21" s="1129" t="s">
        <v>31</v>
      </c>
      <c r="J21" s="1127" t="s">
        <v>31</v>
      </c>
      <c r="K21" s="1130" t="s">
        <v>31</v>
      </c>
      <c r="L21" s="1131" t="s">
        <v>31</v>
      </c>
      <c r="M21" s="1127"/>
      <c r="N21" s="1129"/>
      <c r="O21" s="1127" t="s">
        <v>31</v>
      </c>
      <c r="P21" s="1127" t="s">
        <v>31</v>
      </c>
      <c r="Q21" s="1127" t="s">
        <v>31</v>
      </c>
      <c r="R21" s="1128" t="s">
        <v>31</v>
      </c>
      <c r="S21" s="1127"/>
      <c r="T21" s="1127"/>
      <c r="U21" s="1132"/>
      <c r="V21" s="1133" t="s">
        <v>352</v>
      </c>
      <c r="W21" s="1133" t="s">
        <v>31</v>
      </c>
      <c r="X21" s="1133" t="s">
        <v>31</v>
      </c>
      <c r="Y21" s="1128" t="s">
        <v>31</v>
      </c>
      <c r="Z21" s="1133" t="s">
        <v>31</v>
      </c>
      <c r="AA21" s="1127"/>
      <c r="AB21" s="826" t="s">
        <v>31</v>
      </c>
      <c r="AC21" s="826" t="s">
        <v>31</v>
      </c>
      <c r="AD21" s="1128" t="s">
        <v>31</v>
      </c>
      <c r="AE21" s="1134" t="s">
        <v>31</v>
      </c>
      <c r="AF21" s="1129"/>
      <c r="AG21" s="1135" t="s">
        <v>31</v>
      </c>
      <c r="AH21" s="25"/>
      <c r="AI21" s="25"/>
    </row>
    <row r="22" spans="1:35" ht="18" customHeight="1">
      <c r="A22" s="1125">
        <v>8500</v>
      </c>
      <c r="B22" s="1136" t="s">
        <v>43</v>
      </c>
      <c r="C22" s="1110" t="s">
        <v>35</v>
      </c>
      <c r="D22" s="1110">
        <v>1</v>
      </c>
      <c r="E22" s="1110" t="s">
        <v>35</v>
      </c>
      <c r="F22" s="1129"/>
      <c r="G22" s="1127"/>
      <c r="H22" s="1127" t="s">
        <v>31</v>
      </c>
      <c r="I22" s="1127" t="s">
        <v>31</v>
      </c>
      <c r="J22" s="1127" t="s">
        <v>31</v>
      </c>
      <c r="K22" s="1130" t="s">
        <v>31</v>
      </c>
      <c r="L22" s="1127">
        <v>1</v>
      </c>
      <c r="M22" s="1127"/>
      <c r="N22" s="1132"/>
      <c r="O22" s="1132" t="s">
        <v>31</v>
      </c>
      <c r="P22" s="1132" t="s">
        <v>31</v>
      </c>
      <c r="Q22" s="1132" t="s">
        <v>31</v>
      </c>
      <c r="R22" s="1137" t="s">
        <v>31</v>
      </c>
      <c r="S22" s="1127"/>
      <c r="T22" s="1127"/>
      <c r="U22" s="1132"/>
      <c r="V22" s="1132">
        <v>2</v>
      </c>
      <c r="W22" s="1132" t="s">
        <v>31</v>
      </c>
      <c r="X22" s="1132" t="s">
        <v>31</v>
      </c>
      <c r="Y22" s="1128" t="s">
        <v>31</v>
      </c>
      <c r="Z22" s="1133" t="s">
        <v>31</v>
      </c>
      <c r="AA22" s="1127"/>
      <c r="AB22" s="1127"/>
      <c r="AC22" s="826" t="s">
        <v>31</v>
      </c>
      <c r="AD22" s="1129">
        <v>1</v>
      </c>
      <c r="AE22" s="1127">
        <v>1</v>
      </c>
      <c r="AF22" s="1129"/>
      <c r="AG22" s="488">
        <v>1</v>
      </c>
      <c r="AH22" s="25"/>
      <c r="AI22" s="25"/>
    </row>
    <row r="23" spans="1:35" ht="18" customHeight="1">
      <c r="A23" s="1125"/>
      <c r="B23" s="1138" t="s">
        <v>353</v>
      </c>
      <c r="C23" s="1129"/>
      <c r="D23" s="1131" t="s">
        <v>31</v>
      </c>
      <c r="E23" s="1127" t="s">
        <v>31</v>
      </c>
      <c r="F23" s="1127"/>
      <c r="G23" s="1127"/>
      <c r="H23" s="1127" t="s">
        <v>31</v>
      </c>
      <c r="I23" s="1129" t="s">
        <v>31</v>
      </c>
      <c r="J23" s="1129" t="s">
        <v>31</v>
      </c>
      <c r="K23" s="1129" t="s">
        <v>31</v>
      </c>
      <c r="L23" s="1139" t="s">
        <v>31</v>
      </c>
      <c r="M23" s="1139"/>
      <c r="N23" s="1139"/>
      <c r="O23" s="1140" t="s">
        <v>31</v>
      </c>
      <c r="P23" s="1140" t="s">
        <v>31</v>
      </c>
      <c r="Q23" s="1140" t="s">
        <v>31</v>
      </c>
      <c r="R23" s="1140" t="s">
        <v>31</v>
      </c>
      <c r="S23" s="1141"/>
      <c r="T23" s="1129"/>
      <c r="U23" s="1129"/>
      <c r="V23" s="1129" t="s">
        <v>31</v>
      </c>
      <c r="W23" s="1129" t="s">
        <v>31</v>
      </c>
      <c r="X23" s="1129" t="s">
        <v>31</v>
      </c>
      <c r="Y23" s="1128" t="s">
        <v>31</v>
      </c>
      <c r="Z23" s="1129" t="s">
        <v>31</v>
      </c>
      <c r="AA23" s="1129"/>
      <c r="AB23" s="1129"/>
      <c r="AC23" s="1132" t="s">
        <v>31</v>
      </c>
      <c r="AD23" s="1132" t="s">
        <v>31</v>
      </c>
      <c r="AE23" s="1128" t="s">
        <v>31</v>
      </c>
      <c r="AF23" s="1132"/>
      <c r="AG23" s="1142" t="s">
        <v>31</v>
      </c>
    </row>
    <row r="24" spans="1:35" ht="18" customHeight="1" thickBot="1">
      <c r="A24" s="416"/>
      <c r="B24" s="417"/>
      <c r="C24" s="418"/>
      <c r="D24" s="418"/>
      <c r="E24" s="418"/>
      <c r="F24" s="418"/>
      <c r="G24" s="418" t="s">
        <v>0</v>
      </c>
      <c r="H24" s="418"/>
      <c r="I24" s="418"/>
      <c r="J24" s="418"/>
      <c r="K24" s="418"/>
      <c r="L24" s="418" t="s">
        <v>0</v>
      </c>
      <c r="M24" s="418"/>
      <c r="N24" s="418" t="s">
        <v>0</v>
      </c>
      <c r="O24" s="418" t="s">
        <v>0</v>
      </c>
      <c r="P24" s="418"/>
      <c r="Q24" s="418"/>
      <c r="R24" s="418"/>
      <c r="S24" s="418"/>
      <c r="T24" s="418"/>
      <c r="U24" s="418" t="s">
        <v>0</v>
      </c>
      <c r="V24" s="418"/>
      <c r="W24" s="418"/>
      <c r="X24" s="418"/>
      <c r="Y24" s="418"/>
      <c r="Z24" s="418"/>
      <c r="AA24" s="418"/>
      <c r="AB24" s="418"/>
      <c r="AC24" s="418"/>
      <c r="AD24" s="418"/>
      <c r="AE24" s="418"/>
      <c r="AF24" s="418"/>
      <c r="AG24" s="28"/>
    </row>
    <row r="25" spans="1:35" ht="18" customHeight="1">
      <c r="A25" s="29"/>
    </row>
    <row r="26" spans="1:35" ht="18" customHeight="1">
      <c r="A26" s="29"/>
    </row>
    <row r="27" spans="1:35" ht="18" customHeight="1">
      <c r="A27" s="29"/>
    </row>
    <row r="28" spans="1:35" ht="18" customHeight="1">
      <c r="A28" s="29"/>
    </row>
    <row r="29" spans="1:35" ht="18" customHeight="1">
      <c r="A29" s="29"/>
    </row>
    <row r="30" spans="1:35" ht="18" customHeight="1" thickBot="1">
      <c r="A30" s="14" t="s">
        <v>49</v>
      </c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</row>
    <row r="31" spans="1:35" ht="18" customHeight="1">
      <c r="A31" s="695" t="s">
        <v>50</v>
      </c>
      <c r="B31" s="696"/>
      <c r="C31" s="696"/>
      <c r="D31" s="697" t="s">
        <v>51</v>
      </c>
      <c r="E31" s="698"/>
      <c r="F31" s="698"/>
      <c r="G31" s="698"/>
      <c r="H31" s="698"/>
      <c r="I31" s="698"/>
      <c r="J31" s="698"/>
      <c r="K31" s="698"/>
      <c r="L31" s="698"/>
      <c r="M31" s="699" t="s">
        <v>52</v>
      </c>
      <c r="N31" s="698"/>
      <c r="O31" s="698"/>
      <c r="P31" s="698"/>
      <c r="Q31" s="698"/>
      <c r="R31" s="698"/>
      <c r="S31" s="700"/>
      <c r="T31" s="701" t="s">
        <v>53</v>
      </c>
      <c r="U31" s="702"/>
      <c r="V31" s="702"/>
      <c r="W31" s="702"/>
      <c r="X31" s="702"/>
      <c r="Y31" s="702"/>
      <c r="Z31" s="703"/>
      <c r="AA31" s="704" t="s">
        <v>54</v>
      </c>
      <c r="AB31" s="705"/>
      <c r="AC31" s="705"/>
      <c r="AD31" s="705"/>
      <c r="AE31" s="705"/>
      <c r="AF31" s="705"/>
      <c r="AG31" s="706"/>
    </row>
    <row r="32" spans="1:35" ht="18" customHeight="1">
      <c r="A32" s="707" t="s">
        <v>55</v>
      </c>
      <c r="B32" s="641"/>
      <c r="C32" s="641"/>
      <c r="D32" s="708" t="s">
        <v>56</v>
      </c>
      <c r="E32" s="709"/>
      <c r="F32" s="1084"/>
      <c r="G32" s="1084"/>
      <c r="H32" s="1084"/>
      <c r="I32" s="1084"/>
      <c r="J32" s="1084"/>
      <c r="K32" s="1084"/>
      <c r="L32" s="1092"/>
      <c r="M32" s="1143" t="s">
        <v>57</v>
      </c>
      <c r="N32" s="641"/>
      <c r="O32" s="1144"/>
      <c r="P32" s="641"/>
      <c r="Q32" s="641"/>
      <c r="R32" s="641"/>
      <c r="S32" s="1145"/>
      <c r="T32" s="708" t="s">
        <v>58</v>
      </c>
      <c r="U32" s="1084"/>
      <c r="V32" s="709"/>
      <c r="W32" s="1084"/>
      <c r="X32" s="1084"/>
      <c r="Y32" s="1084"/>
      <c r="Z32" s="1092"/>
      <c r="AA32" s="31" t="s">
        <v>59</v>
      </c>
      <c r="AD32" s="20"/>
      <c r="AG32" s="32"/>
    </row>
    <row r="33" spans="1:35" ht="18" customHeight="1">
      <c r="A33" s="713" t="s">
        <v>60</v>
      </c>
      <c r="B33" s="1084"/>
      <c r="C33" s="1084"/>
      <c r="D33" s="714"/>
      <c r="E33" s="1084"/>
      <c r="F33" s="1084"/>
      <c r="G33" s="1092"/>
      <c r="H33" s="1096" t="s">
        <v>61</v>
      </c>
      <c r="I33" s="1084"/>
      <c r="J33" s="1084"/>
      <c r="K33" s="1084"/>
      <c r="L33" s="1084"/>
      <c r="M33" s="715"/>
      <c r="N33" s="1084"/>
      <c r="O33" s="1084"/>
      <c r="P33" s="1084"/>
      <c r="Q33" s="1084"/>
      <c r="R33" s="1084"/>
      <c r="S33" s="1084"/>
      <c r="T33" s="714"/>
      <c r="U33" s="14" t="s">
        <v>62</v>
      </c>
      <c r="AA33" s="1144"/>
      <c r="AB33" s="641"/>
      <c r="AC33" s="641"/>
      <c r="AD33" s="641"/>
      <c r="AE33" s="641"/>
      <c r="AF33" s="641"/>
      <c r="AG33" s="1146"/>
    </row>
    <row r="34" spans="1:35" ht="18" customHeight="1" thickBot="1">
      <c r="A34" s="717" t="s">
        <v>63</v>
      </c>
      <c r="B34" s="718"/>
      <c r="C34" s="718"/>
      <c r="D34" s="719"/>
      <c r="E34" s="718"/>
      <c r="F34" s="718"/>
      <c r="G34" s="720"/>
      <c r="H34" s="721" t="s">
        <v>64</v>
      </c>
      <c r="I34" s="720"/>
      <c r="J34" s="718"/>
      <c r="K34" s="718"/>
      <c r="L34" s="718"/>
      <c r="M34" s="722"/>
      <c r="N34" s="718"/>
      <c r="O34" s="718"/>
      <c r="P34" s="718"/>
      <c r="Q34" s="723"/>
      <c r="R34" s="723"/>
      <c r="S34" s="723"/>
      <c r="T34" s="719"/>
      <c r="U34" s="724" t="s">
        <v>65</v>
      </c>
      <c r="V34" s="718"/>
      <c r="W34" s="718"/>
      <c r="X34" s="718"/>
      <c r="Y34" s="718"/>
      <c r="Z34" s="718"/>
      <c r="AA34" s="718"/>
      <c r="AB34" s="718"/>
      <c r="AC34" s="718"/>
      <c r="AD34" s="718"/>
      <c r="AE34" s="718"/>
      <c r="AF34" s="718"/>
      <c r="AG34" s="725"/>
    </row>
    <row r="35" spans="1:35" ht="18" customHeight="1">
      <c r="B35" s="33" t="s">
        <v>27</v>
      </c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"/>
    </row>
    <row r="36" spans="1:35" ht="18" customHeight="1" thickBot="1">
      <c r="A36" s="726" t="s">
        <v>28</v>
      </c>
      <c r="B36" s="727" t="s">
        <v>29</v>
      </c>
      <c r="C36" s="1099">
        <v>1</v>
      </c>
      <c r="D36" s="1100">
        <v>2</v>
      </c>
      <c r="E36" s="1100">
        <v>3</v>
      </c>
      <c r="F36" s="1099">
        <v>4</v>
      </c>
      <c r="G36" s="1099">
        <v>5</v>
      </c>
      <c r="H36" s="1100">
        <v>6</v>
      </c>
      <c r="I36" s="1100">
        <v>7</v>
      </c>
      <c r="J36" s="1100">
        <v>8</v>
      </c>
      <c r="K36" s="1100">
        <v>9</v>
      </c>
      <c r="L36" s="1100">
        <v>10</v>
      </c>
      <c r="M36" s="1099">
        <v>11</v>
      </c>
      <c r="N36" s="1099">
        <v>12</v>
      </c>
      <c r="O36" s="1100">
        <v>13</v>
      </c>
      <c r="P36" s="1100">
        <v>14</v>
      </c>
      <c r="Q36" s="1100">
        <v>15</v>
      </c>
      <c r="R36" s="1100">
        <v>16</v>
      </c>
      <c r="S36" s="1099">
        <v>17</v>
      </c>
      <c r="T36" s="1099">
        <v>18</v>
      </c>
      <c r="U36" s="1099">
        <v>19</v>
      </c>
      <c r="V36" s="1100">
        <v>20</v>
      </c>
      <c r="W36" s="1100">
        <v>21</v>
      </c>
      <c r="X36" s="1100">
        <v>22</v>
      </c>
      <c r="Y36" s="1100">
        <v>23</v>
      </c>
      <c r="Z36" s="1100">
        <v>24</v>
      </c>
      <c r="AA36" s="1099">
        <v>25</v>
      </c>
      <c r="AB36" s="1099">
        <v>26</v>
      </c>
      <c r="AC36" s="1100">
        <v>27</v>
      </c>
      <c r="AD36" s="1100">
        <v>28</v>
      </c>
      <c r="AE36" s="1100">
        <v>29</v>
      </c>
      <c r="AF36" s="1099">
        <v>30</v>
      </c>
      <c r="AG36" s="1101">
        <v>31</v>
      </c>
      <c r="AH36" s="23"/>
      <c r="AI36" s="24"/>
    </row>
    <row r="37" spans="1:35" ht="18" customHeight="1">
      <c r="A37" s="728">
        <v>1</v>
      </c>
      <c r="B37" s="689" t="s">
        <v>66</v>
      </c>
      <c r="C37" s="472">
        <v>4</v>
      </c>
      <c r="D37" s="826">
        <v>4</v>
      </c>
      <c r="E37" s="1147">
        <v>4</v>
      </c>
      <c r="F37" s="472"/>
      <c r="G37" s="472"/>
      <c r="H37" s="472" t="s">
        <v>354</v>
      </c>
      <c r="I37" s="472">
        <v>3</v>
      </c>
      <c r="J37" s="826">
        <v>3</v>
      </c>
      <c r="K37" s="472">
        <v>3</v>
      </c>
      <c r="L37" s="472">
        <v>3</v>
      </c>
      <c r="M37" s="472"/>
      <c r="N37" s="472"/>
      <c r="O37" s="826">
        <v>11</v>
      </c>
      <c r="P37" s="472">
        <v>11</v>
      </c>
      <c r="Q37" s="471">
        <v>11</v>
      </c>
      <c r="R37" s="826">
        <v>11</v>
      </c>
      <c r="S37" s="472">
        <v>11</v>
      </c>
      <c r="T37" s="472" t="s">
        <v>68</v>
      </c>
      <c r="U37" s="472" t="s">
        <v>68</v>
      </c>
      <c r="V37" s="472" t="s">
        <v>35</v>
      </c>
      <c r="W37" s="472" t="s">
        <v>35</v>
      </c>
      <c r="X37" s="471" t="s">
        <v>35</v>
      </c>
      <c r="Y37" s="471" t="s">
        <v>35</v>
      </c>
      <c r="Z37" s="472" t="s">
        <v>35</v>
      </c>
      <c r="AA37" s="472" t="s">
        <v>69</v>
      </c>
      <c r="AB37" s="471" t="s">
        <v>69</v>
      </c>
      <c r="AC37" s="826" t="s">
        <v>31</v>
      </c>
      <c r="AD37" s="471">
        <v>8</v>
      </c>
      <c r="AE37" s="472">
        <v>8</v>
      </c>
      <c r="AF37" s="472">
        <v>8</v>
      </c>
      <c r="AG37" s="734">
        <v>8</v>
      </c>
      <c r="AH37" s="34"/>
      <c r="AI37" s="25"/>
    </row>
    <row r="38" spans="1:35" ht="18" customHeight="1">
      <c r="A38" s="735">
        <v>6</v>
      </c>
      <c r="B38" s="1148" t="s">
        <v>355</v>
      </c>
      <c r="C38" s="575" t="s">
        <v>35</v>
      </c>
      <c r="D38" s="575" t="s">
        <v>35</v>
      </c>
      <c r="E38" s="575" t="s">
        <v>35</v>
      </c>
      <c r="F38" s="575"/>
      <c r="G38" s="575"/>
      <c r="H38" s="575">
        <v>1</v>
      </c>
      <c r="I38" s="575">
        <v>1</v>
      </c>
      <c r="J38" s="575">
        <v>1</v>
      </c>
      <c r="K38" s="575">
        <v>1</v>
      </c>
      <c r="L38" s="575" t="s">
        <v>356</v>
      </c>
      <c r="M38" s="575"/>
      <c r="N38" s="575"/>
      <c r="O38" s="575">
        <v>9</v>
      </c>
      <c r="P38" s="575">
        <v>9</v>
      </c>
      <c r="Q38" s="1149">
        <v>9</v>
      </c>
      <c r="R38" s="822" t="s">
        <v>140</v>
      </c>
      <c r="S38" s="575">
        <v>9</v>
      </c>
      <c r="T38" s="575" t="s">
        <v>70</v>
      </c>
      <c r="U38" s="575" t="s">
        <v>72</v>
      </c>
      <c r="V38" s="575" t="s">
        <v>35</v>
      </c>
      <c r="W38" s="575" t="s">
        <v>35</v>
      </c>
      <c r="X38" s="575" t="s">
        <v>35</v>
      </c>
      <c r="Y38" s="575" t="s">
        <v>35</v>
      </c>
      <c r="Z38" s="575" t="s">
        <v>35</v>
      </c>
      <c r="AA38" s="575" t="s">
        <v>75</v>
      </c>
      <c r="AB38" s="575" t="s">
        <v>69</v>
      </c>
      <c r="AC38" s="575">
        <v>6</v>
      </c>
      <c r="AD38" s="575">
        <v>6</v>
      </c>
      <c r="AE38" s="575">
        <v>6</v>
      </c>
      <c r="AF38" s="575">
        <v>6</v>
      </c>
      <c r="AG38" s="736">
        <v>6</v>
      </c>
      <c r="AH38" s="34"/>
      <c r="AI38" s="25"/>
    </row>
    <row r="39" spans="1:35" ht="18" customHeight="1" thickBot="1">
      <c r="A39" s="737">
        <v>11</v>
      </c>
      <c r="B39" s="755" t="s">
        <v>71</v>
      </c>
      <c r="C39" s="1100" t="s">
        <v>35</v>
      </c>
      <c r="D39" s="577" t="s">
        <v>35</v>
      </c>
      <c r="E39" s="577" t="s">
        <v>35</v>
      </c>
      <c r="F39" s="577"/>
      <c r="G39" s="577"/>
      <c r="H39" s="763">
        <v>5</v>
      </c>
      <c r="I39" s="763">
        <v>5</v>
      </c>
      <c r="J39" s="763">
        <v>5</v>
      </c>
      <c r="K39" s="763">
        <v>5</v>
      </c>
      <c r="L39" s="763">
        <v>5</v>
      </c>
      <c r="M39" s="577"/>
      <c r="N39" s="577"/>
      <c r="O39" s="1100">
        <v>10</v>
      </c>
      <c r="P39" s="577">
        <v>10</v>
      </c>
      <c r="Q39" s="1100">
        <v>10</v>
      </c>
      <c r="R39" s="1100">
        <v>10</v>
      </c>
      <c r="S39" s="577">
        <v>10</v>
      </c>
      <c r="T39" s="577" t="s">
        <v>72</v>
      </c>
      <c r="U39" s="577" t="s">
        <v>72</v>
      </c>
      <c r="V39" s="577" t="s">
        <v>35</v>
      </c>
      <c r="W39" s="577" t="s">
        <v>35</v>
      </c>
      <c r="X39" s="1100" t="s">
        <v>35</v>
      </c>
      <c r="Y39" s="577" t="s">
        <v>35</v>
      </c>
      <c r="Z39" s="577" t="s">
        <v>35</v>
      </c>
      <c r="AA39" s="577" t="s">
        <v>67</v>
      </c>
      <c r="AB39" s="742" t="s">
        <v>67</v>
      </c>
      <c r="AC39" s="1150">
        <v>7</v>
      </c>
      <c r="AD39" s="1150">
        <v>7</v>
      </c>
      <c r="AE39" s="1150">
        <v>7</v>
      </c>
      <c r="AF39" s="1150">
        <v>7</v>
      </c>
      <c r="AG39" s="1151" t="s">
        <v>357</v>
      </c>
      <c r="AH39" s="34"/>
      <c r="AI39" s="25"/>
    </row>
    <row r="40" spans="1:35" ht="18" customHeight="1">
      <c r="A40" s="728">
        <v>2</v>
      </c>
      <c r="B40" s="35" t="s">
        <v>73</v>
      </c>
      <c r="C40" s="826">
        <v>3</v>
      </c>
      <c r="D40" s="826">
        <v>3</v>
      </c>
      <c r="E40" s="826">
        <v>3</v>
      </c>
      <c r="F40" s="826"/>
      <c r="G40" s="826"/>
      <c r="H40" s="472">
        <v>11</v>
      </c>
      <c r="I40" s="472">
        <v>11</v>
      </c>
      <c r="J40" s="826">
        <v>11</v>
      </c>
      <c r="K40" s="826">
        <v>11</v>
      </c>
      <c r="L40" s="472">
        <v>11</v>
      </c>
      <c r="M40" s="472" t="s">
        <v>68</v>
      </c>
      <c r="N40" s="472" t="s">
        <v>68</v>
      </c>
      <c r="O40" s="471" t="s">
        <v>35</v>
      </c>
      <c r="P40" s="472" t="s">
        <v>35</v>
      </c>
      <c r="Q40" s="471" t="s">
        <v>35</v>
      </c>
      <c r="R40" s="471" t="s">
        <v>35</v>
      </c>
      <c r="S40" s="826" t="s">
        <v>35</v>
      </c>
      <c r="T40" s="826" t="s">
        <v>69</v>
      </c>
      <c r="U40" s="471" t="s">
        <v>69</v>
      </c>
      <c r="V40" s="471">
        <v>8</v>
      </c>
      <c r="W40" s="471">
        <v>8</v>
      </c>
      <c r="X40" s="472">
        <v>8</v>
      </c>
      <c r="Y40" s="472">
        <v>8</v>
      </c>
      <c r="Z40" s="472">
        <v>8</v>
      </c>
      <c r="AA40" s="472"/>
      <c r="AB40" s="472"/>
      <c r="AC40" s="471" t="s">
        <v>35</v>
      </c>
      <c r="AD40" s="471" t="s">
        <v>35</v>
      </c>
      <c r="AE40" s="472" t="s">
        <v>35</v>
      </c>
      <c r="AF40" s="472" t="s">
        <v>35</v>
      </c>
      <c r="AG40" s="734" t="s">
        <v>35</v>
      </c>
      <c r="AH40" s="34"/>
      <c r="AI40" s="25"/>
    </row>
    <row r="41" spans="1:35" ht="18" customHeight="1">
      <c r="A41" s="735">
        <v>7</v>
      </c>
      <c r="B41" s="1117" t="s">
        <v>74</v>
      </c>
      <c r="C41" s="570">
        <v>1</v>
      </c>
      <c r="D41" s="751">
        <v>1</v>
      </c>
      <c r="E41" s="570">
        <v>1</v>
      </c>
      <c r="F41" s="888" t="s">
        <v>36</v>
      </c>
      <c r="G41" s="888" t="s">
        <v>36</v>
      </c>
      <c r="H41" s="570">
        <v>9</v>
      </c>
      <c r="I41" s="570">
        <v>9</v>
      </c>
      <c r="J41" s="751">
        <v>9</v>
      </c>
      <c r="K41" s="1152">
        <v>9</v>
      </c>
      <c r="L41" s="1152">
        <v>9</v>
      </c>
      <c r="M41" s="1152" t="s">
        <v>70</v>
      </c>
      <c r="N41" s="570" t="s">
        <v>72</v>
      </c>
      <c r="O41" s="570" t="s">
        <v>35</v>
      </c>
      <c r="P41" s="570" t="s">
        <v>35</v>
      </c>
      <c r="Q41" s="751" t="s">
        <v>35</v>
      </c>
      <c r="R41" s="570" t="s">
        <v>35</v>
      </c>
      <c r="S41" s="570" t="s">
        <v>35</v>
      </c>
      <c r="T41" s="570" t="s">
        <v>75</v>
      </c>
      <c r="U41" s="570" t="s">
        <v>69</v>
      </c>
      <c r="V41" s="570">
        <v>6</v>
      </c>
      <c r="W41" s="570">
        <v>6</v>
      </c>
      <c r="X41" s="570">
        <v>6</v>
      </c>
      <c r="Y41" s="570">
        <v>6</v>
      </c>
      <c r="Z41" s="570">
        <v>6</v>
      </c>
      <c r="AA41" s="570"/>
      <c r="AB41" s="570"/>
      <c r="AC41" s="888" t="s">
        <v>35</v>
      </c>
      <c r="AD41" s="570" t="s">
        <v>35</v>
      </c>
      <c r="AE41" s="570" t="s">
        <v>35</v>
      </c>
      <c r="AF41" s="570" t="s">
        <v>35</v>
      </c>
      <c r="AG41" s="752" t="s">
        <v>35</v>
      </c>
      <c r="AH41" s="34"/>
      <c r="AI41" s="25"/>
    </row>
    <row r="42" spans="1:35" ht="18" customHeight="1" thickBot="1">
      <c r="A42" s="737">
        <v>12</v>
      </c>
      <c r="B42" s="1153" t="s">
        <v>76</v>
      </c>
      <c r="C42" s="577"/>
      <c r="D42" s="742">
        <v>5</v>
      </c>
      <c r="E42" s="577">
        <v>5</v>
      </c>
      <c r="F42" s="577"/>
      <c r="G42" s="577"/>
      <c r="H42" s="577">
        <v>10</v>
      </c>
      <c r="I42" s="577">
        <v>10</v>
      </c>
      <c r="J42" s="577">
        <v>10</v>
      </c>
      <c r="K42" s="1100">
        <v>10</v>
      </c>
      <c r="L42" s="1150">
        <v>10</v>
      </c>
      <c r="M42" s="1150" t="s">
        <v>72</v>
      </c>
      <c r="N42" s="1150" t="s">
        <v>72</v>
      </c>
      <c r="O42" s="577" t="s">
        <v>35</v>
      </c>
      <c r="P42" s="577" t="s">
        <v>35</v>
      </c>
      <c r="Q42" s="1100" t="s">
        <v>35</v>
      </c>
      <c r="R42" s="577" t="s">
        <v>35</v>
      </c>
      <c r="S42" s="577" t="s">
        <v>35</v>
      </c>
      <c r="T42" s="577" t="s">
        <v>67</v>
      </c>
      <c r="U42" s="742" t="s">
        <v>67</v>
      </c>
      <c r="V42" s="742">
        <v>7</v>
      </c>
      <c r="W42" s="742">
        <v>7</v>
      </c>
      <c r="X42" s="577">
        <v>7</v>
      </c>
      <c r="Y42" s="577">
        <v>7</v>
      </c>
      <c r="Z42" s="577">
        <v>7</v>
      </c>
      <c r="AA42" s="577"/>
      <c r="AB42" s="577"/>
      <c r="AC42" s="1100">
        <v>4</v>
      </c>
      <c r="AD42" s="1100">
        <v>4</v>
      </c>
      <c r="AE42" s="1100">
        <v>4</v>
      </c>
      <c r="AF42" s="1100">
        <v>4</v>
      </c>
      <c r="AG42" s="1101">
        <v>4</v>
      </c>
      <c r="AH42" s="34"/>
      <c r="AI42" s="25"/>
    </row>
    <row r="43" spans="1:35" ht="18" customHeight="1">
      <c r="A43" s="728">
        <v>3</v>
      </c>
      <c r="B43" s="1154" t="s">
        <v>77</v>
      </c>
      <c r="C43" s="471">
        <v>11</v>
      </c>
      <c r="D43" s="471">
        <v>11</v>
      </c>
      <c r="E43" s="472">
        <v>11</v>
      </c>
      <c r="F43" s="472" t="s">
        <v>68</v>
      </c>
      <c r="G43" s="472" t="s">
        <v>68</v>
      </c>
      <c r="H43" s="472" t="s">
        <v>35</v>
      </c>
      <c r="I43" s="472" t="s">
        <v>35</v>
      </c>
      <c r="J43" s="471" t="s">
        <v>35</v>
      </c>
      <c r="K43" s="471" t="s">
        <v>35</v>
      </c>
      <c r="L43" s="471" t="s">
        <v>35</v>
      </c>
      <c r="M43" s="1147" t="s">
        <v>69</v>
      </c>
      <c r="N43" s="471" t="s">
        <v>69</v>
      </c>
      <c r="O43" s="471">
        <v>8</v>
      </c>
      <c r="P43" s="471">
        <v>8</v>
      </c>
      <c r="Q43" s="472">
        <v>8</v>
      </c>
      <c r="R43" s="472">
        <v>8</v>
      </c>
      <c r="S43" s="472">
        <v>8</v>
      </c>
      <c r="T43" s="472"/>
      <c r="U43" s="472"/>
      <c r="V43" s="471" t="s">
        <v>35</v>
      </c>
      <c r="W43" s="471" t="s">
        <v>35</v>
      </c>
      <c r="X43" s="826" t="s">
        <v>35</v>
      </c>
      <c r="Y43" s="472" t="s">
        <v>35</v>
      </c>
      <c r="Z43" s="472" t="s">
        <v>35</v>
      </c>
      <c r="AA43" s="472"/>
      <c r="AB43" s="472"/>
      <c r="AC43" s="1147">
        <v>1</v>
      </c>
      <c r="AD43" s="1147">
        <v>1</v>
      </c>
      <c r="AE43" s="1147">
        <v>1</v>
      </c>
      <c r="AF43" s="1147">
        <v>1</v>
      </c>
      <c r="AG43" s="753">
        <v>1</v>
      </c>
      <c r="AH43" s="34"/>
      <c r="AI43" s="25"/>
    </row>
    <row r="44" spans="1:35" ht="18" customHeight="1">
      <c r="A44" s="735">
        <v>8</v>
      </c>
      <c r="B44" s="1117" t="s">
        <v>358</v>
      </c>
      <c r="C44" s="574">
        <v>9</v>
      </c>
      <c r="D44" s="574">
        <v>9</v>
      </c>
      <c r="E44" s="574">
        <v>9</v>
      </c>
      <c r="F44" s="574" t="s">
        <v>70</v>
      </c>
      <c r="G44" s="574" t="s">
        <v>72</v>
      </c>
      <c r="H44" s="574" t="s">
        <v>35</v>
      </c>
      <c r="I44" s="570" t="s">
        <v>35</v>
      </c>
      <c r="J44" s="751" t="s">
        <v>35</v>
      </c>
      <c r="K44" s="575" t="s">
        <v>35</v>
      </c>
      <c r="L44" s="575" t="s">
        <v>35</v>
      </c>
      <c r="M44" s="575" t="s">
        <v>75</v>
      </c>
      <c r="N44" s="574" t="s">
        <v>69</v>
      </c>
      <c r="O44" s="570">
        <v>6</v>
      </c>
      <c r="P44" s="570">
        <v>6</v>
      </c>
      <c r="Q44" s="570">
        <v>6</v>
      </c>
      <c r="R44" s="570">
        <v>6</v>
      </c>
      <c r="S44" s="570">
        <v>6</v>
      </c>
      <c r="T44" s="570"/>
      <c r="U44" s="570"/>
      <c r="V44" s="570" t="s">
        <v>35</v>
      </c>
      <c r="W44" s="570" t="s">
        <v>35</v>
      </c>
      <c r="X44" s="751" t="s">
        <v>35</v>
      </c>
      <c r="Y44" s="570" t="s">
        <v>35</v>
      </c>
      <c r="Z44" s="570" t="s">
        <v>35</v>
      </c>
      <c r="AA44" s="570"/>
      <c r="AB44" s="570"/>
      <c r="AC44" s="1112">
        <v>5</v>
      </c>
      <c r="AD44" s="1112">
        <v>5</v>
      </c>
      <c r="AE44" s="1112">
        <v>5</v>
      </c>
      <c r="AF44" s="570" t="s">
        <v>120</v>
      </c>
      <c r="AG44" s="747">
        <v>5</v>
      </c>
      <c r="AH44" s="34"/>
      <c r="AI44" s="25"/>
    </row>
    <row r="45" spans="1:35" ht="18" customHeight="1" thickBot="1">
      <c r="A45" s="737">
        <v>13</v>
      </c>
      <c r="B45" s="755" t="s">
        <v>79</v>
      </c>
      <c r="C45" s="1100">
        <v>10</v>
      </c>
      <c r="D45" s="1100">
        <v>10</v>
      </c>
      <c r="E45" s="577">
        <v>10</v>
      </c>
      <c r="F45" s="577" t="s">
        <v>72</v>
      </c>
      <c r="G45" s="577" t="s">
        <v>72</v>
      </c>
      <c r="H45" s="577" t="s">
        <v>35</v>
      </c>
      <c r="I45" s="577" t="s">
        <v>35</v>
      </c>
      <c r="J45" s="1100" t="s">
        <v>35</v>
      </c>
      <c r="K45" s="577" t="s">
        <v>35</v>
      </c>
      <c r="L45" s="742" t="s">
        <v>35</v>
      </c>
      <c r="M45" s="577" t="s">
        <v>67</v>
      </c>
      <c r="N45" s="742" t="s">
        <v>67</v>
      </c>
      <c r="O45" s="742">
        <v>7</v>
      </c>
      <c r="P45" s="742">
        <v>7</v>
      </c>
      <c r="Q45" s="577">
        <v>7</v>
      </c>
      <c r="R45" s="577">
        <v>7</v>
      </c>
      <c r="S45" s="577">
        <v>7</v>
      </c>
      <c r="T45" s="577"/>
      <c r="U45" s="577"/>
      <c r="V45" s="577">
        <v>4</v>
      </c>
      <c r="W45" s="577">
        <v>4</v>
      </c>
      <c r="X45" s="577">
        <v>4</v>
      </c>
      <c r="Y45" s="1100">
        <v>4</v>
      </c>
      <c r="Z45" s="577">
        <v>4</v>
      </c>
      <c r="AA45" s="577"/>
      <c r="AB45" s="577"/>
      <c r="AC45" s="963">
        <v>3</v>
      </c>
      <c r="AD45" s="577">
        <v>3</v>
      </c>
      <c r="AE45" s="1100">
        <v>3</v>
      </c>
      <c r="AF45" s="577">
        <v>3</v>
      </c>
      <c r="AG45" s="743">
        <v>3</v>
      </c>
      <c r="AH45" s="34"/>
      <c r="AI45" s="25"/>
    </row>
    <row r="46" spans="1:35" ht="18" customHeight="1">
      <c r="A46" s="728">
        <v>4</v>
      </c>
      <c r="B46" s="689" t="s">
        <v>80</v>
      </c>
      <c r="C46" s="471" t="s">
        <v>35</v>
      </c>
      <c r="D46" s="471" t="s">
        <v>35</v>
      </c>
      <c r="E46" s="472" t="s">
        <v>35</v>
      </c>
      <c r="F46" s="472" t="s">
        <v>69</v>
      </c>
      <c r="G46" s="471" t="s">
        <v>69</v>
      </c>
      <c r="H46" s="471">
        <v>8</v>
      </c>
      <c r="I46" s="471">
        <v>8</v>
      </c>
      <c r="J46" s="472">
        <v>8</v>
      </c>
      <c r="K46" s="472">
        <v>8</v>
      </c>
      <c r="L46" s="471">
        <v>8</v>
      </c>
      <c r="M46" s="471"/>
      <c r="N46" s="472"/>
      <c r="O46" s="471" t="s">
        <v>35</v>
      </c>
      <c r="P46" s="471" t="s">
        <v>35</v>
      </c>
      <c r="Q46" s="826" t="s">
        <v>35</v>
      </c>
      <c r="R46" s="472" t="s">
        <v>35</v>
      </c>
      <c r="S46" s="472" t="s">
        <v>35</v>
      </c>
      <c r="T46" s="472"/>
      <c r="U46" s="472"/>
      <c r="V46" s="750">
        <v>1</v>
      </c>
      <c r="W46" s="472">
        <v>1</v>
      </c>
      <c r="X46" s="472">
        <v>1</v>
      </c>
      <c r="Y46" s="826">
        <v>1</v>
      </c>
      <c r="Z46" s="472">
        <v>1</v>
      </c>
      <c r="AA46" s="472"/>
      <c r="AB46" s="472"/>
      <c r="AC46" s="472">
        <v>9</v>
      </c>
      <c r="AD46" s="472">
        <v>9</v>
      </c>
      <c r="AE46" s="471">
        <v>9</v>
      </c>
      <c r="AF46" s="472">
        <v>9</v>
      </c>
      <c r="AG46" s="734">
        <v>9</v>
      </c>
      <c r="AH46" s="34"/>
      <c r="AI46" s="25"/>
    </row>
    <row r="47" spans="1:35" ht="18" customHeight="1">
      <c r="A47" s="735">
        <v>9</v>
      </c>
      <c r="B47" s="1117" t="s">
        <v>81</v>
      </c>
      <c r="C47" s="751" t="s">
        <v>35</v>
      </c>
      <c r="D47" s="570" t="s">
        <v>35</v>
      </c>
      <c r="E47" s="570" t="s">
        <v>35</v>
      </c>
      <c r="F47" s="570" t="s">
        <v>75</v>
      </c>
      <c r="G47" s="570" t="s">
        <v>69</v>
      </c>
      <c r="H47" s="570">
        <v>6</v>
      </c>
      <c r="I47" s="570">
        <v>6</v>
      </c>
      <c r="J47" s="570">
        <v>6</v>
      </c>
      <c r="K47" s="570">
        <v>6</v>
      </c>
      <c r="L47" s="570">
        <v>6</v>
      </c>
      <c r="M47" s="570"/>
      <c r="N47" s="570"/>
      <c r="O47" s="570" t="s">
        <v>35</v>
      </c>
      <c r="P47" s="570" t="s">
        <v>35</v>
      </c>
      <c r="Q47" s="751" t="s">
        <v>35</v>
      </c>
      <c r="R47" s="570" t="s">
        <v>35</v>
      </c>
      <c r="S47" s="570" t="s">
        <v>35</v>
      </c>
      <c r="T47" s="570"/>
      <c r="U47" s="570"/>
      <c r="V47" s="570">
        <v>5</v>
      </c>
      <c r="W47" s="570">
        <v>5</v>
      </c>
      <c r="X47" s="570">
        <v>5</v>
      </c>
      <c r="Y47" s="570">
        <v>5</v>
      </c>
      <c r="Z47" s="570">
        <v>5</v>
      </c>
      <c r="AA47" s="570"/>
      <c r="AB47" s="570"/>
      <c r="AC47" s="570">
        <v>10</v>
      </c>
      <c r="AD47" s="570">
        <v>10</v>
      </c>
      <c r="AE47" s="570">
        <v>10</v>
      </c>
      <c r="AF47" s="570">
        <v>10</v>
      </c>
      <c r="AG47" s="752">
        <v>10</v>
      </c>
      <c r="AH47" s="34"/>
      <c r="AI47" s="25"/>
    </row>
    <row r="48" spans="1:35" ht="18" customHeight="1" thickBot="1">
      <c r="A48" s="737">
        <v>14</v>
      </c>
      <c r="B48" s="755" t="s">
        <v>82</v>
      </c>
      <c r="C48" s="1100" t="s">
        <v>35</v>
      </c>
      <c r="D48" s="577" t="s">
        <v>35</v>
      </c>
      <c r="E48" s="577" t="s">
        <v>35</v>
      </c>
      <c r="F48" s="577" t="s">
        <v>67</v>
      </c>
      <c r="G48" s="742" t="s">
        <v>67</v>
      </c>
      <c r="H48" s="742">
        <v>7</v>
      </c>
      <c r="I48" s="742">
        <v>7</v>
      </c>
      <c r="J48" s="577">
        <v>7</v>
      </c>
      <c r="K48" s="577">
        <v>7</v>
      </c>
      <c r="L48" s="577">
        <v>7</v>
      </c>
      <c r="M48" s="577"/>
      <c r="N48" s="577"/>
      <c r="O48" s="763">
        <v>4</v>
      </c>
      <c r="P48" s="763">
        <v>4</v>
      </c>
      <c r="Q48" s="763">
        <v>4</v>
      </c>
      <c r="R48" s="1100">
        <v>4</v>
      </c>
      <c r="S48" s="577">
        <v>4</v>
      </c>
      <c r="T48" s="577"/>
      <c r="U48" s="577"/>
      <c r="V48" s="763">
        <v>3</v>
      </c>
      <c r="W48" s="763">
        <v>3</v>
      </c>
      <c r="X48" s="763">
        <v>3</v>
      </c>
      <c r="Y48" s="763">
        <v>3</v>
      </c>
      <c r="Z48" s="763">
        <v>3</v>
      </c>
      <c r="AA48" s="577"/>
      <c r="AB48" s="577"/>
      <c r="AC48" s="1100">
        <v>11</v>
      </c>
      <c r="AD48" s="577">
        <v>11</v>
      </c>
      <c r="AE48" s="577">
        <v>11</v>
      </c>
      <c r="AF48" s="1100">
        <v>11</v>
      </c>
      <c r="AG48" s="1101">
        <v>11</v>
      </c>
      <c r="AH48" s="34"/>
      <c r="AI48" s="25"/>
    </row>
    <row r="49" spans="1:35" ht="18" customHeight="1">
      <c r="A49" s="728">
        <v>5</v>
      </c>
      <c r="B49" s="1117" t="s">
        <v>83</v>
      </c>
      <c r="C49" s="472">
        <v>8</v>
      </c>
      <c r="D49" s="472">
        <v>8</v>
      </c>
      <c r="E49" s="472">
        <v>8</v>
      </c>
      <c r="F49" s="472"/>
      <c r="G49" s="472"/>
      <c r="H49" s="471" t="s">
        <v>35</v>
      </c>
      <c r="I49" s="471" t="s">
        <v>35</v>
      </c>
      <c r="J49" s="826" t="s">
        <v>35</v>
      </c>
      <c r="K49" s="472" t="s">
        <v>35</v>
      </c>
      <c r="L49" s="472" t="s">
        <v>35</v>
      </c>
      <c r="M49" s="472"/>
      <c r="N49" s="472"/>
      <c r="O49" s="826">
        <v>1</v>
      </c>
      <c r="P49" s="472">
        <v>1</v>
      </c>
      <c r="Q49" s="472">
        <v>1</v>
      </c>
      <c r="R49" s="826">
        <v>1</v>
      </c>
      <c r="S49" s="472">
        <v>1</v>
      </c>
      <c r="T49" s="472"/>
      <c r="U49" s="471"/>
      <c r="V49" s="471">
        <v>9</v>
      </c>
      <c r="W49" s="471">
        <v>9</v>
      </c>
      <c r="X49" s="471">
        <v>9</v>
      </c>
      <c r="Y49" s="471">
        <v>9</v>
      </c>
      <c r="Z49" s="471">
        <v>9</v>
      </c>
      <c r="AA49" s="471" t="s">
        <v>70</v>
      </c>
      <c r="AB49" s="471" t="s">
        <v>72</v>
      </c>
      <c r="AC49" s="471" t="s">
        <v>35</v>
      </c>
      <c r="AD49" s="472" t="s">
        <v>35</v>
      </c>
      <c r="AE49" s="472" t="s">
        <v>35</v>
      </c>
      <c r="AF49" s="759" t="s">
        <v>35</v>
      </c>
      <c r="AG49" s="760" t="s">
        <v>35</v>
      </c>
      <c r="AH49" s="34"/>
      <c r="AI49" s="25"/>
    </row>
    <row r="50" spans="1:35" ht="18" customHeight="1">
      <c r="A50" s="735">
        <v>10</v>
      </c>
      <c r="B50" s="1117" t="s">
        <v>84</v>
      </c>
      <c r="C50" s="570">
        <v>6</v>
      </c>
      <c r="D50" s="570">
        <v>6</v>
      </c>
      <c r="E50" s="570">
        <v>6</v>
      </c>
      <c r="F50" s="574"/>
      <c r="G50" s="575"/>
      <c r="H50" s="575" t="s">
        <v>35</v>
      </c>
      <c r="I50" s="575" t="s">
        <v>35</v>
      </c>
      <c r="J50" s="575" t="s">
        <v>35</v>
      </c>
      <c r="K50" s="575" t="s">
        <v>35</v>
      </c>
      <c r="L50" s="575" t="s">
        <v>35</v>
      </c>
      <c r="M50" s="575"/>
      <c r="N50" s="575"/>
      <c r="O50" s="1112">
        <v>5</v>
      </c>
      <c r="P50" s="1112">
        <v>5</v>
      </c>
      <c r="Q50" s="1112">
        <v>5</v>
      </c>
      <c r="R50" s="1112">
        <v>5</v>
      </c>
      <c r="S50" s="575"/>
      <c r="T50" s="575"/>
      <c r="U50" s="575"/>
      <c r="V50" s="575">
        <v>10</v>
      </c>
      <c r="W50" s="574">
        <v>10</v>
      </c>
      <c r="X50" s="570">
        <v>10</v>
      </c>
      <c r="Y50" s="751">
        <v>10</v>
      </c>
      <c r="Z50" s="570">
        <v>10</v>
      </c>
      <c r="AA50" s="570" t="s">
        <v>72</v>
      </c>
      <c r="AB50" s="570" t="s">
        <v>72</v>
      </c>
      <c r="AC50" s="570" t="s">
        <v>35</v>
      </c>
      <c r="AD50" s="570" t="s">
        <v>35</v>
      </c>
      <c r="AE50" s="570" t="s">
        <v>35</v>
      </c>
      <c r="AF50" s="570" t="s">
        <v>35</v>
      </c>
      <c r="AG50" s="752" t="s">
        <v>35</v>
      </c>
      <c r="AH50" s="34"/>
      <c r="AI50" s="25"/>
    </row>
    <row r="51" spans="1:35" ht="18" customHeight="1" thickBot="1">
      <c r="A51" s="737">
        <v>15</v>
      </c>
      <c r="B51" s="755" t="s">
        <v>85</v>
      </c>
      <c r="C51" s="577">
        <v>7</v>
      </c>
      <c r="D51" s="763">
        <v>7</v>
      </c>
      <c r="E51" s="577">
        <v>7</v>
      </c>
      <c r="F51" s="577"/>
      <c r="G51" s="577"/>
      <c r="H51" s="1100">
        <v>4</v>
      </c>
      <c r="I51" s="1100">
        <v>4</v>
      </c>
      <c r="J51" s="577">
        <v>4</v>
      </c>
      <c r="K51" s="1100">
        <v>4</v>
      </c>
      <c r="L51" s="577">
        <v>4</v>
      </c>
      <c r="M51" s="577"/>
      <c r="N51" s="577"/>
      <c r="O51" s="1155">
        <v>3</v>
      </c>
      <c r="P51" s="763">
        <v>3</v>
      </c>
      <c r="Q51" s="763">
        <v>3</v>
      </c>
      <c r="R51" s="763">
        <v>3</v>
      </c>
      <c r="S51" s="577">
        <v>3</v>
      </c>
      <c r="T51" s="577"/>
      <c r="U51" s="577"/>
      <c r="V51" s="577">
        <v>11</v>
      </c>
      <c r="W51" s="577">
        <v>11</v>
      </c>
      <c r="X51" s="577">
        <v>11</v>
      </c>
      <c r="Y51" s="1100">
        <v>11</v>
      </c>
      <c r="Z51" s="577">
        <v>11</v>
      </c>
      <c r="AA51" s="577" t="s">
        <v>68</v>
      </c>
      <c r="AB51" s="577" t="s">
        <v>68</v>
      </c>
      <c r="AC51" s="577" t="s">
        <v>35</v>
      </c>
      <c r="AD51" s="577" t="s">
        <v>35</v>
      </c>
      <c r="AE51" s="1100" t="s">
        <v>35</v>
      </c>
      <c r="AF51" s="742" t="s">
        <v>35</v>
      </c>
      <c r="AG51" s="764" t="s">
        <v>35</v>
      </c>
      <c r="AH51" s="34"/>
      <c r="AI51" s="25"/>
    </row>
    <row r="52" spans="1:35" ht="18" customHeight="1">
      <c r="A52" s="29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"/>
    </row>
    <row r="53" spans="1:35" ht="18" customHeight="1" thickBot="1">
      <c r="A53" s="57" t="s">
        <v>154</v>
      </c>
      <c r="B53" s="58"/>
      <c r="C53" s="58"/>
      <c r="D53" s="58"/>
      <c r="E53" s="58"/>
      <c r="F53" s="58"/>
      <c r="G53" s="59"/>
      <c r="H53" s="58"/>
      <c r="I53" s="58"/>
      <c r="J53" s="58"/>
      <c r="K53" s="58"/>
      <c r="L53" s="58"/>
      <c r="M53" s="58"/>
      <c r="N53" s="58"/>
      <c r="O53" s="58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  <c r="AE53" s="58"/>
      <c r="AF53" s="58"/>
      <c r="AG53" s="58"/>
      <c r="AH53" s="58"/>
      <c r="AI53" s="58"/>
    </row>
    <row r="54" spans="1:35" ht="18" customHeight="1" thickBot="1">
      <c r="A54" s="60"/>
      <c r="B54" s="836" t="s">
        <v>155</v>
      </c>
      <c r="C54" s="837"/>
      <c r="D54" s="838" t="s">
        <v>87</v>
      </c>
      <c r="E54" s="839"/>
      <c r="F54" s="840"/>
      <c r="G54" s="837"/>
      <c r="H54" s="838" t="s">
        <v>88</v>
      </c>
      <c r="I54" s="839"/>
      <c r="J54" s="840"/>
      <c r="K54" s="837"/>
      <c r="L54" s="838" t="s">
        <v>89</v>
      </c>
      <c r="M54" s="839"/>
      <c r="N54" s="840"/>
      <c r="O54" s="837"/>
      <c r="P54" s="838" t="s">
        <v>90</v>
      </c>
      <c r="Q54" s="839"/>
      <c r="R54" s="840"/>
      <c r="S54" s="837"/>
      <c r="T54" s="838" t="s">
        <v>91</v>
      </c>
      <c r="U54" s="839"/>
      <c r="V54" s="840"/>
      <c r="W54" s="837"/>
      <c r="X54" s="838" t="s">
        <v>92</v>
      </c>
      <c r="Y54" s="839"/>
      <c r="Z54" s="840"/>
      <c r="AA54" s="837"/>
      <c r="AB54" s="838" t="s">
        <v>93</v>
      </c>
      <c r="AC54" s="839"/>
      <c r="AD54" s="839"/>
      <c r="AE54" s="842" t="s">
        <v>158</v>
      </c>
      <c r="AF54" s="839"/>
      <c r="AG54" s="839"/>
      <c r="AH54" s="839"/>
      <c r="AI54" s="843"/>
    </row>
    <row r="55" spans="1:35" ht="18" customHeight="1">
      <c r="A55" s="60"/>
      <c r="B55" s="844" t="s">
        <v>159</v>
      </c>
      <c r="C55" s="845" t="s">
        <v>160</v>
      </c>
      <c r="D55" s="839"/>
      <c r="E55" s="846"/>
      <c r="F55" s="847"/>
      <c r="G55" s="845" t="s">
        <v>160</v>
      </c>
      <c r="H55" s="846"/>
      <c r="I55" s="846"/>
      <c r="J55" s="847"/>
      <c r="K55" s="848" t="s">
        <v>160</v>
      </c>
      <c r="L55" s="839"/>
      <c r="M55" s="839"/>
      <c r="N55" s="849"/>
      <c r="O55" s="848" t="s">
        <v>161</v>
      </c>
      <c r="P55" s="839"/>
      <c r="Q55" s="846"/>
      <c r="R55" s="847"/>
      <c r="S55" s="845" t="s">
        <v>162</v>
      </c>
      <c r="T55" s="846"/>
      <c r="U55" s="846"/>
      <c r="V55" s="850"/>
      <c r="W55" s="851"/>
      <c r="X55" s="852"/>
      <c r="Y55" s="852"/>
      <c r="Z55" s="853"/>
      <c r="AA55" s="850"/>
      <c r="AB55" s="846"/>
      <c r="AC55" s="846"/>
      <c r="AD55" s="850"/>
      <c r="AE55" s="854">
        <v>37</v>
      </c>
      <c r="AF55" s="839"/>
      <c r="AG55" s="846"/>
      <c r="AH55" s="850"/>
      <c r="AI55" s="855"/>
    </row>
    <row r="56" spans="1:35" ht="18" customHeight="1">
      <c r="A56" s="60"/>
      <c r="B56" s="856" t="s">
        <v>163</v>
      </c>
      <c r="C56" s="857" t="s">
        <v>156</v>
      </c>
      <c r="D56" s="858"/>
      <c r="E56" s="858"/>
      <c r="F56" s="859"/>
      <c r="G56" s="857" t="s">
        <v>164</v>
      </c>
      <c r="H56" s="858"/>
      <c r="I56" s="858"/>
      <c r="J56" s="859"/>
      <c r="K56" s="857" t="s">
        <v>165</v>
      </c>
      <c r="L56" s="860" t="s">
        <v>166</v>
      </c>
      <c r="M56" s="858"/>
      <c r="N56" s="859"/>
      <c r="O56" s="857" t="s">
        <v>165</v>
      </c>
      <c r="P56" s="860" t="s">
        <v>166</v>
      </c>
      <c r="Q56" s="858"/>
      <c r="R56" s="859"/>
      <c r="S56" s="857" t="s">
        <v>164</v>
      </c>
      <c r="T56" s="860" t="s">
        <v>167</v>
      </c>
      <c r="U56" s="858"/>
      <c r="V56" s="859"/>
      <c r="W56" s="61" t="s">
        <v>168</v>
      </c>
      <c r="X56" s="62" t="s">
        <v>169</v>
      </c>
      <c r="Y56" s="63"/>
      <c r="Z56" s="63"/>
      <c r="AA56" s="857" t="s">
        <v>170</v>
      </c>
      <c r="AB56" s="1156" t="s">
        <v>157</v>
      </c>
      <c r="AC56" s="857"/>
      <c r="AD56" s="857"/>
      <c r="AE56" s="862">
        <v>68</v>
      </c>
      <c r="AF56" s="858"/>
      <c r="AG56" s="863"/>
      <c r="AH56" s="864"/>
      <c r="AI56" s="865"/>
    </row>
    <row r="57" spans="1:35" ht="18" customHeight="1">
      <c r="A57" s="60"/>
      <c r="B57" s="856" t="s">
        <v>171</v>
      </c>
      <c r="C57" s="866" t="s">
        <v>172</v>
      </c>
      <c r="D57" s="858"/>
      <c r="E57" s="858"/>
      <c r="F57" s="859"/>
      <c r="G57" s="858" t="s">
        <v>172</v>
      </c>
      <c r="H57" s="858"/>
      <c r="I57" s="858"/>
      <c r="J57" s="859"/>
      <c r="K57" s="858" t="s">
        <v>172</v>
      </c>
      <c r="L57" s="858"/>
      <c r="M57" s="858"/>
      <c r="N57" s="859"/>
      <c r="O57" s="858" t="s">
        <v>172</v>
      </c>
      <c r="P57" s="858"/>
      <c r="Q57" s="858"/>
      <c r="R57" s="859"/>
      <c r="S57" s="858" t="s">
        <v>172</v>
      </c>
      <c r="T57" s="858"/>
      <c r="U57" s="858"/>
      <c r="V57" s="859"/>
      <c r="W57" s="857"/>
      <c r="X57" s="858"/>
      <c r="Y57" s="858"/>
      <c r="Z57" s="859"/>
      <c r="AA57" s="857"/>
      <c r="AB57" s="858"/>
      <c r="AC57" s="858"/>
      <c r="AD57" s="860"/>
      <c r="AE57" s="862">
        <v>0</v>
      </c>
      <c r="AF57" s="863"/>
      <c r="AG57" s="858"/>
      <c r="AH57" s="860"/>
      <c r="AI57" s="867"/>
    </row>
    <row r="58" spans="1:35" ht="18" customHeight="1" thickBot="1">
      <c r="A58" s="60"/>
      <c r="B58" s="868" t="s">
        <v>173</v>
      </c>
      <c r="C58" s="869" t="s">
        <v>160</v>
      </c>
      <c r="D58" s="870"/>
      <c r="E58" s="871"/>
      <c r="F58" s="872"/>
      <c r="G58" s="869" t="s">
        <v>160</v>
      </c>
      <c r="H58" s="870"/>
      <c r="I58" s="871"/>
      <c r="J58" s="872"/>
      <c r="K58" s="869" t="s">
        <v>160</v>
      </c>
      <c r="L58" s="870"/>
      <c r="M58" s="871"/>
      <c r="N58" s="872"/>
      <c r="O58" s="869" t="s">
        <v>161</v>
      </c>
      <c r="P58" s="871"/>
      <c r="Q58" s="871"/>
      <c r="R58" s="872"/>
      <c r="S58" s="869" t="s">
        <v>162</v>
      </c>
      <c r="T58" s="871"/>
      <c r="U58" s="871"/>
      <c r="V58" s="875"/>
      <c r="W58" s="873"/>
      <c r="X58" s="871"/>
      <c r="Y58" s="871"/>
      <c r="Z58" s="874"/>
      <c r="AA58" s="875"/>
      <c r="AB58" s="871"/>
      <c r="AC58" s="871"/>
      <c r="AD58" s="875"/>
      <c r="AE58" s="876">
        <v>37</v>
      </c>
      <c r="AF58" s="871"/>
      <c r="AG58" s="871"/>
      <c r="AH58" s="875"/>
      <c r="AI58" s="877"/>
    </row>
    <row r="59" spans="1:35" ht="18" customHeight="1">
      <c r="A59" s="66"/>
      <c r="B59" s="60"/>
      <c r="C59" s="58"/>
      <c r="D59" s="63"/>
      <c r="E59" s="58"/>
      <c r="F59" s="58"/>
      <c r="G59" s="58"/>
      <c r="H59" s="58"/>
      <c r="I59" s="58"/>
      <c r="J59" s="58"/>
      <c r="K59" s="58"/>
      <c r="L59" s="58"/>
      <c r="M59" s="58"/>
      <c r="N59" s="58"/>
      <c r="O59" s="58"/>
      <c r="P59" s="58"/>
      <c r="Q59" s="58"/>
      <c r="R59" s="58"/>
      <c r="S59" s="58"/>
      <c r="T59" s="58"/>
      <c r="U59" s="58"/>
      <c r="V59" s="58"/>
      <c r="W59" s="58"/>
      <c r="X59" s="58"/>
      <c r="Y59" s="58"/>
      <c r="Z59" s="58"/>
      <c r="AA59" s="58"/>
      <c r="AB59" s="58"/>
      <c r="AC59" s="58"/>
      <c r="AD59" s="58"/>
      <c r="AE59" s="58"/>
      <c r="AF59" s="58"/>
      <c r="AG59" s="58"/>
      <c r="AH59" s="58"/>
      <c r="AI59" s="58"/>
    </row>
    <row r="60" spans="1:35" ht="18" customHeight="1" thickBot="1">
      <c r="A60" s="878"/>
      <c r="B60" s="879" t="s">
        <v>29</v>
      </c>
      <c r="C60" s="1099">
        <v>1</v>
      </c>
      <c r="D60" s="1100">
        <v>2</v>
      </c>
      <c r="E60" s="1100">
        <v>3</v>
      </c>
      <c r="F60" s="1099">
        <v>4</v>
      </c>
      <c r="G60" s="1099">
        <v>5</v>
      </c>
      <c r="H60" s="1100">
        <v>6</v>
      </c>
      <c r="I60" s="1100">
        <v>7</v>
      </c>
      <c r="J60" s="1100">
        <v>8</v>
      </c>
      <c r="K60" s="1100">
        <v>9</v>
      </c>
      <c r="L60" s="1100">
        <v>10</v>
      </c>
      <c r="M60" s="1099">
        <v>11</v>
      </c>
      <c r="N60" s="1099">
        <v>12</v>
      </c>
      <c r="O60" s="1100">
        <v>13</v>
      </c>
      <c r="P60" s="1100">
        <v>14</v>
      </c>
      <c r="Q60" s="1100">
        <v>15</v>
      </c>
      <c r="R60" s="1100">
        <v>16</v>
      </c>
      <c r="S60" s="1099">
        <v>17</v>
      </c>
      <c r="T60" s="1099">
        <v>18</v>
      </c>
      <c r="U60" s="1099">
        <v>19</v>
      </c>
      <c r="V60" s="1100">
        <v>20</v>
      </c>
      <c r="W60" s="1100">
        <v>21</v>
      </c>
      <c r="X60" s="1100">
        <v>22</v>
      </c>
      <c r="Y60" s="1100">
        <v>23</v>
      </c>
      <c r="Z60" s="1100">
        <v>24</v>
      </c>
      <c r="AA60" s="1099">
        <v>25</v>
      </c>
      <c r="AB60" s="1099">
        <v>26</v>
      </c>
      <c r="AC60" s="1100">
        <v>27</v>
      </c>
      <c r="AD60" s="1100">
        <v>28</v>
      </c>
      <c r="AE60" s="1100">
        <v>29</v>
      </c>
      <c r="AF60" s="1099">
        <v>30</v>
      </c>
      <c r="AG60" s="1101">
        <v>31</v>
      </c>
      <c r="AH60" s="67"/>
      <c r="AI60" s="68"/>
    </row>
    <row r="61" spans="1:35" ht="18" customHeight="1">
      <c r="A61" s="880">
        <v>1</v>
      </c>
      <c r="B61" s="689" t="s">
        <v>46</v>
      </c>
      <c r="C61" s="881" t="s">
        <v>110</v>
      </c>
      <c r="D61" s="881" t="s">
        <v>110</v>
      </c>
      <c r="E61" s="881" t="s">
        <v>110</v>
      </c>
      <c r="F61" s="881" t="s">
        <v>108</v>
      </c>
      <c r="G61" s="881" t="s">
        <v>108</v>
      </c>
      <c r="H61" s="881" t="s">
        <v>35</v>
      </c>
      <c r="I61" s="881" t="s">
        <v>35</v>
      </c>
      <c r="J61" s="881" t="s">
        <v>35</v>
      </c>
      <c r="K61" s="881" t="s">
        <v>35</v>
      </c>
      <c r="L61" s="881" t="s">
        <v>35</v>
      </c>
      <c r="M61" s="881"/>
      <c r="N61" s="881"/>
      <c r="O61" s="1157">
        <v>4</v>
      </c>
      <c r="P61" s="882" t="s">
        <v>176</v>
      </c>
      <c r="Q61" s="881" t="s">
        <v>176</v>
      </c>
      <c r="R61" s="881" t="s">
        <v>176</v>
      </c>
      <c r="S61" s="881"/>
      <c r="T61" s="881"/>
      <c r="U61" s="881"/>
      <c r="V61" s="1158" t="s">
        <v>31</v>
      </c>
      <c r="W61" s="1159" t="s">
        <v>359</v>
      </c>
      <c r="X61" s="1159" t="s">
        <v>359</v>
      </c>
      <c r="Y61" s="1160" t="s">
        <v>237</v>
      </c>
      <c r="Z61" s="1160" t="s">
        <v>237</v>
      </c>
      <c r="AA61" s="883"/>
      <c r="AB61" s="881"/>
      <c r="AC61" s="881" t="s">
        <v>110</v>
      </c>
      <c r="AD61" s="881" t="s">
        <v>110</v>
      </c>
      <c r="AE61" s="881" t="s">
        <v>110</v>
      </c>
      <c r="AF61" s="881" t="s">
        <v>110</v>
      </c>
      <c r="AG61" s="884" t="s">
        <v>110</v>
      </c>
      <c r="AH61" s="69"/>
      <c r="AI61" s="70"/>
    </row>
    <row r="62" spans="1:35" ht="18" customHeight="1">
      <c r="A62" s="885">
        <v>2</v>
      </c>
      <c r="B62" s="754"/>
      <c r="C62" s="886"/>
      <c r="D62" s="886" t="s">
        <v>176</v>
      </c>
      <c r="E62" s="886" t="s">
        <v>176</v>
      </c>
      <c r="F62" s="886"/>
      <c r="G62" s="886"/>
      <c r="H62" s="886" t="s">
        <v>110</v>
      </c>
      <c r="I62" s="886" t="s">
        <v>110</v>
      </c>
      <c r="J62" s="887" t="s">
        <v>110</v>
      </c>
      <c r="K62" s="1161" t="s">
        <v>110</v>
      </c>
      <c r="L62" s="887" t="s">
        <v>110</v>
      </c>
      <c r="M62" s="887" t="s">
        <v>108</v>
      </c>
      <c r="N62" s="887" t="s">
        <v>108</v>
      </c>
      <c r="O62" s="887" t="s">
        <v>35</v>
      </c>
      <c r="P62" s="886" t="s">
        <v>35</v>
      </c>
      <c r="Q62" s="887" t="s">
        <v>35</v>
      </c>
      <c r="R62" s="887" t="s">
        <v>35</v>
      </c>
      <c r="S62" s="887" t="s">
        <v>35</v>
      </c>
      <c r="T62" s="887"/>
      <c r="U62" s="890"/>
      <c r="V62" s="887" t="s">
        <v>176</v>
      </c>
      <c r="W62" s="891" t="s">
        <v>176</v>
      </c>
      <c r="X62" s="887" t="s">
        <v>176</v>
      </c>
      <c r="Y62" s="887" t="s">
        <v>176</v>
      </c>
      <c r="Z62" s="887" t="s">
        <v>176</v>
      </c>
      <c r="AA62" s="887"/>
      <c r="AB62" s="887"/>
      <c r="AC62" s="1162" t="s">
        <v>176</v>
      </c>
      <c r="AD62" s="887" t="s">
        <v>176</v>
      </c>
      <c r="AE62" s="886" t="s">
        <v>176</v>
      </c>
      <c r="AF62" s="886"/>
      <c r="AG62" s="1163" t="s">
        <v>176</v>
      </c>
      <c r="AH62" s="69"/>
      <c r="AI62" s="70"/>
    </row>
    <row r="63" spans="1:35" ht="18" customHeight="1" thickBot="1">
      <c r="A63" s="885">
        <v>3</v>
      </c>
      <c r="B63" s="1164" t="s">
        <v>178</v>
      </c>
      <c r="C63" s="887"/>
      <c r="D63" s="893" t="s">
        <v>176</v>
      </c>
      <c r="E63" s="797" t="s">
        <v>176</v>
      </c>
      <c r="F63" s="894"/>
      <c r="G63" s="887"/>
      <c r="H63" s="895" t="s">
        <v>176</v>
      </c>
      <c r="I63" s="1152" t="s">
        <v>251</v>
      </c>
      <c r="J63" s="886" t="s">
        <v>176</v>
      </c>
      <c r="K63" s="886" t="s">
        <v>176</v>
      </c>
      <c r="L63" s="886" t="s">
        <v>176</v>
      </c>
      <c r="M63" s="886"/>
      <c r="N63" s="570"/>
      <c r="O63" s="797" t="s">
        <v>110</v>
      </c>
      <c r="P63" s="570" t="s">
        <v>110</v>
      </c>
      <c r="Q63" s="570" t="s">
        <v>110</v>
      </c>
      <c r="R63" s="570" t="s">
        <v>110</v>
      </c>
      <c r="S63" s="1165" t="s">
        <v>108</v>
      </c>
      <c r="T63" s="887" t="s">
        <v>108</v>
      </c>
      <c r="U63" s="570" t="s">
        <v>108</v>
      </c>
      <c r="V63" s="570" t="s">
        <v>35</v>
      </c>
      <c r="W63" s="570" t="s">
        <v>35</v>
      </c>
      <c r="X63" s="570" t="s">
        <v>35</v>
      </c>
      <c r="Y63" s="570" t="s">
        <v>35</v>
      </c>
      <c r="Z63" s="890" t="s">
        <v>35</v>
      </c>
      <c r="AA63" s="890"/>
      <c r="AB63" s="890"/>
      <c r="AC63" s="890" t="s">
        <v>176</v>
      </c>
      <c r="AD63" s="890" t="s">
        <v>176</v>
      </c>
      <c r="AE63" s="890" t="s">
        <v>176</v>
      </c>
      <c r="AF63" s="887"/>
      <c r="AG63" s="890" t="s">
        <v>176</v>
      </c>
      <c r="AH63" s="69"/>
      <c r="AI63" s="70"/>
    </row>
    <row r="64" spans="1:35" ht="18" customHeight="1" thickBot="1">
      <c r="A64" s="896">
        <v>4</v>
      </c>
      <c r="B64" s="1166" t="s">
        <v>360</v>
      </c>
      <c r="C64" s="898" t="s">
        <v>35</v>
      </c>
      <c r="D64" s="898" t="s">
        <v>35</v>
      </c>
      <c r="E64" s="898" t="s">
        <v>35</v>
      </c>
      <c r="F64" s="898"/>
      <c r="G64" s="898"/>
      <c r="H64" s="898" t="s">
        <v>176</v>
      </c>
      <c r="I64" s="763" t="s">
        <v>176</v>
      </c>
      <c r="J64" s="898" t="s">
        <v>176</v>
      </c>
      <c r="K64" s="898" t="s">
        <v>176</v>
      </c>
      <c r="L64" s="898" t="s">
        <v>176</v>
      </c>
      <c r="M64" s="898"/>
      <c r="N64" s="898"/>
      <c r="O64" s="1167" t="s">
        <v>176</v>
      </c>
      <c r="P64" s="898">
        <v>3</v>
      </c>
      <c r="Q64" s="898">
        <v>3</v>
      </c>
      <c r="R64" s="898">
        <v>3</v>
      </c>
      <c r="S64" s="898"/>
      <c r="T64" s="898" t="s">
        <v>0</v>
      </c>
      <c r="U64" s="898" t="s">
        <v>0</v>
      </c>
      <c r="V64" s="898" t="s">
        <v>110</v>
      </c>
      <c r="W64" s="898" t="s">
        <v>110</v>
      </c>
      <c r="X64" s="898" t="s">
        <v>110</v>
      </c>
      <c r="Y64" s="756" t="s">
        <v>110</v>
      </c>
      <c r="Z64" s="756" t="s">
        <v>110</v>
      </c>
      <c r="AA64" s="756" t="s">
        <v>108</v>
      </c>
      <c r="AB64" s="756" t="s">
        <v>108</v>
      </c>
      <c r="AC64" s="826" t="s">
        <v>31</v>
      </c>
      <c r="AD64" s="898" t="s">
        <v>35</v>
      </c>
      <c r="AE64" s="898" t="s">
        <v>35</v>
      </c>
      <c r="AF64" s="898" t="s">
        <v>35</v>
      </c>
      <c r="AG64" s="899" t="s">
        <v>35</v>
      </c>
      <c r="AH64" s="69"/>
      <c r="AI64" s="70"/>
    </row>
    <row r="65" spans="1:35" ht="18" customHeight="1" thickBot="1">
      <c r="A65" s="71"/>
      <c r="B65" s="72"/>
      <c r="C65" s="73"/>
      <c r="D65" s="73"/>
      <c r="E65" s="73"/>
      <c r="F65" s="73"/>
      <c r="G65" s="73"/>
      <c r="H65" s="73"/>
      <c r="I65" s="73"/>
      <c r="J65" s="73"/>
      <c r="K65" s="73"/>
      <c r="L65" s="73"/>
      <c r="M65" s="73"/>
      <c r="N65" s="73"/>
      <c r="O65" s="73"/>
      <c r="P65" s="73"/>
      <c r="Q65" s="73"/>
      <c r="R65" s="73"/>
      <c r="S65" s="73"/>
      <c r="T65" s="73"/>
      <c r="U65" s="73"/>
      <c r="V65" s="73"/>
      <c r="W65" s="73"/>
      <c r="X65" s="73"/>
      <c r="Y65" s="73"/>
      <c r="Z65" s="73"/>
      <c r="AA65" s="73"/>
      <c r="AB65" s="73"/>
      <c r="AC65" s="73"/>
      <c r="AD65" s="73"/>
      <c r="AE65" s="73"/>
      <c r="AF65" s="73"/>
      <c r="AG65" s="74"/>
      <c r="AH65" s="75"/>
      <c r="AI65" s="70"/>
    </row>
    <row r="66" spans="1:35" ht="18" customHeight="1">
      <c r="A66" s="17"/>
      <c r="B66" s="900" t="s">
        <v>179</v>
      </c>
      <c r="C66" s="901"/>
      <c r="D66" s="902" t="s">
        <v>87</v>
      </c>
      <c r="E66" s="903"/>
      <c r="F66" s="901"/>
      <c r="G66" s="904" t="s">
        <v>88</v>
      </c>
      <c r="H66" s="905"/>
      <c r="I66" s="906"/>
      <c r="J66" s="904" t="s">
        <v>89</v>
      </c>
      <c r="K66" s="907"/>
      <c r="L66" s="906"/>
      <c r="M66" s="908" t="s">
        <v>90</v>
      </c>
      <c r="N66" s="907"/>
      <c r="O66" s="906"/>
      <c r="P66" s="904" t="s">
        <v>91</v>
      </c>
      <c r="Q66" s="909"/>
      <c r="R66" s="906"/>
      <c r="S66" s="904" t="s">
        <v>92</v>
      </c>
      <c r="T66" s="910"/>
      <c r="U66" s="906"/>
      <c r="V66" s="904" t="s">
        <v>93</v>
      </c>
      <c r="W66" s="909"/>
      <c r="X66" s="911" t="s">
        <v>158</v>
      </c>
      <c r="Y66" s="912"/>
      <c r="Z66" s="912"/>
      <c r="AA66" s="913"/>
      <c r="AB66" s="914" t="s">
        <v>94</v>
      </c>
      <c r="AC66" s="915"/>
      <c r="AD66" s="915"/>
      <c r="AE66" s="916"/>
      <c r="AF66" s="916"/>
      <c r="AG66" s="917"/>
      <c r="AH66" s="75"/>
      <c r="AI66" s="70"/>
    </row>
    <row r="67" spans="1:35" ht="18" customHeight="1">
      <c r="A67" s="17"/>
      <c r="B67" s="918" t="s">
        <v>180</v>
      </c>
      <c r="C67" s="919" t="s">
        <v>181</v>
      </c>
      <c r="D67" s="1086"/>
      <c r="E67" s="1087"/>
      <c r="F67" s="919" t="s">
        <v>181</v>
      </c>
      <c r="G67" s="1086"/>
      <c r="H67" s="1087"/>
      <c r="I67" s="919" t="s">
        <v>181</v>
      </c>
      <c r="J67" s="1086"/>
      <c r="K67" s="1087"/>
      <c r="L67" s="919" t="s">
        <v>181</v>
      </c>
      <c r="M67" s="1086"/>
      <c r="N67" s="1087"/>
      <c r="O67" s="919" t="s">
        <v>182</v>
      </c>
      <c r="P67" s="1086"/>
      <c r="Q67" s="1087"/>
      <c r="R67" s="919"/>
      <c r="S67" s="1086"/>
      <c r="T67" s="1087"/>
      <c r="U67" s="919"/>
      <c r="V67" s="1086"/>
      <c r="W67" s="1087"/>
      <c r="X67" s="919"/>
      <c r="Y67" s="920"/>
      <c r="Z67" s="920"/>
      <c r="AA67" s="920"/>
      <c r="AB67" s="1083"/>
      <c r="AC67" s="920"/>
      <c r="AD67" s="920"/>
      <c r="AE67" s="920"/>
      <c r="AF67" s="920"/>
      <c r="AG67" s="921"/>
      <c r="AH67" s="75"/>
      <c r="AI67" s="70"/>
    </row>
    <row r="68" spans="1:35" ht="18" customHeight="1">
      <c r="A68" s="17"/>
      <c r="B68" s="16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75"/>
      <c r="AI68" s="70"/>
    </row>
    <row r="69" spans="1:35" ht="18" customHeight="1" thickBot="1">
      <c r="A69" s="785" t="s">
        <v>28</v>
      </c>
      <c r="B69" s="727" t="s">
        <v>29</v>
      </c>
      <c r="C69" s="1099">
        <v>1</v>
      </c>
      <c r="D69" s="1100">
        <v>2</v>
      </c>
      <c r="E69" s="1100">
        <v>3</v>
      </c>
      <c r="F69" s="1099">
        <v>4</v>
      </c>
      <c r="G69" s="1099">
        <v>5</v>
      </c>
      <c r="H69" s="1100">
        <v>6</v>
      </c>
      <c r="I69" s="1100">
        <v>7</v>
      </c>
      <c r="J69" s="1100">
        <v>8</v>
      </c>
      <c r="K69" s="1100">
        <v>9</v>
      </c>
      <c r="L69" s="1100">
        <v>10</v>
      </c>
      <c r="M69" s="1099">
        <v>11</v>
      </c>
      <c r="N69" s="1099">
        <v>12</v>
      </c>
      <c r="O69" s="1100">
        <v>13</v>
      </c>
      <c r="P69" s="1100">
        <v>14</v>
      </c>
      <c r="Q69" s="1100">
        <v>15</v>
      </c>
      <c r="R69" s="1100">
        <v>16</v>
      </c>
      <c r="S69" s="1099">
        <v>17</v>
      </c>
      <c r="T69" s="1099">
        <v>18</v>
      </c>
      <c r="U69" s="1099">
        <v>19</v>
      </c>
      <c r="V69" s="1100">
        <v>20</v>
      </c>
      <c r="W69" s="1100">
        <v>21</v>
      </c>
      <c r="X69" s="1100">
        <v>22</v>
      </c>
      <c r="Y69" s="1100">
        <v>23</v>
      </c>
      <c r="Z69" s="1100">
        <v>24</v>
      </c>
      <c r="AA69" s="1099">
        <v>25</v>
      </c>
      <c r="AB69" s="1099">
        <v>26</v>
      </c>
      <c r="AC69" s="1100">
        <v>27</v>
      </c>
      <c r="AD69" s="1100">
        <v>28</v>
      </c>
      <c r="AE69" s="1100">
        <v>29</v>
      </c>
      <c r="AF69" s="1099">
        <v>30</v>
      </c>
      <c r="AG69" s="1101">
        <v>31</v>
      </c>
      <c r="AH69" s="75"/>
      <c r="AI69" s="70"/>
    </row>
    <row r="70" spans="1:35" ht="18" customHeight="1">
      <c r="A70" s="922">
        <v>8520</v>
      </c>
      <c r="B70" s="923" t="s">
        <v>183</v>
      </c>
      <c r="C70" s="826"/>
      <c r="D70" s="826" t="s">
        <v>118</v>
      </c>
      <c r="E70" s="826" t="s">
        <v>118</v>
      </c>
      <c r="F70" s="826"/>
      <c r="G70" s="826"/>
      <c r="H70" s="826" t="s">
        <v>118</v>
      </c>
      <c r="I70" s="826" t="s">
        <v>118</v>
      </c>
      <c r="J70" s="826" t="s">
        <v>118</v>
      </c>
      <c r="K70" s="826" t="s">
        <v>118</v>
      </c>
      <c r="L70" s="826" t="s">
        <v>118</v>
      </c>
      <c r="M70" s="826"/>
      <c r="N70" s="826"/>
      <c r="O70" s="826" t="s">
        <v>118</v>
      </c>
      <c r="P70" s="826" t="s">
        <v>118</v>
      </c>
      <c r="Q70" s="826" t="s">
        <v>118</v>
      </c>
      <c r="R70" s="826" t="s">
        <v>118</v>
      </c>
      <c r="S70" s="826"/>
      <c r="T70" s="826"/>
      <c r="U70" s="826"/>
      <c r="V70" s="826" t="s">
        <v>118</v>
      </c>
      <c r="W70" s="826" t="s">
        <v>118</v>
      </c>
      <c r="X70" s="826" t="s">
        <v>118</v>
      </c>
      <c r="Y70" s="826" t="s">
        <v>118</v>
      </c>
      <c r="Z70" s="826" t="s">
        <v>118</v>
      </c>
      <c r="AA70" s="826"/>
      <c r="AB70" s="826"/>
      <c r="AC70" s="826" t="s">
        <v>118</v>
      </c>
      <c r="AD70" s="826" t="s">
        <v>118</v>
      </c>
      <c r="AE70" s="826" t="s">
        <v>118</v>
      </c>
      <c r="AF70" s="826"/>
      <c r="AG70" s="826" t="s">
        <v>118</v>
      </c>
      <c r="AH70" s="75"/>
      <c r="AI70" s="70"/>
    </row>
    <row r="71" spans="1:35" ht="18" customHeight="1">
      <c r="AH71" s="76"/>
      <c r="AI71" s="76"/>
    </row>
    <row r="72" spans="1:35" ht="18" customHeight="1" thickBot="1">
      <c r="A72" s="77" t="s">
        <v>185</v>
      </c>
      <c r="B72" s="78"/>
      <c r="C72" s="78"/>
      <c r="D72" s="79"/>
      <c r="E72" s="79"/>
      <c r="F72" s="79"/>
      <c r="G72" s="80"/>
      <c r="H72" s="79"/>
      <c r="I72" s="79"/>
      <c r="J72" s="79"/>
      <c r="K72" s="79"/>
      <c r="L72" s="79"/>
      <c r="M72" s="79"/>
      <c r="N72" s="79"/>
      <c r="O72" s="79"/>
      <c r="P72" s="79"/>
      <c r="Q72" s="79"/>
      <c r="R72" s="79"/>
      <c r="S72" s="79"/>
      <c r="T72" s="79"/>
      <c r="U72" s="79"/>
      <c r="V72" s="79"/>
      <c r="W72" s="79"/>
      <c r="X72" s="79"/>
      <c r="Y72" s="79"/>
      <c r="Z72" s="79"/>
      <c r="AA72" s="79"/>
      <c r="AB72" s="79"/>
      <c r="AC72" s="79"/>
      <c r="AD72" s="79"/>
      <c r="AE72" s="79"/>
      <c r="AF72" s="79"/>
      <c r="AG72" s="79"/>
      <c r="AH72" s="78"/>
      <c r="AI72" s="78"/>
    </row>
    <row r="73" spans="1:35" ht="18" customHeight="1">
      <c r="A73" s="77"/>
      <c r="B73" s="900" t="s">
        <v>186</v>
      </c>
      <c r="C73" s="924"/>
      <c r="D73" s="925" t="s">
        <v>87</v>
      </c>
      <c r="E73" s="926"/>
      <c r="F73" s="927"/>
      <c r="G73" s="924"/>
      <c r="H73" s="925" t="s">
        <v>88</v>
      </c>
      <c r="I73" s="926"/>
      <c r="J73" s="927"/>
      <c r="K73" s="924"/>
      <c r="L73" s="925" t="s">
        <v>89</v>
      </c>
      <c r="M73" s="926"/>
      <c r="N73" s="927"/>
      <c r="O73" s="924"/>
      <c r="P73" s="925" t="s">
        <v>90</v>
      </c>
      <c r="Q73" s="926"/>
      <c r="R73" s="927"/>
      <c r="S73" s="924"/>
      <c r="T73" s="925" t="s">
        <v>91</v>
      </c>
      <c r="U73" s="926"/>
      <c r="V73" s="927"/>
      <c r="W73" s="924"/>
      <c r="X73" s="925" t="s">
        <v>92</v>
      </c>
      <c r="Y73" s="926"/>
      <c r="Z73" s="927"/>
      <c r="AA73" s="924"/>
      <c r="AB73" s="925" t="s">
        <v>93</v>
      </c>
      <c r="AC73" s="926"/>
      <c r="AD73" s="926"/>
      <c r="AE73" s="928" t="s">
        <v>94</v>
      </c>
      <c r="AF73" s="926"/>
      <c r="AG73" s="926"/>
      <c r="AH73" s="926"/>
      <c r="AI73" s="929"/>
    </row>
    <row r="74" spans="1:35" ht="18" customHeight="1">
      <c r="A74" s="77"/>
      <c r="B74" s="930" t="s">
        <v>159</v>
      </c>
      <c r="C74" s="931">
        <v>69</v>
      </c>
      <c r="D74" s="932" t="s">
        <v>187</v>
      </c>
      <c r="E74" s="932"/>
      <c r="F74" s="933"/>
      <c r="G74" s="931">
        <v>69</v>
      </c>
      <c r="H74" s="932" t="s">
        <v>187</v>
      </c>
      <c r="I74" s="932"/>
      <c r="J74" s="933"/>
      <c r="K74" s="931">
        <v>69</v>
      </c>
      <c r="L74" s="932" t="s">
        <v>187</v>
      </c>
      <c r="M74" s="932"/>
      <c r="N74" s="933"/>
      <c r="O74" s="931">
        <v>69</v>
      </c>
      <c r="P74" s="932" t="s">
        <v>187</v>
      </c>
      <c r="Q74" s="932"/>
      <c r="R74" s="933"/>
      <c r="S74" s="931">
        <v>69</v>
      </c>
      <c r="T74" s="932" t="s">
        <v>187</v>
      </c>
      <c r="U74" s="932"/>
      <c r="V74" s="933"/>
      <c r="W74" s="931"/>
      <c r="X74" s="934"/>
      <c r="Y74" s="934"/>
      <c r="Z74" s="935"/>
      <c r="AA74" s="931"/>
      <c r="AB74" s="932"/>
      <c r="AC74" s="932"/>
      <c r="AD74" s="773"/>
      <c r="AE74" s="936">
        <v>35</v>
      </c>
      <c r="AF74" s="932"/>
      <c r="AG74" s="932"/>
      <c r="AH74" s="773"/>
      <c r="AI74" s="937"/>
    </row>
    <row r="75" spans="1:35" ht="18" customHeight="1">
      <c r="A75" s="77"/>
      <c r="B75" s="930" t="s">
        <v>163</v>
      </c>
      <c r="C75" s="931">
        <v>79</v>
      </c>
      <c r="D75" s="932" t="s">
        <v>188</v>
      </c>
      <c r="E75" s="932"/>
      <c r="F75" s="933"/>
      <c r="G75" s="931">
        <v>79</v>
      </c>
      <c r="H75" s="932" t="s">
        <v>188</v>
      </c>
      <c r="I75" s="932"/>
      <c r="J75" s="933"/>
      <c r="K75" s="931">
        <v>79</v>
      </c>
      <c r="L75" s="932" t="s">
        <v>188</v>
      </c>
      <c r="M75" s="932"/>
      <c r="N75" s="933"/>
      <c r="O75" s="931">
        <v>79</v>
      </c>
      <c r="P75" s="932" t="s">
        <v>188</v>
      </c>
      <c r="Q75" s="932"/>
      <c r="R75" s="933"/>
      <c r="S75" s="931">
        <v>79</v>
      </c>
      <c r="T75" s="932" t="s">
        <v>188</v>
      </c>
      <c r="U75" s="932"/>
      <c r="V75" s="933"/>
      <c r="W75" s="931"/>
      <c r="X75" s="932"/>
      <c r="Y75" s="932"/>
      <c r="Z75" s="933"/>
      <c r="AA75" s="932"/>
      <c r="AB75" s="932"/>
      <c r="AC75" s="932"/>
      <c r="AD75" s="773"/>
      <c r="AE75" s="936">
        <v>40</v>
      </c>
      <c r="AF75" s="932"/>
      <c r="AG75" s="932"/>
      <c r="AH75" s="773"/>
      <c r="AI75" s="937"/>
    </row>
    <row r="76" spans="1:35" ht="18" customHeight="1">
      <c r="A76" s="77"/>
      <c r="B76" s="930" t="s">
        <v>171</v>
      </c>
      <c r="C76" s="931">
        <v>89</v>
      </c>
      <c r="D76" s="932" t="s">
        <v>189</v>
      </c>
      <c r="E76" s="932"/>
      <c r="F76" s="933"/>
      <c r="G76" s="931">
        <v>89</v>
      </c>
      <c r="H76" s="932" t="s">
        <v>189</v>
      </c>
      <c r="I76" s="932"/>
      <c r="J76" s="933"/>
      <c r="K76" s="931">
        <v>89</v>
      </c>
      <c r="L76" s="932" t="s">
        <v>189</v>
      </c>
      <c r="M76" s="932"/>
      <c r="N76" s="933"/>
      <c r="O76" s="931">
        <v>89</v>
      </c>
      <c r="P76" s="932" t="s">
        <v>189</v>
      </c>
      <c r="Q76" s="932"/>
      <c r="R76" s="933"/>
      <c r="S76" s="931">
        <v>89</v>
      </c>
      <c r="T76" s="932" t="s">
        <v>190</v>
      </c>
      <c r="U76" s="932"/>
      <c r="V76" s="933"/>
      <c r="W76" s="938"/>
      <c r="X76" s="939" t="s">
        <v>191</v>
      </c>
      <c r="Y76" s="939"/>
      <c r="Z76" s="940"/>
      <c r="AA76" s="938"/>
      <c r="AB76" s="939"/>
      <c r="AC76" s="939"/>
      <c r="AD76" s="776"/>
      <c r="AE76" s="936">
        <v>44</v>
      </c>
      <c r="AF76" s="932"/>
      <c r="AG76" s="932"/>
      <c r="AH76" s="773"/>
      <c r="AI76" s="937"/>
    </row>
    <row r="77" spans="1:35" ht="18" customHeight="1">
      <c r="A77" s="77"/>
      <c r="B77" s="81" t="s">
        <v>173</v>
      </c>
      <c r="C77" s="938">
        <v>99</v>
      </c>
      <c r="D77" s="939" t="s">
        <v>192</v>
      </c>
      <c r="E77" s="939"/>
      <c r="F77" s="940"/>
      <c r="G77" s="938">
        <v>99</v>
      </c>
      <c r="H77" s="939" t="s">
        <v>192</v>
      </c>
      <c r="I77" s="939"/>
      <c r="J77" s="940"/>
      <c r="K77" s="938">
        <v>99</v>
      </c>
      <c r="L77" s="939" t="s">
        <v>192</v>
      </c>
      <c r="M77" s="939"/>
      <c r="N77" s="940"/>
      <c r="O77" s="938">
        <v>99</v>
      </c>
      <c r="P77" s="939" t="s">
        <v>192</v>
      </c>
      <c r="Q77" s="939"/>
      <c r="R77" s="940"/>
      <c r="S77" s="938">
        <v>99</v>
      </c>
      <c r="T77" s="939" t="s">
        <v>172</v>
      </c>
      <c r="U77" s="939"/>
      <c r="V77" s="776"/>
      <c r="W77" s="775"/>
      <c r="X77" s="776"/>
      <c r="Y77" s="939"/>
      <c r="Z77" s="940"/>
      <c r="AA77" s="775"/>
      <c r="AB77" s="776"/>
      <c r="AC77" s="939"/>
      <c r="AD77" s="940"/>
      <c r="AE77" s="1168">
        <v>28</v>
      </c>
      <c r="AF77" s="939"/>
      <c r="AG77" s="939"/>
      <c r="AH77" s="776"/>
      <c r="AI77" s="942"/>
    </row>
    <row r="78" spans="1:35" ht="18" customHeight="1" thickBot="1">
      <c r="A78" s="77"/>
      <c r="B78" s="943" t="s">
        <v>193</v>
      </c>
      <c r="C78" s="944" t="s">
        <v>47</v>
      </c>
      <c r="D78" s="945" t="s">
        <v>194</v>
      </c>
      <c r="E78" s="946"/>
      <c r="F78" s="720"/>
      <c r="G78" s="944" t="s">
        <v>47</v>
      </c>
      <c r="H78" s="945" t="s">
        <v>194</v>
      </c>
      <c r="I78" s="718"/>
      <c r="J78" s="946"/>
      <c r="K78" s="944" t="s">
        <v>47</v>
      </c>
      <c r="L78" s="945" t="s">
        <v>194</v>
      </c>
      <c r="M78" s="946"/>
      <c r="N78" s="947"/>
      <c r="O78" s="944" t="s">
        <v>47</v>
      </c>
      <c r="P78" s="945" t="s">
        <v>194</v>
      </c>
      <c r="Q78" s="946"/>
      <c r="R78" s="945"/>
      <c r="S78" s="944" t="s">
        <v>47</v>
      </c>
      <c r="T78" s="722" t="s">
        <v>195</v>
      </c>
      <c r="U78" s="945"/>
      <c r="V78" s="947"/>
      <c r="W78" s="946"/>
      <c r="X78" s="945"/>
      <c r="Y78" s="945"/>
      <c r="Z78" s="945"/>
      <c r="AA78" s="948"/>
      <c r="AB78" s="949"/>
      <c r="AC78" s="945"/>
      <c r="AD78" s="950"/>
      <c r="AE78" s="945"/>
      <c r="AF78" s="945"/>
      <c r="AG78" s="945"/>
      <c r="AH78" s="951"/>
      <c r="AI78" s="952"/>
    </row>
    <row r="79" spans="1:35" ht="18" customHeight="1">
      <c r="A79" s="82"/>
      <c r="B79" s="77"/>
      <c r="C79" s="79"/>
      <c r="D79" s="79"/>
      <c r="E79" s="79"/>
      <c r="F79" s="79"/>
      <c r="G79" s="79"/>
      <c r="H79" s="79"/>
      <c r="I79" s="79"/>
      <c r="J79" s="79"/>
      <c r="K79" s="79"/>
      <c r="L79" s="79"/>
      <c r="M79" s="79"/>
      <c r="N79" s="79"/>
      <c r="O79" s="79"/>
      <c r="P79" s="79"/>
      <c r="Q79" s="79"/>
      <c r="R79" s="79"/>
      <c r="S79" s="79"/>
      <c r="T79" s="79"/>
      <c r="U79" s="79"/>
      <c r="V79" s="79"/>
      <c r="W79" s="79"/>
      <c r="X79" s="79"/>
      <c r="Y79" s="79"/>
      <c r="Z79" s="79"/>
      <c r="AA79" s="79"/>
      <c r="AB79" s="79"/>
      <c r="AC79" s="79"/>
      <c r="AD79" s="79"/>
      <c r="AE79" s="79"/>
      <c r="AF79" s="79"/>
      <c r="AG79" s="79"/>
      <c r="AH79" s="78"/>
      <c r="AI79" s="78"/>
    </row>
    <row r="80" spans="1:35" ht="18" customHeight="1" thickBot="1">
      <c r="A80" s="785"/>
      <c r="B80" s="727" t="s">
        <v>29</v>
      </c>
      <c r="C80" s="1099">
        <v>1</v>
      </c>
      <c r="D80" s="1100">
        <v>2</v>
      </c>
      <c r="E80" s="1100">
        <v>3</v>
      </c>
      <c r="F80" s="1099">
        <v>4</v>
      </c>
      <c r="G80" s="1099">
        <v>5</v>
      </c>
      <c r="H80" s="1100">
        <v>6</v>
      </c>
      <c r="I80" s="1100">
        <v>7</v>
      </c>
      <c r="J80" s="1100">
        <v>8</v>
      </c>
      <c r="K80" s="1100">
        <v>9</v>
      </c>
      <c r="L80" s="1100">
        <v>10</v>
      </c>
      <c r="M80" s="1099">
        <v>11</v>
      </c>
      <c r="N80" s="1099">
        <v>12</v>
      </c>
      <c r="O80" s="1100">
        <v>13</v>
      </c>
      <c r="P80" s="1100">
        <v>14</v>
      </c>
      <c r="Q80" s="1100">
        <v>15</v>
      </c>
      <c r="R80" s="1100">
        <v>16</v>
      </c>
      <c r="S80" s="1099">
        <v>17</v>
      </c>
      <c r="T80" s="1099">
        <v>18</v>
      </c>
      <c r="U80" s="1099">
        <v>19</v>
      </c>
      <c r="V80" s="1100">
        <v>20</v>
      </c>
      <c r="W80" s="1100">
        <v>21</v>
      </c>
      <c r="X80" s="1100">
        <v>22</v>
      </c>
      <c r="Y80" s="1100">
        <v>23</v>
      </c>
      <c r="Z80" s="1100">
        <v>24</v>
      </c>
      <c r="AA80" s="1099">
        <v>25</v>
      </c>
      <c r="AB80" s="1099">
        <v>26</v>
      </c>
      <c r="AC80" s="1100">
        <v>27</v>
      </c>
      <c r="AD80" s="1100">
        <v>28</v>
      </c>
      <c r="AE80" s="1100">
        <v>29</v>
      </c>
      <c r="AF80" s="1099">
        <v>30</v>
      </c>
      <c r="AG80" s="1101">
        <v>31</v>
      </c>
      <c r="AH80" s="23"/>
      <c r="AI80" s="24"/>
    </row>
    <row r="81" spans="1:35" ht="18" customHeight="1">
      <c r="A81" s="953">
        <v>1</v>
      </c>
      <c r="B81" s="954" t="s">
        <v>196</v>
      </c>
      <c r="C81" s="472"/>
      <c r="D81" s="745">
        <v>89</v>
      </c>
      <c r="E81" s="826">
        <v>89</v>
      </c>
      <c r="F81" s="826">
        <v>89</v>
      </c>
      <c r="G81" s="471"/>
      <c r="H81" s="472">
        <v>99</v>
      </c>
      <c r="I81" s="471">
        <v>99</v>
      </c>
      <c r="J81" s="471">
        <v>99</v>
      </c>
      <c r="K81" s="472">
        <v>99</v>
      </c>
      <c r="L81" s="471" t="s">
        <v>35</v>
      </c>
      <c r="M81" s="826"/>
      <c r="N81" s="472"/>
      <c r="O81" s="472" t="s">
        <v>47</v>
      </c>
      <c r="P81" s="472" t="s">
        <v>47</v>
      </c>
      <c r="Q81" s="472" t="s">
        <v>47</v>
      </c>
      <c r="R81" s="472" t="s">
        <v>47</v>
      </c>
      <c r="S81" s="826"/>
      <c r="T81" s="826"/>
      <c r="U81" s="472"/>
      <c r="V81" s="472">
        <v>69</v>
      </c>
      <c r="W81" s="472">
        <v>69</v>
      </c>
      <c r="X81" s="472">
        <v>69</v>
      </c>
      <c r="Y81" s="472">
        <v>69</v>
      </c>
      <c r="Z81" s="1169">
        <v>69</v>
      </c>
      <c r="AA81" s="748"/>
      <c r="AB81" s="1170" t="s">
        <v>109</v>
      </c>
      <c r="AC81" s="472">
        <v>79</v>
      </c>
      <c r="AD81" s="472">
        <v>79</v>
      </c>
      <c r="AE81" s="1171">
        <v>79</v>
      </c>
      <c r="AF81" s="472"/>
      <c r="AG81" s="734">
        <v>79</v>
      </c>
      <c r="AH81" s="83"/>
      <c r="AI81" s="76"/>
    </row>
    <row r="82" spans="1:35" ht="18" customHeight="1">
      <c r="A82" s="955">
        <v>2</v>
      </c>
      <c r="B82" s="823" t="s">
        <v>197</v>
      </c>
      <c r="C82" s="574"/>
      <c r="D82" s="570">
        <v>99</v>
      </c>
      <c r="E82" s="751" t="s">
        <v>35</v>
      </c>
      <c r="F82" s="751"/>
      <c r="G82" s="570"/>
      <c r="H82" s="570" t="s">
        <v>47</v>
      </c>
      <c r="I82" s="570" t="s">
        <v>47</v>
      </c>
      <c r="J82" s="570" t="s">
        <v>47</v>
      </c>
      <c r="K82" s="570" t="s">
        <v>47</v>
      </c>
      <c r="L82" s="751" t="s">
        <v>47</v>
      </c>
      <c r="M82" s="751"/>
      <c r="N82" s="570"/>
      <c r="O82" s="570">
        <v>69</v>
      </c>
      <c r="P82" s="570">
        <v>69</v>
      </c>
      <c r="Q82" s="570">
        <v>69</v>
      </c>
      <c r="R82" s="574">
        <v>69</v>
      </c>
      <c r="S82" s="570"/>
      <c r="T82" s="751"/>
      <c r="U82" s="570"/>
      <c r="V82" s="570">
        <v>79</v>
      </c>
      <c r="W82" s="570">
        <v>79</v>
      </c>
      <c r="X82" s="570">
        <v>79</v>
      </c>
      <c r="Y82" s="570">
        <v>79</v>
      </c>
      <c r="Z82" s="751">
        <v>79</v>
      </c>
      <c r="AA82" s="751"/>
      <c r="AB82" s="574"/>
      <c r="AC82" s="1172">
        <v>89</v>
      </c>
      <c r="AD82" s="1172">
        <v>89</v>
      </c>
      <c r="AE82" s="1172">
        <v>89</v>
      </c>
      <c r="AF82" s="1172"/>
      <c r="AG82" s="1173">
        <v>89</v>
      </c>
      <c r="AH82" s="84"/>
      <c r="AI82" s="85"/>
    </row>
    <row r="83" spans="1:35" ht="18" customHeight="1">
      <c r="A83" s="955">
        <v>3</v>
      </c>
      <c r="B83" s="823" t="s">
        <v>198</v>
      </c>
      <c r="C83" s="570"/>
      <c r="D83" s="1174" t="s">
        <v>47</v>
      </c>
      <c r="E83" s="957" t="s">
        <v>47</v>
      </c>
      <c r="F83" s="751"/>
      <c r="G83" s="570"/>
      <c r="H83" s="570">
        <v>69</v>
      </c>
      <c r="I83" s="570">
        <v>69</v>
      </c>
      <c r="J83" s="574">
        <v>69</v>
      </c>
      <c r="K83" s="570">
        <v>69</v>
      </c>
      <c r="L83" s="1175">
        <v>69</v>
      </c>
      <c r="M83" s="751"/>
      <c r="N83" s="570"/>
      <c r="O83" s="570">
        <v>79</v>
      </c>
      <c r="P83" s="570">
        <v>79</v>
      </c>
      <c r="Q83" s="570">
        <v>79</v>
      </c>
      <c r="R83" s="570">
        <v>79</v>
      </c>
      <c r="S83" s="751"/>
      <c r="T83" s="751"/>
      <c r="U83" s="574"/>
      <c r="V83" s="570">
        <v>89</v>
      </c>
      <c r="W83" s="574">
        <v>89</v>
      </c>
      <c r="X83" s="574">
        <v>89</v>
      </c>
      <c r="Y83" s="574">
        <v>89</v>
      </c>
      <c r="Z83" s="751">
        <v>89</v>
      </c>
      <c r="AA83" s="751">
        <v>89</v>
      </c>
      <c r="AB83" s="570"/>
      <c r="AC83" s="570">
        <v>99</v>
      </c>
      <c r="AD83" s="570">
        <v>99</v>
      </c>
      <c r="AE83" s="570">
        <v>99</v>
      </c>
      <c r="AF83" s="570"/>
      <c r="AG83" s="752" t="s">
        <v>35</v>
      </c>
      <c r="AH83" s="83"/>
      <c r="AI83" s="76"/>
    </row>
    <row r="84" spans="1:35" ht="18" customHeight="1">
      <c r="A84" s="955">
        <v>4</v>
      </c>
      <c r="B84" s="823" t="s">
        <v>268</v>
      </c>
      <c r="C84" s="959"/>
      <c r="D84" s="959">
        <v>69</v>
      </c>
      <c r="E84" s="959">
        <v>69</v>
      </c>
      <c r="F84" s="751"/>
      <c r="G84" s="570"/>
      <c r="H84" s="570">
        <v>79</v>
      </c>
      <c r="I84" s="570">
        <v>79</v>
      </c>
      <c r="J84" s="570">
        <v>79</v>
      </c>
      <c r="K84" s="570">
        <v>79</v>
      </c>
      <c r="L84" s="751">
        <v>79</v>
      </c>
      <c r="M84" s="751"/>
      <c r="N84" s="959"/>
      <c r="O84" s="959">
        <v>89</v>
      </c>
      <c r="P84" s="959">
        <v>89</v>
      </c>
      <c r="Q84" s="959">
        <v>89</v>
      </c>
      <c r="R84" s="959">
        <v>89</v>
      </c>
      <c r="S84" s="751"/>
      <c r="T84" s="957">
        <v>89</v>
      </c>
      <c r="U84" s="959"/>
      <c r="V84" s="959">
        <v>99</v>
      </c>
      <c r="W84" s="959">
        <v>99</v>
      </c>
      <c r="X84" s="1176">
        <v>99</v>
      </c>
      <c r="Y84" s="958">
        <v>99</v>
      </c>
      <c r="Z84" s="958" t="s">
        <v>35</v>
      </c>
      <c r="AA84" s="958"/>
      <c r="AB84" s="958"/>
      <c r="AC84" s="958" t="s">
        <v>47</v>
      </c>
      <c r="AD84" s="958" t="s">
        <v>47</v>
      </c>
      <c r="AE84" s="958" t="s">
        <v>47</v>
      </c>
      <c r="AF84" s="958"/>
      <c r="AG84" s="1177" t="s">
        <v>199</v>
      </c>
      <c r="AH84" s="83"/>
      <c r="AI84" s="76"/>
    </row>
    <row r="85" spans="1:35" ht="18" customHeight="1" thickBot="1">
      <c r="A85" s="961">
        <v>5</v>
      </c>
      <c r="B85" s="962" t="s">
        <v>361</v>
      </c>
      <c r="C85" s="694"/>
      <c r="D85" s="694">
        <v>79</v>
      </c>
      <c r="E85" s="694">
        <v>79</v>
      </c>
      <c r="F85" s="1100"/>
      <c r="G85" s="577"/>
      <c r="H85" s="1150">
        <v>89</v>
      </c>
      <c r="I85" s="1150">
        <v>89</v>
      </c>
      <c r="J85" s="1150">
        <v>89</v>
      </c>
      <c r="K85" s="1178" t="s">
        <v>362</v>
      </c>
      <c r="L85" s="1155">
        <v>89</v>
      </c>
      <c r="M85" s="1155">
        <v>89</v>
      </c>
      <c r="N85" s="694"/>
      <c r="O85" s="694">
        <v>99</v>
      </c>
      <c r="P85" s="694">
        <v>99</v>
      </c>
      <c r="Q85" s="694">
        <v>99</v>
      </c>
      <c r="R85" s="694">
        <v>99</v>
      </c>
      <c r="S85" s="1100" t="s">
        <v>35</v>
      </c>
      <c r="T85" s="964"/>
      <c r="U85" s="694"/>
      <c r="V85" s="694" t="s">
        <v>47</v>
      </c>
      <c r="W85" s="694" t="s">
        <v>47</v>
      </c>
      <c r="X85" s="694" t="s">
        <v>47</v>
      </c>
      <c r="Y85" s="694" t="s">
        <v>47</v>
      </c>
      <c r="Z85" s="1179" t="s">
        <v>47</v>
      </c>
      <c r="AA85" s="1179"/>
      <c r="AB85" s="694"/>
      <c r="AC85" s="694">
        <v>69</v>
      </c>
      <c r="AD85" s="694">
        <v>69</v>
      </c>
      <c r="AE85" s="694">
        <v>69</v>
      </c>
      <c r="AF85" s="694"/>
      <c r="AG85" s="965">
        <v>69</v>
      </c>
      <c r="AH85" s="83"/>
      <c r="AI85" s="76"/>
    </row>
    <row r="86" spans="1:35" ht="18" customHeight="1">
      <c r="A86" s="36"/>
      <c r="B86" s="87"/>
      <c r="C86" s="38"/>
      <c r="D86" s="38"/>
      <c r="E86" s="38"/>
      <c r="F86" s="38"/>
      <c r="G86" s="38"/>
      <c r="H86" s="38"/>
      <c r="I86" s="38"/>
      <c r="J86" s="38"/>
      <c r="K86" s="38"/>
      <c r="L86" s="38"/>
      <c r="M86" s="38"/>
      <c r="N86" s="38"/>
      <c r="O86" s="38"/>
      <c r="P86" s="38"/>
      <c r="Q86" s="38"/>
      <c r="R86" s="38"/>
      <c r="S86" s="38"/>
      <c r="T86" s="38"/>
      <c r="U86" s="38"/>
      <c r="V86" s="38"/>
      <c r="W86" s="38"/>
      <c r="X86" s="38"/>
      <c r="Y86" s="38"/>
      <c r="Z86" s="38"/>
      <c r="AA86" s="38"/>
      <c r="AB86" s="38"/>
      <c r="AC86" s="38"/>
      <c r="AD86" s="38"/>
      <c r="AE86" s="38"/>
      <c r="AF86" s="38"/>
      <c r="AG86" s="38"/>
      <c r="AH86" s="76"/>
      <c r="AI86" s="76"/>
    </row>
    <row r="87" spans="1:35" ht="18" customHeight="1" thickBot="1">
      <c r="A87" s="77" t="s">
        <v>202</v>
      </c>
      <c r="B87" s="78"/>
      <c r="C87" s="78"/>
      <c r="D87" s="79"/>
      <c r="E87" s="79"/>
      <c r="F87" s="79"/>
      <c r="G87" s="80"/>
      <c r="H87" s="79"/>
      <c r="I87" s="79"/>
      <c r="J87" s="79"/>
      <c r="K87" s="79"/>
      <c r="L87" s="79"/>
      <c r="M87" s="79"/>
      <c r="N87" s="79"/>
      <c r="O87" s="79"/>
      <c r="P87" s="79"/>
      <c r="Q87" s="79"/>
      <c r="R87" s="79"/>
      <c r="S87" s="79"/>
      <c r="T87" s="79"/>
      <c r="U87" s="79"/>
      <c r="V87" s="79"/>
      <c r="W87" s="79"/>
      <c r="X87" s="79"/>
      <c r="Y87" s="79"/>
      <c r="Z87" s="79"/>
      <c r="AA87" s="79"/>
      <c r="AB87" s="79"/>
      <c r="AC87" s="79"/>
      <c r="AD87" s="79"/>
      <c r="AE87" s="79"/>
      <c r="AF87" s="79"/>
      <c r="AG87" s="79"/>
      <c r="AH87" s="78"/>
      <c r="AI87" s="78"/>
    </row>
    <row r="88" spans="1:35" ht="18" customHeight="1">
      <c r="A88" s="77"/>
      <c r="B88" s="900" t="s">
        <v>186</v>
      </c>
      <c r="C88" s="924"/>
      <c r="D88" s="925" t="s">
        <v>87</v>
      </c>
      <c r="E88" s="926"/>
      <c r="F88" s="927"/>
      <c r="G88" s="924"/>
      <c r="H88" s="925" t="s">
        <v>88</v>
      </c>
      <c r="I88" s="926"/>
      <c r="J88" s="927"/>
      <c r="K88" s="924"/>
      <c r="L88" s="925" t="s">
        <v>89</v>
      </c>
      <c r="M88" s="926"/>
      <c r="N88" s="927"/>
      <c r="O88" s="924"/>
      <c r="P88" s="925" t="s">
        <v>90</v>
      </c>
      <c r="Q88" s="926"/>
      <c r="R88" s="927"/>
      <c r="S88" s="924"/>
      <c r="T88" s="925" t="s">
        <v>91</v>
      </c>
      <c r="U88" s="926"/>
      <c r="V88" s="927"/>
      <c r="W88" s="924"/>
      <c r="X88" s="925" t="s">
        <v>92</v>
      </c>
      <c r="Y88" s="926"/>
      <c r="Z88" s="927"/>
      <c r="AA88" s="924"/>
      <c r="AB88" s="925" t="s">
        <v>93</v>
      </c>
      <c r="AC88" s="926"/>
      <c r="AD88" s="926"/>
      <c r="AE88" s="928" t="s">
        <v>94</v>
      </c>
      <c r="AF88" s="926"/>
      <c r="AG88" s="926"/>
      <c r="AH88" s="926"/>
      <c r="AI88" s="929"/>
    </row>
    <row r="89" spans="1:35" ht="18" customHeight="1">
      <c r="A89" s="77"/>
      <c r="B89" s="930" t="s">
        <v>203</v>
      </c>
      <c r="C89" s="772" t="s">
        <v>204</v>
      </c>
      <c r="D89" s="932"/>
      <c r="E89" s="932"/>
      <c r="F89" s="933"/>
      <c r="G89" s="772" t="s">
        <v>204</v>
      </c>
      <c r="H89" s="932"/>
      <c r="I89" s="932"/>
      <c r="J89" s="933"/>
      <c r="K89" s="772" t="s">
        <v>204</v>
      </c>
      <c r="L89" s="932"/>
      <c r="M89" s="932"/>
      <c r="N89" s="933"/>
      <c r="O89" s="772" t="s">
        <v>204</v>
      </c>
      <c r="P89" s="932"/>
      <c r="Q89" s="932"/>
      <c r="R89" s="933"/>
      <c r="S89" s="772" t="s">
        <v>204</v>
      </c>
      <c r="T89" s="932"/>
      <c r="U89" s="932"/>
      <c r="V89" s="933"/>
      <c r="W89" s="772" t="s">
        <v>205</v>
      </c>
      <c r="X89" s="934"/>
      <c r="Y89" s="934"/>
      <c r="Z89" s="935"/>
      <c r="AA89" s="772" t="s">
        <v>205</v>
      </c>
      <c r="AB89" s="932"/>
      <c r="AC89" s="932"/>
      <c r="AD89" s="773"/>
      <c r="AE89" s="936">
        <v>68</v>
      </c>
      <c r="AF89" s="88"/>
      <c r="AG89" s="88"/>
      <c r="AH89" s="88"/>
      <c r="AI89" s="89"/>
    </row>
    <row r="90" spans="1:35" ht="18" customHeight="1">
      <c r="A90" s="77"/>
      <c r="B90" s="930" t="s">
        <v>163</v>
      </c>
      <c r="C90" s="772" t="s">
        <v>172</v>
      </c>
      <c r="D90" s="932"/>
      <c r="E90" s="932"/>
      <c r="F90" s="933"/>
      <c r="G90" s="772" t="s">
        <v>172</v>
      </c>
      <c r="H90" s="932"/>
      <c r="I90" s="932"/>
      <c r="J90" s="933"/>
      <c r="K90" s="772" t="s">
        <v>172</v>
      </c>
      <c r="L90" s="932"/>
      <c r="M90" s="932"/>
      <c r="N90" s="933"/>
      <c r="O90" s="772" t="s">
        <v>172</v>
      </c>
      <c r="P90" s="932"/>
      <c r="Q90" s="932"/>
      <c r="R90" s="933"/>
      <c r="S90" s="772" t="s">
        <v>172</v>
      </c>
      <c r="T90" s="932"/>
      <c r="U90" s="932"/>
      <c r="V90" s="933"/>
      <c r="W90" s="772" t="s">
        <v>172</v>
      </c>
      <c r="X90" s="932"/>
      <c r="Y90" s="932"/>
      <c r="Z90" s="933"/>
      <c r="AA90" s="932" t="s">
        <v>172</v>
      </c>
      <c r="AB90" s="932"/>
      <c r="AC90" s="932"/>
      <c r="AD90" s="773"/>
      <c r="AE90" s="936">
        <v>0</v>
      </c>
      <c r="AF90" s="88"/>
      <c r="AG90" s="88"/>
      <c r="AH90" s="88"/>
      <c r="AI90" s="89"/>
    </row>
    <row r="91" spans="1:35" ht="18" customHeight="1">
      <c r="A91" s="77"/>
      <c r="B91" s="930" t="s">
        <v>206</v>
      </c>
      <c r="C91" s="772" t="s">
        <v>204</v>
      </c>
      <c r="D91" s="932"/>
      <c r="E91" s="932"/>
      <c r="F91" s="933"/>
      <c r="G91" s="772" t="s">
        <v>204</v>
      </c>
      <c r="H91" s="932"/>
      <c r="I91" s="932"/>
      <c r="J91" s="933"/>
      <c r="K91" s="772" t="s">
        <v>204</v>
      </c>
      <c r="L91" s="932"/>
      <c r="M91" s="932"/>
      <c r="N91" s="933"/>
      <c r="O91" s="772" t="s">
        <v>204</v>
      </c>
      <c r="P91" s="932"/>
      <c r="Q91" s="932"/>
      <c r="R91" s="933"/>
      <c r="S91" s="772" t="s">
        <v>204</v>
      </c>
      <c r="T91" s="932"/>
      <c r="U91" s="932"/>
      <c r="V91" s="933"/>
      <c r="W91" s="772" t="s">
        <v>205</v>
      </c>
      <c r="X91" s="934"/>
      <c r="Y91" s="934"/>
      <c r="Z91" s="935"/>
      <c r="AA91" s="772" t="s">
        <v>205</v>
      </c>
      <c r="AB91" s="932"/>
      <c r="AC91" s="932"/>
      <c r="AD91" s="773"/>
      <c r="AE91" s="936">
        <v>68</v>
      </c>
      <c r="AF91" s="932"/>
      <c r="AG91" s="932" t="s">
        <v>0</v>
      </c>
      <c r="AH91" s="773"/>
      <c r="AI91" s="937"/>
    </row>
    <row r="92" spans="1:35" ht="18" customHeight="1">
      <c r="A92" s="77"/>
      <c r="B92" s="930" t="s">
        <v>173</v>
      </c>
      <c r="C92" s="772" t="s">
        <v>172</v>
      </c>
      <c r="D92" s="932"/>
      <c r="E92" s="932"/>
      <c r="F92" s="933"/>
      <c r="G92" s="772" t="s">
        <v>172</v>
      </c>
      <c r="H92" s="932"/>
      <c r="I92" s="932"/>
      <c r="J92" s="933"/>
      <c r="K92" s="772" t="s">
        <v>172</v>
      </c>
      <c r="L92" s="932"/>
      <c r="M92" s="932"/>
      <c r="N92" s="933"/>
      <c r="O92" s="772" t="s">
        <v>172</v>
      </c>
      <c r="P92" s="932"/>
      <c r="Q92" s="932"/>
      <c r="R92" s="933"/>
      <c r="S92" s="772" t="s">
        <v>172</v>
      </c>
      <c r="T92" s="932"/>
      <c r="U92" s="932"/>
      <c r="V92" s="933"/>
      <c r="W92" s="772" t="s">
        <v>172</v>
      </c>
      <c r="X92" s="932"/>
      <c r="Y92" s="932"/>
      <c r="Z92" s="933"/>
      <c r="AA92" s="932" t="s">
        <v>172</v>
      </c>
      <c r="AB92" s="932"/>
      <c r="AC92" s="932"/>
      <c r="AD92" s="773"/>
      <c r="AE92" s="936">
        <v>0</v>
      </c>
      <c r="AF92" s="932"/>
      <c r="AG92" s="932"/>
      <c r="AH92" s="773"/>
      <c r="AI92" s="937"/>
    </row>
    <row r="93" spans="1:35" ht="18" customHeight="1">
      <c r="A93" s="77"/>
      <c r="B93" s="930" t="s">
        <v>207</v>
      </c>
      <c r="C93" s="772" t="s">
        <v>204</v>
      </c>
      <c r="D93" s="932"/>
      <c r="E93" s="932"/>
      <c r="F93" s="933"/>
      <c r="G93" s="772" t="s">
        <v>204</v>
      </c>
      <c r="H93" s="932"/>
      <c r="I93" s="932"/>
      <c r="J93" s="933"/>
      <c r="K93" s="772" t="s">
        <v>204</v>
      </c>
      <c r="L93" s="932"/>
      <c r="M93" s="932"/>
      <c r="N93" s="933"/>
      <c r="O93" s="772" t="s">
        <v>204</v>
      </c>
      <c r="P93" s="932"/>
      <c r="Q93" s="932"/>
      <c r="R93" s="933"/>
      <c r="S93" s="772" t="s">
        <v>204</v>
      </c>
      <c r="T93" s="932"/>
      <c r="U93" s="932"/>
      <c r="V93" s="933"/>
      <c r="W93" s="772" t="s">
        <v>208</v>
      </c>
      <c r="X93" s="939"/>
      <c r="Y93" s="939"/>
      <c r="Z93" s="940"/>
      <c r="AA93" s="772" t="s">
        <v>208</v>
      </c>
      <c r="AB93" s="939"/>
      <c r="AC93" s="939"/>
      <c r="AD93" s="776"/>
      <c r="AE93" s="936">
        <v>68</v>
      </c>
      <c r="AF93" s="932"/>
      <c r="AG93" s="932"/>
      <c r="AH93" s="773"/>
      <c r="AI93" s="937"/>
    </row>
    <row r="94" spans="1:35" ht="18" customHeight="1" thickBot="1">
      <c r="A94" s="77"/>
      <c r="B94" s="930" t="s">
        <v>209</v>
      </c>
      <c r="C94" s="966" t="s">
        <v>172</v>
      </c>
      <c r="D94" s="967"/>
      <c r="E94" s="967"/>
      <c r="F94" s="968"/>
      <c r="G94" s="966" t="s">
        <v>172</v>
      </c>
      <c r="H94" s="967"/>
      <c r="I94" s="967"/>
      <c r="J94" s="968"/>
      <c r="K94" s="966" t="s">
        <v>172</v>
      </c>
      <c r="L94" s="967"/>
      <c r="M94" s="967"/>
      <c r="N94" s="968"/>
      <c r="O94" s="966" t="s">
        <v>172</v>
      </c>
      <c r="P94" s="967"/>
      <c r="Q94" s="967"/>
      <c r="R94" s="968"/>
      <c r="S94" s="966" t="s">
        <v>172</v>
      </c>
      <c r="T94" s="967"/>
      <c r="U94" s="967"/>
      <c r="V94" s="951"/>
      <c r="W94" s="966" t="s">
        <v>172</v>
      </c>
      <c r="X94" s="951"/>
      <c r="Y94" s="967"/>
      <c r="Z94" s="968"/>
      <c r="AA94" s="966" t="s">
        <v>172</v>
      </c>
      <c r="AB94" s="951"/>
      <c r="AC94" s="967"/>
      <c r="AD94" s="968"/>
      <c r="AE94" s="969" t="s">
        <v>210</v>
      </c>
      <c r="AF94" s="967"/>
      <c r="AG94" s="967"/>
      <c r="AH94" s="951"/>
      <c r="AI94" s="952"/>
    </row>
    <row r="95" spans="1:35" ht="18" customHeight="1">
      <c r="A95" s="82"/>
      <c r="B95" s="77"/>
      <c r="C95" s="79"/>
      <c r="D95" s="79"/>
      <c r="E95" s="79"/>
      <c r="F95" s="79"/>
      <c r="G95" s="79"/>
      <c r="H95" s="79"/>
      <c r="I95" s="79"/>
      <c r="J95" s="79"/>
      <c r="K95" s="79"/>
      <c r="L95" s="79"/>
      <c r="M95" s="79"/>
      <c r="N95" s="79"/>
      <c r="O95" s="79"/>
      <c r="P95" s="79"/>
      <c r="Q95" s="79"/>
      <c r="R95" s="79"/>
      <c r="S95" s="79"/>
      <c r="T95" s="79"/>
      <c r="U95" s="79"/>
      <c r="V95" s="79"/>
      <c r="W95" s="79"/>
      <c r="X95" s="79"/>
      <c r="Y95" s="79"/>
      <c r="Z95" s="79"/>
      <c r="AA95" s="79"/>
      <c r="AB95" s="79"/>
      <c r="AC95" s="79"/>
      <c r="AD95" s="79"/>
      <c r="AE95" s="79"/>
      <c r="AF95" s="79"/>
      <c r="AG95" s="79"/>
      <c r="AH95" s="78"/>
      <c r="AI95" s="78"/>
    </row>
    <row r="96" spans="1:35" ht="18" customHeight="1" thickBot="1">
      <c r="A96" s="785"/>
      <c r="B96" s="727" t="s">
        <v>29</v>
      </c>
      <c r="C96" s="1099">
        <v>1</v>
      </c>
      <c r="D96" s="1100">
        <v>2</v>
      </c>
      <c r="E96" s="1100">
        <v>3</v>
      </c>
      <c r="F96" s="1099">
        <v>4</v>
      </c>
      <c r="G96" s="1099">
        <v>5</v>
      </c>
      <c r="H96" s="1100">
        <v>6</v>
      </c>
      <c r="I96" s="1100">
        <v>7</v>
      </c>
      <c r="J96" s="1100">
        <v>8</v>
      </c>
      <c r="K96" s="1100">
        <v>9</v>
      </c>
      <c r="L96" s="1100">
        <v>10</v>
      </c>
      <c r="M96" s="1099">
        <v>11</v>
      </c>
      <c r="N96" s="1099">
        <v>12</v>
      </c>
      <c r="O96" s="1100">
        <v>13</v>
      </c>
      <c r="P96" s="1100">
        <v>14</v>
      </c>
      <c r="Q96" s="1100">
        <v>15</v>
      </c>
      <c r="R96" s="1100">
        <v>16</v>
      </c>
      <c r="S96" s="1099">
        <v>17</v>
      </c>
      <c r="T96" s="1099">
        <v>18</v>
      </c>
      <c r="U96" s="1099">
        <v>19</v>
      </c>
      <c r="V96" s="1100">
        <v>20</v>
      </c>
      <c r="W96" s="1100">
        <v>21</v>
      </c>
      <c r="X96" s="1100">
        <v>22</v>
      </c>
      <c r="Y96" s="1100">
        <v>23</v>
      </c>
      <c r="Z96" s="1100">
        <v>24</v>
      </c>
      <c r="AA96" s="1099">
        <v>25</v>
      </c>
      <c r="AB96" s="1099">
        <v>26</v>
      </c>
      <c r="AC96" s="1100">
        <v>27</v>
      </c>
      <c r="AD96" s="1100">
        <v>28</v>
      </c>
      <c r="AE96" s="1100">
        <v>29</v>
      </c>
      <c r="AF96" s="1099">
        <v>30</v>
      </c>
      <c r="AG96" s="1101">
        <v>31</v>
      </c>
      <c r="AH96" s="23"/>
      <c r="AI96" s="24"/>
    </row>
    <row r="97" spans="1:35" ht="18" customHeight="1">
      <c r="A97" s="970">
        <v>1</v>
      </c>
      <c r="B97" s="1124" t="s">
        <v>363</v>
      </c>
      <c r="C97" s="794">
        <v>22</v>
      </c>
      <c r="D97" s="794">
        <v>22</v>
      </c>
      <c r="E97" s="794">
        <v>22</v>
      </c>
      <c r="F97" s="794">
        <v>22</v>
      </c>
      <c r="G97" s="794">
        <v>22</v>
      </c>
      <c r="H97" s="794" t="s">
        <v>35</v>
      </c>
      <c r="I97" s="794" t="s">
        <v>35</v>
      </c>
      <c r="J97" s="794" t="s">
        <v>35</v>
      </c>
      <c r="K97" s="794" t="s">
        <v>35</v>
      </c>
      <c r="L97" s="794" t="s">
        <v>35</v>
      </c>
      <c r="M97" s="794"/>
      <c r="N97" s="794"/>
      <c r="O97" s="794">
        <v>23</v>
      </c>
      <c r="P97" s="1180" t="s">
        <v>364</v>
      </c>
      <c r="Q97" s="794">
        <v>23</v>
      </c>
      <c r="R97" s="794">
        <v>23</v>
      </c>
      <c r="S97" s="794">
        <v>23</v>
      </c>
      <c r="T97" s="794">
        <v>23</v>
      </c>
      <c r="U97" s="794">
        <v>23</v>
      </c>
      <c r="V97" s="1181" t="s">
        <v>351</v>
      </c>
      <c r="W97" s="972" t="s">
        <v>35</v>
      </c>
      <c r="X97" s="1053" t="s">
        <v>35</v>
      </c>
      <c r="Y97" s="1053" t="s">
        <v>35</v>
      </c>
      <c r="Z97" s="972" t="s">
        <v>35</v>
      </c>
      <c r="AA97" s="1053"/>
      <c r="AB97" s="1053"/>
      <c r="AC97" s="1053">
        <v>21</v>
      </c>
      <c r="AD97" s="1053">
        <v>21</v>
      </c>
      <c r="AE97" s="791">
        <v>21</v>
      </c>
      <c r="AF97" s="791">
        <v>21</v>
      </c>
      <c r="AG97" s="1182">
        <v>21</v>
      </c>
      <c r="AH97" s="76"/>
      <c r="AI97" s="76"/>
    </row>
    <row r="98" spans="1:35" ht="18" customHeight="1">
      <c r="A98" s="524">
        <v>2</v>
      </c>
      <c r="B98" s="1126" t="s">
        <v>212</v>
      </c>
      <c r="C98" s="1129">
        <v>23</v>
      </c>
      <c r="D98" s="1129">
        <v>23</v>
      </c>
      <c r="E98" s="1129">
        <v>23</v>
      </c>
      <c r="F98" s="1129">
        <v>23</v>
      </c>
      <c r="G98" s="1129">
        <v>23</v>
      </c>
      <c r="H98" s="1129" t="s">
        <v>35</v>
      </c>
      <c r="I98" s="516" t="s">
        <v>35</v>
      </c>
      <c r="J98" s="1129" t="s">
        <v>35</v>
      </c>
      <c r="K98" s="1129" t="s">
        <v>35</v>
      </c>
      <c r="L98" s="516" t="s">
        <v>35</v>
      </c>
      <c r="M98" s="1129"/>
      <c r="N98" s="1129"/>
      <c r="O98" s="1129">
        <v>21</v>
      </c>
      <c r="P98" s="1129">
        <v>21</v>
      </c>
      <c r="Q98" s="1129">
        <v>21</v>
      </c>
      <c r="R98" s="1129">
        <v>21</v>
      </c>
      <c r="S98" s="1129">
        <v>21</v>
      </c>
      <c r="T98" s="1131">
        <v>21</v>
      </c>
      <c r="U98" s="1131">
        <v>21</v>
      </c>
      <c r="V98" s="1131" t="s">
        <v>35</v>
      </c>
      <c r="W98" s="516" t="s">
        <v>35</v>
      </c>
      <c r="X98" s="1129" t="s">
        <v>35</v>
      </c>
      <c r="Y98" s="1129" t="s">
        <v>35</v>
      </c>
      <c r="Z98" s="516" t="s">
        <v>35</v>
      </c>
      <c r="AA98" s="1129"/>
      <c r="AB98" s="1129"/>
      <c r="AC98" s="1129">
        <v>22</v>
      </c>
      <c r="AD98" s="1129">
        <v>22</v>
      </c>
      <c r="AE98" s="1129">
        <v>22</v>
      </c>
      <c r="AF98" s="1129">
        <v>22</v>
      </c>
      <c r="AG98" s="503">
        <v>22</v>
      </c>
      <c r="AH98" s="76"/>
      <c r="AI98" s="76"/>
    </row>
    <row r="99" spans="1:35" ht="18" customHeight="1">
      <c r="A99" s="524">
        <v>3</v>
      </c>
      <c r="B99" s="1126" t="s">
        <v>365</v>
      </c>
      <c r="C99" s="1129">
        <v>21</v>
      </c>
      <c r="D99" s="1129">
        <v>21</v>
      </c>
      <c r="E99" s="1129">
        <v>21</v>
      </c>
      <c r="F99" s="1129">
        <v>21</v>
      </c>
      <c r="G99" s="1131">
        <v>21</v>
      </c>
      <c r="H99" s="1131" t="s">
        <v>35</v>
      </c>
      <c r="I99" s="516" t="s">
        <v>35</v>
      </c>
      <c r="J99" s="1129" t="s">
        <v>35</v>
      </c>
      <c r="K99" s="1129" t="s">
        <v>35</v>
      </c>
      <c r="L99" s="516" t="s">
        <v>35</v>
      </c>
      <c r="M99" s="1129"/>
      <c r="N99" s="1129"/>
      <c r="O99" s="1129">
        <v>22</v>
      </c>
      <c r="P99" s="1129">
        <v>22</v>
      </c>
      <c r="Q99" s="510">
        <v>22</v>
      </c>
      <c r="R99" s="504">
        <v>22</v>
      </c>
      <c r="S99" s="504">
        <v>22</v>
      </c>
      <c r="T99" s="504">
        <v>22</v>
      </c>
      <c r="U99" s="1183">
        <v>22</v>
      </c>
      <c r="V99" s="1131" t="s">
        <v>35</v>
      </c>
      <c r="W99" s="516" t="s">
        <v>35</v>
      </c>
      <c r="X99" s="1129" t="s">
        <v>35</v>
      </c>
      <c r="Y99" s="1129" t="s">
        <v>35</v>
      </c>
      <c r="Z99" s="516" t="s">
        <v>35</v>
      </c>
      <c r="AA99" s="1129"/>
      <c r="AB99" s="1129"/>
      <c r="AC99" s="1129">
        <v>23</v>
      </c>
      <c r="AD99" s="1129">
        <v>23</v>
      </c>
      <c r="AE99" s="1129">
        <v>23</v>
      </c>
      <c r="AF99" s="1129">
        <v>23</v>
      </c>
      <c r="AG99" s="503">
        <v>23</v>
      </c>
      <c r="AH99" s="76"/>
      <c r="AI99" s="76"/>
    </row>
    <row r="100" spans="1:35" ht="18" customHeight="1">
      <c r="A100" s="524">
        <v>4</v>
      </c>
      <c r="B100" s="1126" t="s">
        <v>366</v>
      </c>
      <c r="C100" s="1129" t="s">
        <v>35</v>
      </c>
      <c r="D100" s="1129" t="s">
        <v>35</v>
      </c>
      <c r="E100" s="516" t="s">
        <v>35</v>
      </c>
      <c r="F100" s="1129"/>
      <c r="G100" s="1129"/>
      <c r="H100" s="1129">
        <v>22</v>
      </c>
      <c r="I100" s="1129">
        <v>22</v>
      </c>
      <c r="J100" s="1129">
        <v>22</v>
      </c>
      <c r="K100" s="1129">
        <v>22</v>
      </c>
      <c r="L100" s="1129">
        <v>22</v>
      </c>
      <c r="M100" s="1129">
        <v>22</v>
      </c>
      <c r="N100" s="1129">
        <v>22</v>
      </c>
      <c r="O100" s="525" t="s">
        <v>35</v>
      </c>
      <c r="P100" s="516" t="s">
        <v>35</v>
      </c>
      <c r="Q100" s="1129" t="s">
        <v>35</v>
      </c>
      <c r="R100" s="1129" t="s">
        <v>35</v>
      </c>
      <c r="S100" s="516" t="s">
        <v>35</v>
      </c>
      <c r="T100" s="1129"/>
      <c r="U100" s="1129"/>
      <c r="V100" s="1129">
        <v>23</v>
      </c>
      <c r="W100" s="1129">
        <v>23</v>
      </c>
      <c r="X100" s="1129">
        <v>23</v>
      </c>
      <c r="Y100" s="1129">
        <v>23</v>
      </c>
      <c r="Z100" s="1129">
        <v>23</v>
      </c>
      <c r="AA100" s="1129">
        <v>23</v>
      </c>
      <c r="AB100" s="1129">
        <v>23</v>
      </c>
      <c r="AC100" s="1129" t="s">
        <v>35</v>
      </c>
      <c r="AD100" s="516" t="s">
        <v>35</v>
      </c>
      <c r="AE100" s="1129" t="s">
        <v>35</v>
      </c>
      <c r="AF100" s="1129" t="s">
        <v>35</v>
      </c>
      <c r="AG100" s="519" t="s">
        <v>35</v>
      </c>
      <c r="AH100" s="76"/>
      <c r="AI100" s="76"/>
    </row>
    <row r="101" spans="1:35" ht="18" customHeight="1">
      <c r="A101" s="524">
        <v>5</v>
      </c>
      <c r="B101" s="511" t="s">
        <v>367</v>
      </c>
      <c r="C101" s="1129" t="s">
        <v>35</v>
      </c>
      <c r="D101" s="1129" t="s">
        <v>35</v>
      </c>
      <c r="E101" s="516" t="s">
        <v>35</v>
      </c>
      <c r="F101" s="1129"/>
      <c r="G101" s="1129"/>
      <c r="H101" s="1129">
        <v>23</v>
      </c>
      <c r="I101" s="1129">
        <v>23</v>
      </c>
      <c r="J101" s="1129">
        <v>23</v>
      </c>
      <c r="K101" s="1129">
        <v>23</v>
      </c>
      <c r="L101" s="1129">
        <v>23</v>
      </c>
      <c r="M101" s="1129">
        <v>23</v>
      </c>
      <c r="N101" s="1129">
        <v>23</v>
      </c>
      <c r="O101" s="1129" t="s">
        <v>35</v>
      </c>
      <c r="P101" s="516" t="s">
        <v>35</v>
      </c>
      <c r="Q101" s="1129" t="s">
        <v>35</v>
      </c>
      <c r="R101" s="1129" t="s">
        <v>35</v>
      </c>
      <c r="S101" s="516" t="s">
        <v>35</v>
      </c>
      <c r="T101" s="1129"/>
      <c r="U101" s="1129"/>
      <c r="V101" s="1129">
        <v>21</v>
      </c>
      <c r="W101" s="1129">
        <v>21</v>
      </c>
      <c r="X101" s="1129">
        <v>21</v>
      </c>
      <c r="Y101" s="1129">
        <v>21</v>
      </c>
      <c r="Z101" s="1129">
        <v>21</v>
      </c>
      <c r="AA101" s="1129">
        <v>21</v>
      </c>
      <c r="AB101" s="1129">
        <v>21</v>
      </c>
      <c r="AC101" s="1131" t="s">
        <v>35</v>
      </c>
      <c r="AD101" s="1131" t="s">
        <v>35</v>
      </c>
      <c r="AE101" s="1131" t="s">
        <v>35</v>
      </c>
      <c r="AF101" s="1129" t="s">
        <v>35</v>
      </c>
      <c r="AG101" s="519" t="s">
        <v>35</v>
      </c>
      <c r="AH101" s="76"/>
      <c r="AI101" s="76"/>
    </row>
    <row r="102" spans="1:35" ht="18" customHeight="1" thickBot="1">
      <c r="A102" s="405">
        <v>6</v>
      </c>
      <c r="B102" s="406" t="s">
        <v>217</v>
      </c>
      <c r="C102" s="418" t="s">
        <v>35</v>
      </c>
      <c r="D102" s="418" t="s">
        <v>35</v>
      </c>
      <c r="E102" s="408" t="s">
        <v>35</v>
      </c>
      <c r="F102" s="418"/>
      <c r="G102" s="418"/>
      <c r="H102" s="409">
        <v>21</v>
      </c>
      <c r="I102" s="409">
        <v>21</v>
      </c>
      <c r="J102" s="409">
        <v>21</v>
      </c>
      <c r="K102" s="409">
        <v>21</v>
      </c>
      <c r="L102" s="409">
        <v>21</v>
      </c>
      <c r="M102" s="409">
        <v>21</v>
      </c>
      <c r="N102" s="410">
        <v>21</v>
      </c>
      <c r="O102" s="410" t="s">
        <v>35</v>
      </c>
      <c r="P102" s="408" t="s">
        <v>35</v>
      </c>
      <c r="Q102" s="418" t="s">
        <v>35</v>
      </c>
      <c r="R102" s="418" t="s">
        <v>35</v>
      </c>
      <c r="S102" s="408" t="s">
        <v>35</v>
      </c>
      <c r="T102" s="418"/>
      <c r="U102" s="418"/>
      <c r="V102" s="418">
        <v>22</v>
      </c>
      <c r="W102" s="418">
        <v>22</v>
      </c>
      <c r="X102" s="418">
        <v>22</v>
      </c>
      <c r="Y102" s="418">
        <v>22</v>
      </c>
      <c r="Z102" s="418">
        <v>22</v>
      </c>
      <c r="AA102" s="418">
        <v>22</v>
      </c>
      <c r="AB102" s="410">
        <v>22</v>
      </c>
      <c r="AC102" s="410" t="s">
        <v>35</v>
      </c>
      <c r="AD102" s="408" t="s">
        <v>35</v>
      </c>
      <c r="AE102" s="418" t="s">
        <v>35</v>
      </c>
      <c r="AF102" s="418" t="s">
        <v>35</v>
      </c>
      <c r="AG102" s="90" t="s">
        <v>35</v>
      </c>
      <c r="AH102" s="76"/>
      <c r="AI102" s="76"/>
    </row>
    <row r="103" spans="1:35" ht="18" customHeight="1">
      <c r="A103" s="36"/>
      <c r="B103" s="87"/>
      <c r="C103" s="91"/>
      <c r="D103" s="91"/>
      <c r="E103" s="85"/>
      <c r="F103" s="91"/>
      <c r="G103" s="91"/>
      <c r="H103" s="91"/>
      <c r="I103" s="91"/>
      <c r="J103" s="91"/>
      <c r="K103" s="91"/>
      <c r="L103" s="91"/>
      <c r="M103" s="91"/>
      <c r="N103" s="91"/>
      <c r="O103" s="91"/>
      <c r="P103" s="85"/>
      <c r="Q103" s="91"/>
      <c r="R103" s="91"/>
      <c r="S103" s="85"/>
      <c r="T103" s="91"/>
      <c r="U103" s="91"/>
      <c r="V103" s="91"/>
      <c r="W103" s="91"/>
      <c r="X103" s="91"/>
      <c r="Y103" s="91"/>
      <c r="Z103" s="91"/>
      <c r="AA103" s="91"/>
      <c r="AB103" s="91"/>
      <c r="AC103" s="92"/>
      <c r="AD103" s="92"/>
      <c r="AE103" s="92"/>
      <c r="AF103" s="91"/>
      <c r="AG103" s="85"/>
      <c r="AH103" s="76"/>
      <c r="AI103" s="76"/>
    </row>
    <row r="104" spans="1:35" ht="18" customHeight="1" thickBot="1">
      <c r="A104" s="14" t="s">
        <v>218</v>
      </c>
      <c r="D104" s="17"/>
      <c r="E104" s="17"/>
      <c r="F104" s="17"/>
      <c r="G104" s="80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</row>
    <row r="105" spans="1:35" ht="18" customHeight="1">
      <c r="A105" s="1"/>
      <c r="B105" s="900" t="s">
        <v>186</v>
      </c>
      <c r="C105" s="901"/>
      <c r="D105" s="925" t="s">
        <v>87</v>
      </c>
      <c r="E105" s="705"/>
      <c r="F105" s="905"/>
      <c r="G105" s="901"/>
      <c r="H105" s="925" t="s">
        <v>88</v>
      </c>
      <c r="I105" s="705"/>
      <c r="J105" s="905"/>
      <c r="K105" s="901"/>
      <c r="L105" s="925" t="s">
        <v>89</v>
      </c>
      <c r="M105" s="705"/>
      <c r="N105" s="905"/>
      <c r="O105" s="901"/>
      <c r="P105" s="925" t="s">
        <v>90</v>
      </c>
      <c r="Q105" s="705"/>
      <c r="R105" s="905"/>
      <c r="S105" s="901"/>
      <c r="T105" s="925" t="s">
        <v>91</v>
      </c>
      <c r="U105" s="705"/>
      <c r="V105" s="905"/>
      <c r="W105" s="901"/>
      <c r="X105" s="925" t="s">
        <v>92</v>
      </c>
      <c r="Y105" s="705"/>
      <c r="Z105" s="905"/>
      <c r="AA105" s="901"/>
      <c r="AB105" s="925" t="s">
        <v>93</v>
      </c>
      <c r="AC105" s="705"/>
      <c r="AD105" s="705"/>
      <c r="AE105" s="928" t="s">
        <v>94</v>
      </c>
      <c r="AF105" s="705"/>
      <c r="AG105" s="705"/>
      <c r="AH105" s="705"/>
      <c r="AI105" s="706"/>
    </row>
    <row r="106" spans="1:35" ht="18" customHeight="1">
      <c r="A106" s="1"/>
      <c r="B106" s="930" t="s">
        <v>159</v>
      </c>
      <c r="C106" s="772" t="s">
        <v>368</v>
      </c>
      <c r="D106" s="1084"/>
      <c r="E106" s="1084"/>
      <c r="F106" s="933"/>
      <c r="G106" s="772" t="s">
        <v>368</v>
      </c>
      <c r="H106" s="1084"/>
      <c r="I106" s="1084"/>
      <c r="J106" s="933"/>
      <c r="K106" s="772" t="s">
        <v>368</v>
      </c>
      <c r="L106" s="1084"/>
      <c r="M106" s="1084"/>
      <c r="N106" s="933"/>
      <c r="O106" s="772" t="s">
        <v>195</v>
      </c>
      <c r="P106" s="1084"/>
      <c r="Q106" s="1084"/>
      <c r="R106" s="933"/>
      <c r="S106" s="772" t="s">
        <v>172</v>
      </c>
      <c r="T106" s="1084"/>
      <c r="U106" s="1084"/>
      <c r="V106" s="933"/>
      <c r="W106" s="974"/>
      <c r="X106" s="975"/>
      <c r="Y106" s="975"/>
      <c r="Z106" s="935"/>
      <c r="AA106" s="931"/>
      <c r="AB106" s="1084"/>
      <c r="AC106" s="1084"/>
      <c r="AD106" s="773"/>
      <c r="AE106" s="936">
        <v>27</v>
      </c>
      <c r="AF106" s="1084"/>
      <c r="AG106" s="1084"/>
      <c r="AH106" s="773"/>
      <c r="AI106" s="1093"/>
    </row>
    <row r="107" spans="1:35" ht="18" customHeight="1">
      <c r="A107" s="1"/>
      <c r="B107" s="930" t="s">
        <v>163</v>
      </c>
      <c r="C107" s="772" t="s">
        <v>188</v>
      </c>
      <c r="D107" s="1084"/>
      <c r="E107" s="1084"/>
      <c r="F107" s="933"/>
      <c r="G107" s="772" t="s">
        <v>188</v>
      </c>
      <c r="H107" s="1084"/>
      <c r="I107" s="1084"/>
      <c r="J107" s="933"/>
      <c r="K107" s="772" t="s">
        <v>188</v>
      </c>
      <c r="L107" s="1084"/>
      <c r="M107" s="1084"/>
      <c r="N107" s="933"/>
      <c r="O107" s="772" t="s">
        <v>188</v>
      </c>
      <c r="P107" s="1084"/>
      <c r="Q107" s="1084"/>
      <c r="R107" s="933"/>
      <c r="S107" s="772" t="s">
        <v>368</v>
      </c>
      <c r="T107" s="1084"/>
      <c r="U107" s="1084"/>
      <c r="V107" s="933"/>
      <c r="W107" s="772"/>
      <c r="X107" s="1084"/>
      <c r="Y107" s="1084"/>
      <c r="Z107" s="933"/>
      <c r="AA107" s="1084"/>
      <c r="AB107" s="1084"/>
      <c r="AC107" s="1084"/>
      <c r="AD107" s="773"/>
      <c r="AE107" s="936">
        <v>39</v>
      </c>
      <c r="AF107" s="1084"/>
      <c r="AG107" s="1084"/>
      <c r="AH107" s="773"/>
      <c r="AI107" s="1093"/>
    </row>
    <row r="108" spans="1:35" ht="18" customHeight="1">
      <c r="A108" s="1"/>
      <c r="B108" s="930" t="s">
        <v>171</v>
      </c>
      <c r="C108" s="772" t="s">
        <v>188</v>
      </c>
      <c r="D108" s="1084"/>
      <c r="E108" s="1084"/>
      <c r="F108" s="933"/>
      <c r="G108" s="772" t="s">
        <v>188</v>
      </c>
      <c r="H108" s="1084"/>
      <c r="I108" s="1084"/>
      <c r="J108" s="933"/>
      <c r="K108" s="772" t="s">
        <v>188</v>
      </c>
      <c r="L108" s="1084"/>
      <c r="M108" s="1084"/>
      <c r="N108" s="933"/>
      <c r="O108" s="772" t="s">
        <v>188</v>
      </c>
      <c r="P108" s="1084"/>
      <c r="Q108" s="1084"/>
      <c r="R108" s="933"/>
      <c r="S108" s="772" t="s">
        <v>188</v>
      </c>
      <c r="T108" s="1084"/>
      <c r="U108" s="1084"/>
      <c r="V108" s="933"/>
      <c r="W108" s="775" t="s">
        <v>221</v>
      </c>
      <c r="X108" s="641"/>
      <c r="Y108" s="641"/>
      <c r="Z108" s="940"/>
      <c r="AA108" s="938"/>
      <c r="AB108" s="641"/>
      <c r="AC108" s="641"/>
      <c r="AD108" s="776"/>
      <c r="AE108" s="936">
        <v>45</v>
      </c>
      <c r="AF108" s="1084"/>
      <c r="AG108" s="1084"/>
      <c r="AH108" s="773"/>
      <c r="AI108" s="1093"/>
    </row>
    <row r="109" spans="1:35" ht="18" customHeight="1" thickBot="1">
      <c r="A109" s="1"/>
      <c r="B109" s="976" t="s">
        <v>173</v>
      </c>
      <c r="C109" s="966"/>
      <c r="D109" s="718"/>
      <c r="E109" s="718"/>
      <c r="F109" s="968"/>
      <c r="G109" s="966"/>
      <c r="H109" s="718"/>
      <c r="I109" s="718"/>
      <c r="J109" s="968"/>
      <c r="K109" s="966"/>
      <c r="L109" s="718"/>
      <c r="M109" s="718"/>
      <c r="N109" s="968"/>
      <c r="O109" s="966"/>
      <c r="P109" s="718"/>
      <c r="Q109" s="718"/>
      <c r="R109" s="968"/>
      <c r="S109" s="966"/>
      <c r="T109" s="718"/>
      <c r="U109" s="718"/>
      <c r="V109" s="951"/>
      <c r="W109" s="966"/>
      <c r="X109" s="951"/>
      <c r="Y109" s="718"/>
      <c r="Z109" s="968"/>
      <c r="AA109" s="966"/>
      <c r="AB109" s="951"/>
      <c r="AC109" s="718"/>
      <c r="AD109" s="968"/>
      <c r="AE109" s="977"/>
      <c r="AF109" s="718"/>
      <c r="AG109" s="718"/>
      <c r="AH109" s="951"/>
      <c r="AI109" s="725"/>
    </row>
    <row r="110" spans="1:35" ht="18" customHeight="1">
      <c r="A110" s="82"/>
      <c r="B110" s="1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</row>
    <row r="111" spans="1:35" ht="18" customHeight="1" thickBot="1">
      <c r="A111" s="785"/>
      <c r="B111" s="727" t="s">
        <v>29</v>
      </c>
      <c r="C111" s="1099">
        <v>1</v>
      </c>
      <c r="D111" s="1100">
        <v>2</v>
      </c>
      <c r="E111" s="1100">
        <v>3</v>
      </c>
      <c r="F111" s="1099">
        <v>4</v>
      </c>
      <c r="G111" s="1099">
        <v>5</v>
      </c>
      <c r="H111" s="1100">
        <v>6</v>
      </c>
      <c r="I111" s="1100">
        <v>7</v>
      </c>
      <c r="J111" s="1100">
        <v>8</v>
      </c>
      <c r="K111" s="1100">
        <v>9</v>
      </c>
      <c r="L111" s="1100">
        <v>10</v>
      </c>
      <c r="M111" s="1099">
        <v>11</v>
      </c>
      <c r="N111" s="1099">
        <v>12</v>
      </c>
      <c r="O111" s="1100">
        <v>13</v>
      </c>
      <c r="P111" s="1100">
        <v>14</v>
      </c>
      <c r="Q111" s="1100">
        <v>15</v>
      </c>
      <c r="R111" s="1100">
        <v>16</v>
      </c>
      <c r="S111" s="1099">
        <v>17</v>
      </c>
      <c r="T111" s="1099">
        <v>18</v>
      </c>
      <c r="U111" s="1099">
        <v>19</v>
      </c>
      <c r="V111" s="1100">
        <v>20</v>
      </c>
      <c r="W111" s="1100">
        <v>21</v>
      </c>
      <c r="X111" s="1100">
        <v>22</v>
      </c>
      <c r="Y111" s="1100">
        <v>23</v>
      </c>
      <c r="Z111" s="1100">
        <v>24</v>
      </c>
      <c r="AA111" s="1099">
        <v>25</v>
      </c>
      <c r="AB111" s="1099">
        <v>26</v>
      </c>
      <c r="AC111" s="1100">
        <v>27</v>
      </c>
      <c r="AD111" s="1100">
        <v>28</v>
      </c>
      <c r="AE111" s="1100">
        <v>29</v>
      </c>
      <c r="AF111" s="1099">
        <v>30</v>
      </c>
      <c r="AG111" s="1101">
        <v>31</v>
      </c>
      <c r="AH111" s="23"/>
      <c r="AI111" s="24"/>
    </row>
    <row r="112" spans="1:35" ht="18" customHeight="1">
      <c r="A112" s="953">
        <v>1</v>
      </c>
      <c r="B112" s="978" t="s">
        <v>223</v>
      </c>
      <c r="C112" s="979"/>
      <c r="D112" s="1103" t="s">
        <v>31</v>
      </c>
      <c r="E112" s="1103" t="s">
        <v>31</v>
      </c>
      <c r="F112" s="979"/>
      <c r="G112" s="979"/>
      <c r="H112" s="979" t="s">
        <v>31</v>
      </c>
      <c r="I112" s="979" t="s">
        <v>31</v>
      </c>
      <c r="J112" s="979" t="s">
        <v>31</v>
      </c>
      <c r="K112" s="979" t="s">
        <v>31</v>
      </c>
      <c r="L112" s="979" t="s">
        <v>31</v>
      </c>
      <c r="M112" s="979"/>
      <c r="N112" s="979"/>
      <c r="O112" s="979" t="s">
        <v>31</v>
      </c>
      <c r="P112" s="979" t="s">
        <v>31</v>
      </c>
      <c r="Q112" s="979" t="s">
        <v>31</v>
      </c>
      <c r="R112" s="1184" t="s">
        <v>31</v>
      </c>
      <c r="S112" s="979"/>
      <c r="T112" s="979"/>
      <c r="U112" s="979"/>
      <c r="V112" s="979" t="s">
        <v>31</v>
      </c>
      <c r="W112" s="979" t="s">
        <v>31</v>
      </c>
      <c r="X112" s="979" t="s">
        <v>31</v>
      </c>
      <c r="Y112" s="979" t="s">
        <v>31</v>
      </c>
      <c r="Z112" s="979" t="s">
        <v>31</v>
      </c>
      <c r="AA112" s="979"/>
      <c r="AB112" s="826" t="s">
        <v>31</v>
      </c>
      <c r="AC112" s="826" t="s">
        <v>31</v>
      </c>
      <c r="AD112" s="979" t="s">
        <v>31</v>
      </c>
      <c r="AE112" s="979" t="s">
        <v>31</v>
      </c>
      <c r="AF112" s="979"/>
      <c r="AG112" s="1104" t="s">
        <v>31</v>
      </c>
      <c r="AH112" s="34"/>
      <c r="AI112" s="25"/>
    </row>
    <row r="113" spans="1:35" ht="18" customHeight="1">
      <c r="A113" s="955">
        <v>2</v>
      </c>
      <c r="B113" s="981" t="s">
        <v>224</v>
      </c>
      <c r="C113" s="796"/>
      <c r="D113" s="1185" t="s">
        <v>225</v>
      </c>
      <c r="E113" s="796" t="s">
        <v>35</v>
      </c>
      <c r="F113" s="888" t="s">
        <v>115</v>
      </c>
      <c r="G113" s="796"/>
      <c r="H113" s="796" t="s">
        <v>114</v>
      </c>
      <c r="I113" s="796" t="s">
        <v>114</v>
      </c>
      <c r="J113" s="796" t="s">
        <v>114</v>
      </c>
      <c r="K113" s="796" t="s">
        <v>114</v>
      </c>
      <c r="L113" s="796" t="s">
        <v>114</v>
      </c>
      <c r="M113" s="888" t="s">
        <v>115</v>
      </c>
      <c r="N113" s="796"/>
      <c r="O113" s="1129" t="s">
        <v>115</v>
      </c>
      <c r="P113" s="1129" t="s">
        <v>115</v>
      </c>
      <c r="Q113" s="1129" t="s">
        <v>115</v>
      </c>
      <c r="R113" s="1129" t="s">
        <v>115</v>
      </c>
      <c r="S113" s="796"/>
      <c r="T113" s="796" t="s">
        <v>115</v>
      </c>
      <c r="U113" s="796"/>
      <c r="V113" s="796" t="s">
        <v>225</v>
      </c>
      <c r="W113" s="796" t="s">
        <v>225</v>
      </c>
      <c r="X113" s="796" t="s">
        <v>225</v>
      </c>
      <c r="Y113" s="1185" t="s">
        <v>225</v>
      </c>
      <c r="Z113" s="796" t="s">
        <v>35</v>
      </c>
      <c r="AA113" s="888" t="s">
        <v>115</v>
      </c>
      <c r="AB113" s="796"/>
      <c r="AC113" s="796" t="s">
        <v>114</v>
      </c>
      <c r="AD113" s="796" t="s">
        <v>114</v>
      </c>
      <c r="AE113" s="796" t="s">
        <v>114</v>
      </c>
      <c r="AF113" s="796"/>
      <c r="AG113" s="984" t="s">
        <v>114</v>
      </c>
      <c r="AH113" s="34"/>
      <c r="AI113" s="25"/>
    </row>
    <row r="114" spans="1:35" ht="18" customHeight="1">
      <c r="A114" s="955">
        <v>3</v>
      </c>
      <c r="B114" s="981"/>
      <c r="C114" s="761"/>
      <c r="D114" s="761" t="s">
        <v>114</v>
      </c>
      <c r="E114" s="761" t="s">
        <v>114</v>
      </c>
      <c r="F114" s="761"/>
      <c r="G114" s="761"/>
      <c r="H114" s="761" t="s">
        <v>115</v>
      </c>
      <c r="I114" s="761" t="s">
        <v>115</v>
      </c>
      <c r="J114" s="761" t="s">
        <v>115</v>
      </c>
      <c r="K114" s="761" t="s">
        <v>115</v>
      </c>
      <c r="L114" s="761" t="s">
        <v>115</v>
      </c>
      <c r="M114" s="761" t="s">
        <v>115</v>
      </c>
      <c r="N114" s="761"/>
      <c r="O114" s="761" t="s">
        <v>225</v>
      </c>
      <c r="P114" s="761" t="s">
        <v>225</v>
      </c>
      <c r="Q114" s="761" t="s">
        <v>225</v>
      </c>
      <c r="R114" s="761" t="s">
        <v>225</v>
      </c>
      <c r="S114" s="761" t="s">
        <v>35</v>
      </c>
      <c r="T114" s="761"/>
      <c r="U114" s="761"/>
      <c r="V114" s="761" t="s">
        <v>114</v>
      </c>
      <c r="W114" s="761" t="s">
        <v>114</v>
      </c>
      <c r="X114" s="761" t="s">
        <v>114</v>
      </c>
      <c r="Y114" s="761" t="s">
        <v>114</v>
      </c>
      <c r="Z114" s="761" t="s">
        <v>114</v>
      </c>
      <c r="AA114" s="761"/>
      <c r="AB114" s="761"/>
      <c r="AC114" s="761" t="s">
        <v>115</v>
      </c>
      <c r="AD114" s="761" t="s">
        <v>115</v>
      </c>
      <c r="AE114" s="761" t="s">
        <v>115</v>
      </c>
      <c r="AF114" s="761"/>
      <c r="AG114" s="762" t="s">
        <v>115</v>
      </c>
      <c r="AH114" s="34"/>
      <c r="AI114" s="25"/>
    </row>
    <row r="115" spans="1:35" ht="18" customHeight="1">
      <c r="A115" s="955">
        <v>4</v>
      </c>
      <c r="B115" s="982" t="s">
        <v>227</v>
      </c>
      <c r="C115" s="796"/>
      <c r="D115" s="796" t="s">
        <v>31</v>
      </c>
      <c r="E115" s="796" t="s">
        <v>31</v>
      </c>
      <c r="F115" s="796" t="s">
        <v>115</v>
      </c>
      <c r="G115" s="796"/>
      <c r="H115" s="796" t="s">
        <v>31</v>
      </c>
      <c r="I115" s="796"/>
      <c r="J115" s="796" t="s">
        <v>31</v>
      </c>
      <c r="K115" s="796"/>
      <c r="L115" s="796" t="s">
        <v>31</v>
      </c>
      <c r="M115" s="796"/>
      <c r="N115" s="796"/>
      <c r="O115" s="796" t="s">
        <v>31</v>
      </c>
      <c r="P115" s="796"/>
      <c r="Q115" s="796" t="s">
        <v>31</v>
      </c>
      <c r="R115" s="796"/>
      <c r="S115" s="796"/>
      <c r="T115" s="796"/>
      <c r="U115" s="796"/>
      <c r="V115" s="796"/>
      <c r="W115" s="796"/>
      <c r="X115" s="796"/>
      <c r="Y115" s="796"/>
      <c r="Z115" s="796" t="s">
        <v>31</v>
      </c>
      <c r="AA115" s="796" t="s">
        <v>115</v>
      </c>
      <c r="AB115" s="796"/>
      <c r="AC115" s="796" t="s">
        <v>31</v>
      </c>
      <c r="AD115" s="796"/>
      <c r="AE115" s="796" t="s">
        <v>31</v>
      </c>
      <c r="AF115" s="796"/>
      <c r="AG115" s="984" t="s">
        <v>31</v>
      </c>
      <c r="AH115" s="34"/>
      <c r="AI115" s="25"/>
    </row>
    <row r="116" spans="1:35" ht="18" customHeight="1" thickBot="1">
      <c r="A116" s="955">
        <v>5</v>
      </c>
      <c r="B116" s="982" t="s">
        <v>228</v>
      </c>
      <c r="C116" s="796"/>
      <c r="D116" s="796" t="s">
        <v>31</v>
      </c>
      <c r="E116" s="796"/>
      <c r="F116" s="796"/>
      <c r="G116" s="796"/>
      <c r="H116" s="796"/>
      <c r="I116" s="796" t="s">
        <v>31</v>
      </c>
      <c r="J116" s="796"/>
      <c r="K116" s="796" t="s">
        <v>31</v>
      </c>
      <c r="L116" s="796"/>
      <c r="M116" s="796"/>
      <c r="N116" s="796"/>
      <c r="O116" s="796"/>
      <c r="P116" s="796" t="s">
        <v>31</v>
      </c>
      <c r="Q116" s="796"/>
      <c r="R116" s="796" t="s">
        <v>31</v>
      </c>
      <c r="S116" s="796"/>
      <c r="T116" s="796"/>
      <c r="U116" s="796"/>
      <c r="V116" s="796"/>
      <c r="W116" s="796" t="s">
        <v>31</v>
      </c>
      <c r="X116" s="796"/>
      <c r="Y116" s="796" t="s">
        <v>31</v>
      </c>
      <c r="Z116" s="796"/>
      <c r="AA116" s="796"/>
      <c r="AB116" s="796"/>
      <c r="AC116" s="796"/>
      <c r="AD116" s="796" t="s">
        <v>31</v>
      </c>
      <c r="AE116" s="796"/>
      <c r="AF116" s="796"/>
      <c r="AG116" s="984"/>
      <c r="AH116" s="34"/>
      <c r="AI116" s="25"/>
    </row>
    <row r="117" spans="1:35" ht="18" customHeight="1" thickBot="1">
      <c r="A117" s="961">
        <v>6</v>
      </c>
      <c r="B117" s="755" t="s">
        <v>229</v>
      </c>
      <c r="C117" s="813"/>
      <c r="D117" s="813" t="s">
        <v>31</v>
      </c>
      <c r="E117" s="813" t="s">
        <v>31</v>
      </c>
      <c r="F117" s="813"/>
      <c r="G117" s="813"/>
      <c r="H117" s="813" t="s">
        <v>31</v>
      </c>
      <c r="I117" s="813" t="s">
        <v>31</v>
      </c>
      <c r="J117" s="813" t="s">
        <v>31</v>
      </c>
      <c r="K117" s="813" t="s">
        <v>31</v>
      </c>
      <c r="L117" s="813" t="s">
        <v>31</v>
      </c>
      <c r="M117" s="813"/>
      <c r="N117" s="813"/>
      <c r="O117" s="813" t="s">
        <v>31</v>
      </c>
      <c r="P117" s="813" t="s">
        <v>31</v>
      </c>
      <c r="Q117" s="813" t="s">
        <v>31</v>
      </c>
      <c r="R117" s="813" t="s">
        <v>31</v>
      </c>
      <c r="S117" s="813"/>
      <c r="T117" s="813"/>
      <c r="U117" s="813"/>
      <c r="V117" s="813" t="s">
        <v>31</v>
      </c>
      <c r="W117" s="813" t="s">
        <v>31</v>
      </c>
      <c r="X117" s="813" t="s">
        <v>31</v>
      </c>
      <c r="Y117" s="813" t="s">
        <v>31</v>
      </c>
      <c r="Z117" s="813" t="s">
        <v>31</v>
      </c>
      <c r="AA117" s="813"/>
      <c r="AB117" s="826" t="s">
        <v>31</v>
      </c>
      <c r="AC117" s="826" t="s">
        <v>31</v>
      </c>
      <c r="AD117" s="813" t="s">
        <v>31</v>
      </c>
      <c r="AE117" s="813" t="s">
        <v>31</v>
      </c>
      <c r="AF117" s="813"/>
      <c r="AG117" s="1186" t="s">
        <v>31</v>
      </c>
      <c r="AH117" s="93"/>
      <c r="AI117" s="76"/>
    </row>
    <row r="118" spans="1:35" ht="18" customHeight="1">
      <c r="A118" s="36"/>
      <c r="B118" s="87"/>
      <c r="C118" s="133"/>
      <c r="D118" s="133"/>
      <c r="E118" s="133"/>
      <c r="F118" s="133"/>
      <c r="G118" s="133"/>
      <c r="H118" s="133"/>
      <c r="I118" s="133"/>
      <c r="J118" s="133"/>
      <c r="K118" s="133"/>
      <c r="L118" s="133"/>
      <c r="M118" s="133"/>
      <c r="N118" s="133"/>
      <c r="O118" s="133"/>
      <c r="P118" s="133"/>
      <c r="Q118" s="133"/>
      <c r="R118" s="133"/>
      <c r="S118" s="133"/>
      <c r="T118" s="133"/>
      <c r="U118" s="133"/>
      <c r="V118" s="133"/>
      <c r="W118" s="133"/>
      <c r="X118" s="133"/>
      <c r="Y118" s="133"/>
      <c r="Z118" s="133"/>
      <c r="AA118" s="133"/>
      <c r="AB118" s="133"/>
      <c r="AC118" s="133"/>
      <c r="AD118" s="78"/>
      <c r="AE118" s="78"/>
      <c r="AF118" s="78"/>
      <c r="AG118" s="78"/>
      <c r="AH118" s="76"/>
      <c r="AI118" s="76"/>
    </row>
    <row r="119" spans="1:35" ht="18" customHeight="1" thickBot="1">
      <c r="A119" s="94" t="s">
        <v>230</v>
      </c>
      <c r="B119" s="17"/>
      <c r="C119" s="38"/>
      <c r="D119" s="17"/>
      <c r="E119" s="17"/>
      <c r="F119" s="17"/>
      <c r="G119" s="17"/>
      <c r="H119" s="17"/>
      <c r="I119" s="38"/>
      <c r="J119" s="38"/>
      <c r="K119" s="17"/>
      <c r="L119" s="17"/>
      <c r="M119" s="17"/>
      <c r="N119" s="17"/>
      <c r="O119" s="17"/>
      <c r="P119" s="17"/>
      <c r="Q119" s="38"/>
      <c r="R119" s="17"/>
      <c r="S119" s="17"/>
      <c r="T119" s="17"/>
      <c r="U119" s="17"/>
      <c r="V119" s="17"/>
      <c r="W119" s="38"/>
      <c r="X119" s="38"/>
      <c r="Y119" s="17"/>
      <c r="Z119" s="17"/>
      <c r="AA119" s="17"/>
      <c r="AB119" s="17"/>
      <c r="AC119" s="17"/>
      <c r="AD119" s="17"/>
      <c r="AE119" s="38"/>
      <c r="AF119" s="17"/>
      <c r="AG119" s="17"/>
      <c r="AH119" s="76"/>
      <c r="AI119" s="76"/>
    </row>
    <row r="120" spans="1:35" ht="18" customHeight="1">
      <c r="A120" s="36"/>
      <c r="B120" s="1187" t="s">
        <v>231</v>
      </c>
      <c r="C120" s="1188"/>
      <c r="D120" s="1189" t="s">
        <v>87</v>
      </c>
      <c r="E120" s="1190"/>
      <c r="F120" s="1191"/>
      <c r="G120" s="1192"/>
      <c r="H120" s="1189" t="s">
        <v>88</v>
      </c>
      <c r="I120" s="1190"/>
      <c r="J120" s="1191"/>
      <c r="K120" s="1192"/>
      <c r="L120" s="1189" t="s">
        <v>89</v>
      </c>
      <c r="M120" s="1190"/>
      <c r="N120" s="1191"/>
      <c r="O120" s="1192"/>
      <c r="P120" s="1189" t="s">
        <v>90</v>
      </c>
      <c r="Q120" s="1190"/>
      <c r="R120" s="1191"/>
      <c r="S120" s="1192"/>
      <c r="T120" s="1189" t="s">
        <v>91</v>
      </c>
      <c r="U120" s="1190"/>
      <c r="V120" s="1191"/>
      <c r="W120" s="1192"/>
      <c r="X120" s="1189" t="s">
        <v>92</v>
      </c>
      <c r="Y120" s="1190"/>
      <c r="Z120" s="1191"/>
      <c r="AA120" s="1192"/>
      <c r="AB120" s="1189" t="s">
        <v>93</v>
      </c>
      <c r="AC120" s="1190"/>
      <c r="AD120" s="1190"/>
      <c r="AE120" s="1193" t="s">
        <v>94</v>
      </c>
      <c r="AF120" s="1190"/>
      <c r="AG120" s="1190"/>
      <c r="AH120" s="1190"/>
      <c r="AI120" s="1194"/>
    </row>
    <row r="121" spans="1:35" ht="18" customHeight="1">
      <c r="A121" s="36"/>
      <c r="B121" s="552" t="s">
        <v>232</v>
      </c>
      <c r="C121" s="540" t="s">
        <v>233</v>
      </c>
      <c r="D121" s="477" t="s">
        <v>369</v>
      </c>
      <c r="E121" s="478"/>
      <c r="F121" s="479"/>
      <c r="G121" s="540"/>
      <c r="H121" s="477" t="s">
        <v>369</v>
      </c>
      <c r="I121" s="478"/>
      <c r="J121" s="479"/>
      <c r="K121" s="540"/>
      <c r="L121" s="477" t="s">
        <v>369</v>
      </c>
      <c r="M121" s="478"/>
      <c r="N121" s="479"/>
      <c r="O121" s="540"/>
      <c r="P121" s="477" t="s">
        <v>370</v>
      </c>
      <c r="Q121" s="478"/>
      <c r="R121" s="479"/>
      <c r="S121" s="540"/>
      <c r="T121" s="477" t="s">
        <v>236</v>
      </c>
      <c r="U121" s="478"/>
      <c r="V121" s="479"/>
      <c r="W121" s="540"/>
      <c r="X121" s="478"/>
      <c r="Y121" s="478"/>
      <c r="Z121" s="479"/>
      <c r="AA121" s="540"/>
      <c r="AB121" s="478"/>
      <c r="AC121" s="478"/>
      <c r="AD121" s="478"/>
      <c r="AE121" s="540"/>
      <c r="AF121" s="478"/>
      <c r="AG121" s="478"/>
      <c r="AH121" s="480"/>
      <c r="AI121" s="1195"/>
    </row>
    <row r="122" spans="1:35" ht="18" customHeight="1">
      <c r="A122" s="36"/>
      <c r="B122" s="553" t="s">
        <v>371</v>
      </c>
      <c r="C122" s="540" t="s">
        <v>237</v>
      </c>
      <c r="D122" s="477" t="s">
        <v>369</v>
      </c>
      <c r="E122" s="478"/>
      <c r="F122" s="479"/>
      <c r="G122" s="540"/>
      <c r="H122" s="477" t="s">
        <v>369</v>
      </c>
      <c r="I122" s="478"/>
      <c r="J122" s="479"/>
      <c r="K122" s="540"/>
      <c r="L122" s="477" t="s">
        <v>369</v>
      </c>
      <c r="M122" s="478"/>
      <c r="N122" s="479"/>
      <c r="O122" s="540"/>
      <c r="P122" s="477" t="s">
        <v>370</v>
      </c>
      <c r="Q122" s="478"/>
      <c r="R122" s="479"/>
      <c r="S122" s="540"/>
      <c r="T122" s="477" t="s">
        <v>236</v>
      </c>
      <c r="U122" s="478"/>
      <c r="V122" s="479"/>
      <c r="W122" s="540"/>
      <c r="X122" s="478"/>
      <c r="Y122" s="478"/>
      <c r="Z122" s="479"/>
      <c r="AA122" s="540"/>
      <c r="AB122" s="478"/>
      <c r="AC122" s="478"/>
      <c r="AD122" s="478"/>
      <c r="AE122" s="540"/>
      <c r="AF122" s="478"/>
      <c r="AG122" s="478"/>
      <c r="AH122" s="480"/>
      <c r="AI122" s="1195"/>
    </row>
    <row r="123" spans="1:35" ht="18" customHeight="1">
      <c r="A123" s="36"/>
      <c r="B123" s="553" t="s">
        <v>238</v>
      </c>
      <c r="C123" s="540" t="s">
        <v>201</v>
      </c>
      <c r="D123" s="477" t="s">
        <v>369</v>
      </c>
      <c r="E123" s="478"/>
      <c r="F123" s="479"/>
      <c r="G123" s="540"/>
      <c r="H123" s="477" t="s">
        <v>369</v>
      </c>
      <c r="I123" s="478"/>
      <c r="J123" s="479"/>
      <c r="K123" s="540"/>
      <c r="L123" s="477" t="s">
        <v>369</v>
      </c>
      <c r="M123" s="478"/>
      <c r="N123" s="479"/>
      <c r="O123" s="540"/>
      <c r="P123" s="477" t="s">
        <v>370</v>
      </c>
      <c r="Q123" s="478"/>
      <c r="R123" s="479"/>
      <c r="S123" s="540"/>
      <c r="T123" s="477" t="s">
        <v>236</v>
      </c>
      <c r="U123" s="478"/>
      <c r="V123" s="479"/>
      <c r="W123" s="540"/>
      <c r="X123" s="478"/>
      <c r="Y123" s="478"/>
      <c r="Z123" s="479"/>
      <c r="AA123" s="540"/>
      <c r="AB123" s="478"/>
      <c r="AC123" s="478"/>
      <c r="AD123" s="478"/>
      <c r="AE123" s="540"/>
      <c r="AF123" s="478"/>
      <c r="AG123" s="478"/>
      <c r="AH123" s="480"/>
      <c r="AI123" s="1195"/>
    </row>
    <row r="124" spans="1:35" ht="18" customHeight="1">
      <c r="A124" s="36"/>
      <c r="B124" s="553" t="s">
        <v>239</v>
      </c>
      <c r="C124" s="540" t="s">
        <v>121</v>
      </c>
      <c r="D124" s="477" t="s">
        <v>369</v>
      </c>
      <c r="E124" s="478"/>
      <c r="F124" s="479"/>
      <c r="G124" s="540"/>
      <c r="H124" s="477" t="s">
        <v>369</v>
      </c>
      <c r="I124" s="478"/>
      <c r="J124" s="479"/>
      <c r="K124" s="540"/>
      <c r="L124" s="477" t="s">
        <v>369</v>
      </c>
      <c r="M124" s="478"/>
      <c r="N124" s="479"/>
      <c r="O124" s="540"/>
      <c r="P124" s="477" t="s">
        <v>370</v>
      </c>
      <c r="Q124" s="478"/>
      <c r="R124" s="479"/>
      <c r="S124" s="540"/>
      <c r="T124" s="477" t="s">
        <v>236</v>
      </c>
      <c r="U124" s="478"/>
      <c r="V124" s="479"/>
      <c r="W124" s="540"/>
      <c r="X124" s="478"/>
      <c r="Y124" s="478"/>
      <c r="Z124" s="479"/>
      <c r="AA124" s="540"/>
      <c r="AB124" s="478"/>
      <c r="AC124" s="478"/>
      <c r="AD124" s="478"/>
      <c r="AE124" s="540"/>
      <c r="AF124" s="478"/>
      <c r="AG124" s="478"/>
      <c r="AH124" s="480"/>
      <c r="AI124" s="1195"/>
    </row>
    <row r="125" spans="1:35" ht="18" customHeight="1">
      <c r="A125" s="36"/>
      <c r="B125" s="553" t="s">
        <v>243</v>
      </c>
      <c r="C125" s="540" t="s">
        <v>244</v>
      </c>
      <c r="D125" s="477" t="s">
        <v>369</v>
      </c>
      <c r="E125" s="478"/>
      <c r="F125" s="479"/>
      <c r="G125" s="540"/>
      <c r="H125" s="477" t="s">
        <v>369</v>
      </c>
      <c r="I125" s="478"/>
      <c r="J125" s="479"/>
      <c r="K125" s="540"/>
      <c r="L125" s="477" t="s">
        <v>369</v>
      </c>
      <c r="M125" s="478"/>
      <c r="N125" s="479"/>
      <c r="O125" s="540"/>
      <c r="P125" s="477" t="s">
        <v>370</v>
      </c>
      <c r="Q125" s="478"/>
      <c r="R125" s="479"/>
      <c r="S125" s="540"/>
      <c r="T125" s="468" t="s">
        <v>242</v>
      </c>
      <c r="U125" s="478"/>
      <c r="V125" s="479"/>
      <c r="W125" s="540"/>
      <c r="X125" s="478"/>
      <c r="Y125" s="478"/>
      <c r="Z125" s="479"/>
      <c r="AA125" s="540"/>
      <c r="AB125" s="478"/>
      <c r="AC125" s="478"/>
      <c r="AD125" s="478"/>
      <c r="AE125" s="540"/>
      <c r="AF125" s="478"/>
      <c r="AG125" s="478"/>
      <c r="AH125" s="480"/>
      <c r="AI125" s="1195"/>
    </row>
    <row r="126" spans="1:35" ht="18" customHeight="1">
      <c r="A126" s="36"/>
      <c r="B126" s="553" t="s">
        <v>248</v>
      </c>
      <c r="C126" s="540" t="s">
        <v>128</v>
      </c>
      <c r="D126" s="477" t="s">
        <v>234</v>
      </c>
      <c r="E126" s="478"/>
      <c r="F126" s="479"/>
      <c r="G126" s="540"/>
      <c r="H126" s="468" t="s">
        <v>234</v>
      </c>
      <c r="I126" s="478"/>
      <c r="J126" s="479"/>
      <c r="K126" s="540"/>
      <c r="L126" s="468" t="s">
        <v>234</v>
      </c>
      <c r="M126" s="478"/>
      <c r="N126" s="479"/>
      <c r="O126" s="540"/>
      <c r="P126" s="468" t="s">
        <v>234</v>
      </c>
      <c r="Q126" s="478"/>
      <c r="R126" s="479"/>
      <c r="S126" s="540"/>
      <c r="T126" s="468" t="s">
        <v>245</v>
      </c>
      <c r="U126" s="478"/>
      <c r="V126" s="479"/>
      <c r="W126" s="540"/>
      <c r="X126" s="478"/>
      <c r="Y126" s="478"/>
      <c r="Z126" s="479"/>
      <c r="AA126" s="540"/>
      <c r="AB126" s="478"/>
      <c r="AC126" s="478"/>
      <c r="AD126" s="478"/>
      <c r="AE126" s="540"/>
      <c r="AF126" s="478"/>
      <c r="AG126" s="478"/>
      <c r="AH126" s="480"/>
      <c r="AI126" s="1195"/>
    </row>
    <row r="127" spans="1:35" ht="18" customHeight="1">
      <c r="A127" s="36"/>
      <c r="B127" s="553" t="s">
        <v>249</v>
      </c>
      <c r="C127" s="540" t="s">
        <v>250</v>
      </c>
      <c r="D127" s="477" t="s">
        <v>369</v>
      </c>
      <c r="E127" s="478"/>
      <c r="F127" s="479"/>
      <c r="G127" s="540"/>
      <c r="H127" s="477" t="s">
        <v>369</v>
      </c>
      <c r="I127" s="478"/>
      <c r="J127" s="479"/>
      <c r="K127" s="540"/>
      <c r="L127" s="477" t="s">
        <v>369</v>
      </c>
      <c r="M127" s="478"/>
      <c r="N127" s="479"/>
      <c r="O127" s="540"/>
      <c r="P127" s="477" t="s">
        <v>370</v>
      </c>
      <c r="Q127" s="478"/>
      <c r="R127" s="479"/>
      <c r="S127" s="540"/>
      <c r="T127" s="477" t="s">
        <v>236</v>
      </c>
      <c r="U127" s="478"/>
      <c r="V127" s="479"/>
      <c r="W127" s="540"/>
      <c r="X127" s="478"/>
      <c r="Y127" s="478"/>
      <c r="Z127" s="479"/>
      <c r="AA127" s="540"/>
      <c r="AB127" s="478"/>
      <c r="AC127" s="478"/>
      <c r="AD127" s="478"/>
      <c r="AE127" s="540"/>
      <c r="AF127" s="478"/>
      <c r="AG127" s="478"/>
      <c r="AH127" s="480"/>
      <c r="AI127" s="1195"/>
    </row>
    <row r="128" spans="1:35" ht="18" customHeight="1">
      <c r="A128" s="36"/>
      <c r="B128" s="553" t="s">
        <v>249</v>
      </c>
      <c r="C128" s="540" t="s">
        <v>251</v>
      </c>
      <c r="D128" s="477" t="s">
        <v>369</v>
      </c>
      <c r="E128" s="478"/>
      <c r="F128" s="479"/>
      <c r="G128" s="540"/>
      <c r="H128" s="477" t="s">
        <v>369</v>
      </c>
      <c r="I128" s="478"/>
      <c r="J128" s="479"/>
      <c r="K128" s="540"/>
      <c r="L128" s="477" t="s">
        <v>369</v>
      </c>
      <c r="M128" s="478"/>
      <c r="N128" s="479"/>
      <c r="O128" s="540"/>
      <c r="P128" s="477" t="s">
        <v>370</v>
      </c>
      <c r="Q128" s="478"/>
      <c r="R128" s="479"/>
      <c r="S128" s="540"/>
      <c r="T128" s="477" t="s">
        <v>236</v>
      </c>
      <c r="U128" s="478"/>
      <c r="V128" s="479"/>
      <c r="W128" s="540"/>
      <c r="X128" s="478"/>
      <c r="Y128" s="478"/>
      <c r="Z128" s="479"/>
      <c r="AA128" s="540"/>
      <c r="AB128" s="478"/>
      <c r="AC128" s="478"/>
      <c r="AD128" s="478"/>
      <c r="AE128" s="540"/>
      <c r="AF128" s="478"/>
      <c r="AG128" s="478"/>
      <c r="AH128" s="480"/>
      <c r="AI128" s="1195"/>
    </row>
    <row r="129" spans="1:35" ht="18" customHeight="1">
      <c r="A129" s="36"/>
      <c r="B129" s="553" t="s">
        <v>252</v>
      </c>
      <c r="C129" s="540" t="s">
        <v>253</v>
      </c>
      <c r="D129" s="477" t="s">
        <v>369</v>
      </c>
      <c r="E129" s="478"/>
      <c r="F129" s="479"/>
      <c r="G129" s="540"/>
      <c r="H129" s="477" t="s">
        <v>369</v>
      </c>
      <c r="I129" s="478"/>
      <c r="J129" s="479"/>
      <c r="K129" s="540"/>
      <c r="L129" s="477" t="s">
        <v>369</v>
      </c>
      <c r="M129" s="478"/>
      <c r="N129" s="479"/>
      <c r="O129" s="540"/>
      <c r="P129" s="477" t="s">
        <v>370</v>
      </c>
      <c r="Q129" s="478"/>
      <c r="R129" s="479"/>
      <c r="S129" s="540"/>
      <c r="T129" s="477" t="s">
        <v>236</v>
      </c>
      <c r="U129" s="478"/>
      <c r="V129" s="479"/>
      <c r="W129" s="540"/>
      <c r="X129" s="478"/>
      <c r="Y129" s="478"/>
      <c r="Z129" s="479"/>
      <c r="AA129" s="540"/>
      <c r="AB129" s="478"/>
      <c r="AC129" s="478"/>
      <c r="AD129" s="478"/>
      <c r="AE129" s="540"/>
      <c r="AF129" s="478"/>
      <c r="AG129" s="478"/>
      <c r="AH129" s="480"/>
      <c r="AI129" s="1195"/>
    </row>
    <row r="130" spans="1:35" ht="18" customHeight="1">
      <c r="A130" s="36"/>
      <c r="B130" s="469" t="s">
        <v>255</v>
      </c>
      <c r="C130" s="1196" t="s">
        <v>123</v>
      </c>
      <c r="D130" s="419" t="s">
        <v>369</v>
      </c>
      <c r="E130" s="420"/>
      <c r="F130" s="481"/>
      <c r="G130" s="1196"/>
      <c r="H130" s="419" t="s">
        <v>369</v>
      </c>
      <c r="I130" s="420"/>
      <c r="J130" s="481"/>
      <c r="K130" s="1196"/>
      <c r="L130" s="419" t="s">
        <v>369</v>
      </c>
      <c r="M130" s="420"/>
      <c r="N130" s="481"/>
      <c r="O130" s="1196"/>
      <c r="P130" s="419" t="s">
        <v>370</v>
      </c>
      <c r="Q130" s="420"/>
      <c r="R130" s="481"/>
      <c r="S130" s="1196"/>
      <c r="T130" s="419" t="s">
        <v>236</v>
      </c>
      <c r="U130" s="420"/>
      <c r="V130" s="481"/>
      <c r="W130" s="1196"/>
      <c r="X130" s="420"/>
      <c r="Y130" s="420"/>
      <c r="Z130" s="481"/>
      <c r="AA130" s="1196"/>
      <c r="AB130" s="420"/>
      <c r="AC130" s="420"/>
      <c r="AD130" s="420"/>
      <c r="AE130" s="1196"/>
      <c r="AF130" s="420"/>
      <c r="AG130" s="420"/>
      <c r="AH130" s="421"/>
      <c r="AI130" s="1197"/>
    </row>
    <row r="131" spans="1:35" ht="18" customHeight="1">
      <c r="A131" s="36"/>
      <c r="B131" s="553" t="s">
        <v>256</v>
      </c>
      <c r="C131" s="540" t="s">
        <v>146</v>
      </c>
      <c r="D131" s="477" t="s">
        <v>369</v>
      </c>
      <c r="E131" s="478"/>
      <c r="F131" s="479"/>
      <c r="G131" s="540"/>
      <c r="H131" s="477" t="s">
        <v>369</v>
      </c>
      <c r="I131" s="478"/>
      <c r="J131" s="479"/>
      <c r="K131" s="540"/>
      <c r="L131" s="477" t="s">
        <v>369</v>
      </c>
      <c r="M131" s="478"/>
      <c r="N131" s="478"/>
      <c r="O131" s="540"/>
      <c r="P131" s="477" t="s">
        <v>370</v>
      </c>
      <c r="Q131" s="478"/>
      <c r="R131" s="478"/>
      <c r="S131" s="540"/>
      <c r="T131" s="477" t="s">
        <v>236</v>
      </c>
      <c r="U131" s="478"/>
      <c r="V131" s="478"/>
      <c r="W131" s="540"/>
      <c r="X131" s="478"/>
      <c r="Y131" s="478"/>
      <c r="Z131" s="478"/>
      <c r="AA131" s="540"/>
      <c r="AB131" s="478"/>
      <c r="AC131" s="478"/>
      <c r="AD131" s="478"/>
      <c r="AE131" s="540"/>
      <c r="AF131" s="478"/>
      <c r="AG131" s="478"/>
      <c r="AH131" s="480"/>
      <c r="AI131" s="1195"/>
    </row>
    <row r="132" spans="1:35" ht="18" customHeight="1">
      <c r="A132" s="36"/>
      <c r="B132" s="553" t="s">
        <v>257</v>
      </c>
      <c r="C132" s="555" t="s">
        <v>136</v>
      </c>
      <c r="D132" s="477" t="s">
        <v>369</v>
      </c>
      <c r="E132" s="478"/>
      <c r="F132" s="479"/>
      <c r="G132" s="540"/>
      <c r="H132" s="477" t="s">
        <v>369</v>
      </c>
      <c r="I132" s="478"/>
      <c r="J132" s="479"/>
      <c r="K132" s="540"/>
      <c r="L132" s="477" t="s">
        <v>369</v>
      </c>
      <c r="M132" s="478"/>
      <c r="N132" s="478"/>
      <c r="O132" s="540"/>
      <c r="P132" s="477" t="s">
        <v>370</v>
      </c>
      <c r="Q132" s="478"/>
      <c r="R132" s="478"/>
      <c r="S132" s="540"/>
      <c r="T132" s="477" t="s">
        <v>236</v>
      </c>
      <c r="U132" s="478"/>
      <c r="V132" s="478"/>
      <c r="W132" s="556"/>
      <c r="X132" s="478"/>
      <c r="Y132" s="478"/>
      <c r="Z132" s="478"/>
      <c r="AA132" s="540"/>
      <c r="AB132" s="478"/>
      <c r="AC132" s="478"/>
      <c r="AD132" s="478"/>
      <c r="AE132" s="540"/>
      <c r="AF132" s="478"/>
      <c r="AG132" s="478"/>
      <c r="AH132" s="480"/>
      <c r="AI132" s="1195"/>
    </row>
    <row r="133" spans="1:35" ht="18" customHeight="1" thickBot="1">
      <c r="A133" s="36"/>
      <c r="B133" s="95" t="s">
        <v>259</v>
      </c>
      <c r="C133" s="483" t="s">
        <v>112</v>
      </c>
      <c r="D133" s="1198" t="s">
        <v>369</v>
      </c>
      <c r="E133" s="1199"/>
      <c r="F133" s="1200"/>
      <c r="G133" s="484"/>
      <c r="H133" s="1198" t="s">
        <v>369</v>
      </c>
      <c r="I133" s="1199"/>
      <c r="J133" s="1200"/>
      <c r="K133" s="484"/>
      <c r="L133" s="1198" t="s">
        <v>369</v>
      </c>
      <c r="M133" s="1199"/>
      <c r="N133" s="1199"/>
      <c r="O133" s="484"/>
      <c r="P133" s="1201" t="s">
        <v>372</v>
      </c>
      <c r="Q133" s="1199"/>
      <c r="R133" s="1199"/>
      <c r="S133" s="484"/>
      <c r="T133" s="1201" t="s">
        <v>242</v>
      </c>
      <c r="U133" s="1199"/>
      <c r="V133" s="1199"/>
      <c r="W133" s="485"/>
      <c r="X133" s="1199"/>
      <c r="Y133" s="1199"/>
      <c r="Z133" s="1200"/>
      <c r="AA133" s="1202"/>
      <c r="AB133" s="1203"/>
      <c r="AC133" s="1203"/>
      <c r="AD133" s="1203"/>
      <c r="AE133" s="484"/>
      <c r="AF133" s="1203"/>
      <c r="AG133" s="1203"/>
      <c r="AH133" s="1204"/>
      <c r="AI133" s="1205"/>
    </row>
    <row r="134" spans="1:35" ht="18" customHeight="1">
      <c r="A134" s="36"/>
      <c r="C134" s="38"/>
      <c r="D134" s="17"/>
      <c r="E134" s="17"/>
      <c r="F134" s="17"/>
      <c r="G134" s="17"/>
      <c r="H134" s="17"/>
      <c r="I134" s="38"/>
      <c r="J134" s="38"/>
      <c r="K134" s="17"/>
      <c r="L134" s="17"/>
      <c r="M134" s="17"/>
      <c r="N134" s="17"/>
      <c r="O134" s="17"/>
      <c r="P134" s="17"/>
      <c r="Q134" s="38"/>
      <c r="R134" s="17"/>
      <c r="S134" s="17"/>
      <c r="T134" s="17"/>
      <c r="U134" s="17"/>
      <c r="V134" s="17"/>
      <c r="W134" s="38"/>
      <c r="X134" s="38"/>
      <c r="Y134" s="17"/>
      <c r="Z134" s="17"/>
      <c r="AA134" s="17"/>
      <c r="AB134" s="17"/>
      <c r="AC134" s="17"/>
      <c r="AD134" s="17"/>
      <c r="AE134" s="38"/>
      <c r="AF134" s="17"/>
      <c r="AG134" s="17"/>
      <c r="AH134" s="76"/>
      <c r="AI134" s="76"/>
    </row>
    <row r="135" spans="1:35" ht="18" customHeight="1" thickBot="1">
      <c r="A135" s="96"/>
      <c r="B135" s="460" t="s">
        <v>29</v>
      </c>
      <c r="C135" s="1206">
        <v>1</v>
      </c>
      <c r="D135" s="1207">
        <v>2</v>
      </c>
      <c r="E135" s="1207">
        <v>3</v>
      </c>
      <c r="F135" s="1206">
        <v>4</v>
      </c>
      <c r="G135" s="1206">
        <v>5</v>
      </c>
      <c r="H135" s="1207">
        <v>6</v>
      </c>
      <c r="I135" s="1207">
        <v>7</v>
      </c>
      <c r="J135" s="1207">
        <v>8</v>
      </c>
      <c r="K135" s="1207">
        <v>9</v>
      </c>
      <c r="L135" s="1207">
        <v>10</v>
      </c>
      <c r="M135" s="1206">
        <v>11</v>
      </c>
      <c r="N135" s="1206">
        <v>12</v>
      </c>
      <c r="O135" s="1207">
        <v>13</v>
      </c>
      <c r="P135" s="1207">
        <v>14</v>
      </c>
      <c r="Q135" s="1207">
        <v>15</v>
      </c>
      <c r="R135" s="1207">
        <v>16</v>
      </c>
      <c r="S135" s="1206">
        <v>17</v>
      </c>
      <c r="T135" s="1206">
        <v>18</v>
      </c>
      <c r="U135" s="1206">
        <v>19</v>
      </c>
      <c r="V135" s="1207">
        <v>20</v>
      </c>
      <c r="W135" s="1207">
        <v>21</v>
      </c>
      <c r="X135" s="1207">
        <v>22</v>
      </c>
      <c r="Y135" s="1207">
        <v>23</v>
      </c>
      <c r="Z135" s="1207">
        <v>24</v>
      </c>
      <c r="AA135" s="1206">
        <v>25</v>
      </c>
      <c r="AB135" s="1206">
        <v>26</v>
      </c>
      <c r="AC135" s="1207">
        <v>27</v>
      </c>
      <c r="AD135" s="1207">
        <v>28</v>
      </c>
      <c r="AE135" s="1207">
        <v>29</v>
      </c>
      <c r="AF135" s="1206">
        <v>30</v>
      </c>
      <c r="AG135" s="1208">
        <v>31</v>
      </c>
      <c r="AH135" s="97"/>
      <c r="AI135" s="24"/>
    </row>
    <row r="136" spans="1:35" ht="18" customHeight="1" thickBot="1">
      <c r="A136" s="36"/>
      <c r="B136" s="998" t="s">
        <v>262</v>
      </c>
      <c r="C136" s="972"/>
      <c r="D136" s="972" t="s">
        <v>233</v>
      </c>
      <c r="E136" s="826" t="s">
        <v>233</v>
      </c>
      <c r="F136" s="972"/>
      <c r="G136" s="972"/>
      <c r="H136" s="972" t="s">
        <v>233</v>
      </c>
      <c r="I136" s="972" t="s">
        <v>233</v>
      </c>
      <c r="J136" s="972" t="s">
        <v>233</v>
      </c>
      <c r="K136" s="972" t="s">
        <v>233</v>
      </c>
      <c r="L136" s="972" t="s">
        <v>233</v>
      </c>
      <c r="M136" s="972"/>
      <c r="N136" s="972"/>
      <c r="O136" s="972" t="s">
        <v>233</v>
      </c>
      <c r="P136" s="972" t="s">
        <v>233</v>
      </c>
      <c r="Q136" s="972" t="s">
        <v>233</v>
      </c>
      <c r="R136" s="972" t="s">
        <v>233</v>
      </c>
      <c r="S136" s="972"/>
      <c r="T136" s="972"/>
      <c r="U136" s="972"/>
      <c r="V136" s="972" t="s">
        <v>233</v>
      </c>
      <c r="W136" s="972" t="s">
        <v>233</v>
      </c>
      <c r="X136" s="972" t="s">
        <v>233</v>
      </c>
      <c r="Y136" s="972" t="s">
        <v>233</v>
      </c>
      <c r="Z136" s="972" t="s">
        <v>233</v>
      </c>
      <c r="AA136" s="1209"/>
      <c r="AB136" s="1209" t="s">
        <v>0</v>
      </c>
      <c r="AC136" s="972" t="s">
        <v>233</v>
      </c>
      <c r="AD136" s="972" t="s">
        <v>233</v>
      </c>
      <c r="AE136" s="972" t="s">
        <v>233</v>
      </c>
      <c r="AF136" s="972"/>
      <c r="AG136" s="999" t="s">
        <v>233</v>
      </c>
      <c r="AH136" s="25"/>
      <c r="AI136" s="25"/>
    </row>
    <row r="137" spans="1:35" ht="18" customHeight="1" thickBot="1">
      <c r="A137" s="36"/>
      <c r="B137" s="530" t="s">
        <v>263</v>
      </c>
      <c r="C137" s="516"/>
      <c r="D137" s="516" t="s">
        <v>233</v>
      </c>
      <c r="E137" s="826" t="s">
        <v>233</v>
      </c>
      <c r="F137" s="516"/>
      <c r="G137" s="516"/>
      <c r="H137" s="516" t="s">
        <v>233</v>
      </c>
      <c r="I137" s="516" t="s">
        <v>233</v>
      </c>
      <c r="J137" s="516" t="s">
        <v>233</v>
      </c>
      <c r="K137" s="516" t="s">
        <v>233</v>
      </c>
      <c r="L137" s="516" t="s">
        <v>233</v>
      </c>
      <c r="M137" s="516"/>
      <c r="N137" s="516"/>
      <c r="O137" s="516" t="s">
        <v>233</v>
      </c>
      <c r="P137" s="516" t="s">
        <v>233</v>
      </c>
      <c r="Q137" s="972" t="s">
        <v>233</v>
      </c>
      <c r="R137" s="516" t="s">
        <v>233</v>
      </c>
      <c r="S137" s="516"/>
      <c r="T137" s="516"/>
      <c r="U137" s="516"/>
      <c r="V137" s="516" t="s">
        <v>233</v>
      </c>
      <c r="W137" s="516" t="s">
        <v>233</v>
      </c>
      <c r="X137" s="516" t="s">
        <v>233</v>
      </c>
      <c r="Y137" s="516" t="s">
        <v>233</v>
      </c>
      <c r="Z137" s="516" t="s">
        <v>233</v>
      </c>
      <c r="AA137" s="1209"/>
      <c r="AB137" s="1209"/>
      <c r="AC137" s="826" t="s">
        <v>31</v>
      </c>
      <c r="AD137" s="516" t="s">
        <v>233</v>
      </c>
      <c r="AE137" s="516" t="s">
        <v>233</v>
      </c>
      <c r="AF137" s="516"/>
      <c r="AG137" s="519" t="s">
        <v>233</v>
      </c>
      <c r="AH137" s="25"/>
      <c r="AI137" s="25"/>
    </row>
    <row r="138" spans="1:35" ht="18" customHeight="1" thickBot="1">
      <c r="A138" s="36"/>
      <c r="B138" s="530" t="s">
        <v>373</v>
      </c>
      <c r="C138" s="516"/>
      <c r="D138" s="516" t="s">
        <v>237</v>
      </c>
      <c r="E138" s="826" t="s">
        <v>237</v>
      </c>
      <c r="F138" s="516"/>
      <c r="G138" s="516"/>
      <c r="H138" s="516" t="s">
        <v>237</v>
      </c>
      <c r="I138" s="516" t="s">
        <v>237</v>
      </c>
      <c r="J138" s="516" t="s">
        <v>237</v>
      </c>
      <c r="K138" s="516" t="s">
        <v>237</v>
      </c>
      <c r="L138" s="516" t="s">
        <v>237</v>
      </c>
      <c r="M138" s="516"/>
      <c r="N138" s="516"/>
      <c r="O138" s="516" t="s">
        <v>237</v>
      </c>
      <c r="P138" s="516" t="s">
        <v>237</v>
      </c>
      <c r="Q138" s="516" t="s">
        <v>237</v>
      </c>
      <c r="R138" s="516" t="s">
        <v>237</v>
      </c>
      <c r="S138" s="516"/>
      <c r="T138" s="516"/>
      <c r="U138" s="516"/>
      <c r="V138" s="516" t="s">
        <v>237</v>
      </c>
      <c r="W138" s="516" t="s">
        <v>237</v>
      </c>
      <c r="X138" s="516" t="s">
        <v>237</v>
      </c>
      <c r="Y138" s="1128" t="s">
        <v>237</v>
      </c>
      <c r="Z138" s="1128" t="s">
        <v>237</v>
      </c>
      <c r="AA138" s="516"/>
      <c r="AB138" s="516"/>
      <c r="AC138" s="516" t="s">
        <v>237</v>
      </c>
      <c r="AD138" s="516" t="s">
        <v>237</v>
      </c>
      <c r="AE138" s="1210" t="s">
        <v>237</v>
      </c>
      <c r="AF138" s="516"/>
      <c r="AG138" s="519" t="s">
        <v>237</v>
      </c>
      <c r="AH138" s="25"/>
      <c r="AI138" s="25"/>
    </row>
    <row r="139" spans="1:35" ht="18" customHeight="1" thickBot="1">
      <c r="A139" s="36"/>
      <c r="B139" s="530" t="s">
        <v>266</v>
      </c>
      <c r="C139" s="516"/>
      <c r="D139" s="505" t="s">
        <v>201</v>
      </c>
      <c r="E139" s="826" t="s">
        <v>201</v>
      </c>
      <c r="F139" s="505"/>
      <c r="G139" s="505"/>
      <c r="H139" s="505" t="s">
        <v>201</v>
      </c>
      <c r="I139" s="516" t="s">
        <v>201</v>
      </c>
      <c r="J139" s="516" t="s">
        <v>201</v>
      </c>
      <c r="K139" s="497" t="s">
        <v>201</v>
      </c>
      <c r="L139" s="516" t="s">
        <v>201</v>
      </c>
      <c r="M139" s="516"/>
      <c r="N139" s="516"/>
      <c r="O139" s="516" t="s">
        <v>201</v>
      </c>
      <c r="P139" s="516" t="s">
        <v>201</v>
      </c>
      <c r="Q139" s="516" t="s">
        <v>201</v>
      </c>
      <c r="R139" s="516" t="s">
        <v>201</v>
      </c>
      <c r="S139" s="516"/>
      <c r="T139" s="516"/>
      <c r="U139" s="516"/>
      <c r="V139" s="516" t="s">
        <v>201</v>
      </c>
      <c r="W139" s="516" t="s">
        <v>201</v>
      </c>
      <c r="X139" s="516" t="s">
        <v>201</v>
      </c>
      <c r="Y139" s="516" t="s">
        <v>201</v>
      </c>
      <c r="Z139" s="516" t="s">
        <v>201</v>
      </c>
      <c r="AA139" s="516"/>
      <c r="AB139" s="516"/>
      <c r="AC139" s="510" t="s">
        <v>201</v>
      </c>
      <c r="AD139" s="510" t="s">
        <v>201</v>
      </c>
      <c r="AE139" s="510" t="s">
        <v>201</v>
      </c>
      <c r="AF139" s="516"/>
      <c r="AG139" s="1211" t="s">
        <v>201</v>
      </c>
      <c r="AH139" s="25"/>
      <c r="AI139" s="25"/>
    </row>
    <row r="140" spans="1:35" ht="18" customHeight="1" thickBot="1">
      <c r="A140" s="36"/>
      <c r="B140" s="1148" t="s">
        <v>267</v>
      </c>
      <c r="C140" s="516"/>
      <c r="D140" s="516" t="s">
        <v>121</v>
      </c>
      <c r="E140" s="826" t="s">
        <v>121</v>
      </c>
      <c r="F140" s="1157"/>
      <c r="G140" s="516"/>
      <c r="H140" s="516" t="s">
        <v>121</v>
      </c>
      <c r="I140" s="516" t="s">
        <v>121</v>
      </c>
      <c r="J140" s="516" t="s">
        <v>121</v>
      </c>
      <c r="K140" s="516" t="s">
        <v>121</v>
      </c>
      <c r="L140" s="1157" t="s">
        <v>121</v>
      </c>
      <c r="M140" s="1157"/>
      <c r="N140" s="516"/>
      <c r="O140" s="516" t="s">
        <v>121</v>
      </c>
      <c r="P140" s="516" t="s">
        <v>121</v>
      </c>
      <c r="Q140" s="516" t="s">
        <v>121</v>
      </c>
      <c r="R140" s="516" t="s">
        <v>121</v>
      </c>
      <c r="S140" s="516"/>
      <c r="T140" s="516"/>
      <c r="U140" s="516"/>
      <c r="V140" s="516" t="s">
        <v>121</v>
      </c>
      <c r="W140" s="516" t="s">
        <v>121</v>
      </c>
      <c r="X140" s="516" t="s">
        <v>121</v>
      </c>
      <c r="Y140" s="516" t="s">
        <v>121</v>
      </c>
      <c r="Z140" s="516" t="s">
        <v>121</v>
      </c>
      <c r="AA140" s="516"/>
      <c r="AB140" s="516"/>
      <c r="AC140" s="516" t="s">
        <v>121</v>
      </c>
      <c r="AD140" s="516" t="s">
        <v>121</v>
      </c>
      <c r="AE140" s="516" t="s">
        <v>121</v>
      </c>
      <c r="AF140" s="516"/>
      <c r="AG140" s="519" t="s">
        <v>121</v>
      </c>
      <c r="AH140" s="25"/>
      <c r="AI140" s="25"/>
    </row>
    <row r="141" spans="1:35" ht="18" customHeight="1" thickBot="1">
      <c r="A141" s="36"/>
      <c r="B141" s="530" t="s">
        <v>374</v>
      </c>
      <c r="C141" s="516"/>
      <c r="D141" s="516" t="s">
        <v>244</v>
      </c>
      <c r="E141" s="826" t="s">
        <v>244</v>
      </c>
      <c r="F141" s="516"/>
      <c r="G141" s="516"/>
      <c r="H141" s="516" t="s">
        <v>244</v>
      </c>
      <c r="I141" s="516" t="s">
        <v>244</v>
      </c>
      <c r="J141" s="516" t="s">
        <v>244</v>
      </c>
      <c r="K141" s="516" t="s">
        <v>244</v>
      </c>
      <c r="L141" s="516" t="s">
        <v>244</v>
      </c>
      <c r="M141" s="516"/>
      <c r="N141" s="516"/>
      <c r="O141" s="516" t="s">
        <v>244</v>
      </c>
      <c r="P141" s="516" t="s">
        <v>244</v>
      </c>
      <c r="Q141" s="516" t="s">
        <v>244</v>
      </c>
      <c r="R141" s="516" t="s">
        <v>244</v>
      </c>
      <c r="S141" s="516"/>
      <c r="T141" s="516"/>
      <c r="U141" s="516"/>
      <c r="V141" s="516" t="s">
        <v>244</v>
      </c>
      <c r="W141" s="516" t="s">
        <v>244</v>
      </c>
      <c r="X141" s="516" t="s">
        <v>244</v>
      </c>
      <c r="Y141" s="516" t="s">
        <v>244</v>
      </c>
      <c r="Z141" s="516" t="s">
        <v>244</v>
      </c>
      <c r="AA141" s="516"/>
      <c r="AB141" s="516"/>
      <c r="AC141" s="516" t="s">
        <v>244</v>
      </c>
      <c r="AD141" s="516" t="s">
        <v>244</v>
      </c>
      <c r="AE141" s="1132" t="s">
        <v>244</v>
      </c>
      <c r="AF141" s="516"/>
      <c r="AG141" s="519" t="s">
        <v>244</v>
      </c>
      <c r="AH141" s="25"/>
      <c r="AI141" s="25"/>
    </row>
    <row r="142" spans="1:35" ht="18" customHeight="1" thickBot="1">
      <c r="A142" s="36"/>
      <c r="B142" s="530" t="s">
        <v>269</v>
      </c>
      <c r="C142" s="516"/>
      <c r="D142" s="516" t="s">
        <v>128</v>
      </c>
      <c r="E142" s="826" t="s">
        <v>128</v>
      </c>
      <c r="F142" s="516"/>
      <c r="G142" s="516"/>
      <c r="H142" s="516" t="s">
        <v>128</v>
      </c>
      <c r="I142" s="516" t="s">
        <v>128</v>
      </c>
      <c r="J142" s="516" t="s">
        <v>128</v>
      </c>
      <c r="K142" s="516" t="s">
        <v>128</v>
      </c>
      <c r="L142" s="516" t="s">
        <v>128</v>
      </c>
      <c r="M142" s="516"/>
      <c r="N142" s="516"/>
      <c r="O142" s="516" t="s">
        <v>128</v>
      </c>
      <c r="P142" s="516" t="s">
        <v>128</v>
      </c>
      <c r="Q142" s="516" t="s">
        <v>128</v>
      </c>
      <c r="R142" s="516" t="s">
        <v>128</v>
      </c>
      <c r="S142" s="516"/>
      <c r="T142" s="516"/>
      <c r="U142" s="516"/>
      <c r="V142" s="516" t="s">
        <v>128</v>
      </c>
      <c r="W142" s="516" t="s">
        <v>128</v>
      </c>
      <c r="X142" s="516" t="s">
        <v>128</v>
      </c>
      <c r="Y142" s="516" t="s">
        <v>128</v>
      </c>
      <c r="Z142" s="516" t="s">
        <v>128</v>
      </c>
      <c r="AA142" s="516"/>
      <c r="AB142" s="516"/>
      <c r="AC142" s="516" t="s">
        <v>128</v>
      </c>
      <c r="AD142" s="516" t="s">
        <v>128</v>
      </c>
      <c r="AE142" s="516" t="s">
        <v>128</v>
      </c>
      <c r="AF142" s="1141"/>
      <c r="AG142" s="519" t="s">
        <v>128</v>
      </c>
      <c r="AH142" s="25"/>
      <c r="AI142" s="25"/>
    </row>
    <row r="143" spans="1:35" ht="18" customHeight="1">
      <c r="A143" s="36"/>
      <c r="B143" s="511" t="s">
        <v>271</v>
      </c>
      <c r="C143" s="516"/>
      <c r="D143" s="516" t="s">
        <v>250</v>
      </c>
      <c r="E143" s="826" t="s">
        <v>250</v>
      </c>
      <c r="F143" s="516"/>
      <c r="G143" s="516"/>
      <c r="H143" s="516" t="s">
        <v>250</v>
      </c>
      <c r="I143" s="516" t="s">
        <v>250</v>
      </c>
      <c r="J143" s="516" t="s">
        <v>250</v>
      </c>
      <c r="K143" s="516" t="s">
        <v>250</v>
      </c>
      <c r="L143" s="516" t="s">
        <v>250</v>
      </c>
      <c r="M143" s="516"/>
      <c r="N143" s="516"/>
      <c r="O143" s="516" t="s">
        <v>250</v>
      </c>
      <c r="P143" s="516" t="s">
        <v>250</v>
      </c>
      <c r="Q143" s="516" t="s">
        <v>250</v>
      </c>
      <c r="R143" s="516" t="s">
        <v>250</v>
      </c>
      <c r="S143" s="516"/>
      <c r="T143" s="516"/>
      <c r="U143" s="516"/>
      <c r="V143" s="516" t="s">
        <v>250</v>
      </c>
      <c r="W143" s="516" t="s">
        <v>250</v>
      </c>
      <c r="X143" s="1140" t="s">
        <v>250</v>
      </c>
      <c r="Y143" s="1212" t="s">
        <v>250</v>
      </c>
      <c r="Z143" s="1213" t="s">
        <v>272</v>
      </c>
      <c r="AA143" s="516"/>
      <c r="AB143" s="516"/>
      <c r="AC143" s="516" t="s">
        <v>250</v>
      </c>
      <c r="AD143" s="516" t="s">
        <v>250</v>
      </c>
      <c r="AE143" s="516" t="s">
        <v>250</v>
      </c>
      <c r="AF143" s="516"/>
      <c r="AG143" s="519" t="s">
        <v>250</v>
      </c>
      <c r="AH143" s="25"/>
      <c r="AI143" s="25"/>
    </row>
    <row r="144" spans="1:35" ht="18" customHeight="1" thickBot="1">
      <c r="A144" s="36"/>
      <c r="B144" s="530" t="s">
        <v>273</v>
      </c>
      <c r="C144" s="516"/>
      <c r="D144" s="516" t="s">
        <v>251</v>
      </c>
      <c r="E144" s="510" t="s">
        <v>251</v>
      </c>
      <c r="F144" s="510"/>
      <c r="G144" s="510"/>
      <c r="H144" s="510" t="s">
        <v>251</v>
      </c>
      <c r="I144" s="1214" t="s">
        <v>251</v>
      </c>
      <c r="J144" s="516" t="s">
        <v>251</v>
      </c>
      <c r="K144" s="516" t="s">
        <v>251</v>
      </c>
      <c r="L144" s="516" t="s">
        <v>251</v>
      </c>
      <c r="M144" s="516"/>
      <c r="N144" s="1215"/>
      <c r="O144" s="516" t="s">
        <v>251</v>
      </c>
      <c r="P144" s="516" t="s">
        <v>251</v>
      </c>
      <c r="Q144" s="516" t="s">
        <v>251</v>
      </c>
      <c r="R144" s="516" t="s">
        <v>251</v>
      </c>
      <c r="S144" s="516"/>
      <c r="T144" s="516"/>
      <c r="U144" s="516"/>
      <c r="V144" s="516" t="s">
        <v>251</v>
      </c>
      <c r="W144" s="516" t="s">
        <v>251</v>
      </c>
      <c r="X144" s="516" t="s">
        <v>251</v>
      </c>
      <c r="Y144" s="516" t="s">
        <v>251</v>
      </c>
      <c r="Z144" s="516" t="s">
        <v>251</v>
      </c>
      <c r="AA144" s="516"/>
      <c r="AB144" s="516"/>
      <c r="AC144" s="510" t="s">
        <v>251</v>
      </c>
      <c r="AD144" s="510" t="s">
        <v>251</v>
      </c>
      <c r="AE144" s="510" t="s">
        <v>251</v>
      </c>
      <c r="AF144" s="510"/>
      <c r="AG144" s="1211" t="s">
        <v>251</v>
      </c>
      <c r="AH144" s="25"/>
      <c r="AI144" s="25"/>
    </row>
    <row r="145" spans="1:35" ht="18" customHeight="1" thickBot="1">
      <c r="A145" s="36"/>
      <c r="B145" s="530" t="s">
        <v>274</v>
      </c>
      <c r="C145" s="516"/>
      <c r="D145" s="516" t="s">
        <v>253</v>
      </c>
      <c r="E145" s="826" t="s">
        <v>253</v>
      </c>
      <c r="F145" s="516"/>
      <c r="G145" s="505"/>
      <c r="H145" s="505" t="s">
        <v>253</v>
      </c>
      <c r="I145" s="505" t="s">
        <v>253</v>
      </c>
      <c r="J145" s="505" t="s">
        <v>253</v>
      </c>
      <c r="K145" s="505" t="s">
        <v>253</v>
      </c>
      <c r="L145" s="516" t="s">
        <v>253</v>
      </c>
      <c r="M145" s="516"/>
      <c r="N145" s="516"/>
      <c r="O145" s="516" t="s">
        <v>253</v>
      </c>
      <c r="P145" s="516" t="s">
        <v>253</v>
      </c>
      <c r="Q145" s="516" t="s">
        <v>253</v>
      </c>
      <c r="R145" s="516" t="s">
        <v>253</v>
      </c>
      <c r="S145" s="516"/>
      <c r="T145" s="516"/>
      <c r="U145" s="516"/>
      <c r="V145" s="516" t="s">
        <v>253</v>
      </c>
      <c r="W145" s="516" t="s">
        <v>253</v>
      </c>
      <c r="X145" s="516" t="s">
        <v>253</v>
      </c>
      <c r="Y145" s="516" t="s">
        <v>253</v>
      </c>
      <c r="Z145" s="516" t="s">
        <v>253</v>
      </c>
      <c r="AA145" s="516"/>
      <c r="AB145" s="516"/>
      <c r="AC145" s="516" t="s">
        <v>253</v>
      </c>
      <c r="AD145" s="516" t="s">
        <v>253</v>
      </c>
      <c r="AE145" s="516" t="s">
        <v>253</v>
      </c>
      <c r="AF145" s="516"/>
      <c r="AG145" s="519" t="s">
        <v>253</v>
      </c>
      <c r="AH145" s="25"/>
      <c r="AI145" s="25"/>
    </row>
    <row r="146" spans="1:35" ht="18" customHeight="1" thickBot="1">
      <c r="A146" s="36"/>
      <c r="B146" s="511" t="s">
        <v>275</v>
      </c>
      <c r="C146" s="516"/>
      <c r="D146" s="516" t="s">
        <v>123</v>
      </c>
      <c r="E146" s="826" t="s">
        <v>123</v>
      </c>
      <c r="F146" s="516"/>
      <c r="G146" s="516"/>
      <c r="H146" s="516" t="s">
        <v>123</v>
      </c>
      <c r="I146" s="516" t="s">
        <v>123</v>
      </c>
      <c r="J146" s="516" t="s">
        <v>123</v>
      </c>
      <c r="K146" s="516" t="s">
        <v>123</v>
      </c>
      <c r="L146" s="516" t="s">
        <v>123</v>
      </c>
      <c r="M146" s="516"/>
      <c r="N146" s="516"/>
      <c r="O146" s="516" t="s">
        <v>123</v>
      </c>
      <c r="P146" s="516" t="s">
        <v>123</v>
      </c>
      <c r="Q146" s="516" t="s">
        <v>123</v>
      </c>
      <c r="R146" s="516" t="s">
        <v>123</v>
      </c>
      <c r="S146" s="505"/>
      <c r="T146" s="1127"/>
      <c r="U146" s="1127"/>
      <c r="V146" s="1127" t="s">
        <v>123</v>
      </c>
      <c r="W146" s="516" t="s">
        <v>123</v>
      </c>
      <c r="X146" s="516" t="s">
        <v>123</v>
      </c>
      <c r="Y146" s="516" t="s">
        <v>123</v>
      </c>
      <c r="Z146" s="516" t="s">
        <v>123</v>
      </c>
      <c r="AA146" s="516"/>
      <c r="AB146" s="516"/>
      <c r="AC146" s="516" t="s">
        <v>123</v>
      </c>
      <c r="AD146" s="516" t="s">
        <v>123</v>
      </c>
      <c r="AE146" s="1131" t="s">
        <v>123</v>
      </c>
      <c r="AF146" s="516"/>
      <c r="AG146" s="1211" t="s">
        <v>123</v>
      </c>
      <c r="AH146" s="25"/>
      <c r="AI146" s="25"/>
    </row>
    <row r="147" spans="1:35" ht="18" customHeight="1" thickBot="1">
      <c r="A147" s="36"/>
      <c r="B147" s="530" t="s">
        <v>276</v>
      </c>
      <c r="C147" s="516"/>
      <c r="D147" s="516" t="s">
        <v>146</v>
      </c>
      <c r="E147" s="826" t="s">
        <v>146</v>
      </c>
      <c r="F147" s="516"/>
      <c r="G147" s="516"/>
      <c r="H147" s="516" t="s">
        <v>146</v>
      </c>
      <c r="I147" s="516" t="s">
        <v>146</v>
      </c>
      <c r="J147" s="516" t="s">
        <v>146</v>
      </c>
      <c r="K147" s="516" t="s">
        <v>146</v>
      </c>
      <c r="L147" s="516" t="s">
        <v>146</v>
      </c>
      <c r="M147" s="516"/>
      <c r="N147" s="516"/>
      <c r="O147" s="516" t="s">
        <v>146</v>
      </c>
      <c r="P147" s="516" t="s">
        <v>146</v>
      </c>
      <c r="Q147" s="516" t="s">
        <v>146</v>
      </c>
      <c r="R147" s="516" t="s">
        <v>146</v>
      </c>
      <c r="S147" s="516"/>
      <c r="T147" s="516"/>
      <c r="U147" s="516"/>
      <c r="V147" s="516" t="s">
        <v>146</v>
      </c>
      <c r="W147" s="516" t="s">
        <v>146</v>
      </c>
      <c r="X147" s="516" t="s">
        <v>146</v>
      </c>
      <c r="Y147" s="516" t="s">
        <v>146</v>
      </c>
      <c r="Z147" s="516" t="s">
        <v>146</v>
      </c>
      <c r="AA147" s="516"/>
      <c r="AB147" s="516"/>
      <c r="AC147" s="516" t="s">
        <v>146</v>
      </c>
      <c r="AD147" s="516" t="s">
        <v>146</v>
      </c>
      <c r="AE147" s="516" t="s">
        <v>146</v>
      </c>
      <c r="AF147" s="516"/>
      <c r="AG147" s="519" t="s">
        <v>146</v>
      </c>
      <c r="AH147" s="25"/>
      <c r="AI147" s="25"/>
    </row>
    <row r="148" spans="1:35" ht="18" customHeight="1" thickBot="1">
      <c r="A148" s="36"/>
      <c r="B148" s="402" t="s">
        <v>0</v>
      </c>
      <c r="C148" s="408"/>
      <c r="D148" s="408" t="s">
        <v>136</v>
      </c>
      <c r="E148" s="826" t="s">
        <v>136</v>
      </c>
      <c r="F148" s="408"/>
      <c r="G148" s="408"/>
      <c r="H148" s="408" t="s">
        <v>136</v>
      </c>
      <c r="I148" s="408" t="s">
        <v>136</v>
      </c>
      <c r="J148" s="408" t="s">
        <v>136</v>
      </c>
      <c r="K148" s="408" t="s">
        <v>136</v>
      </c>
      <c r="L148" s="408" t="s">
        <v>136</v>
      </c>
      <c r="M148" s="408"/>
      <c r="N148" s="408"/>
      <c r="O148" s="408" t="s">
        <v>136</v>
      </c>
      <c r="P148" s="408" t="s">
        <v>136</v>
      </c>
      <c r="Q148" s="408" t="s">
        <v>136</v>
      </c>
      <c r="R148" s="408" t="s">
        <v>136</v>
      </c>
      <c r="S148" s="408"/>
      <c r="T148" s="408"/>
      <c r="U148" s="408"/>
      <c r="V148" s="408" t="s">
        <v>136</v>
      </c>
      <c r="W148" s="408" t="s">
        <v>136</v>
      </c>
      <c r="X148" s="408" t="s">
        <v>136</v>
      </c>
      <c r="Y148" s="408" t="s">
        <v>136</v>
      </c>
      <c r="Z148" s="408" t="s">
        <v>136</v>
      </c>
      <c r="AA148" s="408"/>
      <c r="AB148" s="408"/>
      <c r="AC148" s="408" t="s">
        <v>136</v>
      </c>
      <c r="AD148" s="408" t="s">
        <v>136</v>
      </c>
      <c r="AE148" s="408" t="s">
        <v>136</v>
      </c>
      <c r="AF148" s="408"/>
      <c r="AG148" s="90" t="s">
        <v>136</v>
      </c>
      <c r="AH148" s="25"/>
      <c r="AI148" s="25"/>
    </row>
    <row r="149" spans="1:35" ht="18" customHeight="1" thickBot="1">
      <c r="A149" s="36"/>
      <c r="B149" s="402" t="s">
        <v>375</v>
      </c>
      <c r="C149" s="408"/>
      <c r="D149" s="408" t="s">
        <v>112</v>
      </c>
      <c r="E149" s="826" t="s">
        <v>112</v>
      </c>
      <c r="F149" s="408"/>
      <c r="G149" s="408"/>
      <c r="H149" s="408" t="s">
        <v>112</v>
      </c>
      <c r="I149" s="408" t="s">
        <v>112</v>
      </c>
      <c r="J149" s="408" t="s">
        <v>112</v>
      </c>
      <c r="K149" s="408" t="s">
        <v>112</v>
      </c>
      <c r="L149" s="408" t="s">
        <v>112</v>
      </c>
      <c r="M149" s="408"/>
      <c r="N149" s="408"/>
      <c r="O149" s="408" t="s">
        <v>112</v>
      </c>
      <c r="P149" s="408" t="s">
        <v>112</v>
      </c>
      <c r="Q149" s="408" t="s">
        <v>112</v>
      </c>
      <c r="R149" s="422" t="s">
        <v>112</v>
      </c>
      <c r="S149" s="408"/>
      <c r="T149" s="408"/>
      <c r="U149" s="408"/>
      <c r="V149" s="408" t="s">
        <v>112</v>
      </c>
      <c r="W149" s="408" t="s">
        <v>112</v>
      </c>
      <c r="X149" s="408" t="s">
        <v>112</v>
      </c>
      <c r="Y149" s="408" t="s">
        <v>112</v>
      </c>
      <c r="Z149" s="408" t="s">
        <v>112</v>
      </c>
      <c r="AA149" s="408"/>
      <c r="AB149" s="408"/>
      <c r="AC149" s="408" t="s">
        <v>112</v>
      </c>
      <c r="AD149" s="408" t="s">
        <v>112</v>
      </c>
      <c r="AE149" s="408" t="s">
        <v>112</v>
      </c>
      <c r="AF149" s="408"/>
      <c r="AG149" s="408" t="s">
        <v>112</v>
      </c>
      <c r="AH149" s="76"/>
      <c r="AI149" s="76"/>
    </row>
    <row r="150" spans="1:35" ht="18" customHeight="1">
      <c r="A150" s="96"/>
      <c r="B150" s="37" t="s">
        <v>86</v>
      </c>
      <c r="C150" s="91"/>
      <c r="D150" s="91"/>
      <c r="E150" s="91"/>
      <c r="F150" s="91"/>
      <c r="G150" s="91"/>
      <c r="H150" s="91"/>
      <c r="I150" s="91"/>
      <c r="J150" s="91"/>
      <c r="K150" s="91"/>
      <c r="L150" s="91"/>
      <c r="M150" s="91"/>
      <c r="N150" s="91"/>
      <c r="O150" s="91"/>
      <c r="P150" s="91"/>
      <c r="Q150" s="91"/>
      <c r="R150" s="91"/>
      <c r="S150" s="91"/>
      <c r="T150" s="91"/>
      <c r="U150" s="91"/>
      <c r="V150" s="91"/>
      <c r="W150" s="91"/>
      <c r="X150" s="91"/>
      <c r="Y150" s="91"/>
      <c r="Z150" s="91"/>
      <c r="AA150" s="91"/>
      <c r="AB150" s="91"/>
      <c r="AC150" s="91"/>
      <c r="AD150" s="91"/>
      <c r="AE150" s="91"/>
      <c r="AF150" s="91"/>
      <c r="AG150" s="91"/>
      <c r="AH150" s="99"/>
    </row>
    <row r="151" spans="1:35" ht="18" customHeight="1">
      <c r="A151" s="1216" t="s">
        <v>28</v>
      </c>
      <c r="B151" s="1216"/>
      <c r="C151" s="1217"/>
      <c r="D151" s="1216" t="s">
        <v>87</v>
      </c>
      <c r="E151" s="1218"/>
      <c r="F151" s="1217"/>
      <c r="G151" s="1216" t="s">
        <v>88</v>
      </c>
      <c r="H151" s="1218"/>
      <c r="I151" s="1217"/>
      <c r="J151" s="1216" t="s">
        <v>89</v>
      </c>
      <c r="K151" s="1218"/>
      <c r="L151" s="1217"/>
      <c r="M151" s="1216" t="s">
        <v>90</v>
      </c>
      <c r="N151" s="1218"/>
      <c r="O151" s="1217"/>
      <c r="P151" s="1216" t="s">
        <v>91</v>
      </c>
      <c r="Q151" s="1218"/>
      <c r="R151" s="1219"/>
      <c r="S151" s="1220" t="s">
        <v>92</v>
      </c>
      <c r="T151" s="1218"/>
      <c r="U151" s="1217"/>
      <c r="V151" s="1216" t="s">
        <v>93</v>
      </c>
      <c r="W151" s="1218"/>
      <c r="X151" s="1221" t="s">
        <v>94</v>
      </c>
      <c r="Y151" s="1218"/>
      <c r="Z151" s="1218"/>
      <c r="AA151" s="1222"/>
      <c r="AB151" s="1086"/>
      <c r="AC151" s="1086"/>
      <c r="AD151" s="1086"/>
      <c r="AE151" s="1086"/>
      <c r="AF151" s="1086"/>
      <c r="AG151" s="1087"/>
      <c r="AH151" s="1"/>
    </row>
    <row r="152" spans="1:35" ht="18" customHeight="1">
      <c r="A152" s="1223">
        <v>8517</v>
      </c>
      <c r="B152" s="1114" t="s">
        <v>95</v>
      </c>
      <c r="C152" s="772" t="s">
        <v>96</v>
      </c>
      <c r="D152" s="773"/>
      <c r="E152" s="1085"/>
      <c r="F152" s="772" t="s">
        <v>96</v>
      </c>
      <c r="G152" s="773"/>
      <c r="H152" s="1085"/>
      <c r="I152" s="772" t="s">
        <v>96</v>
      </c>
      <c r="J152" s="773"/>
      <c r="K152" s="1085"/>
      <c r="L152" s="772" t="s">
        <v>96</v>
      </c>
      <c r="M152" s="773"/>
      <c r="N152" s="1085"/>
      <c r="O152" s="772" t="s">
        <v>97</v>
      </c>
      <c r="P152" s="773"/>
      <c r="Q152" s="1085"/>
      <c r="R152" s="772" t="s">
        <v>96</v>
      </c>
      <c r="S152" s="773"/>
      <c r="T152" s="1085"/>
      <c r="U152" s="772" t="s">
        <v>96</v>
      </c>
      <c r="V152" s="773"/>
      <c r="W152" s="1085"/>
      <c r="X152" s="1083"/>
      <c r="Y152" s="1086"/>
      <c r="Z152" s="1086"/>
      <c r="AA152" s="1086"/>
      <c r="AB152" s="1086"/>
      <c r="AC152" s="1086"/>
      <c r="AD152" s="1086"/>
      <c r="AE152" s="1086"/>
      <c r="AF152" s="1086"/>
      <c r="AG152" s="1087"/>
      <c r="AH152" s="1"/>
    </row>
    <row r="153" spans="1:35" ht="18" customHeight="1">
      <c r="B153" s="1224" t="s">
        <v>98</v>
      </c>
      <c r="C153" s="775" t="s">
        <v>99</v>
      </c>
      <c r="D153" s="776"/>
      <c r="E153" s="1225"/>
      <c r="F153" s="775" t="s">
        <v>99</v>
      </c>
      <c r="G153" s="1226"/>
      <c r="H153" s="1225"/>
      <c r="I153" s="772" t="s">
        <v>99</v>
      </c>
      <c r="J153" s="773"/>
      <c r="K153" s="1227"/>
      <c r="L153" s="772" t="s">
        <v>99</v>
      </c>
      <c r="M153" s="773"/>
      <c r="N153" s="1227"/>
      <c r="O153" s="772" t="s">
        <v>100</v>
      </c>
      <c r="P153" s="773"/>
      <c r="Q153" s="1085"/>
      <c r="R153" s="1228" t="s">
        <v>0</v>
      </c>
      <c r="S153" s="773"/>
      <c r="T153" s="1227"/>
      <c r="U153" s="773" t="s">
        <v>0</v>
      </c>
      <c r="V153" s="773"/>
      <c r="W153" s="1085"/>
      <c r="X153" s="1229" t="s">
        <v>0</v>
      </c>
      <c r="Y153" s="17"/>
      <c r="Z153" s="17"/>
      <c r="AA153" s="17"/>
      <c r="AB153" s="17"/>
      <c r="AC153" s="17"/>
      <c r="AD153" s="17"/>
      <c r="AE153" s="17"/>
      <c r="AF153" s="17"/>
      <c r="AG153" s="39"/>
      <c r="AH153" s="1"/>
    </row>
    <row r="154" spans="1:35" ht="18" customHeight="1">
      <c r="A154" s="1230"/>
      <c r="B154" s="1114" t="s">
        <v>101</v>
      </c>
      <c r="C154" s="772" t="s">
        <v>102</v>
      </c>
      <c r="D154" s="773"/>
      <c r="E154" s="1085"/>
      <c r="F154" s="772" t="s">
        <v>102</v>
      </c>
      <c r="G154" s="773"/>
      <c r="H154" s="1227"/>
      <c r="I154" s="772" t="s">
        <v>102</v>
      </c>
      <c r="J154" s="773"/>
      <c r="K154" s="1227"/>
      <c r="L154" s="772" t="s">
        <v>102</v>
      </c>
      <c r="M154" s="773"/>
      <c r="N154" s="1227"/>
      <c r="O154" s="772" t="s">
        <v>103</v>
      </c>
      <c r="P154" s="773"/>
      <c r="Q154" s="1085"/>
      <c r="R154" s="40"/>
      <c r="S154" s="41"/>
      <c r="T154" s="1227"/>
      <c r="U154" s="773"/>
      <c r="V154" s="773"/>
      <c r="W154" s="1085"/>
      <c r="X154" s="1083"/>
      <c r="Y154" s="1086"/>
      <c r="Z154" s="1086"/>
      <c r="AA154" s="1086"/>
      <c r="AB154" s="1086"/>
      <c r="AC154" s="1086"/>
      <c r="AD154" s="1086"/>
      <c r="AE154" s="1086"/>
      <c r="AF154" s="1086"/>
      <c r="AG154" s="1087"/>
      <c r="AH154" s="1"/>
    </row>
    <row r="155" spans="1:35" ht="18" customHeight="1">
      <c r="A155" s="1216"/>
      <c r="B155" s="1224" t="s">
        <v>104</v>
      </c>
      <c r="C155" s="1231" t="s">
        <v>105</v>
      </c>
      <c r="D155" s="1231"/>
      <c r="E155" s="1232"/>
      <c r="F155" s="1231" t="s">
        <v>105</v>
      </c>
      <c r="G155" s="1231"/>
      <c r="H155" s="1232"/>
      <c r="I155" s="1231" t="s">
        <v>105</v>
      </c>
      <c r="J155" s="1231"/>
      <c r="K155" s="1232"/>
      <c r="L155" s="1231" t="s">
        <v>105</v>
      </c>
      <c r="M155" s="1231"/>
      <c r="N155" s="1232"/>
      <c r="O155" s="1231" t="s">
        <v>105</v>
      </c>
      <c r="P155" s="1231"/>
      <c r="Q155" s="1232"/>
      <c r="R155" s="1231" t="s">
        <v>105</v>
      </c>
      <c r="S155" s="1231"/>
      <c r="T155" s="1232"/>
      <c r="U155" s="1231" t="s">
        <v>105</v>
      </c>
      <c r="V155" s="1231"/>
      <c r="W155" s="1232"/>
      <c r="X155" s="1083"/>
      <c r="Y155" s="1086"/>
      <c r="Z155" s="1086"/>
      <c r="AA155" s="1086"/>
      <c r="AB155" s="1086"/>
      <c r="AC155" s="1086"/>
      <c r="AD155" s="1086"/>
      <c r="AE155" s="1086"/>
      <c r="AF155" s="1086"/>
      <c r="AG155" s="1087"/>
      <c r="AH155" s="1"/>
    </row>
    <row r="156" spans="1:35" ht="18" customHeight="1">
      <c r="A156" s="42"/>
      <c r="B156" s="29"/>
      <c r="C156" s="22"/>
      <c r="D156" s="22"/>
      <c r="E156" s="18"/>
      <c r="F156" s="22"/>
      <c r="G156" s="22"/>
      <c r="H156" s="18"/>
      <c r="I156" s="22"/>
      <c r="J156" s="22"/>
      <c r="K156" s="18"/>
      <c r="L156" s="22"/>
      <c r="M156" s="22"/>
      <c r="N156" s="18"/>
      <c r="O156" s="22"/>
      <c r="P156" s="22"/>
      <c r="Q156" s="18"/>
      <c r="R156" s="22"/>
      <c r="S156" s="22"/>
      <c r="T156" s="18"/>
      <c r="U156" s="22"/>
      <c r="V156" s="22"/>
      <c r="W156" s="18"/>
      <c r="X156" s="18"/>
      <c r="Y156" s="17"/>
      <c r="Z156" s="17"/>
      <c r="AA156" s="17"/>
      <c r="AB156" s="17"/>
      <c r="AC156" s="17"/>
      <c r="AD156" s="17"/>
      <c r="AE156" s="17"/>
      <c r="AF156" s="17"/>
      <c r="AG156" s="17"/>
      <c r="AH156" s="1"/>
    </row>
    <row r="157" spans="1:35" ht="18" customHeight="1" thickBot="1">
      <c r="A157" s="785"/>
      <c r="B157" s="727" t="s">
        <v>29</v>
      </c>
      <c r="C157" s="1233">
        <v>1</v>
      </c>
      <c r="D157" s="1234">
        <v>2</v>
      </c>
      <c r="E157" s="1234">
        <v>3</v>
      </c>
      <c r="F157" s="1233">
        <v>4</v>
      </c>
      <c r="G157" s="1233">
        <v>5</v>
      </c>
      <c r="H157" s="1234">
        <v>6</v>
      </c>
      <c r="I157" s="1234">
        <v>7</v>
      </c>
      <c r="J157" s="1234">
        <v>8</v>
      </c>
      <c r="K157" s="1234">
        <v>9</v>
      </c>
      <c r="L157" s="1234">
        <v>10</v>
      </c>
      <c r="M157" s="1233">
        <v>11</v>
      </c>
      <c r="N157" s="1233">
        <v>12</v>
      </c>
      <c r="O157" s="1234">
        <v>13</v>
      </c>
      <c r="P157" s="1234">
        <v>14</v>
      </c>
      <c r="Q157" s="1234">
        <v>15</v>
      </c>
      <c r="R157" s="1234">
        <v>16</v>
      </c>
      <c r="S157" s="1233">
        <v>17</v>
      </c>
      <c r="T157" s="1233">
        <v>18</v>
      </c>
      <c r="U157" s="1233">
        <v>19</v>
      </c>
      <c r="V157" s="1234">
        <v>20</v>
      </c>
      <c r="W157" s="1234">
        <v>21</v>
      </c>
      <c r="X157" s="1234">
        <v>22</v>
      </c>
      <c r="Y157" s="1234">
        <v>23</v>
      </c>
      <c r="Z157" s="1234">
        <v>24</v>
      </c>
      <c r="AA157" s="1233">
        <v>25</v>
      </c>
      <c r="AB157" s="1233">
        <v>26</v>
      </c>
      <c r="AC157" s="1234">
        <v>27</v>
      </c>
      <c r="AD157" s="1234">
        <v>28</v>
      </c>
      <c r="AE157" s="1234">
        <v>29</v>
      </c>
      <c r="AF157" s="1233">
        <v>30</v>
      </c>
      <c r="AG157" s="1235">
        <v>31</v>
      </c>
      <c r="AH157" s="1"/>
    </row>
    <row r="158" spans="1:35" ht="18" customHeight="1">
      <c r="A158" s="789"/>
      <c r="B158" s="1148" t="s">
        <v>177</v>
      </c>
      <c r="C158" s="790"/>
      <c r="D158" s="790" t="s">
        <v>136</v>
      </c>
      <c r="E158" s="790" t="s">
        <v>136</v>
      </c>
      <c r="F158" s="790"/>
      <c r="G158" s="971"/>
      <c r="H158" s="790" t="s">
        <v>136</v>
      </c>
      <c r="I158" s="790" t="s">
        <v>136</v>
      </c>
      <c r="J158" s="790" t="s">
        <v>136</v>
      </c>
      <c r="K158" s="790" t="s">
        <v>136</v>
      </c>
      <c r="L158" s="790" t="s">
        <v>136</v>
      </c>
      <c r="M158" s="1053"/>
      <c r="N158" s="1053"/>
      <c r="O158" s="790" t="s">
        <v>136</v>
      </c>
      <c r="P158" s="790" t="s">
        <v>136</v>
      </c>
      <c r="Q158" s="790" t="s">
        <v>136</v>
      </c>
      <c r="R158" s="790" t="s">
        <v>136</v>
      </c>
      <c r="S158" s="1053"/>
      <c r="T158" s="1053"/>
      <c r="U158" s="1053"/>
      <c r="V158" s="790" t="s">
        <v>136</v>
      </c>
      <c r="W158" s="790" t="s">
        <v>136</v>
      </c>
      <c r="X158" s="790" t="s">
        <v>136</v>
      </c>
      <c r="Y158" s="790" t="s">
        <v>136</v>
      </c>
      <c r="Z158" s="790" t="s">
        <v>136</v>
      </c>
      <c r="AA158" s="971"/>
      <c r="AB158" s="1053"/>
      <c r="AC158" s="790" t="s">
        <v>136</v>
      </c>
      <c r="AD158" s="790" t="s">
        <v>136</v>
      </c>
      <c r="AE158" s="790" t="s">
        <v>136</v>
      </c>
      <c r="AF158" s="1053"/>
      <c r="AG158" s="790" t="s">
        <v>136</v>
      </c>
      <c r="AH158" s="1"/>
    </row>
    <row r="159" spans="1:35" ht="18" customHeight="1">
      <c r="A159" s="1236"/>
      <c r="B159" s="1236" t="s">
        <v>106</v>
      </c>
      <c r="C159" s="1129"/>
      <c r="D159" s="1129">
        <v>7</v>
      </c>
      <c r="E159" s="1129">
        <v>6</v>
      </c>
      <c r="F159" s="1129"/>
      <c r="G159" s="1129"/>
      <c r="H159" s="1129">
        <v>5</v>
      </c>
      <c r="I159" s="1129">
        <v>5</v>
      </c>
      <c r="J159" s="1129">
        <v>5</v>
      </c>
      <c r="K159" s="1129">
        <v>5</v>
      </c>
      <c r="L159" s="1128">
        <v>5</v>
      </c>
      <c r="M159" s="1129"/>
      <c r="N159" s="1129"/>
      <c r="O159" s="1129">
        <v>26</v>
      </c>
      <c r="P159" s="1129">
        <v>5</v>
      </c>
      <c r="Q159" s="1129">
        <v>25</v>
      </c>
      <c r="R159" s="1129">
        <v>25</v>
      </c>
      <c r="S159" s="1129"/>
      <c r="T159" s="1129"/>
      <c r="U159" s="516"/>
      <c r="V159" s="516" t="s">
        <v>48</v>
      </c>
      <c r="W159" s="516" t="s">
        <v>48</v>
      </c>
      <c r="X159" s="1131">
        <v>26</v>
      </c>
      <c r="Y159" s="516" t="s">
        <v>48</v>
      </c>
      <c r="Z159" s="1131">
        <v>26</v>
      </c>
      <c r="AA159" s="1131"/>
      <c r="AB159" s="1157"/>
      <c r="AC159" s="510" t="s">
        <v>31</v>
      </c>
      <c r="AD159" s="510" t="s">
        <v>31</v>
      </c>
      <c r="AE159" s="510" t="s">
        <v>31</v>
      </c>
      <c r="AF159" s="510"/>
      <c r="AG159" s="1211" t="s">
        <v>31</v>
      </c>
      <c r="AH159" s="1"/>
    </row>
    <row r="160" spans="1:35" ht="18" customHeight="1">
      <c r="A160" s="1126"/>
      <c r="B160" s="1148" t="s">
        <v>111</v>
      </c>
      <c r="C160" s="1237">
        <v>26</v>
      </c>
      <c r="D160" s="1237">
        <v>26</v>
      </c>
      <c r="E160" s="1237">
        <v>26</v>
      </c>
      <c r="F160" s="1237">
        <v>26</v>
      </c>
      <c r="G160" s="1237">
        <v>26</v>
      </c>
      <c r="H160" s="1127" t="s">
        <v>35</v>
      </c>
      <c r="I160" s="1127" t="s">
        <v>35</v>
      </c>
      <c r="J160" s="1127" t="s">
        <v>35</v>
      </c>
      <c r="K160" s="1127" t="s">
        <v>35</v>
      </c>
      <c r="L160" s="510" t="s">
        <v>31</v>
      </c>
      <c r="M160" s="1129" t="s">
        <v>45</v>
      </c>
      <c r="N160" s="1127" t="s">
        <v>45</v>
      </c>
      <c r="O160" s="510" t="s">
        <v>31</v>
      </c>
      <c r="P160" s="510" t="s">
        <v>31</v>
      </c>
      <c r="Q160" s="510" t="s">
        <v>31</v>
      </c>
      <c r="R160" s="1127">
        <v>5</v>
      </c>
      <c r="S160" s="1127"/>
      <c r="T160" s="1127"/>
      <c r="U160" s="1127"/>
      <c r="V160" s="1131">
        <v>25</v>
      </c>
      <c r="W160" s="1131">
        <v>25</v>
      </c>
      <c r="X160" s="1131">
        <v>25</v>
      </c>
      <c r="Y160" s="1238" t="s">
        <v>376</v>
      </c>
      <c r="Z160" s="1238" t="s">
        <v>376</v>
      </c>
      <c r="AA160" s="1238"/>
      <c r="AB160" s="1127"/>
      <c r="AC160" s="1127">
        <v>26</v>
      </c>
      <c r="AD160" s="1127">
        <v>26</v>
      </c>
      <c r="AE160" s="1127">
        <v>26</v>
      </c>
      <c r="AF160" s="1127">
        <v>26</v>
      </c>
      <c r="AG160" s="503">
        <v>26</v>
      </c>
      <c r="AH160" s="1"/>
    </row>
    <row r="161" spans="1:34" ht="18" customHeight="1">
      <c r="A161" s="1148"/>
      <c r="B161" s="1148" t="s">
        <v>377</v>
      </c>
      <c r="C161" s="1129"/>
      <c r="D161" s="1129">
        <v>25</v>
      </c>
      <c r="E161" s="1132">
        <v>25</v>
      </c>
      <c r="F161" s="1129"/>
      <c r="G161" s="1157"/>
      <c r="H161" s="1239" t="s">
        <v>107</v>
      </c>
      <c r="I161" s="1239" t="s">
        <v>31</v>
      </c>
      <c r="J161" s="1239" t="s">
        <v>31</v>
      </c>
      <c r="K161" s="1239" t="s">
        <v>31</v>
      </c>
      <c r="L161" s="1239" t="s">
        <v>31</v>
      </c>
      <c r="M161" s="1129"/>
      <c r="N161" s="1157"/>
      <c r="O161" s="1240">
        <v>26</v>
      </c>
      <c r="P161" s="1157">
        <v>26</v>
      </c>
      <c r="Q161" s="1157">
        <v>26</v>
      </c>
      <c r="R161" s="1157">
        <v>26</v>
      </c>
      <c r="S161" s="1129">
        <v>26</v>
      </c>
      <c r="T161" s="1129">
        <v>26</v>
      </c>
      <c r="U161" s="1127">
        <v>26</v>
      </c>
      <c r="V161" s="1241" t="s">
        <v>35</v>
      </c>
      <c r="W161" s="1132" t="s">
        <v>35</v>
      </c>
      <c r="X161" s="1241" t="s">
        <v>35</v>
      </c>
      <c r="Y161" s="1241" t="s">
        <v>110</v>
      </c>
      <c r="Z161" s="1241" t="s">
        <v>110</v>
      </c>
      <c r="AA161" s="1241" t="s">
        <v>45</v>
      </c>
      <c r="AB161" s="1129" t="s">
        <v>45</v>
      </c>
      <c r="AC161" s="1129" t="s">
        <v>201</v>
      </c>
      <c r="AD161" s="1129" t="s">
        <v>201</v>
      </c>
      <c r="AE161" s="1129" t="s">
        <v>201</v>
      </c>
      <c r="AF161" s="1129"/>
      <c r="AG161" s="503" t="s">
        <v>201</v>
      </c>
      <c r="AH161" s="1"/>
    </row>
    <row r="162" spans="1:34" ht="18" customHeight="1">
      <c r="A162" s="1148"/>
      <c r="B162" s="1148" t="s">
        <v>113</v>
      </c>
      <c r="C162" s="1129"/>
      <c r="D162" s="1129" t="s">
        <v>115</v>
      </c>
      <c r="E162" s="1129" t="s">
        <v>115</v>
      </c>
      <c r="F162" s="1157"/>
      <c r="G162" s="1157"/>
      <c r="H162" s="1129" t="s">
        <v>115</v>
      </c>
      <c r="I162" s="1129" t="s">
        <v>115</v>
      </c>
      <c r="J162" s="1128" t="s">
        <v>31</v>
      </c>
      <c r="K162" s="1129" t="s">
        <v>115</v>
      </c>
      <c r="L162" s="1129" t="s">
        <v>115</v>
      </c>
      <c r="M162" s="1129" t="s">
        <v>45</v>
      </c>
      <c r="N162" s="1129" t="s">
        <v>45</v>
      </c>
      <c r="O162" s="796" t="s">
        <v>225</v>
      </c>
      <c r="P162" s="796" t="s">
        <v>225</v>
      </c>
      <c r="Q162" s="796" t="s">
        <v>225</v>
      </c>
      <c r="R162" s="1185" t="s">
        <v>225</v>
      </c>
      <c r="S162" s="796" t="s">
        <v>35</v>
      </c>
      <c r="T162" s="1129"/>
      <c r="U162" s="1157"/>
      <c r="V162" s="796" t="s">
        <v>114</v>
      </c>
      <c r="W162" s="796" t="s">
        <v>114</v>
      </c>
      <c r="X162" s="796" t="s">
        <v>114</v>
      </c>
      <c r="Y162" s="796" t="s">
        <v>114</v>
      </c>
      <c r="Z162" s="796" t="s">
        <v>114</v>
      </c>
      <c r="AA162" s="1129" t="s">
        <v>115</v>
      </c>
      <c r="AB162" s="1129"/>
      <c r="AC162" s="1129" t="s">
        <v>115</v>
      </c>
      <c r="AD162" s="1242" t="s">
        <v>378</v>
      </c>
      <c r="AE162" s="1129" t="s">
        <v>115</v>
      </c>
      <c r="AF162" s="1129"/>
      <c r="AG162" s="503" t="s">
        <v>123</v>
      </c>
      <c r="AH162" s="1"/>
    </row>
    <row r="163" spans="1:34" ht="18" customHeight="1">
      <c r="A163" s="1148"/>
      <c r="C163" s="1129"/>
      <c r="D163" s="1129" t="s">
        <v>31</v>
      </c>
      <c r="E163" s="1129" t="s">
        <v>31</v>
      </c>
      <c r="F163" s="1129"/>
      <c r="G163" s="1241"/>
      <c r="H163" s="1241" t="s">
        <v>31</v>
      </c>
      <c r="I163" s="1132" t="s">
        <v>31</v>
      </c>
      <c r="J163" s="1241" t="s">
        <v>31</v>
      </c>
      <c r="K163" s="1241" t="s">
        <v>31</v>
      </c>
      <c r="L163" s="1241" t="s">
        <v>31</v>
      </c>
      <c r="M163" s="1241"/>
      <c r="N163" s="1129"/>
      <c r="O163" s="1129" t="s">
        <v>31</v>
      </c>
      <c r="P163" s="1129" t="s">
        <v>31</v>
      </c>
      <c r="Q163" s="1129" t="s">
        <v>31</v>
      </c>
      <c r="R163" s="1129" t="s">
        <v>31</v>
      </c>
      <c r="S163" s="1127"/>
      <c r="T163" s="1127"/>
      <c r="U163" s="1129"/>
      <c r="V163" s="1127" t="s">
        <v>31</v>
      </c>
      <c r="W163" s="1243" t="s">
        <v>31</v>
      </c>
      <c r="X163" s="1129" t="s">
        <v>31</v>
      </c>
      <c r="Y163" s="1129" t="s">
        <v>31</v>
      </c>
      <c r="Z163" s="1129" t="s">
        <v>31</v>
      </c>
      <c r="AA163" s="1129"/>
      <c r="AB163" s="1129"/>
      <c r="AC163" s="1129" t="s">
        <v>31</v>
      </c>
      <c r="AD163" s="1129" t="s">
        <v>31</v>
      </c>
      <c r="AE163" s="1129" t="s">
        <v>31</v>
      </c>
      <c r="AF163" s="1129"/>
      <c r="AG163" s="503" t="s">
        <v>31</v>
      </c>
      <c r="AH163" s="1"/>
    </row>
    <row r="164" spans="1:34" ht="18" customHeight="1">
      <c r="A164" s="1148"/>
      <c r="B164" s="511" t="s">
        <v>116</v>
      </c>
      <c r="C164" s="1127"/>
      <c r="D164" s="1157" t="s">
        <v>31</v>
      </c>
      <c r="E164" s="1157">
        <v>8</v>
      </c>
      <c r="F164" s="1127"/>
      <c r="G164" s="1127"/>
      <c r="H164" s="1127">
        <v>26</v>
      </c>
      <c r="I164" s="1129">
        <v>26</v>
      </c>
      <c r="J164" s="1129">
        <v>26</v>
      </c>
      <c r="K164" s="1157">
        <v>26</v>
      </c>
      <c r="L164" s="1157">
        <v>26</v>
      </c>
      <c r="M164" s="1157">
        <v>26</v>
      </c>
      <c r="N164" s="1129">
        <v>26</v>
      </c>
      <c r="O164" s="1129" t="s">
        <v>35</v>
      </c>
      <c r="P164" s="1129" t="s">
        <v>35</v>
      </c>
      <c r="Q164" s="1129" t="s">
        <v>31</v>
      </c>
      <c r="R164" s="1128" t="s">
        <v>31</v>
      </c>
      <c r="S164" s="1129"/>
      <c r="T164" s="1129"/>
      <c r="U164" s="1129"/>
      <c r="V164" s="1129" t="s">
        <v>31</v>
      </c>
      <c r="W164" s="1129" t="s">
        <v>31</v>
      </c>
      <c r="X164" s="1129" t="s">
        <v>250</v>
      </c>
      <c r="Y164" s="1240">
        <v>5</v>
      </c>
      <c r="Z164" s="1127" t="s">
        <v>31</v>
      </c>
      <c r="AA164" s="1129" t="s">
        <v>45</v>
      </c>
      <c r="AB164" s="1127"/>
      <c r="AC164" s="1127">
        <v>5</v>
      </c>
      <c r="AD164" s="1127">
        <v>5</v>
      </c>
      <c r="AE164" s="1127">
        <v>5</v>
      </c>
      <c r="AF164" s="1129"/>
      <c r="AG164" s="503">
        <v>5</v>
      </c>
      <c r="AH164" s="1"/>
    </row>
    <row r="165" spans="1:34" ht="18" customHeight="1">
      <c r="A165" s="1148"/>
      <c r="B165" s="511" t="s">
        <v>379</v>
      </c>
      <c r="C165" s="1129"/>
      <c r="D165" s="1129" t="s">
        <v>31</v>
      </c>
      <c r="E165" s="1129" t="s">
        <v>251</v>
      </c>
      <c r="F165" s="1129"/>
      <c r="G165" s="1132"/>
      <c r="H165" s="1132" t="s">
        <v>251</v>
      </c>
      <c r="I165" s="1129">
        <v>89</v>
      </c>
      <c r="J165" s="1129" t="s">
        <v>31</v>
      </c>
      <c r="K165" s="1129">
        <v>89</v>
      </c>
      <c r="L165" s="1237">
        <v>1</v>
      </c>
      <c r="M165" s="516" t="s">
        <v>69</v>
      </c>
      <c r="N165" s="516"/>
      <c r="O165" s="1131" t="s">
        <v>35</v>
      </c>
      <c r="P165" s="1131">
        <v>4</v>
      </c>
      <c r="Q165" s="1129">
        <v>4</v>
      </c>
      <c r="R165" s="516" t="s">
        <v>112</v>
      </c>
      <c r="S165" s="1129"/>
      <c r="T165" s="1129"/>
      <c r="U165" s="1127"/>
      <c r="V165" s="1129">
        <v>89</v>
      </c>
      <c r="W165" s="1129">
        <v>3</v>
      </c>
      <c r="X165" s="1157">
        <v>3</v>
      </c>
      <c r="Y165" s="1157">
        <v>3</v>
      </c>
      <c r="Z165" s="1157">
        <v>3</v>
      </c>
      <c r="AA165" s="1127"/>
      <c r="AB165" s="1127"/>
      <c r="AC165" s="1129">
        <v>1</v>
      </c>
      <c r="AD165" s="1129">
        <v>1</v>
      </c>
      <c r="AE165" s="1129">
        <v>1</v>
      </c>
      <c r="AF165" s="1129"/>
      <c r="AG165" s="1244">
        <v>1</v>
      </c>
      <c r="AH165" s="1"/>
    </row>
    <row r="166" spans="1:34" ht="18" customHeight="1">
      <c r="A166" s="511"/>
      <c r="B166" s="511" t="s">
        <v>380</v>
      </c>
      <c r="C166" s="1237" t="s">
        <v>35</v>
      </c>
      <c r="D166" s="1237" t="s">
        <v>35</v>
      </c>
      <c r="E166" s="1237" t="s">
        <v>35</v>
      </c>
      <c r="F166" s="1245" t="s">
        <v>0</v>
      </c>
      <c r="G166" s="1245" t="s">
        <v>0</v>
      </c>
      <c r="H166" s="1246" t="s">
        <v>31</v>
      </c>
      <c r="I166" s="1246" t="s">
        <v>31</v>
      </c>
      <c r="J166" s="1246" t="s">
        <v>31</v>
      </c>
      <c r="K166" s="1246" t="s">
        <v>31</v>
      </c>
      <c r="L166" s="1129">
        <v>5</v>
      </c>
      <c r="M166" s="1129"/>
      <c r="N166" s="1129"/>
      <c r="O166" s="1129">
        <v>5</v>
      </c>
      <c r="P166" s="1128">
        <v>5</v>
      </c>
      <c r="Q166" s="1129">
        <v>5</v>
      </c>
      <c r="R166" s="1128">
        <v>5</v>
      </c>
      <c r="S166" s="1129"/>
      <c r="T166" s="1129"/>
      <c r="U166" s="1129"/>
      <c r="V166" s="1129">
        <v>26</v>
      </c>
      <c r="W166" s="1240">
        <v>5</v>
      </c>
      <c r="X166" s="1240">
        <v>5</v>
      </c>
      <c r="Y166" s="1129">
        <v>26</v>
      </c>
      <c r="Z166" s="1129" t="s">
        <v>250</v>
      </c>
      <c r="AA166" s="1129">
        <v>26</v>
      </c>
      <c r="AB166" s="1129">
        <v>26</v>
      </c>
      <c r="AC166" s="1127" t="s">
        <v>35</v>
      </c>
      <c r="AD166" s="1129" t="s">
        <v>35</v>
      </c>
      <c r="AE166" s="1129" t="s">
        <v>35</v>
      </c>
      <c r="AF166" s="1129"/>
      <c r="AG166" s="1142" t="s">
        <v>31</v>
      </c>
      <c r="AH166" s="1"/>
    </row>
    <row r="167" spans="1:34" ht="18" customHeight="1" thickBot="1">
      <c r="A167" s="444"/>
      <c r="B167" s="511" t="s">
        <v>122</v>
      </c>
      <c r="C167" s="1245" t="s">
        <v>0</v>
      </c>
      <c r="D167" s="1129" t="s">
        <v>31</v>
      </c>
      <c r="E167" s="1128" t="s">
        <v>31</v>
      </c>
      <c r="F167" s="1245" t="s">
        <v>45</v>
      </c>
      <c r="G167" s="1245" t="s">
        <v>0</v>
      </c>
      <c r="H167" s="886" t="s">
        <v>110</v>
      </c>
      <c r="I167" s="886" t="s">
        <v>110</v>
      </c>
      <c r="J167" s="887" t="s">
        <v>110</v>
      </c>
      <c r="K167" s="1161" t="s">
        <v>110</v>
      </c>
      <c r="L167" s="887" t="s">
        <v>110</v>
      </c>
      <c r="M167" s="887" t="s">
        <v>108</v>
      </c>
      <c r="N167" s="887" t="s">
        <v>108</v>
      </c>
      <c r="O167" s="1245" t="s">
        <v>35</v>
      </c>
      <c r="P167" s="1245" t="s">
        <v>35</v>
      </c>
      <c r="Q167" s="1245" t="s">
        <v>35</v>
      </c>
      <c r="R167" s="1245" t="s">
        <v>35</v>
      </c>
      <c r="S167" s="1245" t="s">
        <v>0</v>
      </c>
      <c r="T167" s="1245" t="s">
        <v>0</v>
      </c>
      <c r="U167" s="1245"/>
      <c r="V167" s="570" t="s">
        <v>31</v>
      </c>
      <c r="W167" s="1246">
        <v>26</v>
      </c>
      <c r="X167" s="1246">
        <v>26</v>
      </c>
      <c r="Y167" s="1246" t="s">
        <v>250</v>
      </c>
      <c r="Z167" s="1246" t="s">
        <v>31</v>
      </c>
      <c r="AA167" s="1245" t="s">
        <v>108</v>
      </c>
      <c r="AB167" s="1245" t="s">
        <v>108</v>
      </c>
      <c r="AC167" s="1127" t="s">
        <v>35</v>
      </c>
      <c r="AD167" s="1127" t="s">
        <v>35</v>
      </c>
      <c r="AE167" s="1127" t="s">
        <v>35</v>
      </c>
      <c r="AF167" s="1245"/>
      <c r="AG167" s="1142" t="s">
        <v>31</v>
      </c>
      <c r="AH167" s="1"/>
    </row>
    <row r="168" spans="1:34" ht="18" customHeight="1" thickBot="1">
      <c r="A168" s="143"/>
      <c r="B168" s="1148" t="s">
        <v>381</v>
      </c>
      <c r="C168" s="1246" t="s">
        <v>0</v>
      </c>
      <c r="D168" s="1246" t="s">
        <v>31</v>
      </c>
      <c r="E168" s="1246">
        <v>7</v>
      </c>
      <c r="F168" s="1246">
        <v>22</v>
      </c>
      <c r="G168" s="1246">
        <v>22</v>
      </c>
      <c r="H168" s="1246" t="s">
        <v>35</v>
      </c>
      <c r="I168" s="1246" t="s">
        <v>35</v>
      </c>
      <c r="J168" s="1246" t="s">
        <v>35</v>
      </c>
      <c r="K168" s="1246" t="s">
        <v>35</v>
      </c>
      <c r="L168" s="1246" t="s">
        <v>35</v>
      </c>
      <c r="M168" s="1246" t="s">
        <v>0</v>
      </c>
      <c r="N168" s="1246" t="s">
        <v>0</v>
      </c>
      <c r="O168" s="1246" t="s">
        <v>110</v>
      </c>
      <c r="P168" s="1246">
        <v>23</v>
      </c>
      <c r="Q168" s="1246">
        <v>23</v>
      </c>
      <c r="R168" s="1246">
        <v>23</v>
      </c>
      <c r="S168" s="1246">
        <v>23</v>
      </c>
      <c r="T168" s="1246">
        <v>23</v>
      </c>
      <c r="U168" s="1246">
        <v>23</v>
      </c>
      <c r="V168" s="1246" t="s">
        <v>35</v>
      </c>
      <c r="W168" s="1246" t="s">
        <v>35</v>
      </c>
      <c r="X168" s="1246" t="s">
        <v>35</v>
      </c>
      <c r="Y168" s="1246" t="s">
        <v>35</v>
      </c>
      <c r="Z168" s="1246" t="s">
        <v>35</v>
      </c>
      <c r="AA168" s="1246" t="s">
        <v>0</v>
      </c>
      <c r="AB168" s="1246" t="s">
        <v>0</v>
      </c>
      <c r="AC168" s="1246">
        <v>25</v>
      </c>
      <c r="AD168" s="1246">
        <v>25</v>
      </c>
      <c r="AE168" s="1246">
        <v>25</v>
      </c>
      <c r="AF168" s="1246" t="s">
        <v>0</v>
      </c>
      <c r="AG168" s="1246">
        <v>25</v>
      </c>
      <c r="AH168" s="1"/>
    </row>
    <row r="169" spans="1:34" ht="18" customHeight="1">
      <c r="A169" s="144"/>
      <c r="B169" s="511" t="s">
        <v>382</v>
      </c>
      <c r="C169" s="145"/>
      <c r="D169" s="146" t="s">
        <v>107</v>
      </c>
      <c r="E169" s="146" t="s">
        <v>107</v>
      </c>
      <c r="F169" s="147"/>
      <c r="G169" s="147"/>
      <c r="H169" s="147">
        <v>25</v>
      </c>
      <c r="I169" s="147">
        <v>25</v>
      </c>
      <c r="J169" s="147">
        <v>25</v>
      </c>
      <c r="K169" s="147">
        <v>25</v>
      </c>
      <c r="L169" s="146">
        <v>25</v>
      </c>
      <c r="M169" s="146"/>
      <c r="N169" s="146"/>
      <c r="O169" s="148">
        <v>25</v>
      </c>
      <c r="P169" s="148">
        <v>25</v>
      </c>
      <c r="Q169" s="149" t="s">
        <v>383</v>
      </c>
      <c r="R169" s="146">
        <v>22</v>
      </c>
      <c r="S169" s="146">
        <v>22</v>
      </c>
      <c r="T169" s="146">
        <v>22</v>
      </c>
      <c r="U169" s="145">
        <v>22</v>
      </c>
      <c r="V169" s="145" t="s">
        <v>35</v>
      </c>
      <c r="W169" s="145" t="s">
        <v>35</v>
      </c>
      <c r="X169" s="145" t="s">
        <v>35</v>
      </c>
      <c r="Y169" s="145" t="s">
        <v>35</v>
      </c>
      <c r="Z169" s="145" t="s">
        <v>35</v>
      </c>
      <c r="AA169" s="145"/>
      <c r="AB169" s="145"/>
      <c r="AC169" s="761">
        <v>89</v>
      </c>
      <c r="AD169" s="761">
        <v>89</v>
      </c>
      <c r="AE169" s="761">
        <v>89</v>
      </c>
      <c r="AF169" s="761">
        <v>1</v>
      </c>
      <c r="AG169" s="762">
        <v>89</v>
      </c>
      <c r="AH169" s="1"/>
    </row>
    <row r="170" spans="1:34" ht="18" customHeight="1">
      <c r="A170" s="511"/>
      <c r="B170" s="511" t="s">
        <v>0</v>
      </c>
      <c r="C170" s="1129"/>
      <c r="D170" s="1129"/>
      <c r="E170" s="1129"/>
      <c r="F170" s="1129"/>
      <c r="G170" s="1129"/>
      <c r="H170" s="1129"/>
      <c r="I170" s="1129"/>
      <c r="J170" s="1129"/>
      <c r="K170" s="1129"/>
      <c r="L170" s="1129"/>
      <c r="M170" s="1129"/>
      <c r="N170" s="1129"/>
      <c r="O170" s="1129"/>
      <c r="P170" s="1129"/>
      <c r="Q170" s="1129"/>
      <c r="R170" s="1129"/>
      <c r="S170" s="1129"/>
      <c r="T170" s="1129"/>
      <c r="U170" s="1129"/>
      <c r="V170" s="1129"/>
      <c r="W170" s="1129"/>
      <c r="X170" s="1129"/>
      <c r="Y170" s="1129"/>
      <c r="Z170" s="1129"/>
      <c r="AA170" s="1129"/>
      <c r="AB170" s="1129"/>
      <c r="AC170" s="1129"/>
      <c r="AD170" s="1129"/>
      <c r="AE170" s="1129"/>
      <c r="AF170" s="1129"/>
      <c r="AG170" s="1129"/>
      <c r="AH170" s="1"/>
    </row>
    <row r="171" spans="1:34" ht="18" customHeight="1" thickBot="1">
      <c r="A171" s="1247"/>
      <c r="B171" s="1248" t="s">
        <v>384</v>
      </c>
      <c r="C171" s="1129"/>
      <c r="D171" s="1129"/>
      <c r="E171" s="1129"/>
      <c r="F171" s="1129"/>
      <c r="G171" s="1129"/>
      <c r="H171" s="1129"/>
      <c r="I171" s="1129"/>
      <c r="J171" s="1129"/>
      <c r="K171" s="1129"/>
      <c r="L171" s="1129"/>
      <c r="M171" s="1129"/>
      <c r="N171" s="1129"/>
      <c r="O171" s="1129"/>
      <c r="P171" s="1129"/>
      <c r="Q171" s="1129"/>
      <c r="R171" s="1129"/>
      <c r="S171" s="1129"/>
      <c r="T171" s="1129"/>
      <c r="U171" s="1129"/>
      <c r="V171" s="1129"/>
      <c r="W171" s="1129"/>
      <c r="X171" s="1129"/>
      <c r="Y171" s="1129"/>
      <c r="Z171" s="1129"/>
      <c r="AA171" s="1129"/>
      <c r="AB171" s="1129"/>
      <c r="AC171" s="1129"/>
      <c r="AD171" s="1129"/>
      <c r="AE171" s="1129"/>
      <c r="AF171" s="1129"/>
      <c r="AG171" s="519"/>
      <c r="AH171" s="1"/>
    </row>
    <row r="172" spans="1:34" ht="18" customHeight="1" thickBot="1">
      <c r="A172" s="1249"/>
      <c r="B172" s="954" t="s">
        <v>385</v>
      </c>
      <c r="C172" s="1250"/>
      <c r="D172" s="1129" t="s">
        <v>31</v>
      </c>
      <c r="E172" s="1129" t="s">
        <v>31</v>
      </c>
      <c r="F172" s="1251"/>
      <c r="G172" s="1251"/>
      <c r="H172" s="1129" t="s">
        <v>31</v>
      </c>
      <c r="I172" s="1129" t="s">
        <v>31</v>
      </c>
      <c r="J172" s="1129">
        <v>79</v>
      </c>
      <c r="K172" s="1129" t="s">
        <v>31</v>
      </c>
      <c r="L172" s="1129">
        <v>10</v>
      </c>
      <c r="M172" s="1251" t="s">
        <v>72</v>
      </c>
      <c r="N172" s="1251" t="s">
        <v>72</v>
      </c>
      <c r="O172" s="1129">
        <v>23</v>
      </c>
      <c r="P172" s="1129" t="s">
        <v>35</v>
      </c>
      <c r="Q172" s="1129" t="s">
        <v>35</v>
      </c>
      <c r="R172" s="1129" t="s">
        <v>35</v>
      </c>
      <c r="S172" s="1129" t="s">
        <v>35</v>
      </c>
      <c r="T172" s="445" t="s">
        <v>35</v>
      </c>
      <c r="U172" s="445" t="s">
        <v>35</v>
      </c>
      <c r="V172" s="570" t="s">
        <v>31</v>
      </c>
      <c r="W172" s="1246" t="s">
        <v>31</v>
      </c>
      <c r="X172" s="1246">
        <v>99</v>
      </c>
      <c r="Y172" s="694">
        <v>99</v>
      </c>
      <c r="Z172" s="694">
        <v>69</v>
      </c>
      <c r="AA172" s="1100"/>
      <c r="AB172" s="964"/>
      <c r="AC172" s="694"/>
      <c r="AD172" s="694" t="s">
        <v>47</v>
      </c>
      <c r="AE172" s="694" t="s">
        <v>47</v>
      </c>
      <c r="AF172" s="694" t="s">
        <v>0</v>
      </c>
      <c r="AG172" s="694" t="s">
        <v>47</v>
      </c>
      <c r="AH172" s="1179" t="s">
        <v>0</v>
      </c>
    </row>
    <row r="173" spans="1:34" ht="18" customHeight="1" thickBot="1">
      <c r="A173" s="44"/>
      <c r="B173" s="45" t="s">
        <v>147</v>
      </c>
      <c r="C173" s="46"/>
      <c r="D173" s="47"/>
      <c r="E173" s="47"/>
      <c r="F173" s="47"/>
      <c r="G173" s="47"/>
      <c r="H173" s="47"/>
      <c r="I173" s="46"/>
      <c r="J173" s="46"/>
      <c r="K173" s="47"/>
      <c r="L173" s="47"/>
      <c r="M173" s="47" t="s">
        <v>0</v>
      </c>
      <c r="N173" s="47"/>
      <c r="O173" s="47"/>
      <c r="P173" s="46"/>
      <c r="Q173" s="46"/>
      <c r="R173" s="46"/>
      <c r="S173" s="48"/>
      <c r="T173" s="48"/>
      <c r="U173" s="48"/>
      <c r="V173" s="49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  <c r="AG173" s="50"/>
      <c r="AH173" s="1"/>
    </row>
    <row r="174" spans="1:34" ht="18" customHeight="1" thickBot="1">
      <c r="A174" s="51"/>
      <c r="B174" s="52" t="s">
        <v>148</v>
      </c>
      <c r="C174" s="472">
        <v>4</v>
      </c>
      <c r="D174" s="826">
        <v>4</v>
      </c>
      <c r="E174" s="472">
        <v>4</v>
      </c>
      <c r="F174" s="472"/>
      <c r="G174" s="472"/>
      <c r="H174" s="472">
        <v>3</v>
      </c>
      <c r="I174" s="472">
        <v>3</v>
      </c>
      <c r="J174" s="826">
        <v>89</v>
      </c>
      <c r="K174" s="472">
        <v>3</v>
      </c>
      <c r="L174" s="472">
        <v>3</v>
      </c>
      <c r="M174" s="472"/>
      <c r="N174" s="472"/>
      <c r="O174" s="826">
        <v>11</v>
      </c>
      <c r="P174" s="472">
        <v>11</v>
      </c>
      <c r="Q174" s="471">
        <v>11</v>
      </c>
      <c r="R174" s="826">
        <v>11</v>
      </c>
      <c r="S174" s="1147">
        <v>11</v>
      </c>
      <c r="T174" s="1147" t="s">
        <v>68</v>
      </c>
      <c r="U174" s="1147" t="s">
        <v>68</v>
      </c>
      <c r="V174" s="472" t="s">
        <v>35</v>
      </c>
      <c r="W174" s="472" t="s">
        <v>35</v>
      </c>
      <c r="X174" s="471" t="s">
        <v>35</v>
      </c>
      <c r="Y174" s="471" t="s">
        <v>35</v>
      </c>
      <c r="Z174" s="472" t="s">
        <v>35</v>
      </c>
      <c r="AA174" s="472" t="s">
        <v>69</v>
      </c>
      <c r="AB174" s="471" t="s">
        <v>69</v>
      </c>
      <c r="AC174" s="471">
        <v>7</v>
      </c>
      <c r="AD174" s="471">
        <v>7</v>
      </c>
      <c r="AE174" s="471">
        <v>7</v>
      </c>
      <c r="AF174" s="471">
        <v>7</v>
      </c>
      <c r="AG174" s="471">
        <v>7</v>
      </c>
      <c r="AH174" s="1"/>
    </row>
    <row r="175" spans="1:34" ht="18" customHeight="1">
      <c r="A175" s="37" t="s">
        <v>149</v>
      </c>
      <c r="AH175" s="1"/>
    </row>
    <row r="176" spans="1:34" ht="18" customHeight="1" thickBot="1">
      <c r="A176" s="785"/>
      <c r="B176" s="727" t="s">
        <v>29</v>
      </c>
      <c r="C176" s="1099">
        <v>1</v>
      </c>
      <c r="D176" s="1100">
        <v>2</v>
      </c>
      <c r="E176" s="1100">
        <v>3</v>
      </c>
      <c r="F176" s="1099">
        <v>4</v>
      </c>
      <c r="G176" s="1099">
        <v>5</v>
      </c>
      <c r="H176" s="1100">
        <v>6</v>
      </c>
      <c r="I176" s="1100">
        <v>7</v>
      </c>
      <c r="J176" s="1100">
        <v>8</v>
      </c>
      <c r="K176" s="1100">
        <v>9</v>
      </c>
      <c r="L176" s="1100">
        <v>10</v>
      </c>
      <c r="M176" s="1099">
        <v>11</v>
      </c>
      <c r="N176" s="1099">
        <v>12</v>
      </c>
      <c r="O176" s="1100">
        <v>13</v>
      </c>
      <c r="P176" s="1100">
        <v>14</v>
      </c>
      <c r="Q176" s="1100">
        <v>15</v>
      </c>
      <c r="R176" s="1100">
        <v>16</v>
      </c>
      <c r="S176" s="1099">
        <v>17</v>
      </c>
      <c r="T176" s="1099">
        <v>18</v>
      </c>
      <c r="U176" s="1099">
        <v>19</v>
      </c>
      <c r="V176" s="1100">
        <v>20</v>
      </c>
      <c r="W176" s="1100">
        <v>21</v>
      </c>
      <c r="X176" s="1100">
        <v>22</v>
      </c>
      <c r="Y176" s="1100">
        <v>23</v>
      </c>
      <c r="Z176" s="1100">
        <v>24</v>
      </c>
      <c r="AA176" s="1099">
        <v>25</v>
      </c>
      <c r="AB176" s="1099">
        <v>26</v>
      </c>
      <c r="AC176" s="1100">
        <v>27</v>
      </c>
      <c r="AD176" s="1100">
        <v>28</v>
      </c>
      <c r="AE176" s="1100">
        <v>29</v>
      </c>
      <c r="AF176" s="1099">
        <v>30</v>
      </c>
      <c r="AG176" s="1101">
        <v>31</v>
      </c>
      <c r="AH176" s="1"/>
    </row>
    <row r="177" spans="1:35" ht="18" customHeight="1" thickBot="1">
      <c r="A177" s="824"/>
      <c r="B177" s="825" t="s">
        <v>150</v>
      </c>
      <c r="C177" s="826"/>
      <c r="D177" s="750"/>
      <c r="E177" s="826"/>
      <c r="F177" s="826"/>
      <c r="G177" s="826"/>
      <c r="H177" s="826"/>
      <c r="I177" s="826"/>
      <c r="J177" s="826"/>
      <c r="K177" s="826"/>
      <c r="L177" s="826"/>
      <c r="M177" s="826"/>
      <c r="N177" s="826"/>
      <c r="O177" s="826"/>
      <c r="P177" s="826"/>
      <c r="Q177" s="826"/>
      <c r="R177" s="826"/>
      <c r="S177" s="826"/>
      <c r="T177" s="826"/>
      <c r="U177" s="826"/>
      <c r="V177" s="826"/>
      <c r="W177" s="826"/>
      <c r="X177" s="826"/>
      <c r="Y177" s="826"/>
      <c r="Z177" s="826"/>
      <c r="AA177" s="826"/>
      <c r="AB177" s="826"/>
      <c r="AC177" s="826"/>
      <c r="AD177" s="826"/>
      <c r="AE177" s="826"/>
      <c r="AF177" s="826"/>
      <c r="AG177" s="827"/>
      <c r="AH177" s="1"/>
    </row>
    <row r="178" spans="1:35" ht="18" customHeight="1">
      <c r="A178" s="1252">
        <v>1</v>
      </c>
      <c r="B178" s="150" t="s">
        <v>386</v>
      </c>
      <c r="C178" s="829"/>
      <c r="D178" s="1253">
        <v>6</v>
      </c>
      <c r="E178" s="1254">
        <v>6</v>
      </c>
      <c r="F178" s="750"/>
      <c r="G178" s="829"/>
      <c r="H178" s="1253">
        <v>22</v>
      </c>
      <c r="I178" s="1253">
        <v>22</v>
      </c>
      <c r="J178" s="1253">
        <v>22</v>
      </c>
      <c r="K178" s="1253">
        <v>22</v>
      </c>
      <c r="L178" s="1254">
        <v>22</v>
      </c>
      <c r="M178" s="750"/>
      <c r="N178" s="829"/>
      <c r="O178" s="1253" t="s">
        <v>233</v>
      </c>
      <c r="P178" s="1253" t="s">
        <v>233</v>
      </c>
      <c r="Q178" s="1253" t="s">
        <v>233</v>
      </c>
      <c r="R178" s="1253" t="s">
        <v>233</v>
      </c>
      <c r="S178" s="750"/>
      <c r="T178" s="750"/>
      <c r="U178" s="829"/>
      <c r="V178" s="1253">
        <v>5</v>
      </c>
      <c r="W178" s="1253">
        <v>8</v>
      </c>
      <c r="X178" s="1253">
        <v>8</v>
      </c>
      <c r="Y178" s="1253">
        <v>8</v>
      </c>
      <c r="Z178" s="1253">
        <v>5</v>
      </c>
      <c r="AA178" s="829"/>
      <c r="AB178" s="829"/>
      <c r="AC178" s="1253">
        <v>4</v>
      </c>
      <c r="AD178" s="1253">
        <v>4</v>
      </c>
      <c r="AE178" s="1253">
        <v>4</v>
      </c>
      <c r="AF178" s="829"/>
      <c r="AG178" s="1255">
        <v>4</v>
      </c>
      <c r="AH178" s="1"/>
    </row>
    <row r="179" spans="1:35" ht="18" customHeight="1" thickBot="1">
      <c r="A179" s="1252">
        <v>2</v>
      </c>
      <c r="B179" s="150" t="s">
        <v>387</v>
      </c>
      <c r="C179" s="751"/>
      <c r="D179" s="1256">
        <v>4</v>
      </c>
      <c r="E179" s="1256">
        <v>4</v>
      </c>
      <c r="F179" s="751"/>
      <c r="G179" s="751"/>
      <c r="H179" s="1256">
        <v>8</v>
      </c>
      <c r="I179" s="1256">
        <v>8</v>
      </c>
      <c r="J179" s="1256">
        <v>8</v>
      </c>
      <c r="K179" s="1256">
        <v>8</v>
      </c>
      <c r="L179" s="1256">
        <v>8</v>
      </c>
      <c r="M179" s="751"/>
      <c r="N179" s="751"/>
      <c r="O179" s="1256">
        <v>22</v>
      </c>
      <c r="P179" s="1256">
        <v>10</v>
      </c>
      <c r="Q179" s="1256">
        <v>10</v>
      </c>
      <c r="R179" s="1257">
        <v>10</v>
      </c>
      <c r="S179" s="959"/>
      <c r="T179" s="959"/>
      <c r="U179" s="959"/>
      <c r="V179" s="1257" t="s">
        <v>110</v>
      </c>
      <c r="W179" s="1256" t="s">
        <v>110</v>
      </c>
      <c r="X179" s="1256" t="s">
        <v>110</v>
      </c>
      <c r="Y179" s="1257" t="s">
        <v>110</v>
      </c>
      <c r="Z179" s="1257" t="s">
        <v>110</v>
      </c>
      <c r="AA179" s="959"/>
      <c r="AB179" s="959"/>
      <c r="AC179" s="1257" t="s">
        <v>233</v>
      </c>
      <c r="AD179" s="1256" t="s">
        <v>233</v>
      </c>
      <c r="AE179" s="1256" t="s">
        <v>233</v>
      </c>
      <c r="AF179" s="959"/>
      <c r="AG179" s="1258" t="s">
        <v>233</v>
      </c>
      <c r="AH179" s="1"/>
    </row>
    <row r="180" spans="1:35" ht="18" customHeight="1" thickBot="1">
      <c r="A180" s="1252">
        <v>3</v>
      </c>
      <c r="B180" s="954" t="s">
        <v>388</v>
      </c>
      <c r="C180" s="1129"/>
      <c r="D180" s="1259"/>
      <c r="E180" s="1259"/>
      <c r="F180" s="1129"/>
      <c r="G180" s="1132"/>
      <c r="H180" s="1259">
        <v>79</v>
      </c>
      <c r="I180" s="1259">
        <v>79</v>
      </c>
      <c r="J180" s="1259">
        <v>79</v>
      </c>
      <c r="K180" s="1259">
        <v>79</v>
      </c>
      <c r="L180" s="1259">
        <v>79</v>
      </c>
      <c r="M180" s="516"/>
      <c r="N180" s="516"/>
      <c r="O180" s="1260">
        <v>5</v>
      </c>
      <c r="P180" s="1260">
        <v>5</v>
      </c>
      <c r="Q180" s="1259">
        <v>5</v>
      </c>
      <c r="R180" s="1261" t="s">
        <v>120</v>
      </c>
      <c r="S180" s="1129"/>
      <c r="T180" s="1129"/>
      <c r="U180" s="1127"/>
      <c r="V180" s="1259">
        <v>89</v>
      </c>
      <c r="W180" s="1259">
        <v>89</v>
      </c>
      <c r="X180" s="1262">
        <v>89</v>
      </c>
      <c r="Y180" s="1262">
        <v>89</v>
      </c>
      <c r="Z180" s="1262">
        <v>89</v>
      </c>
      <c r="AA180" s="1157"/>
      <c r="AB180" s="1129"/>
      <c r="AC180" s="1259" t="s">
        <v>110</v>
      </c>
      <c r="AD180" s="1259" t="s">
        <v>110</v>
      </c>
      <c r="AE180" s="1259" t="s">
        <v>110</v>
      </c>
      <c r="AF180" s="1129"/>
      <c r="AG180" s="1263" t="s">
        <v>110</v>
      </c>
      <c r="AH180" s="1"/>
    </row>
    <row r="181" spans="1:35" ht="18" customHeight="1" thickBot="1">
      <c r="A181" s="1252">
        <v>4</v>
      </c>
      <c r="B181" s="755" t="s">
        <v>389</v>
      </c>
      <c r="C181" s="1207"/>
      <c r="D181" s="1259"/>
      <c r="E181" s="1259"/>
      <c r="F181" s="1207"/>
      <c r="G181" s="1207"/>
      <c r="H181" s="1259"/>
      <c r="I181" s="1259"/>
      <c r="J181" s="1259"/>
      <c r="K181" s="1259"/>
      <c r="L181" s="1259"/>
      <c r="M181" s="1207"/>
      <c r="N181" s="1207"/>
      <c r="O181" s="1259"/>
      <c r="P181" s="1259"/>
      <c r="Q181" s="1259"/>
      <c r="R181" s="1259"/>
      <c r="S181" s="1264"/>
      <c r="T181" s="1264"/>
      <c r="U181" s="1207"/>
      <c r="V181" s="1159">
        <v>9</v>
      </c>
      <c r="W181" s="1159">
        <v>9</v>
      </c>
      <c r="X181" s="1159">
        <v>9</v>
      </c>
      <c r="Y181" s="1159">
        <v>9</v>
      </c>
      <c r="Z181" s="1159">
        <v>9</v>
      </c>
      <c r="AA181" s="1207"/>
      <c r="AB181" s="1207"/>
      <c r="AC181" s="1256">
        <v>8</v>
      </c>
      <c r="AD181" s="1256">
        <v>8</v>
      </c>
      <c r="AE181" s="1256">
        <v>8</v>
      </c>
      <c r="AF181" s="1207"/>
      <c r="AG181" s="1256">
        <v>8</v>
      </c>
      <c r="AH181" s="1"/>
    </row>
    <row r="182" spans="1:35" ht="18" customHeight="1" thickBot="1">
      <c r="A182" s="1265">
        <v>5</v>
      </c>
      <c r="B182" t="s">
        <v>390</v>
      </c>
      <c r="C182" s="826"/>
      <c r="D182" s="750"/>
      <c r="E182" s="826"/>
      <c r="F182" s="826"/>
      <c r="G182" s="826"/>
      <c r="H182" s="826"/>
      <c r="I182" s="826"/>
      <c r="J182" s="826"/>
      <c r="K182" s="826"/>
      <c r="L182" s="826"/>
      <c r="M182" s="826"/>
      <c r="N182" s="826"/>
      <c r="O182" s="826"/>
      <c r="P182" s="826"/>
      <c r="Q182" s="826"/>
      <c r="R182" s="826"/>
      <c r="S182" s="826"/>
      <c r="T182" s="826"/>
      <c r="U182" s="826"/>
      <c r="V182" s="826"/>
      <c r="W182" s="826"/>
      <c r="X182" s="826"/>
      <c r="Y182" s="826"/>
      <c r="Z182" s="826"/>
      <c r="AA182" s="826"/>
      <c r="AB182" s="826"/>
      <c r="AC182" s="826"/>
      <c r="AD182" s="826"/>
      <c r="AE182" s="826"/>
      <c r="AF182" s="826"/>
      <c r="AG182" s="827"/>
      <c r="AH182" s="1"/>
    </row>
    <row r="183" spans="1:35" ht="18" customHeight="1">
      <c r="A183" s="1265">
        <v>6</v>
      </c>
      <c r="B183" t="s">
        <v>391</v>
      </c>
      <c r="C183" s="826"/>
      <c r="D183" s="750"/>
      <c r="E183" s="826"/>
      <c r="F183" s="826"/>
      <c r="G183" s="826"/>
      <c r="H183" s="826"/>
      <c r="I183" s="826"/>
      <c r="J183" s="826"/>
      <c r="K183" s="826"/>
      <c r="L183" s="826"/>
      <c r="M183" s="826"/>
      <c r="N183" s="826"/>
      <c r="O183" s="826"/>
      <c r="P183" s="826"/>
      <c r="Q183" s="826"/>
      <c r="R183" s="826"/>
      <c r="S183" s="826"/>
      <c r="T183" s="826"/>
      <c r="U183" s="826"/>
      <c r="V183" s="826"/>
      <c r="W183" s="826"/>
      <c r="X183" s="826"/>
      <c r="Y183" s="826"/>
      <c r="Z183" s="826"/>
      <c r="AA183" s="826"/>
      <c r="AB183" s="826"/>
      <c r="AC183" s="826"/>
      <c r="AD183" s="826"/>
      <c r="AE183" s="826"/>
      <c r="AF183" s="826"/>
      <c r="AG183" s="827"/>
      <c r="AH183" s="1"/>
    </row>
    <row r="184" spans="1:35" ht="18" customHeight="1" thickBot="1">
      <c r="A184" s="1" t="s">
        <v>280</v>
      </c>
      <c r="B184" s="42"/>
      <c r="C184" s="100"/>
      <c r="D184" s="100"/>
      <c r="E184" s="100"/>
      <c r="F184" s="100"/>
      <c r="G184" s="100"/>
      <c r="H184" s="100"/>
      <c r="I184" s="100"/>
      <c r="J184" s="100"/>
      <c r="K184" s="100"/>
      <c r="L184" s="100"/>
      <c r="M184" s="100"/>
      <c r="N184" s="100"/>
      <c r="O184" s="100"/>
      <c r="P184" s="100"/>
      <c r="Q184" s="100"/>
      <c r="R184" s="100"/>
      <c r="S184" s="100"/>
      <c r="T184" s="100"/>
      <c r="U184" s="100"/>
      <c r="V184" s="100"/>
      <c r="W184" s="100"/>
      <c r="X184" s="100"/>
      <c r="Y184" s="100"/>
      <c r="Z184" s="100"/>
      <c r="AA184" s="100"/>
      <c r="AB184" s="100"/>
      <c r="AC184" s="100"/>
      <c r="AD184" s="100"/>
      <c r="AE184" s="100"/>
      <c r="AF184" s="100"/>
      <c r="AG184" s="100"/>
    </row>
    <row r="185" spans="1:35" ht="18" customHeight="1">
      <c r="A185" s="1"/>
      <c r="B185" s="1266" t="s">
        <v>281</v>
      </c>
      <c r="C185" s="1006" t="s">
        <v>87</v>
      </c>
      <c r="D185" s="1006"/>
      <c r="E185" s="1006"/>
      <c r="F185" s="1006"/>
      <c r="G185" s="1007" t="s">
        <v>88</v>
      </c>
      <c r="H185" s="1006"/>
      <c r="I185" s="1006"/>
      <c r="J185" s="1006"/>
      <c r="K185" s="1007" t="s">
        <v>89</v>
      </c>
      <c r="L185" s="1006"/>
      <c r="M185" s="1006"/>
      <c r="N185" s="1006"/>
      <c r="O185" s="1007" t="s">
        <v>90</v>
      </c>
      <c r="P185" s="1006"/>
      <c r="Q185" s="1006"/>
      <c r="R185" s="1006"/>
      <c r="S185" s="1007" t="s">
        <v>91</v>
      </c>
      <c r="T185" s="1006"/>
      <c r="U185" s="1006"/>
      <c r="V185" s="1006"/>
      <c r="W185" s="1008" t="s">
        <v>92</v>
      </c>
      <c r="X185" s="705"/>
      <c r="Y185" s="1006"/>
      <c r="Z185" s="1009"/>
      <c r="AA185" s="1008" t="s">
        <v>93</v>
      </c>
      <c r="AB185" s="705"/>
      <c r="AC185" s="1006"/>
      <c r="AD185" s="1009"/>
      <c r="AE185" s="1010" t="s">
        <v>94</v>
      </c>
      <c r="AF185" s="1006"/>
      <c r="AG185" s="1006"/>
      <c r="AH185" s="1006"/>
      <c r="AI185" s="706"/>
    </row>
    <row r="186" spans="1:35" ht="18" customHeight="1">
      <c r="A186" s="1"/>
      <c r="B186" s="482">
        <v>3701</v>
      </c>
      <c r="C186" s="87" t="s">
        <v>282</v>
      </c>
      <c r="D186" s="87"/>
      <c r="E186" s="87"/>
      <c r="F186" s="87"/>
      <c r="G186" s="1012" t="s">
        <v>283</v>
      </c>
      <c r="H186" s="87"/>
      <c r="I186" s="87"/>
      <c r="J186" s="87"/>
      <c r="K186" s="1012" t="s">
        <v>283</v>
      </c>
      <c r="L186" s="87"/>
      <c r="M186" s="87"/>
      <c r="N186" s="87"/>
      <c r="O186" s="1012" t="s">
        <v>283</v>
      </c>
      <c r="P186" s="87"/>
      <c r="Q186" s="87"/>
      <c r="R186" s="87"/>
      <c r="S186" s="1012" t="s">
        <v>284</v>
      </c>
      <c r="T186" s="87"/>
      <c r="U186" s="87"/>
      <c r="V186" s="87"/>
      <c r="W186" s="1267"/>
      <c r="X186" s="1268"/>
      <c r="Y186" s="715"/>
      <c r="Z186" s="1269"/>
      <c r="AA186" s="1267"/>
      <c r="AB186" s="1268"/>
      <c r="AC186" s="715"/>
      <c r="AD186" s="1269"/>
      <c r="AE186" s="931"/>
      <c r="AF186" s="715"/>
      <c r="AG186" s="715"/>
      <c r="AH186" s="715"/>
      <c r="AI186" s="1093"/>
    </row>
    <row r="187" spans="1:35" ht="18" customHeight="1">
      <c r="A187" s="1270"/>
      <c r="B187" s="1266"/>
      <c r="C187" s="1271"/>
      <c r="D187" s="468"/>
      <c r="E187" s="468"/>
      <c r="F187" s="1272"/>
      <c r="G187" s="1271"/>
      <c r="H187" s="468"/>
      <c r="I187" s="468"/>
      <c r="J187" s="1272"/>
      <c r="K187" s="1271"/>
      <c r="L187" s="468"/>
      <c r="M187" s="468"/>
      <c r="N187" s="1272"/>
      <c r="O187" s="1271"/>
      <c r="P187" s="468"/>
      <c r="Q187" s="468"/>
      <c r="R187" s="1272"/>
      <c r="S187" s="1271"/>
      <c r="T187" s="468"/>
      <c r="U187" s="468"/>
      <c r="V187" s="468"/>
      <c r="W187" s="1267"/>
      <c r="X187" s="1268"/>
      <c r="Y187" s="715"/>
      <c r="Z187" s="1269"/>
      <c r="AA187" s="1267"/>
      <c r="AB187" s="1268"/>
      <c r="AC187" s="715"/>
      <c r="AD187" s="1269"/>
      <c r="AE187" s="931"/>
      <c r="AF187" s="715"/>
      <c r="AG187" s="715"/>
      <c r="AH187" s="715"/>
      <c r="AI187" s="1093"/>
    </row>
    <row r="188" spans="1:35" ht="18" customHeight="1">
      <c r="A188" s="1270"/>
      <c r="B188" s="1266"/>
      <c r="C188" s="1271"/>
      <c r="D188" s="468"/>
      <c r="E188" s="468"/>
      <c r="F188" s="1272"/>
      <c r="G188" s="1271"/>
      <c r="H188" s="468"/>
      <c r="I188" s="468"/>
      <c r="J188" s="1272"/>
      <c r="K188" s="1271"/>
      <c r="L188" s="468"/>
      <c r="M188" s="468"/>
      <c r="N188" s="1272"/>
      <c r="O188" s="1271"/>
      <c r="P188" s="468"/>
      <c r="Q188" s="468"/>
      <c r="R188" s="1272"/>
      <c r="S188" s="1271"/>
      <c r="T188" s="468"/>
      <c r="U188" s="468"/>
      <c r="V188" s="468"/>
      <c r="W188" s="1267"/>
      <c r="X188" s="1268"/>
      <c r="Y188" s="715"/>
      <c r="Z188" s="1269"/>
      <c r="AA188" s="1267"/>
      <c r="AB188" s="1268"/>
      <c r="AC188" s="715"/>
      <c r="AD188" s="1269"/>
      <c r="AE188" s="931"/>
      <c r="AF188" s="715"/>
      <c r="AG188" s="715"/>
      <c r="AH188" s="715"/>
      <c r="AI188" s="1093"/>
    </row>
    <row r="189" spans="1:35" ht="18" customHeight="1" thickBot="1">
      <c r="A189" s="411"/>
      <c r="B189" s="412"/>
      <c r="C189" s="1273"/>
      <c r="D189" s="1201"/>
      <c r="E189" s="1201"/>
      <c r="F189" s="1274"/>
      <c r="G189" s="1273"/>
      <c r="H189" s="1201"/>
      <c r="I189" s="1201"/>
      <c r="J189" s="1274"/>
      <c r="K189" s="1273"/>
      <c r="L189" s="1201"/>
      <c r="M189" s="1201"/>
      <c r="N189" s="1274"/>
      <c r="O189" s="1273"/>
      <c r="P189" s="1201"/>
      <c r="Q189" s="1201"/>
      <c r="R189" s="1274"/>
      <c r="S189" s="1273"/>
      <c r="T189" s="1201"/>
      <c r="U189" s="1201"/>
      <c r="V189" s="1201"/>
      <c r="W189" s="1275"/>
      <c r="X189" s="1276"/>
      <c r="Y189" s="1277"/>
      <c r="Z189" s="1278"/>
      <c r="AA189" s="1275"/>
      <c r="AB189" s="1276"/>
      <c r="AC189" s="1277"/>
      <c r="AD189" s="1278"/>
      <c r="AE189" s="944"/>
      <c r="AF189" s="722"/>
      <c r="AG189" s="722"/>
      <c r="AH189" s="722"/>
      <c r="AI189" s="725"/>
    </row>
    <row r="190" spans="1:35" ht="18" customHeight="1">
      <c r="AG190" s="87"/>
      <c r="AH190" s="87"/>
    </row>
    <row r="191" spans="1:35" ht="18" customHeight="1">
      <c r="B191" s="1266">
        <v>3700</v>
      </c>
      <c r="C191" s="715" t="s">
        <v>181</v>
      </c>
      <c r="D191" s="715"/>
      <c r="E191" s="715"/>
      <c r="F191" s="715"/>
      <c r="G191" s="1279" t="s">
        <v>181</v>
      </c>
      <c r="H191" s="715"/>
      <c r="I191" s="715"/>
      <c r="J191" s="715"/>
      <c r="K191" s="1279" t="s">
        <v>181</v>
      </c>
      <c r="L191" s="715"/>
      <c r="M191" s="715"/>
      <c r="N191" s="715"/>
      <c r="O191" s="1279" t="s">
        <v>181</v>
      </c>
      <c r="P191" s="715"/>
      <c r="Q191" s="715"/>
      <c r="R191" s="715"/>
      <c r="S191" s="1279" t="s">
        <v>182</v>
      </c>
      <c r="T191" s="715"/>
      <c r="U191" s="715"/>
      <c r="V191" s="715"/>
      <c r="W191" s="715"/>
      <c r="X191" s="1279"/>
      <c r="Y191" s="715"/>
      <c r="Z191" s="933"/>
      <c r="AA191" s="931"/>
      <c r="AB191" s="715"/>
      <c r="AC191" s="715"/>
      <c r="AD191" s="773"/>
      <c r="AE191" s="1280"/>
      <c r="AF191" s="715"/>
      <c r="AG191" s="715"/>
      <c r="AH191" s="773"/>
      <c r="AI191" s="1093"/>
    </row>
    <row r="192" spans="1:35" ht="18" customHeight="1">
      <c r="A192" s="1"/>
      <c r="B192" s="1266">
        <v>8514</v>
      </c>
      <c r="C192" s="715" t="s">
        <v>283</v>
      </c>
      <c r="D192" s="715"/>
      <c r="E192" s="715"/>
      <c r="F192" s="715"/>
      <c r="G192" s="1279" t="s">
        <v>283</v>
      </c>
      <c r="H192" s="715"/>
      <c r="I192" s="715"/>
      <c r="J192" s="715"/>
      <c r="K192" s="1279" t="s">
        <v>283</v>
      </c>
      <c r="L192" s="715"/>
      <c r="M192" s="715"/>
      <c r="N192" s="715"/>
      <c r="O192" s="1279" t="s">
        <v>283</v>
      </c>
      <c r="P192" s="715"/>
      <c r="Q192" s="715"/>
      <c r="R192" s="715"/>
      <c r="S192" s="1279" t="s">
        <v>285</v>
      </c>
      <c r="T192" s="715"/>
      <c r="U192" s="715"/>
      <c r="V192" s="715"/>
      <c r="W192" s="715"/>
      <c r="X192" s="1279"/>
      <c r="Y192" s="715"/>
      <c r="Z192" s="933"/>
      <c r="AA192" s="772"/>
      <c r="AB192" s="715"/>
      <c r="AC192" s="715"/>
      <c r="AD192" s="773"/>
      <c r="AE192" s="772"/>
      <c r="AF192" s="715"/>
      <c r="AG192" s="715"/>
      <c r="AH192" s="773"/>
      <c r="AI192" s="1093"/>
    </row>
    <row r="193" spans="1:35" ht="18" customHeight="1">
      <c r="A193" s="1"/>
      <c r="B193" s="1266">
        <v>8500</v>
      </c>
      <c r="C193" s="101" t="s">
        <v>286</v>
      </c>
      <c r="D193" s="101"/>
      <c r="E193" s="101"/>
      <c r="F193" s="101"/>
      <c r="G193" s="102" t="s">
        <v>286</v>
      </c>
      <c r="H193" s="101"/>
      <c r="I193" s="101"/>
      <c r="J193" s="101"/>
      <c r="K193" s="102" t="s">
        <v>286</v>
      </c>
      <c r="L193" s="101"/>
      <c r="M193" s="101"/>
      <c r="N193" s="101"/>
      <c r="O193" s="102" t="s">
        <v>286</v>
      </c>
      <c r="P193" s="101"/>
      <c r="Q193" s="101"/>
      <c r="R193" s="101"/>
      <c r="S193" s="102" t="s">
        <v>287</v>
      </c>
      <c r="T193" s="101"/>
      <c r="U193" s="101"/>
      <c r="V193" s="101"/>
      <c r="W193" s="101"/>
      <c r="X193" s="102"/>
      <c r="Y193" s="101"/>
      <c r="Z193" s="103"/>
      <c r="AA193" s="104"/>
      <c r="AB193" s="101"/>
      <c r="AC193" s="101"/>
      <c r="AD193" s="103"/>
      <c r="AE193" s="104"/>
      <c r="AF193" s="101"/>
      <c r="AG193" s="101"/>
      <c r="AH193" s="41"/>
      <c r="AI193" s="105"/>
    </row>
    <row r="194" spans="1:35" ht="18" customHeight="1">
      <c r="A194" s="1"/>
      <c r="B194" s="1266">
        <v>8514</v>
      </c>
      <c r="C194" s="106" t="s">
        <v>283</v>
      </c>
      <c r="D194" s="106"/>
      <c r="E194" s="106"/>
      <c r="F194" s="106"/>
      <c r="G194" s="107" t="s">
        <v>283</v>
      </c>
      <c r="H194" s="106"/>
      <c r="I194" s="106"/>
      <c r="J194" s="106"/>
      <c r="K194" s="107" t="s">
        <v>283</v>
      </c>
      <c r="L194" s="106"/>
      <c r="M194" s="106"/>
      <c r="N194" s="106"/>
      <c r="O194" s="107" t="s">
        <v>283</v>
      </c>
      <c r="P194" s="106"/>
      <c r="Q194" s="106"/>
      <c r="R194" s="106"/>
      <c r="S194" s="107" t="s">
        <v>285</v>
      </c>
      <c r="T194" s="106"/>
      <c r="U194" s="106"/>
      <c r="V194" s="106"/>
      <c r="W194" s="106"/>
      <c r="X194" s="108"/>
      <c r="Y194" s="101"/>
      <c r="Z194" s="109"/>
      <c r="AA194" s="110"/>
      <c r="AB194" s="111"/>
      <c r="AC194" s="101"/>
      <c r="AD194" s="101"/>
      <c r="AE194" s="112"/>
      <c r="AF194" s="101"/>
      <c r="AG194" s="101"/>
      <c r="AH194" s="101"/>
      <c r="AI194" s="105"/>
    </row>
    <row r="195" spans="1:35" ht="18" customHeight="1" thickBot="1">
      <c r="A195" s="1"/>
      <c r="B195" s="1281" t="s">
        <v>288</v>
      </c>
      <c r="C195" s="722" t="s">
        <v>289</v>
      </c>
      <c r="D195" s="722"/>
      <c r="E195" s="722"/>
      <c r="F195" s="722"/>
      <c r="G195" s="1282" t="s">
        <v>289</v>
      </c>
      <c r="H195" s="722"/>
      <c r="I195" s="722"/>
      <c r="J195" s="722"/>
      <c r="K195" s="1283" t="s">
        <v>289</v>
      </c>
      <c r="L195" s="722"/>
      <c r="M195" s="722"/>
      <c r="N195" s="722"/>
      <c r="O195" s="1282" t="s">
        <v>289</v>
      </c>
      <c r="P195" s="722"/>
      <c r="Q195" s="722"/>
      <c r="R195" s="722"/>
      <c r="S195" s="1282" t="s">
        <v>290</v>
      </c>
      <c r="T195" s="722"/>
      <c r="U195" s="722"/>
      <c r="V195" s="722"/>
      <c r="W195" s="722"/>
      <c r="X195" s="1282"/>
      <c r="Y195" s="722"/>
      <c r="Z195" s="968"/>
      <c r="AA195" s="944"/>
      <c r="AB195" s="722"/>
      <c r="AC195" s="722"/>
      <c r="AD195" s="951"/>
      <c r="AE195" s="1284"/>
      <c r="AF195" s="722"/>
      <c r="AG195" s="722"/>
      <c r="AH195" s="951"/>
      <c r="AI195" s="725"/>
    </row>
    <row r="196" spans="1:35" ht="18" customHeight="1">
      <c r="A196" s="1"/>
      <c r="B196" s="113"/>
      <c r="C196" s="37"/>
      <c r="D196" s="87"/>
      <c r="E196" s="87"/>
      <c r="F196" s="22"/>
      <c r="G196" s="37"/>
      <c r="H196" s="87"/>
      <c r="I196" s="87"/>
      <c r="J196" s="22"/>
      <c r="K196" s="37"/>
      <c r="L196" s="87"/>
      <c r="M196" s="87"/>
      <c r="N196" s="22"/>
      <c r="O196" s="37"/>
      <c r="P196" s="87"/>
      <c r="Q196" s="87"/>
      <c r="R196" s="22"/>
      <c r="S196" s="37"/>
      <c r="T196" s="87"/>
      <c r="U196" s="87"/>
      <c r="V196" s="22"/>
      <c r="W196" s="22"/>
      <c r="Z196" s="22"/>
      <c r="AA196" s="22"/>
      <c r="AD196" s="22"/>
      <c r="AE196" s="22"/>
      <c r="AH196" s="22"/>
    </row>
    <row r="197" spans="1:35" ht="18" customHeight="1">
      <c r="A197" s="1" t="s">
        <v>291</v>
      </c>
      <c r="B197" s="113"/>
      <c r="C197" s="37"/>
      <c r="D197" s="87"/>
      <c r="E197" s="87"/>
      <c r="F197" s="22"/>
      <c r="G197" s="37"/>
      <c r="H197" s="87"/>
      <c r="I197" s="87"/>
      <c r="J197" s="22"/>
      <c r="K197" s="37"/>
      <c r="L197" s="87"/>
      <c r="M197" s="87"/>
      <c r="N197" s="22"/>
      <c r="O197" s="37"/>
      <c r="P197" s="87"/>
      <c r="Q197" s="87"/>
      <c r="R197" s="22"/>
      <c r="S197" s="37"/>
      <c r="T197" s="87"/>
      <c r="U197" s="87"/>
      <c r="V197" s="22"/>
      <c r="W197" s="22"/>
      <c r="Z197" s="22"/>
      <c r="AA197" s="22"/>
      <c r="AD197" s="22"/>
      <c r="AE197" s="22"/>
      <c r="AH197" s="22"/>
    </row>
    <row r="198" spans="1:35" ht="18" customHeight="1" thickBot="1">
      <c r="A198" s="785"/>
      <c r="B198" s="727" t="s">
        <v>29</v>
      </c>
      <c r="C198" s="1233">
        <v>1</v>
      </c>
      <c r="D198" s="1234">
        <v>2</v>
      </c>
      <c r="E198" s="1234">
        <v>3</v>
      </c>
      <c r="F198" s="1233">
        <v>4</v>
      </c>
      <c r="G198" s="1233">
        <v>5</v>
      </c>
      <c r="H198" s="1234">
        <v>6</v>
      </c>
      <c r="I198" s="1234">
        <v>7</v>
      </c>
      <c r="J198" s="1234">
        <v>8</v>
      </c>
      <c r="K198" s="1234">
        <v>9</v>
      </c>
      <c r="L198" s="1234">
        <v>10</v>
      </c>
      <c r="M198" s="1233">
        <v>11</v>
      </c>
      <c r="N198" s="1233">
        <v>12</v>
      </c>
      <c r="O198" s="1234">
        <v>13</v>
      </c>
      <c r="P198" s="1234">
        <v>14</v>
      </c>
      <c r="Q198" s="1234">
        <v>15</v>
      </c>
      <c r="R198" s="1234">
        <v>16</v>
      </c>
      <c r="S198" s="1233">
        <v>17</v>
      </c>
      <c r="T198" s="1233">
        <v>18</v>
      </c>
      <c r="U198" s="1233">
        <v>19</v>
      </c>
      <c r="V198" s="1234">
        <v>20</v>
      </c>
      <c r="W198" s="1234">
        <v>21</v>
      </c>
      <c r="X198" s="1234">
        <v>22</v>
      </c>
      <c r="Y198" s="1234">
        <v>23</v>
      </c>
      <c r="Z198" s="1234">
        <v>24</v>
      </c>
      <c r="AA198" s="1233">
        <v>25</v>
      </c>
      <c r="AB198" s="1233">
        <v>26</v>
      </c>
      <c r="AC198" s="1234">
        <v>27</v>
      </c>
      <c r="AD198" s="1234">
        <v>28</v>
      </c>
      <c r="AE198" s="1234">
        <v>29</v>
      </c>
      <c r="AF198" s="1233">
        <v>30</v>
      </c>
      <c r="AG198" s="1235">
        <v>31</v>
      </c>
      <c r="AH198" s="23"/>
      <c r="AI198" s="24"/>
    </row>
    <row r="199" spans="1:35" ht="18" customHeight="1">
      <c r="A199" s="1029"/>
      <c r="B199" s="1030" t="s">
        <v>292</v>
      </c>
      <c r="C199" s="1053"/>
      <c r="D199" s="1031" t="s">
        <v>31</v>
      </c>
      <c r="E199" s="1053" t="s">
        <v>31</v>
      </c>
      <c r="F199" s="1053"/>
      <c r="G199" s="1053"/>
      <c r="H199" s="1053" t="s">
        <v>31</v>
      </c>
      <c r="I199" s="1053" t="s">
        <v>31</v>
      </c>
      <c r="J199" s="1053" t="s">
        <v>31</v>
      </c>
      <c r="K199" s="1053" t="s">
        <v>31</v>
      </c>
      <c r="L199" s="1053" t="s">
        <v>31</v>
      </c>
      <c r="M199" s="1053"/>
      <c r="N199" s="1053"/>
      <c r="O199" s="1053" t="s">
        <v>31</v>
      </c>
      <c r="P199" s="1053" t="s">
        <v>31</v>
      </c>
      <c r="Q199" s="1053" t="s">
        <v>31</v>
      </c>
      <c r="R199" s="1053" t="s">
        <v>31</v>
      </c>
      <c r="S199" s="1053"/>
      <c r="T199" s="1053"/>
      <c r="U199" s="1053"/>
      <c r="V199" s="1053" t="s">
        <v>31</v>
      </c>
      <c r="W199" s="1053" t="s">
        <v>31</v>
      </c>
      <c r="X199" s="1053" t="s">
        <v>31</v>
      </c>
      <c r="Y199" s="1053" t="s">
        <v>31</v>
      </c>
      <c r="Z199" s="1053" t="s">
        <v>31</v>
      </c>
      <c r="AA199" s="1053"/>
      <c r="AB199" s="1053"/>
      <c r="AC199" s="1053" t="s">
        <v>31</v>
      </c>
      <c r="AD199" s="1053" t="s">
        <v>31</v>
      </c>
      <c r="AE199" s="1053" t="s">
        <v>31</v>
      </c>
      <c r="AF199" s="1053"/>
      <c r="AG199" s="397" t="s">
        <v>31</v>
      </c>
      <c r="AH199" s="23"/>
      <c r="AI199" s="24"/>
    </row>
    <row r="200" spans="1:35" ht="18" customHeight="1">
      <c r="A200" s="1285"/>
      <c r="B200" s="1286" t="s">
        <v>392</v>
      </c>
      <c r="C200" s="1129"/>
      <c r="D200" s="1243" t="s">
        <v>31</v>
      </c>
      <c r="E200" s="1129" t="s">
        <v>31</v>
      </c>
      <c r="F200" s="1129"/>
      <c r="G200" s="1129"/>
      <c r="H200" s="1129" t="s">
        <v>31</v>
      </c>
      <c r="I200" s="1129" t="s">
        <v>31</v>
      </c>
      <c r="J200" s="1129" t="s">
        <v>31</v>
      </c>
      <c r="K200" s="1129" t="s">
        <v>31</v>
      </c>
      <c r="L200" s="1129" t="s">
        <v>31</v>
      </c>
      <c r="M200" s="1129"/>
      <c r="N200" s="1129"/>
      <c r="O200" s="1129" t="s">
        <v>31</v>
      </c>
      <c r="P200" s="1129" t="s">
        <v>31</v>
      </c>
      <c r="Q200" s="1129" t="s">
        <v>31</v>
      </c>
      <c r="R200" s="1129" t="s">
        <v>31</v>
      </c>
      <c r="S200" s="1129"/>
      <c r="T200" s="1129"/>
      <c r="U200" s="1129"/>
      <c r="V200" s="1129" t="s">
        <v>31</v>
      </c>
      <c r="W200" s="1129" t="s">
        <v>31</v>
      </c>
      <c r="X200" s="1129" t="s">
        <v>31</v>
      </c>
      <c r="Y200" s="1129" t="s">
        <v>31</v>
      </c>
      <c r="Z200" s="1129" t="s">
        <v>31</v>
      </c>
      <c r="AA200" s="1129"/>
      <c r="AB200" s="1129"/>
      <c r="AC200" s="1129" t="s">
        <v>31</v>
      </c>
      <c r="AD200" s="1129" t="s">
        <v>31</v>
      </c>
      <c r="AE200" s="1129" t="s">
        <v>31</v>
      </c>
      <c r="AF200" s="1129"/>
      <c r="AG200" s="488" t="s">
        <v>31</v>
      </c>
      <c r="AH200" s="23"/>
      <c r="AI200" s="24"/>
    </row>
    <row r="201" spans="1:35" ht="18" customHeight="1" thickBot="1">
      <c r="A201" s="1287">
        <v>8514</v>
      </c>
      <c r="B201" s="1148" t="s">
        <v>393</v>
      </c>
      <c r="C201" s="1129"/>
      <c r="D201" s="1243" t="s">
        <v>31</v>
      </c>
      <c r="E201" s="1129" t="s">
        <v>31</v>
      </c>
      <c r="F201" s="1129"/>
      <c r="G201" s="1129"/>
      <c r="H201" s="1129" t="s">
        <v>31</v>
      </c>
      <c r="I201" s="1129" t="s">
        <v>31</v>
      </c>
      <c r="J201" s="1129" t="s">
        <v>31</v>
      </c>
      <c r="K201" s="1129" t="s">
        <v>31</v>
      </c>
      <c r="L201" s="1129" t="s">
        <v>31</v>
      </c>
      <c r="M201" s="1129"/>
      <c r="N201" s="1129"/>
      <c r="O201" s="510" t="s">
        <v>31</v>
      </c>
      <c r="P201" s="510" t="s">
        <v>31</v>
      </c>
      <c r="Q201" s="510" t="s">
        <v>31</v>
      </c>
      <c r="R201" s="510" t="s">
        <v>31</v>
      </c>
      <c r="S201" s="1129"/>
      <c r="T201" s="1129"/>
      <c r="U201" s="1129"/>
      <c r="V201" s="1128" t="s">
        <v>31</v>
      </c>
      <c r="W201" s="1129" t="s">
        <v>31</v>
      </c>
      <c r="X201" s="1129" t="s">
        <v>31</v>
      </c>
      <c r="Y201" s="1129" t="s">
        <v>31</v>
      </c>
      <c r="Z201" s="1129" t="s">
        <v>31</v>
      </c>
      <c r="AA201" s="1129"/>
      <c r="AB201" s="1129"/>
      <c r="AC201" s="1129" t="s">
        <v>31</v>
      </c>
      <c r="AD201" s="1129" t="s">
        <v>31</v>
      </c>
      <c r="AE201" s="1129" t="s">
        <v>31</v>
      </c>
      <c r="AF201" s="1129"/>
      <c r="AG201" s="1288" t="s">
        <v>31</v>
      </c>
      <c r="AH201" s="34"/>
      <c r="AI201" s="25"/>
    </row>
    <row r="202" spans="1:35" ht="18" customHeight="1">
      <c r="A202" s="1287">
        <v>3701</v>
      </c>
      <c r="B202" s="1148" t="s">
        <v>295</v>
      </c>
      <c r="C202" s="1129"/>
      <c r="D202" s="1129" t="s">
        <v>31</v>
      </c>
      <c r="E202" s="1239" t="s">
        <v>31</v>
      </c>
      <c r="F202" s="1129"/>
      <c r="G202" s="1129"/>
      <c r="H202" s="1129" t="s">
        <v>31</v>
      </c>
      <c r="I202" s="1129" t="s">
        <v>31</v>
      </c>
      <c r="J202" s="1129" t="s">
        <v>31</v>
      </c>
      <c r="K202" s="1129" t="s">
        <v>31</v>
      </c>
      <c r="L202" s="1129" t="s">
        <v>31</v>
      </c>
      <c r="M202" s="1129"/>
      <c r="N202" s="1129"/>
      <c r="O202" s="1128" t="s">
        <v>31</v>
      </c>
      <c r="P202" s="1129" t="s">
        <v>31</v>
      </c>
      <c r="Q202" s="1129" t="s">
        <v>31</v>
      </c>
      <c r="R202" s="1129" t="s">
        <v>31</v>
      </c>
      <c r="S202" s="1129"/>
      <c r="T202" s="1129"/>
      <c r="U202" s="1129"/>
      <c r="V202" s="1129" t="s">
        <v>31</v>
      </c>
      <c r="W202" s="1129" t="s">
        <v>31</v>
      </c>
      <c r="X202" s="1129" t="s">
        <v>31</v>
      </c>
      <c r="Y202" s="1129" t="s">
        <v>31</v>
      </c>
      <c r="Z202" s="826" t="s">
        <v>31</v>
      </c>
      <c r="AA202" s="1129"/>
      <c r="AB202" s="826" t="s">
        <v>31</v>
      </c>
      <c r="AC202" s="826" t="s">
        <v>31</v>
      </c>
      <c r="AD202" s="1129" t="s">
        <v>31</v>
      </c>
      <c r="AE202" s="1129" t="s">
        <v>31</v>
      </c>
      <c r="AF202" s="1129"/>
      <c r="AG202" s="488" t="s">
        <v>31</v>
      </c>
      <c r="AH202" s="34"/>
      <c r="AI202" s="25"/>
    </row>
    <row r="203" spans="1:35" ht="18" customHeight="1" thickBot="1">
      <c r="A203" s="1287">
        <v>3701</v>
      </c>
      <c r="B203" s="1148" t="s">
        <v>296</v>
      </c>
      <c r="C203" s="1129"/>
      <c r="D203" s="1129" t="s">
        <v>31</v>
      </c>
      <c r="E203" s="1129" t="s">
        <v>31</v>
      </c>
      <c r="F203" s="1129"/>
      <c r="G203" s="1129"/>
      <c r="H203" s="1129">
        <v>19</v>
      </c>
      <c r="I203" s="1129">
        <v>19</v>
      </c>
      <c r="J203" s="1129">
        <v>19</v>
      </c>
      <c r="K203" s="1129">
        <v>19</v>
      </c>
      <c r="L203" s="1129">
        <v>19</v>
      </c>
      <c r="M203" s="1129"/>
      <c r="N203" s="1129"/>
      <c r="O203" s="1129" t="s">
        <v>31</v>
      </c>
      <c r="P203" s="1129" t="s">
        <v>31</v>
      </c>
      <c r="Q203" s="1129" t="s">
        <v>31</v>
      </c>
      <c r="R203" s="1129" t="s">
        <v>31</v>
      </c>
      <c r="S203" s="1129"/>
      <c r="T203" s="1129"/>
      <c r="U203" s="1129"/>
      <c r="V203" s="1129" t="s">
        <v>31</v>
      </c>
      <c r="W203" s="1129" t="s">
        <v>31</v>
      </c>
      <c r="X203" s="1129" t="s">
        <v>31</v>
      </c>
      <c r="Y203" s="1129" t="s">
        <v>31</v>
      </c>
      <c r="Z203" s="1129" t="s">
        <v>31</v>
      </c>
      <c r="AA203" s="1129"/>
      <c r="AB203" s="1129"/>
      <c r="AC203" s="1129" t="s">
        <v>31</v>
      </c>
      <c r="AD203" s="1129" t="s">
        <v>31</v>
      </c>
      <c r="AE203" s="1129" t="s">
        <v>31</v>
      </c>
      <c r="AF203" s="1129"/>
      <c r="AG203" s="1288" t="s">
        <v>31</v>
      </c>
      <c r="AH203" s="34"/>
      <c r="AI203" s="25"/>
    </row>
    <row r="204" spans="1:35" ht="18" customHeight="1">
      <c r="A204" s="1287">
        <v>3701</v>
      </c>
      <c r="B204" s="1148" t="s">
        <v>297</v>
      </c>
      <c r="C204" s="1129"/>
      <c r="D204" s="1132" t="s">
        <v>31</v>
      </c>
      <c r="E204" s="1132" t="s">
        <v>31</v>
      </c>
      <c r="F204" s="1129"/>
      <c r="G204" s="1129"/>
      <c r="H204" s="1129" t="s">
        <v>31</v>
      </c>
      <c r="I204" s="1129" t="s">
        <v>31</v>
      </c>
      <c r="J204" s="1129" t="s">
        <v>31</v>
      </c>
      <c r="K204" s="1129" t="s">
        <v>31</v>
      </c>
      <c r="L204" s="1128" t="s">
        <v>31</v>
      </c>
      <c r="M204" s="1129"/>
      <c r="N204" s="1129"/>
      <c r="O204" s="1129" t="s">
        <v>31</v>
      </c>
      <c r="P204" s="1129" t="s">
        <v>31</v>
      </c>
      <c r="Q204" s="1129" t="s">
        <v>31</v>
      </c>
      <c r="R204" s="1129" t="s">
        <v>31</v>
      </c>
      <c r="S204" s="1129"/>
      <c r="T204" s="1129"/>
      <c r="U204" s="1129"/>
      <c r="V204" s="1129" t="s">
        <v>31</v>
      </c>
      <c r="W204" s="1129" t="s">
        <v>31</v>
      </c>
      <c r="X204" s="1129" t="s">
        <v>31</v>
      </c>
      <c r="Y204" s="1129" t="s">
        <v>31</v>
      </c>
      <c r="Z204" s="1128" t="s">
        <v>31</v>
      </c>
      <c r="AA204" s="1127"/>
      <c r="AB204" s="1127"/>
      <c r="AC204" s="826" t="s">
        <v>31</v>
      </c>
      <c r="AD204" s="1129">
        <v>19</v>
      </c>
      <c r="AE204" s="1129">
        <v>19</v>
      </c>
      <c r="AF204" s="1129"/>
      <c r="AG204" s="1288">
        <v>19</v>
      </c>
      <c r="AH204" s="34"/>
      <c r="AI204" s="25"/>
    </row>
    <row r="205" spans="1:35" ht="18" customHeight="1">
      <c r="A205" s="1287">
        <v>3701</v>
      </c>
      <c r="B205" s="1148" t="s">
        <v>298</v>
      </c>
      <c r="C205" s="1129"/>
      <c r="D205" s="1128">
        <v>19</v>
      </c>
      <c r="E205" s="1128">
        <v>19</v>
      </c>
      <c r="F205" s="1129"/>
      <c r="G205" s="1129"/>
      <c r="H205" s="1129" t="s">
        <v>31</v>
      </c>
      <c r="I205" s="1129" t="s">
        <v>31</v>
      </c>
      <c r="J205" s="1129" t="s">
        <v>31</v>
      </c>
      <c r="K205" s="1129" t="s">
        <v>31</v>
      </c>
      <c r="L205" s="1129" t="s">
        <v>31</v>
      </c>
      <c r="M205" s="1129"/>
      <c r="N205" s="1129"/>
      <c r="O205" s="1129" t="s">
        <v>31</v>
      </c>
      <c r="P205" s="1129" t="s">
        <v>31</v>
      </c>
      <c r="Q205" s="1129" t="s">
        <v>31</v>
      </c>
      <c r="R205" s="1129" t="s">
        <v>31</v>
      </c>
      <c r="S205" s="1129"/>
      <c r="T205" s="1129"/>
      <c r="U205" s="1132"/>
      <c r="V205" s="1132" t="s">
        <v>31</v>
      </c>
      <c r="W205" s="1129" t="s">
        <v>31</v>
      </c>
      <c r="X205" s="1129" t="s">
        <v>31</v>
      </c>
      <c r="Y205" s="1129" t="s">
        <v>31</v>
      </c>
      <c r="Z205" s="1129" t="s">
        <v>31</v>
      </c>
      <c r="AA205" s="1129"/>
      <c r="AB205" s="1129"/>
      <c r="AC205" s="1129" t="s">
        <v>31</v>
      </c>
      <c r="AD205" s="1129" t="s">
        <v>31</v>
      </c>
      <c r="AE205" s="1129" t="s">
        <v>31</v>
      </c>
      <c r="AF205" s="1129"/>
      <c r="AG205" s="488" t="s">
        <v>31</v>
      </c>
      <c r="AH205" s="34"/>
      <c r="AI205" s="25"/>
    </row>
    <row r="206" spans="1:35" ht="18" customHeight="1">
      <c r="A206" s="1287">
        <v>3701</v>
      </c>
      <c r="B206" s="1148" t="s">
        <v>299</v>
      </c>
      <c r="C206" s="1129"/>
      <c r="D206" s="1129" t="s">
        <v>31</v>
      </c>
      <c r="E206" s="1129" t="s">
        <v>31</v>
      </c>
      <c r="F206" s="1129"/>
      <c r="G206" s="1129"/>
      <c r="H206" s="1129" t="s">
        <v>31</v>
      </c>
      <c r="I206" s="1129" t="s">
        <v>31</v>
      </c>
      <c r="J206" s="1129" t="s">
        <v>31</v>
      </c>
      <c r="K206" s="1129" t="s">
        <v>31</v>
      </c>
      <c r="L206" s="1129" t="s">
        <v>31</v>
      </c>
      <c r="M206" s="1129"/>
      <c r="N206" s="1129"/>
      <c r="O206" s="1129" t="s">
        <v>31</v>
      </c>
      <c r="P206" s="1129" t="s">
        <v>31</v>
      </c>
      <c r="Q206" s="1129" t="s">
        <v>31</v>
      </c>
      <c r="R206" s="1131" t="s">
        <v>31</v>
      </c>
      <c r="S206" s="1131"/>
      <c r="T206" s="1131"/>
      <c r="U206" s="1129"/>
      <c r="V206" s="1129" t="s">
        <v>31</v>
      </c>
      <c r="W206" s="1129" t="s">
        <v>31</v>
      </c>
      <c r="X206" s="1129" t="s">
        <v>31</v>
      </c>
      <c r="Y206" s="1129" t="s">
        <v>31</v>
      </c>
      <c r="Z206" s="1129" t="s">
        <v>31</v>
      </c>
      <c r="AA206" s="1129"/>
      <c r="AB206" s="1129"/>
      <c r="AC206" s="1129" t="s">
        <v>31</v>
      </c>
      <c r="AD206" s="1129" t="s">
        <v>31</v>
      </c>
      <c r="AE206" s="1129" t="s">
        <v>31</v>
      </c>
      <c r="AF206" s="1129"/>
      <c r="AG206" s="1288" t="s">
        <v>31</v>
      </c>
      <c r="AH206" s="34"/>
      <c r="AI206" s="25"/>
    </row>
    <row r="207" spans="1:35" ht="18" customHeight="1" thickBot="1">
      <c r="A207" s="1287">
        <v>3701</v>
      </c>
      <c r="B207" s="1148" t="s">
        <v>300</v>
      </c>
      <c r="C207" s="1129"/>
      <c r="D207" s="1129" t="s">
        <v>31</v>
      </c>
      <c r="E207" s="1129" t="s">
        <v>31</v>
      </c>
      <c r="F207" s="1129"/>
      <c r="G207" s="1129"/>
      <c r="H207" s="1129" t="s">
        <v>31</v>
      </c>
      <c r="I207" s="1129" t="s">
        <v>31</v>
      </c>
      <c r="J207" s="1129" t="s">
        <v>31</v>
      </c>
      <c r="K207" s="1129" t="s">
        <v>31</v>
      </c>
      <c r="L207" s="1129" t="s">
        <v>31</v>
      </c>
      <c r="M207" s="1129"/>
      <c r="N207" s="1129"/>
      <c r="O207" s="1129">
        <v>19</v>
      </c>
      <c r="P207" s="1129">
        <v>19</v>
      </c>
      <c r="Q207" s="1129">
        <v>19</v>
      </c>
      <c r="R207" s="1132">
        <v>19</v>
      </c>
      <c r="S207" s="1132"/>
      <c r="T207" s="1132"/>
      <c r="U207" s="1129"/>
      <c r="V207" s="1129" t="s">
        <v>31</v>
      </c>
      <c r="W207" s="1129" t="s">
        <v>31</v>
      </c>
      <c r="X207" s="1129" t="s">
        <v>31</v>
      </c>
      <c r="Y207" s="1129" t="s">
        <v>31</v>
      </c>
      <c r="Z207" s="1129" t="s">
        <v>31</v>
      </c>
      <c r="AA207" s="1129"/>
      <c r="AB207" s="1129"/>
      <c r="AC207" s="1129" t="s">
        <v>31</v>
      </c>
      <c r="AD207" s="1129" t="s">
        <v>31</v>
      </c>
      <c r="AE207" s="1129" t="s">
        <v>31</v>
      </c>
      <c r="AF207" s="1129"/>
      <c r="AG207" s="488" t="s">
        <v>31</v>
      </c>
      <c r="AH207" s="34"/>
      <c r="AI207" s="25"/>
    </row>
    <row r="208" spans="1:35" ht="18" customHeight="1">
      <c r="A208" s="1287">
        <v>3701</v>
      </c>
      <c r="B208" s="1148" t="s">
        <v>301</v>
      </c>
      <c r="C208" s="1129"/>
      <c r="D208" s="1129" t="s">
        <v>31</v>
      </c>
      <c r="E208" s="1129" t="s">
        <v>31</v>
      </c>
      <c r="F208" s="1129"/>
      <c r="G208" s="1129"/>
      <c r="H208" s="1129" t="s">
        <v>31</v>
      </c>
      <c r="I208" s="1129" t="s">
        <v>31</v>
      </c>
      <c r="J208" s="505" t="s">
        <v>31</v>
      </c>
      <c r="K208" s="505" t="s">
        <v>31</v>
      </c>
      <c r="L208" s="1129" t="s">
        <v>31</v>
      </c>
      <c r="M208" s="1129"/>
      <c r="N208" s="1129"/>
      <c r="O208" s="1129" t="s">
        <v>31</v>
      </c>
      <c r="P208" s="1129" t="s">
        <v>31</v>
      </c>
      <c r="Q208" s="1129" t="s">
        <v>31</v>
      </c>
      <c r="R208" s="1129" t="s">
        <v>31</v>
      </c>
      <c r="S208" s="1129"/>
      <c r="T208" s="1129"/>
      <c r="U208" s="1129"/>
      <c r="V208" s="1129">
        <v>19</v>
      </c>
      <c r="W208" s="1129">
        <v>19</v>
      </c>
      <c r="X208" s="1129">
        <v>19</v>
      </c>
      <c r="Y208" s="1132">
        <v>19</v>
      </c>
      <c r="Z208" s="1132">
        <v>19</v>
      </c>
      <c r="AA208" s="1127"/>
      <c r="AB208" s="1127"/>
      <c r="AC208" s="826" t="s">
        <v>31</v>
      </c>
      <c r="AD208" s="1129" t="s">
        <v>31</v>
      </c>
      <c r="AE208" s="1129" t="s">
        <v>31</v>
      </c>
      <c r="AF208" s="1129"/>
      <c r="AG208" s="1288" t="s">
        <v>31</v>
      </c>
      <c r="AH208" s="34"/>
      <c r="AI208" s="25"/>
    </row>
    <row r="209" spans="1:35" ht="18" customHeight="1">
      <c r="A209" s="1289">
        <v>3701</v>
      </c>
      <c r="B209" s="1148" t="s">
        <v>302</v>
      </c>
      <c r="C209" s="1129"/>
      <c r="D209" s="1129" t="s">
        <v>31</v>
      </c>
      <c r="E209" s="1129" t="s">
        <v>31</v>
      </c>
      <c r="F209" s="1129"/>
      <c r="G209" s="1129"/>
      <c r="H209" s="1129" t="s">
        <v>31</v>
      </c>
      <c r="I209" s="1129" t="s">
        <v>31</v>
      </c>
      <c r="J209" s="1129" t="s">
        <v>31</v>
      </c>
      <c r="K209" s="1129" t="s">
        <v>31</v>
      </c>
      <c r="L209" s="1214" t="s">
        <v>31</v>
      </c>
      <c r="M209" s="1129"/>
      <c r="N209" s="1129"/>
      <c r="O209" s="1129" t="s">
        <v>31</v>
      </c>
      <c r="P209" s="1129" t="s">
        <v>31</v>
      </c>
      <c r="Q209" s="1129" t="s">
        <v>31</v>
      </c>
      <c r="R209" s="1129" t="s">
        <v>31</v>
      </c>
      <c r="S209" s="1131"/>
      <c r="T209" s="1131"/>
      <c r="U209" s="1131"/>
      <c r="V209" s="1131" t="s">
        <v>31</v>
      </c>
      <c r="W209" s="1129" t="s">
        <v>31</v>
      </c>
      <c r="X209" s="1129" t="s">
        <v>31</v>
      </c>
      <c r="Y209" s="1129" t="s">
        <v>31</v>
      </c>
      <c r="Z209" s="1129" t="s">
        <v>31</v>
      </c>
      <c r="AA209" s="1129"/>
      <c r="AB209" s="1129"/>
      <c r="AC209" s="1129" t="s">
        <v>31</v>
      </c>
      <c r="AD209" s="1129" t="s">
        <v>31</v>
      </c>
      <c r="AE209" s="1129" t="s">
        <v>31</v>
      </c>
      <c r="AF209" s="1129"/>
      <c r="AG209" s="488" t="s">
        <v>31</v>
      </c>
      <c r="AH209" s="34"/>
      <c r="AI209" s="25"/>
    </row>
    <row r="210" spans="1:35" ht="18" customHeight="1">
      <c r="A210" s="1287">
        <v>3701</v>
      </c>
      <c r="B210" s="1148" t="s">
        <v>303</v>
      </c>
      <c r="C210" s="1129"/>
      <c r="D210" s="510" t="s">
        <v>31</v>
      </c>
      <c r="E210" s="510" t="s">
        <v>31</v>
      </c>
      <c r="F210" s="1129"/>
      <c r="G210" s="1129"/>
      <c r="H210" s="1129" t="s">
        <v>31</v>
      </c>
      <c r="I210" s="1129" t="s">
        <v>31</v>
      </c>
      <c r="J210" s="1139" t="s">
        <v>31</v>
      </c>
      <c r="K210" s="1139" t="s">
        <v>31</v>
      </c>
      <c r="L210" s="1213" t="s">
        <v>109</v>
      </c>
      <c r="M210" s="1129"/>
      <c r="N210" s="1129"/>
      <c r="O210" s="1129" t="s">
        <v>31</v>
      </c>
      <c r="P210" s="1129" t="s">
        <v>31</v>
      </c>
      <c r="Q210" s="1129" t="s">
        <v>31</v>
      </c>
      <c r="R210" s="1290" t="s">
        <v>31</v>
      </c>
      <c r="S210" s="1290"/>
      <c r="T210" s="1290"/>
      <c r="U210" s="1290"/>
      <c r="V210" s="1290" t="s">
        <v>31</v>
      </c>
      <c r="W210" s="1132" t="s">
        <v>31</v>
      </c>
      <c r="X210" s="1132" t="s">
        <v>31</v>
      </c>
      <c r="Y210" s="1129" t="s">
        <v>31</v>
      </c>
      <c r="Z210" s="1129" t="s">
        <v>31</v>
      </c>
      <c r="AA210" s="1129"/>
      <c r="AB210" s="1129"/>
      <c r="AC210" s="1129" t="s">
        <v>31</v>
      </c>
      <c r="AD210" s="1132" t="s">
        <v>31</v>
      </c>
      <c r="AE210" s="1132" t="s">
        <v>31</v>
      </c>
      <c r="AF210" s="1132"/>
      <c r="AG210" s="1291" t="s">
        <v>31</v>
      </c>
      <c r="AH210" s="34"/>
      <c r="AI210" s="25"/>
    </row>
    <row r="211" spans="1:35" ht="18" customHeight="1">
      <c r="A211" s="1287">
        <v>3701</v>
      </c>
      <c r="B211" s="1148" t="s">
        <v>305</v>
      </c>
      <c r="C211" s="1292"/>
      <c r="D211" s="1292" t="s">
        <v>31</v>
      </c>
      <c r="E211" s="1292" t="s">
        <v>31</v>
      </c>
      <c r="F211" s="1292"/>
      <c r="G211" s="1292"/>
      <c r="H211" s="1292" t="s">
        <v>31</v>
      </c>
      <c r="I211" s="1292" t="s">
        <v>31</v>
      </c>
      <c r="J211" s="1292" t="s">
        <v>31</v>
      </c>
      <c r="K211" s="1292" t="s">
        <v>31</v>
      </c>
      <c r="L211" s="1292" t="s">
        <v>31</v>
      </c>
      <c r="M211" s="1292"/>
      <c r="N211" s="1292"/>
      <c r="O211" s="1292" t="s">
        <v>31</v>
      </c>
      <c r="P211" s="1292" t="s">
        <v>31</v>
      </c>
      <c r="Q211" s="1292" t="s">
        <v>31</v>
      </c>
      <c r="R211" s="1292" t="s">
        <v>31</v>
      </c>
      <c r="S211" s="1292"/>
      <c r="T211" s="1292"/>
      <c r="U211" s="1292"/>
      <c r="V211" s="510" t="s">
        <v>31</v>
      </c>
      <c r="W211" s="510" t="s">
        <v>31</v>
      </c>
      <c r="X211" s="510" t="s">
        <v>31</v>
      </c>
      <c r="Y211" s="510" t="s">
        <v>31</v>
      </c>
      <c r="Z211" s="510" t="s">
        <v>31</v>
      </c>
      <c r="AA211" s="1292"/>
      <c r="AB211" s="1129"/>
      <c r="AC211" s="1129" t="s">
        <v>31</v>
      </c>
      <c r="AD211" s="1129" t="s">
        <v>31</v>
      </c>
      <c r="AE211" s="1129" t="s">
        <v>31</v>
      </c>
      <c r="AF211" s="1129"/>
      <c r="AG211" s="1293" t="s">
        <v>31</v>
      </c>
      <c r="AH211" s="34"/>
      <c r="AI211" s="25"/>
    </row>
    <row r="212" spans="1:35" ht="18" customHeight="1">
      <c r="A212" s="1287"/>
      <c r="B212" s="1294" t="s">
        <v>277</v>
      </c>
      <c r="C212" s="1129"/>
      <c r="D212" s="1129"/>
      <c r="E212" s="1129"/>
      <c r="F212" s="1129"/>
      <c r="G212" s="1129"/>
      <c r="H212" s="1129"/>
      <c r="I212" s="1129"/>
      <c r="J212" s="1129"/>
      <c r="K212" s="1129"/>
      <c r="L212" s="1129"/>
      <c r="M212" s="1129"/>
      <c r="N212" s="1129"/>
      <c r="O212" s="1129"/>
      <c r="P212" s="1129"/>
      <c r="Q212" s="1129"/>
      <c r="R212" s="1129"/>
      <c r="S212" s="1129"/>
      <c r="T212" s="1129"/>
      <c r="U212" s="1129"/>
      <c r="V212" s="1129"/>
      <c r="W212" s="1129"/>
      <c r="X212" s="1129"/>
      <c r="Y212" s="1129"/>
      <c r="Z212" s="1129"/>
      <c r="AA212" s="1129"/>
      <c r="AB212" s="1129"/>
      <c r="AC212" s="1129"/>
      <c r="AD212" s="1129"/>
      <c r="AE212" s="1129"/>
      <c r="AF212" s="1129"/>
      <c r="AG212" s="488"/>
      <c r="AH212" s="34"/>
      <c r="AI212" s="25"/>
    </row>
    <row r="213" spans="1:35" ht="18" customHeight="1">
      <c r="A213" s="1287"/>
      <c r="B213" s="1148" t="s">
        <v>306</v>
      </c>
      <c r="C213" s="1292"/>
      <c r="D213" s="1292" t="s">
        <v>31</v>
      </c>
      <c r="E213" s="1292" t="s">
        <v>31</v>
      </c>
      <c r="F213" s="1292"/>
      <c r="G213" s="1292"/>
      <c r="H213" s="1292" t="s">
        <v>31</v>
      </c>
      <c r="I213" s="1292" t="s">
        <v>31</v>
      </c>
      <c r="J213" s="1292" t="s">
        <v>31</v>
      </c>
      <c r="K213" s="1292" t="s">
        <v>31</v>
      </c>
      <c r="L213" s="1292" t="s">
        <v>31</v>
      </c>
      <c r="M213" s="1292"/>
      <c r="N213" s="1292"/>
      <c r="O213" s="1292" t="s">
        <v>31</v>
      </c>
      <c r="P213" s="1292" t="s">
        <v>31</v>
      </c>
      <c r="Q213" s="1292" t="s">
        <v>31</v>
      </c>
      <c r="R213" s="1292" t="s">
        <v>31</v>
      </c>
      <c r="S213" s="1292"/>
      <c r="T213" s="1292"/>
      <c r="U213" s="1292"/>
      <c r="V213" s="1292" t="s">
        <v>31</v>
      </c>
      <c r="W213" s="1292" t="s">
        <v>31</v>
      </c>
      <c r="X213" s="1292" t="s">
        <v>31</v>
      </c>
      <c r="Y213" s="1292" t="s">
        <v>31</v>
      </c>
      <c r="Z213" s="1292" t="s">
        <v>31</v>
      </c>
      <c r="AA213" s="1292"/>
      <c r="AB213" s="1292"/>
      <c r="AC213" s="1292" t="s">
        <v>31</v>
      </c>
      <c r="AD213" s="1292" t="s">
        <v>31</v>
      </c>
      <c r="AE213" s="1292" t="s">
        <v>31</v>
      </c>
      <c r="AF213" s="1129"/>
      <c r="AG213" s="488" t="s">
        <v>31</v>
      </c>
      <c r="AH213" s="34"/>
      <c r="AI213" s="25"/>
    </row>
    <row r="214" spans="1:35" ht="18" customHeight="1">
      <c r="A214" s="1287"/>
      <c r="B214" s="1148" t="s">
        <v>307</v>
      </c>
      <c r="C214" s="1129"/>
      <c r="D214" s="505" t="s">
        <v>31</v>
      </c>
      <c r="E214" s="1140" t="s">
        <v>31</v>
      </c>
      <c r="F214" s="1140"/>
      <c r="G214" s="1140"/>
      <c r="H214" s="1140" t="s">
        <v>31</v>
      </c>
      <c r="I214" s="1140" t="s">
        <v>31</v>
      </c>
      <c r="J214" s="1140" t="s">
        <v>31</v>
      </c>
      <c r="K214" s="1140" t="s">
        <v>31</v>
      </c>
      <c r="L214" s="1213" t="s">
        <v>304</v>
      </c>
      <c r="M214" s="1129"/>
      <c r="N214" s="1129"/>
      <c r="O214" s="1129" t="s">
        <v>31</v>
      </c>
      <c r="P214" s="1129" t="s">
        <v>31</v>
      </c>
      <c r="Q214" s="1129" t="s">
        <v>31</v>
      </c>
      <c r="R214" s="1129" t="s">
        <v>31</v>
      </c>
      <c r="S214" s="1129"/>
      <c r="T214" s="1129"/>
      <c r="U214" s="1129"/>
      <c r="V214" s="1129" t="s">
        <v>31</v>
      </c>
      <c r="W214" s="1129" t="s">
        <v>31</v>
      </c>
      <c r="X214" s="1129" t="s">
        <v>31</v>
      </c>
      <c r="Y214" s="1129" t="s">
        <v>31</v>
      </c>
      <c r="Z214" s="1129" t="s">
        <v>31</v>
      </c>
      <c r="AA214" s="1129"/>
      <c r="AB214" s="1129"/>
      <c r="AC214" s="1129" t="s">
        <v>31</v>
      </c>
      <c r="AD214" s="1129" t="s">
        <v>31</v>
      </c>
      <c r="AE214" s="1129" t="s">
        <v>31</v>
      </c>
      <c r="AF214" s="1129"/>
      <c r="AG214" s="488" t="s">
        <v>31</v>
      </c>
      <c r="AH214" s="34"/>
      <c r="AI214" s="25"/>
    </row>
    <row r="215" spans="1:35" ht="18" customHeight="1">
      <c r="A215" s="1287"/>
      <c r="B215" s="1148" t="s">
        <v>308</v>
      </c>
      <c r="C215" s="1129"/>
      <c r="D215" s="1129" t="s">
        <v>31</v>
      </c>
      <c r="E215" s="1129" t="s">
        <v>31</v>
      </c>
      <c r="F215" s="1129"/>
      <c r="G215" s="1129"/>
      <c r="H215" s="1129" t="s">
        <v>31</v>
      </c>
      <c r="I215" s="1129" t="s">
        <v>31</v>
      </c>
      <c r="J215" s="1129" t="s">
        <v>31</v>
      </c>
      <c r="K215" s="1129" t="s">
        <v>31</v>
      </c>
      <c r="L215" s="1129" t="s">
        <v>31</v>
      </c>
      <c r="M215" s="1129"/>
      <c r="N215" s="505"/>
      <c r="O215" s="505" t="s">
        <v>31</v>
      </c>
      <c r="P215" s="1129" t="s">
        <v>31</v>
      </c>
      <c r="Q215" s="1129" t="s">
        <v>31</v>
      </c>
      <c r="R215" s="1129" t="s">
        <v>31</v>
      </c>
      <c r="S215" s="1129"/>
      <c r="T215" s="1132"/>
      <c r="U215" s="1129"/>
      <c r="V215" s="114" t="s">
        <v>31</v>
      </c>
      <c r="W215" s="1129" t="s">
        <v>31</v>
      </c>
      <c r="X215" s="1129" t="s">
        <v>31</v>
      </c>
      <c r="Y215" s="1129" t="s">
        <v>31</v>
      </c>
      <c r="Z215" s="1129" t="s">
        <v>31</v>
      </c>
      <c r="AA215" s="1129"/>
      <c r="AB215" s="1129"/>
      <c r="AC215" s="1129" t="s">
        <v>31</v>
      </c>
      <c r="AD215" s="1129" t="s">
        <v>31</v>
      </c>
      <c r="AE215" s="1129" t="s">
        <v>31</v>
      </c>
      <c r="AF215" s="1129"/>
      <c r="AG215" s="488" t="s">
        <v>31</v>
      </c>
      <c r="AH215" s="34"/>
      <c r="AI215" s="25"/>
    </row>
    <row r="216" spans="1:35" ht="18" customHeight="1">
      <c r="A216" s="1287"/>
      <c r="B216" s="1148" t="s">
        <v>309</v>
      </c>
      <c r="C216" s="1129"/>
      <c r="D216" s="1129" t="s">
        <v>31</v>
      </c>
      <c r="E216" s="1129" t="s">
        <v>31</v>
      </c>
      <c r="F216" s="1129"/>
      <c r="G216" s="1129"/>
      <c r="H216" s="1129" t="s">
        <v>31</v>
      </c>
      <c r="I216" s="1129" t="s">
        <v>31</v>
      </c>
      <c r="J216" s="1129" t="s">
        <v>31</v>
      </c>
      <c r="K216" s="1129" t="s">
        <v>31</v>
      </c>
      <c r="L216" s="1129" t="s">
        <v>31</v>
      </c>
      <c r="M216" s="1129"/>
      <c r="N216" s="1129"/>
      <c r="O216" s="1129" t="s">
        <v>31</v>
      </c>
      <c r="P216" s="1129" t="s">
        <v>31</v>
      </c>
      <c r="Q216" s="1129" t="s">
        <v>31</v>
      </c>
      <c r="R216" s="1129" t="s">
        <v>31</v>
      </c>
      <c r="S216" s="1129"/>
      <c r="T216" s="1129"/>
      <c r="U216" s="1129"/>
      <c r="V216" s="1129" t="s">
        <v>31</v>
      </c>
      <c r="W216" s="1129" t="s">
        <v>31</v>
      </c>
      <c r="X216" s="1129" t="s">
        <v>31</v>
      </c>
      <c r="Y216" s="1129" t="s">
        <v>31</v>
      </c>
      <c r="Z216" s="1129" t="s">
        <v>31</v>
      </c>
      <c r="AA216" s="1129"/>
      <c r="AB216" s="1129"/>
      <c r="AC216" s="1132" t="s">
        <v>31</v>
      </c>
      <c r="AD216" s="1132" t="s">
        <v>31</v>
      </c>
      <c r="AE216" s="1132" t="s">
        <v>31</v>
      </c>
      <c r="AF216" s="1132"/>
      <c r="AG216" s="1291" t="s">
        <v>31</v>
      </c>
      <c r="AH216" s="34"/>
      <c r="AI216" s="25"/>
    </row>
    <row r="217" spans="1:35" ht="18" customHeight="1">
      <c r="A217" s="1287"/>
      <c r="B217" s="1295" t="s">
        <v>310</v>
      </c>
      <c r="C217" s="1129"/>
      <c r="D217" s="1129"/>
      <c r="E217" s="1129"/>
      <c r="F217" s="1129"/>
      <c r="G217" s="1129"/>
      <c r="H217" s="1129"/>
      <c r="I217" s="1129"/>
      <c r="J217" s="1129"/>
      <c r="K217" s="1129"/>
      <c r="L217" s="1129"/>
      <c r="M217" s="1129"/>
      <c r="N217" s="1129"/>
      <c r="O217" s="1129"/>
      <c r="P217" s="1129"/>
      <c r="Q217" s="1129"/>
      <c r="R217" s="1129"/>
      <c r="S217" s="1129"/>
      <c r="T217" s="1129"/>
      <c r="U217" s="1129"/>
      <c r="V217" s="1129"/>
      <c r="W217" s="1129"/>
      <c r="X217" s="1129"/>
      <c r="Y217" s="1129"/>
      <c r="Z217" s="1129"/>
      <c r="AA217" s="1129"/>
      <c r="AB217" s="1129"/>
      <c r="AC217" s="1129"/>
      <c r="AD217" s="1129"/>
      <c r="AE217" s="1129"/>
      <c r="AF217" s="1129"/>
      <c r="AG217" s="488"/>
      <c r="AH217" s="93"/>
      <c r="AI217" s="76"/>
    </row>
    <row r="218" spans="1:35" ht="18" customHeight="1">
      <c r="A218" s="1287"/>
      <c r="B218" s="1148"/>
      <c r="C218" s="1129"/>
      <c r="D218" s="1129"/>
      <c r="E218" s="1129"/>
      <c r="F218" s="1129"/>
      <c r="G218" s="1129"/>
      <c r="H218" s="1129"/>
      <c r="I218" s="1129"/>
      <c r="J218" s="1129"/>
      <c r="K218" s="1129"/>
      <c r="L218" s="1129"/>
      <c r="M218" s="1129"/>
      <c r="N218" s="1129"/>
      <c r="O218" s="1129"/>
      <c r="P218" s="1129"/>
      <c r="Q218" s="1129"/>
      <c r="R218" s="1129"/>
      <c r="S218" s="1129"/>
      <c r="T218" s="1129"/>
      <c r="U218" s="1129"/>
      <c r="V218" s="1129"/>
      <c r="W218" s="1129"/>
      <c r="X218" s="1129"/>
      <c r="Y218" s="1129"/>
      <c r="Z218" s="1129"/>
      <c r="AA218" s="1129"/>
      <c r="AB218" s="1129"/>
      <c r="AC218" s="1129"/>
      <c r="AD218" s="1129"/>
      <c r="AE218" s="1129"/>
      <c r="AF218" s="1129"/>
      <c r="AG218" s="1296"/>
      <c r="AH218" s="93"/>
      <c r="AI218" s="76"/>
    </row>
    <row r="219" spans="1:35" ht="18" customHeight="1">
      <c r="A219" s="1133"/>
      <c r="B219" s="1133"/>
      <c r="C219" s="1129"/>
      <c r="D219" s="1129"/>
      <c r="E219" s="1129"/>
      <c r="F219" s="1129"/>
      <c r="G219" s="1129"/>
      <c r="H219" s="1129"/>
      <c r="I219" s="1129"/>
      <c r="J219" s="1129"/>
      <c r="K219" s="1129"/>
      <c r="L219" s="1129"/>
      <c r="M219" s="1129"/>
      <c r="N219" s="1129"/>
      <c r="O219" s="1129"/>
      <c r="P219" s="1129"/>
      <c r="Q219" s="1129"/>
      <c r="R219" s="1129"/>
      <c r="S219" s="1129"/>
      <c r="T219" s="1129"/>
      <c r="U219" s="1129"/>
      <c r="V219" s="1129"/>
      <c r="W219" s="1129"/>
      <c r="X219" s="1129"/>
      <c r="Y219" s="1129"/>
      <c r="Z219" s="1129"/>
      <c r="AA219" s="1129"/>
      <c r="AB219" s="1129"/>
      <c r="AC219" s="1129"/>
      <c r="AD219" s="1129"/>
      <c r="AE219" s="1129"/>
      <c r="AF219" s="1129"/>
      <c r="AG219" s="488"/>
      <c r="AH219" s="93"/>
      <c r="AI219" s="76"/>
    </row>
    <row r="220" spans="1:35" ht="18" customHeight="1">
      <c r="A220" s="1133"/>
      <c r="B220" s="1133"/>
      <c r="C220" s="1129"/>
      <c r="D220" s="1129"/>
      <c r="E220" s="1129"/>
      <c r="F220" s="1129"/>
      <c r="G220" s="1129"/>
      <c r="H220" s="497"/>
      <c r="I220" s="1129"/>
      <c r="J220" s="1129"/>
      <c r="K220" s="1129"/>
      <c r="L220" s="1129"/>
      <c r="M220" s="1129"/>
      <c r="N220" s="1129"/>
      <c r="O220" s="1129"/>
      <c r="P220" s="1129"/>
      <c r="Q220" s="1129"/>
      <c r="R220" s="1129"/>
      <c r="S220" s="1129"/>
      <c r="T220" s="1129"/>
      <c r="U220" s="1129"/>
      <c r="V220" s="1129"/>
      <c r="W220" s="1129"/>
      <c r="X220" s="1129"/>
      <c r="Y220" s="1129"/>
      <c r="Z220" s="1129"/>
      <c r="AA220" s="1129"/>
      <c r="AB220" s="1129"/>
      <c r="AC220" s="1129"/>
      <c r="AD220" s="1129"/>
      <c r="AE220" s="1129"/>
      <c r="AF220" s="1129"/>
      <c r="AG220" s="1296"/>
      <c r="AH220" s="93"/>
      <c r="AI220" s="76"/>
    </row>
    <row r="221" spans="1:35" ht="18" customHeight="1">
      <c r="A221" s="1133"/>
      <c r="B221" s="1133"/>
      <c r="C221" s="1129"/>
      <c r="D221" s="1129"/>
      <c r="E221" s="1129"/>
      <c r="F221" s="1129"/>
      <c r="G221" s="1129"/>
      <c r="H221" s="1129"/>
      <c r="I221" s="1129"/>
      <c r="J221" s="1129"/>
      <c r="K221" s="1129"/>
      <c r="L221" s="1129"/>
      <c r="M221" s="1129"/>
      <c r="N221" s="1129"/>
      <c r="O221" s="1129"/>
      <c r="P221" s="1129"/>
      <c r="Q221" s="1129"/>
      <c r="R221" s="1129"/>
      <c r="S221" s="1129"/>
      <c r="T221" s="1129"/>
      <c r="U221" s="1129"/>
      <c r="V221" s="1129"/>
      <c r="W221" s="1129"/>
      <c r="X221" s="1129"/>
      <c r="Y221" s="1129"/>
      <c r="Z221" s="1129"/>
      <c r="AA221" s="1129"/>
      <c r="AB221" s="1129"/>
      <c r="AC221" s="1129"/>
      <c r="AD221" s="1129"/>
      <c r="AE221" s="1129"/>
      <c r="AF221" s="1129"/>
      <c r="AG221" s="488"/>
      <c r="AH221" s="93"/>
      <c r="AI221" s="76"/>
    </row>
    <row r="222" spans="1:35" ht="18" customHeight="1">
      <c r="A222" s="1133"/>
      <c r="B222" s="1133"/>
      <c r="C222" s="1129"/>
      <c r="D222" s="1129"/>
      <c r="E222" s="1129"/>
      <c r="F222" s="1129"/>
      <c r="G222" s="1129"/>
      <c r="H222" s="497"/>
      <c r="I222" s="1129"/>
      <c r="J222" s="1129"/>
      <c r="K222" s="1129"/>
      <c r="L222" s="1129"/>
      <c r="M222" s="1129"/>
      <c r="N222" s="1129"/>
      <c r="O222" s="1129"/>
      <c r="P222" s="1129"/>
      <c r="Q222" s="1129"/>
      <c r="R222" s="1129"/>
      <c r="S222" s="1129"/>
      <c r="T222" s="1129"/>
      <c r="U222" s="1129"/>
      <c r="V222" s="1129"/>
      <c r="W222" s="1129"/>
      <c r="X222" s="1129"/>
      <c r="Y222" s="1129"/>
      <c r="Z222" s="1129"/>
      <c r="AA222" s="1129"/>
      <c r="AB222" s="1129"/>
      <c r="AC222" s="1129"/>
      <c r="AD222" s="1129"/>
      <c r="AE222" s="1129"/>
      <c r="AF222" s="1129"/>
      <c r="AG222" s="1296"/>
      <c r="AH222" s="93"/>
      <c r="AI222" s="76"/>
    </row>
    <row r="223" spans="1:35" ht="18" customHeight="1">
      <c r="A223" s="1287"/>
      <c r="B223" s="1297"/>
      <c r="C223" s="1129"/>
      <c r="D223" s="1129"/>
      <c r="E223" s="1129"/>
      <c r="F223" s="1129"/>
      <c r="G223" s="1129"/>
      <c r="H223" s="1129"/>
      <c r="I223" s="1129"/>
      <c r="J223" s="1129"/>
      <c r="K223" s="1129"/>
      <c r="L223" s="1129"/>
      <c r="M223" s="1129"/>
      <c r="N223" s="1129"/>
      <c r="O223" s="1129"/>
      <c r="P223" s="1129"/>
      <c r="Q223" s="1129"/>
      <c r="R223" s="1129"/>
      <c r="S223" s="1129"/>
      <c r="T223" s="1129"/>
      <c r="U223" s="1129"/>
      <c r="V223" s="1129"/>
      <c r="W223" s="1129"/>
      <c r="X223" s="1129"/>
      <c r="Y223" s="1129"/>
      <c r="Z223" s="1129"/>
      <c r="AA223" s="1129"/>
      <c r="AB223" s="1129"/>
      <c r="AC223" s="1129"/>
      <c r="AD223" s="1129"/>
      <c r="AE223" s="1129"/>
      <c r="AF223" s="1129"/>
      <c r="AG223" s="1296"/>
      <c r="AH223" s="93"/>
      <c r="AI223" s="76"/>
    </row>
    <row r="224" spans="1:35" ht="18" customHeight="1">
      <c r="A224" s="1287"/>
      <c r="B224" s="1298"/>
      <c r="C224" s="1129"/>
      <c r="D224" s="1129"/>
      <c r="E224" s="1129"/>
      <c r="F224" s="1129"/>
      <c r="G224" s="1129"/>
      <c r="H224" s="1129"/>
      <c r="I224" s="1129"/>
      <c r="J224" s="1129"/>
      <c r="K224" s="1129"/>
      <c r="L224" s="1129"/>
      <c r="M224" s="1129"/>
      <c r="N224" s="1129"/>
      <c r="O224" s="1129"/>
      <c r="P224" s="1129"/>
      <c r="Q224" s="1129"/>
      <c r="R224" s="1129"/>
      <c r="S224" s="1129"/>
      <c r="T224" s="1129"/>
      <c r="U224" s="1129"/>
      <c r="V224" s="1129"/>
      <c r="W224" s="1129"/>
      <c r="X224" s="1129"/>
      <c r="Y224" s="1129"/>
      <c r="Z224" s="1129"/>
      <c r="AA224" s="1129"/>
      <c r="AB224" s="1129"/>
      <c r="AC224" s="1129"/>
      <c r="AD224" s="1129"/>
      <c r="AE224" s="1129"/>
      <c r="AF224" s="1129"/>
      <c r="AG224" s="1296"/>
      <c r="AH224" s="93"/>
      <c r="AI224" s="76"/>
    </row>
    <row r="225" spans="1:35" ht="18" customHeight="1">
      <c r="A225" s="82"/>
      <c r="B225" s="115"/>
      <c r="C225" s="38"/>
      <c r="D225" s="38"/>
      <c r="E225" s="38"/>
      <c r="F225" s="38"/>
      <c r="G225" s="38"/>
      <c r="H225" s="38"/>
      <c r="I225" s="38"/>
      <c r="J225" s="38"/>
      <c r="L225" s="38"/>
      <c r="M225" s="38"/>
      <c r="N225" s="38"/>
      <c r="O225" s="38"/>
      <c r="P225" s="17"/>
      <c r="Q225" s="17"/>
      <c r="R225" s="17"/>
      <c r="S225" s="38"/>
      <c r="T225" s="38"/>
      <c r="U225" s="38"/>
      <c r="V225" s="38"/>
      <c r="W225" s="38"/>
      <c r="X225" s="38"/>
      <c r="Y225" s="38"/>
      <c r="Z225" s="38"/>
      <c r="AA225" s="38"/>
      <c r="AB225" s="38"/>
      <c r="AC225" s="38"/>
      <c r="AD225" s="38"/>
      <c r="AE225" s="38"/>
      <c r="AF225" s="38"/>
      <c r="AG225" s="38"/>
      <c r="AH225" s="76"/>
      <c r="AI225" s="76"/>
    </row>
    <row r="226" spans="1:35" ht="18" customHeight="1"/>
    <row r="227" spans="1:35" ht="18" customHeight="1"/>
    <row r="228" spans="1:35" ht="18" customHeight="1"/>
    <row r="229" spans="1:35" ht="18" customHeight="1" thickBot="1">
      <c r="A229" s="14" t="s">
        <v>311</v>
      </c>
    </row>
    <row r="230" spans="1:35" ht="18" customHeight="1">
      <c r="B230" s="1036" t="s">
        <v>281</v>
      </c>
      <c r="C230" s="901"/>
      <c r="D230" s="925" t="s">
        <v>87</v>
      </c>
      <c r="E230" s="705"/>
      <c r="F230" s="905"/>
      <c r="G230" s="901"/>
      <c r="H230" s="925" t="s">
        <v>88</v>
      </c>
      <c r="I230" s="705"/>
      <c r="J230" s="905"/>
      <c r="K230" s="901"/>
      <c r="L230" s="925" t="s">
        <v>89</v>
      </c>
      <c r="M230" s="705"/>
      <c r="N230" s="905"/>
      <c r="O230" s="901"/>
      <c r="P230" s="925" t="s">
        <v>90</v>
      </c>
      <c r="Q230" s="705"/>
      <c r="R230" s="905"/>
      <c r="S230" s="901"/>
      <c r="T230" s="925" t="s">
        <v>91</v>
      </c>
      <c r="U230" s="705"/>
      <c r="V230" s="905"/>
      <c r="W230" s="901"/>
      <c r="X230" s="925" t="s">
        <v>92</v>
      </c>
      <c r="Y230" s="705"/>
      <c r="Z230" s="905"/>
      <c r="AA230" s="901"/>
      <c r="AB230" s="925" t="s">
        <v>93</v>
      </c>
      <c r="AC230" s="705"/>
      <c r="AD230" s="705"/>
      <c r="AE230" s="928" t="s">
        <v>94</v>
      </c>
      <c r="AF230" s="705"/>
      <c r="AG230" s="705"/>
      <c r="AH230" s="705"/>
      <c r="AI230" s="706"/>
    </row>
    <row r="231" spans="1:35" ht="18" customHeight="1">
      <c r="B231" s="116"/>
      <c r="C231" s="110"/>
      <c r="D231" s="111"/>
      <c r="E231" s="101"/>
      <c r="F231" s="109"/>
      <c r="G231" s="110"/>
      <c r="H231" s="111"/>
      <c r="I231" s="101"/>
      <c r="J231" s="109"/>
      <c r="K231" s="110"/>
      <c r="L231" s="111"/>
      <c r="M231" s="101"/>
      <c r="N231" s="109"/>
      <c r="O231" s="110"/>
      <c r="P231" s="111"/>
      <c r="Q231" s="101"/>
      <c r="R231" s="109"/>
      <c r="S231" s="110"/>
      <c r="T231" s="111"/>
      <c r="U231" s="101"/>
      <c r="V231" s="109"/>
      <c r="W231" s="110"/>
      <c r="X231" s="111"/>
      <c r="Y231" s="101"/>
      <c r="Z231" s="109"/>
      <c r="AA231" s="110"/>
      <c r="AB231" s="111"/>
      <c r="AC231" s="101"/>
      <c r="AD231" s="101"/>
      <c r="AE231" s="112"/>
      <c r="AF231" s="101"/>
      <c r="AG231" s="8"/>
      <c r="AH231" s="8"/>
      <c r="AI231" s="105"/>
    </row>
    <row r="232" spans="1:35" ht="18" customHeight="1">
      <c r="A232" s="87"/>
      <c r="B232" s="1299">
        <v>3701</v>
      </c>
      <c r="C232" s="772" t="s">
        <v>286</v>
      </c>
      <c r="D232" s="773"/>
      <c r="E232" s="101"/>
      <c r="F232" s="109"/>
      <c r="G232" s="772" t="s">
        <v>286</v>
      </c>
      <c r="H232" s="111"/>
      <c r="I232" s="101"/>
      <c r="J232" s="109"/>
      <c r="K232" s="772" t="s">
        <v>286</v>
      </c>
      <c r="L232" s="111"/>
      <c r="M232" s="101"/>
      <c r="N232" s="109"/>
      <c r="O232" s="772" t="s">
        <v>286</v>
      </c>
      <c r="P232" s="111"/>
      <c r="Q232" s="101"/>
      <c r="R232" s="109"/>
      <c r="S232" s="110" t="s">
        <v>287</v>
      </c>
      <c r="T232" s="111"/>
      <c r="U232" s="101"/>
      <c r="V232" s="109"/>
      <c r="W232" s="110"/>
      <c r="X232" s="111"/>
      <c r="Y232" s="101"/>
      <c r="Z232" s="109"/>
      <c r="AA232" s="110"/>
      <c r="AB232" s="111"/>
      <c r="AC232" s="101"/>
      <c r="AD232" s="101"/>
      <c r="AE232" s="112"/>
      <c r="AF232" s="101"/>
      <c r="AG232" s="8"/>
      <c r="AH232" s="8"/>
      <c r="AI232" s="105"/>
    </row>
    <row r="233" spans="1:35" ht="18" customHeight="1">
      <c r="B233" s="1299"/>
      <c r="C233" s="772"/>
      <c r="D233" s="773"/>
      <c r="E233" s="101"/>
      <c r="F233" s="109"/>
      <c r="G233" s="772"/>
      <c r="H233" s="111"/>
      <c r="I233" s="101"/>
      <c r="J233" s="109"/>
      <c r="K233" s="772"/>
      <c r="L233" s="111"/>
      <c r="M233" s="101"/>
      <c r="N233" s="109"/>
      <c r="O233" s="772"/>
      <c r="P233" s="111"/>
      <c r="Q233" s="101"/>
      <c r="R233" s="109"/>
      <c r="S233" s="772"/>
      <c r="T233" s="111"/>
      <c r="U233" s="101"/>
      <c r="V233" s="109"/>
      <c r="W233" s="110"/>
      <c r="X233" s="111"/>
      <c r="Y233" s="101"/>
      <c r="Z233" s="109"/>
      <c r="AA233" s="110"/>
      <c r="AB233" s="111"/>
      <c r="AC233" s="101"/>
      <c r="AD233" s="101"/>
      <c r="AE233" s="112"/>
      <c r="AF233" s="101"/>
      <c r="AG233" s="8"/>
      <c r="AH233" s="8"/>
      <c r="AI233" s="105"/>
    </row>
    <row r="234" spans="1:35" ht="18" customHeight="1">
      <c r="B234" s="1299">
        <v>3702</v>
      </c>
      <c r="C234" s="772" t="s">
        <v>312</v>
      </c>
      <c r="D234" s="773"/>
      <c r="E234" s="101"/>
      <c r="F234" s="109"/>
      <c r="G234" s="772" t="s">
        <v>312</v>
      </c>
      <c r="H234" s="773"/>
      <c r="I234" s="101"/>
      <c r="J234" s="109"/>
      <c r="K234" s="772" t="s">
        <v>312</v>
      </c>
      <c r="L234" s="773"/>
      <c r="M234" s="101"/>
      <c r="N234" s="109"/>
      <c r="O234" s="772" t="s">
        <v>312</v>
      </c>
      <c r="P234" s="773"/>
      <c r="Q234" s="101"/>
      <c r="R234" s="109"/>
      <c r="S234" s="772" t="s">
        <v>313</v>
      </c>
      <c r="T234" s="773"/>
      <c r="U234" s="101"/>
      <c r="V234" s="109"/>
      <c r="W234" s="110"/>
      <c r="X234" s="111"/>
      <c r="Y234" s="101"/>
      <c r="Z234" s="109"/>
      <c r="AA234" s="110"/>
      <c r="AB234" s="111"/>
      <c r="AC234" s="101"/>
      <c r="AD234" s="101"/>
      <c r="AE234" s="112"/>
      <c r="AF234" s="101"/>
      <c r="AG234" s="8"/>
      <c r="AH234" s="8"/>
      <c r="AI234" s="105"/>
    </row>
    <row r="235" spans="1:35" ht="18" customHeight="1">
      <c r="B235" s="1299"/>
      <c r="C235" s="931"/>
      <c r="D235" s="773"/>
      <c r="E235" s="101"/>
      <c r="F235" s="109"/>
      <c r="G235" s="111"/>
      <c r="H235" s="111"/>
      <c r="I235" s="101"/>
      <c r="J235" s="109"/>
      <c r="K235" s="111"/>
      <c r="L235" s="111"/>
      <c r="M235" s="101"/>
      <c r="N235" s="109"/>
      <c r="O235" s="111"/>
      <c r="P235" s="111"/>
      <c r="Q235" s="101"/>
      <c r="R235" s="109"/>
      <c r="S235" s="111"/>
      <c r="T235" s="111"/>
      <c r="U235" s="101"/>
      <c r="V235" s="109"/>
      <c r="W235" s="110"/>
      <c r="X235" s="111"/>
      <c r="Y235" s="101"/>
      <c r="Z235" s="109"/>
      <c r="AA235" s="110"/>
      <c r="AB235" s="111"/>
      <c r="AC235" s="101"/>
      <c r="AD235" s="101"/>
      <c r="AE235" s="112"/>
      <c r="AF235" s="101"/>
      <c r="AG235" s="8"/>
      <c r="AH235" s="8"/>
      <c r="AI235" s="105"/>
    </row>
    <row r="236" spans="1:35" ht="18" customHeight="1">
      <c r="B236" s="1299" t="s">
        <v>159</v>
      </c>
      <c r="C236" s="931" t="s">
        <v>314</v>
      </c>
      <c r="D236" s="773"/>
      <c r="E236" s="101"/>
      <c r="F236" s="109"/>
      <c r="G236" s="931" t="s">
        <v>314</v>
      </c>
      <c r="H236" s="773"/>
      <c r="I236" s="101"/>
      <c r="J236" s="109"/>
      <c r="K236" s="931" t="s">
        <v>314</v>
      </c>
      <c r="L236" s="773"/>
      <c r="M236" s="101"/>
      <c r="N236" s="109"/>
      <c r="O236" s="931" t="s">
        <v>314</v>
      </c>
      <c r="P236" s="773"/>
      <c r="Q236" s="101"/>
      <c r="R236" s="109"/>
      <c r="S236" s="111" t="s">
        <v>315</v>
      </c>
      <c r="T236" s="111"/>
      <c r="U236" s="101"/>
      <c r="V236" s="109"/>
      <c r="W236" s="110"/>
      <c r="X236" s="111"/>
      <c r="Y236" s="101"/>
      <c r="Z236" s="109"/>
      <c r="AA236" s="110"/>
      <c r="AB236" s="111"/>
      <c r="AC236" s="101"/>
      <c r="AD236" s="101"/>
      <c r="AE236" s="112"/>
      <c r="AF236" s="101"/>
      <c r="AG236" s="8"/>
      <c r="AH236" s="8"/>
      <c r="AI236" s="105"/>
    </row>
    <row r="237" spans="1:35" ht="18" customHeight="1">
      <c r="B237" s="1299" t="s">
        <v>163</v>
      </c>
      <c r="C237" s="931" t="s">
        <v>316</v>
      </c>
      <c r="D237" s="773"/>
      <c r="E237" s="101"/>
      <c r="F237" s="109"/>
      <c r="G237" s="931" t="s">
        <v>316</v>
      </c>
      <c r="H237" s="773"/>
      <c r="I237" s="101"/>
      <c r="J237" s="109"/>
      <c r="K237" s="931" t="s">
        <v>316</v>
      </c>
      <c r="L237" s="773"/>
      <c r="M237" s="101"/>
      <c r="N237" s="109"/>
      <c r="O237" s="931" t="s">
        <v>316</v>
      </c>
      <c r="P237" s="773"/>
      <c r="Q237" s="101"/>
      <c r="R237" s="109"/>
      <c r="S237" s="111" t="s">
        <v>317</v>
      </c>
      <c r="T237" s="111"/>
      <c r="U237" s="101"/>
      <c r="V237" s="109"/>
      <c r="W237" s="110"/>
      <c r="X237" s="111"/>
      <c r="Y237" s="101"/>
      <c r="Z237" s="109"/>
      <c r="AA237" s="110"/>
      <c r="AB237" s="111"/>
      <c r="AC237" s="101"/>
      <c r="AD237" s="101"/>
      <c r="AE237" s="112"/>
      <c r="AF237" s="101"/>
      <c r="AG237" s="8"/>
      <c r="AH237" s="8"/>
      <c r="AI237" s="105"/>
    </row>
    <row r="238" spans="1:35" ht="18" customHeight="1" thickBot="1">
      <c r="B238" s="1300" t="s">
        <v>171</v>
      </c>
      <c r="C238" s="944" t="s">
        <v>318</v>
      </c>
      <c r="D238" s="1301"/>
      <c r="E238" s="1037"/>
      <c r="F238" s="1038"/>
      <c r="G238" s="944" t="s">
        <v>318</v>
      </c>
      <c r="H238" s="1301"/>
      <c r="I238" s="1037"/>
      <c r="J238" s="1038"/>
      <c r="K238" s="944" t="s">
        <v>318</v>
      </c>
      <c r="L238" s="1301"/>
      <c r="M238" s="1037"/>
      <c r="N238" s="1038"/>
      <c r="O238" s="944" t="s">
        <v>318</v>
      </c>
      <c r="P238" s="1301"/>
      <c r="Q238" s="1037"/>
      <c r="R238" s="1038"/>
      <c r="S238" s="1039" t="s">
        <v>319</v>
      </c>
      <c r="T238" s="1039"/>
      <c r="U238" s="1037"/>
      <c r="V238" s="1038"/>
      <c r="W238" s="1040"/>
      <c r="X238" s="1039"/>
      <c r="Y238" s="1041"/>
      <c r="Z238" s="1042"/>
      <c r="AA238" s="1043"/>
      <c r="AB238" s="1039"/>
      <c r="AC238" s="1041"/>
      <c r="AD238" s="1041"/>
      <c r="AE238" s="1044"/>
      <c r="AF238" s="1041"/>
      <c r="AG238" s="1037"/>
      <c r="AH238" s="1037"/>
      <c r="AI238" s="1045"/>
    </row>
    <row r="239" spans="1:35" ht="18" customHeight="1">
      <c r="B239" s="42"/>
      <c r="C239" s="37"/>
      <c r="D239" s="113"/>
      <c r="G239" s="37"/>
      <c r="H239" s="113"/>
      <c r="K239" s="37"/>
      <c r="L239" s="113"/>
      <c r="O239" s="37"/>
      <c r="P239" s="113"/>
      <c r="S239" s="37"/>
      <c r="T239" s="37"/>
      <c r="X239" s="37"/>
      <c r="AB239" s="37"/>
      <c r="AE239" s="37"/>
    </row>
    <row r="240" spans="1:35" ht="18" customHeight="1">
      <c r="A240" s="117" t="s">
        <v>320</v>
      </c>
    </row>
    <row r="241" spans="1:35" ht="18" customHeight="1" thickBot="1">
      <c r="A241" s="1302"/>
      <c r="B241" s="1303" t="s">
        <v>29</v>
      </c>
      <c r="C241" s="1206">
        <v>1</v>
      </c>
      <c r="D241" s="1207">
        <v>2</v>
      </c>
      <c r="E241" s="1207">
        <v>3</v>
      </c>
      <c r="F241" s="1206">
        <v>4</v>
      </c>
      <c r="G241" s="1206">
        <v>5</v>
      </c>
      <c r="H241" s="1207">
        <v>6</v>
      </c>
      <c r="I241" s="1207">
        <v>7</v>
      </c>
      <c r="J241" s="1207">
        <v>8</v>
      </c>
      <c r="K241" s="1207">
        <v>9</v>
      </c>
      <c r="L241" s="1207">
        <v>10</v>
      </c>
      <c r="M241" s="1206">
        <v>11</v>
      </c>
      <c r="N241" s="1206">
        <v>12</v>
      </c>
      <c r="O241" s="1207">
        <v>13</v>
      </c>
      <c r="P241" s="1207">
        <v>14</v>
      </c>
      <c r="Q241" s="1207">
        <v>15</v>
      </c>
      <c r="R241" s="1207">
        <v>16</v>
      </c>
      <c r="S241" s="1206">
        <v>17</v>
      </c>
      <c r="T241" s="1206">
        <v>18</v>
      </c>
      <c r="U241" s="1206">
        <v>19</v>
      </c>
      <c r="V241" s="1207">
        <v>20</v>
      </c>
      <c r="W241" s="1207">
        <v>21</v>
      </c>
      <c r="X241" s="1207">
        <v>22</v>
      </c>
      <c r="Y241" s="1207">
        <v>23</v>
      </c>
      <c r="Z241" s="1207">
        <v>24</v>
      </c>
      <c r="AA241" s="1206">
        <v>25</v>
      </c>
      <c r="AB241" s="1206">
        <v>26</v>
      </c>
      <c r="AC241" s="1207">
        <v>27</v>
      </c>
      <c r="AD241" s="1207">
        <v>28</v>
      </c>
      <c r="AE241" s="1207">
        <v>29</v>
      </c>
      <c r="AF241" s="1206">
        <v>30</v>
      </c>
      <c r="AG241" s="1208">
        <v>31</v>
      </c>
      <c r="AH241" s="23"/>
      <c r="AI241" s="24"/>
    </row>
    <row r="242" spans="1:35" ht="18" customHeight="1">
      <c r="A242" s="1304">
        <v>3701</v>
      </c>
      <c r="B242" s="1117" t="s">
        <v>394</v>
      </c>
      <c r="C242" s="570"/>
      <c r="D242" s="570" t="s">
        <v>31</v>
      </c>
      <c r="E242" s="570" t="s">
        <v>31</v>
      </c>
      <c r="F242" s="570"/>
      <c r="G242" s="1243"/>
      <c r="H242" s="570" t="s">
        <v>31</v>
      </c>
      <c r="I242" s="570" t="s">
        <v>31</v>
      </c>
      <c r="J242" s="570" t="s">
        <v>31</v>
      </c>
      <c r="K242" s="1305" t="s">
        <v>31</v>
      </c>
      <c r="L242" s="1305" t="s">
        <v>31</v>
      </c>
      <c r="M242" s="1305"/>
      <c r="N242" s="1305"/>
      <c r="O242" s="1305" t="s">
        <v>31</v>
      </c>
      <c r="P242" s="1305" t="s">
        <v>31</v>
      </c>
      <c r="Q242" s="1305" t="s">
        <v>31</v>
      </c>
      <c r="R242" s="1305" t="s">
        <v>31</v>
      </c>
      <c r="S242" s="1305" t="s">
        <v>31</v>
      </c>
      <c r="T242" s="1305"/>
      <c r="U242" s="1305"/>
      <c r="V242" s="1305" t="s">
        <v>31</v>
      </c>
      <c r="W242" s="570" t="s">
        <v>31</v>
      </c>
      <c r="X242" s="570" t="s">
        <v>31</v>
      </c>
      <c r="Y242" s="570" t="s">
        <v>31</v>
      </c>
      <c r="Z242" s="570" t="s">
        <v>31</v>
      </c>
      <c r="AA242" s="570"/>
      <c r="AB242" s="570"/>
      <c r="AC242" s="751" t="s">
        <v>31</v>
      </c>
      <c r="AD242" s="1306" t="s">
        <v>31</v>
      </c>
      <c r="AE242" s="1306" t="s">
        <v>31</v>
      </c>
      <c r="AF242" s="1306"/>
      <c r="AG242" s="1307" t="s">
        <v>31</v>
      </c>
      <c r="AH242" s="34"/>
      <c r="AI242" s="25"/>
    </row>
    <row r="243" spans="1:35" ht="18" customHeight="1">
      <c r="A243" s="1304">
        <v>3702</v>
      </c>
      <c r="B243" s="1117" t="s">
        <v>321</v>
      </c>
      <c r="C243" s="570"/>
      <c r="D243" s="797" t="s">
        <v>31</v>
      </c>
      <c r="E243" s="797" t="s">
        <v>31</v>
      </c>
      <c r="F243" s="570"/>
      <c r="G243" s="570"/>
      <c r="H243" s="570" t="s">
        <v>31</v>
      </c>
      <c r="I243" s="570" t="s">
        <v>31</v>
      </c>
      <c r="J243" s="570" t="s">
        <v>31</v>
      </c>
      <c r="K243" s="570" t="s">
        <v>31</v>
      </c>
      <c r="L243" s="570" t="s">
        <v>31</v>
      </c>
      <c r="M243" s="570"/>
      <c r="N243" s="570"/>
      <c r="O243" s="570" t="s">
        <v>31</v>
      </c>
      <c r="P243" s="570" t="s">
        <v>31</v>
      </c>
      <c r="Q243" s="570" t="s">
        <v>31</v>
      </c>
      <c r="R243" s="570" t="s">
        <v>31</v>
      </c>
      <c r="S243" s="570" t="s">
        <v>31</v>
      </c>
      <c r="T243" s="570"/>
      <c r="U243" s="570"/>
      <c r="V243" s="570" t="s">
        <v>31</v>
      </c>
      <c r="W243" s="570" t="s">
        <v>31</v>
      </c>
      <c r="X243" s="570" t="s">
        <v>31</v>
      </c>
      <c r="Y243" s="570" t="s">
        <v>31</v>
      </c>
      <c r="Z243" s="570" t="s">
        <v>31</v>
      </c>
      <c r="AA243" s="570"/>
      <c r="AB243" s="570"/>
      <c r="AC243" s="570" t="s">
        <v>31</v>
      </c>
      <c r="AD243" s="570" t="s">
        <v>31</v>
      </c>
      <c r="AE243" s="570" t="s">
        <v>31</v>
      </c>
      <c r="AF243" s="570"/>
      <c r="AG243" s="1307" t="s">
        <v>31</v>
      </c>
      <c r="AH243" s="34"/>
      <c r="AI243" s="25"/>
    </row>
    <row r="244" spans="1:35" ht="18" customHeight="1">
      <c r="A244" s="1304"/>
      <c r="B244" s="1117"/>
      <c r="C244" s="1308"/>
      <c r="D244" s="1308"/>
      <c r="E244" s="1308"/>
      <c r="F244" s="1308"/>
      <c r="G244" s="1308"/>
      <c r="H244" s="1308"/>
      <c r="I244" s="1308"/>
      <c r="J244" s="1308"/>
      <c r="K244" s="1308"/>
      <c r="L244" s="1308"/>
      <c r="M244" s="1309"/>
      <c r="N244" s="1308"/>
      <c r="O244" s="1308"/>
      <c r="P244" s="1308"/>
      <c r="Q244" s="1308"/>
      <c r="R244" s="1308"/>
      <c r="S244" s="1308"/>
      <c r="T244" s="1308"/>
      <c r="U244" s="1308"/>
      <c r="V244" s="1308"/>
      <c r="W244" s="1308"/>
      <c r="X244" s="1308"/>
      <c r="Y244" s="1308"/>
      <c r="Z244" s="1308"/>
      <c r="AA244" s="1308"/>
      <c r="AB244" s="1308"/>
      <c r="AC244" s="1308"/>
      <c r="AD244" s="1308"/>
      <c r="AE244" s="1308"/>
      <c r="AF244" s="1308"/>
      <c r="AG244" s="1307"/>
      <c r="AH244" s="34"/>
      <c r="AI244" s="25"/>
    </row>
    <row r="245" spans="1:35" ht="18" customHeight="1">
      <c r="A245" s="1310"/>
      <c r="B245" s="118"/>
      <c r="C245" s="1311"/>
      <c r="D245" s="1311"/>
      <c r="E245" s="1311"/>
      <c r="F245" s="1311"/>
      <c r="G245" s="1311"/>
      <c r="H245" s="1311"/>
      <c r="I245" s="1311"/>
      <c r="J245" s="1311"/>
      <c r="K245" s="1311"/>
      <c r="L245" s="1311"/>
      <c r="M245" s="1311"/>
      <c r="N245" s="1311"/>
      <c r="O245" s="1311"/>
      <c r="P245" s="1311"/>
      <c r="Q245" s="1311"/>
      <c r="R245" s="1311"/>
      <c r="S245" s="1311"/>
      <c r="T245" s="1311"/>
      <c r="U245" s="1311"/>
      <c r="V245" s="1311"/>
      <c r="W245" s="1311"/>
      <c r="X245" s="1311"/>
      <c r="Y245" s="1311"/>
      <c r="Z245" s="1311"/>
      <c r="AA245" s="1311"/>
      <c r="AB245" s="1311"/>
      <c r="AC245" s="1311"/>
      <c r="AD245" s="1311"/>
      <c r="AE245" s="1311"/>
      <c r="AF245" s="1311"/>
      <c r="AG245" s="1312"/>
      <c r="AH245" s="34"/>
      <c r="AI245" s="25"/>
    </row>
    <row r="246" spans="1:35" ht="18" customHeight="1">
      <c r="A246" s="1313"/>
      <c r="B246" s="1120" t="s">
        <v>322</v>
      </c>
      <c r="C246" s="1314"/>
      <c r="D246" s="1314"/>
      <c r="E246" s="1314"/>
      <c r="F246" s="1314"/>
      <c r="G246" s="1314"/>
      <c r="H246" s="1314"/>
      <c r="I246" s="1314"/>
      <c r="J246" s="1314"/>
      <c r="K246" s="1314"/>
      <c r="L246" s="1314"/>
      <c r="M246" s="1314"/>
      <c r="N246" s="1314"/>
      <c r="O246" s="1314"/>
      <c r="P246" s="1314"/>
      <c r="Q246" s="1314"/>
      <c r="R246" s="1314"/>
      <c r="S246" s="1314"/>
      <c r="T246" s="1314"/>
      <c r="U246" s="1314"/>
      <c r="V246" s="1314"/>
      <c r="W246" s="1314"/>
      <c r="X246" s="1314"/>
      <c r="Y246" s="1314"/>
      <c r="Z246" s="1314"/>
      <c r="AA246" s="1314"/>
      <c r="AB246" s="1314"/>
      <c r="AC246" s="1314"/>
      <c r="AD246" s="1314"/>
      <c r="AE246" s="1314"/>
      <c r="AF246" s="1314"/>
      <c r="AG246" s="1315"/>
      <c r="AH246" s="119"/>
      <c r="AI246" s="26"/>
    </row>
    <row r="247" spans="1:35" ht="18" customHeight="1">
      <c r="A247" s="1304">
        <v>3702</v>
      </c>
      <c r="B247" s="1271" t="s">
        <v>323</v>
      </c>
      <c r="C247" s="1308"/>
      <c r="D247" s="1308" t="s">
        <v>152</v>
      </c>
      <c r="E247" s="1308" t="s">
        <v>152</v>
      </c>
      <c r="F247" s="1308"/>
      <c r="G247" s="1308"/>
      <c r="H247" s="1316" t="s">
        <v>152</v>
      </c>
      <c r="I247" s="1308" t="s">
        <v>152</v>
      </c>
      <c r="J247" s="1308" t="s">
        <v>152</v>
      </c>
      <c r="K247" s="1316" t="s">
        <v>152</v>
      </c>
      <c r="L247" s="1308" t="s">
        <v>152</v>
      </c>
      <c r="M247" s="1308"/>
      <c r="N247" s="1308"/>
      <c r="O247" s="1308" t="s">
        <v>152</v>
      </c>
      <c r="P247" s="1308" t="s">
        <v>152</v>
      </c>
      <c r="Q247" s="1308" t="s">
        <v>152</v>
      </c>
      <c r="R247" s="1308" t="s">
        <v>152</v>
      </c>
      <c r="S247" s="1308"/>
      <c r="T247" s="1308"/>
      <c r="U247" s="1243"/>
      <c r="V247" s="1308" t="s">
        <v>152</v>
      </c>
      <c r="W247" s="1308" t="s">
        <v>152</v>
      </c>
      <c r="X247" s="1308" t="s">
        <v>152</v>
      </c>
      <c r="Y247" s="1308" t="s">
        <v>152</v>
      </c>
      <c r="Z247" s="1308" t="s">
        <v>152</v>
      </c>
      <c r="AA247" s="1308"/>
      <c r="AB247" s="1308"/>
      <c r="AC247" s="1308" t="s">
        <v>152</v>
      </c>
      <c r="AD247" s="1308" t="s">
        <v>152</v>
      </c>
      <c r="AE247" s="1308" t="s">
        <v>152</v>
      </c>
      <c r="AF247" s="1308"/>
      <c r="AG247" s="1307" t="s">
        <v>152</v>
      </c>
      <c r="AH247" s="34"/>
      <c r="AI247" s="25"/>
    </row>
    <row r="248" spans="1:35" ht="18" customHeight="1">
      <c r="A248" s="1304"/>
      <c r="B248" s="1267" t="s">
        <v>325</v>
      </c>
      <c r="C248" s="1308"/>
      <c r="D248" s="1308" t="s">
        <v>326</v>
      </c>
      <c r="E248" s="1308" t="s">
        <v>326</v>
      </c>
      <c r="F248" s="1308"/>
      <c r="G248" s="1317"/>
      <c r="H248" s="1317" t="s">
        <v>326</v>
      </c>
      <c r="I248" s="958" t="s">
        <v>326</v>
      </c>
      <c r="J248" s="958" t="s">
        <v>326</v>
      </c>
      <c r="K248" s="958" t="s">
        <v>326</v>
      </c>
      <c r="L248" s="822" t="s">
        <v>395</v>
      </c>
      <c r="M248" s="761"/>
      <c r="N248" s="761"/>
      <c r="O248" s="761" t="s">
        <v>326</v>
      </c>
      <c r="P248" s="761" t="s">
        <v>326</v>
      </c>
      <c r="Q248" s="761" t="s">
        <v>326</v>
      </c>
      <c r="R248" s="1318" t="s">
        <v>326</v>
      </c>
      <c r="S248" s="1305"/>
      <c r="T248" s="1305"/>
      <c r="U248" s="1305"/>
      <c r="V248" s="1319" t="s">
        <v>326</v>
      </c>
      <c r="W248" s="1243" t="s">
        <v>326</v>
      </c>
      <c r="X248" s="1308" t="s">
        <v>326</v>
      </c>
      <c r="Y248" s="1308" t="s">
        <v>326</v>
      </c>
      <c r="Z248" s="1308" t="s">
        <v>326</v>
      </c>
      <c r="AA248" s="1308"/>
      <c r="AB248" s="1308"/>
      <c r="AC248" s="1308" t="s">
        <v>326</v>
      </c>
      <c r="AD248" s="1308" t="s">
        <v>326</v>
      </c>
      <c r="AE248" s="1308" t="s">
        <v>326</v>
      </c>
      <c r="AF248" s="1308"/>
      <c r="AG248" s="1307" t="s">
        <v>326</v>
      </c>
      <c r="AH248" s="34"/>
      <c r="AI248" s="25"/>
    </row>
    <row r="249" spans="1:35" ht="18" customHeight="1" thickBot="1">
      <c r="A249" s="1320"/>
      <c r="B249" s="1275" t="s">
        <v>327</v>
      </c>
      <c r="C249" s="1321"/>
      <c r="D249" s="756" t="s">
        <v>328</v>
      </c>
      <c r="E249" s="756" t="s">
        <v>328</v>
      </c>
      <c r="F249" s="1321"/>
      <c r="G249" s="1321"/>
      <c r="H249" s="1322" t="s">
        <v>328</v>
      </c>
      <c r="I249" s="1321" t="s">
        <v>328</v>
      </c>
      <c r="J249" s="1321" t="s">
        <v>328</v>
      </c>
      <c r="K249" s="1321" t="s">
        <v>328</v>
      </c>
      <c r="L249" s="1321" t="s">
        <v>328</v>
      </c>
      <c r="M249" s="1321"/>
      <c r="N249" s="1321"/>
      <c r="O249" s="1321" t="s">
        <v>328</v>
      </c>
      <c r="P249" s="1321" t="s">
        <v>328</v>
      </c>
      <c r="Q249" s="1321" t="s">
        <v>328</v>
      </c>
      <c r="R249" s="1321" t="s">
        <v>328</v>
      </c>
      <c r="S249" s="1321"/>
      <c r="T249" s="1321"/>
      <c r="U249" s="1321"/>
      <c r="V249" s="1321" t="s">
        <v>328</v>
      </c>
      <c r="W249" s="1321" t="s">
        <v>328</v>
      </c>
      <c r="X249" s="1321" t="s">
        <v>328</v>
      </c>
      <c r="Y249" s="1321" t="s">
        <v>328</v>
      </c>
      <c r="Z249" s="1321" t="s">
        <v>328</v>
      </c>
      <c r="AA249" s="1321"/>
      <c r="AB249" s="1321"/>
      <c r="AC249" s="1321" t="s">
        <v>328</v>
      </c>
      <c r="AD249" s="1323" t="s">
        <v>328</v>
      </c>
      <c r="AE249" s="1321" t="s">
        <v>328</v>
      </c>
      <c r="AF249" s="1321"/>
      <c r="AG249" s="1324" t="s">
        <v>328</v>
      </c>
      <c r="AH249" s="34"/>
      <c r="AI249" s="25"/>
    </row>
    <row r="250" spans="1:35" ht="18" customHeight="1"/>
    <row r="251" spans="1:35" ht="18" customHeight="1"/>
    <row r="252" spans="1:35" ht="18" customHeight="1" thickBot="1">
      <c r="A252" s="14" t="s">
        <v>329</v>
      </c>
    </row>
    <row r="253" spans="1:35" ht="18" customHeight="1">
      <c r="B253" s="1036" t="s">
        <v>281</v>
      </c>
      <c r="C253" s="901"/>
      <c r="D253" s="925" t="s">
        <v>87</v>
      </c>
      <c r="E253" s="705"/>
      <c r="F253" s="905"/>
      <c r="G253" s="901"/>
      <c r="H253" s="925" t="s">
        <v>88</v>
      </c>
      <c r="I253" s="705"/>
      <c r="J253" s="905"/>
      <c r="K253" s="901"/>
      <c r="L253" s="925" t="s">
        <v>89</v>
      </c>
      <c r="M253" s="705"/>
      <c r="N253" s="905"/>
      <c r="O253" s="901"/>
      <c r="P253" s="925" t="s">
        <v>90</v>
      </c>
      <c r="Q253" s="705"/>
      <c r="R253" s="905"/>
      <c r="S253" s="901"/>
      <c r="T253" s="925" t="s">
        <v>91</v>
      </c>
      <c r="U253" s="705"/>
      <c r="V253" s="905"/>
      <c r="W253" s="901"/>
      <c r="X253" s="925" t="s">
        <v>92</v>
      </c>
      <c r="Y253" s="705"/>
      <c r="Z253" s="905"/>
      <c r="AA253" s="901"/>
      <c r="AB253" s="925" t="s">
        <v>93</v>
      </c>
      <c r="AC253" s="705"/>
      <c r="AD253" s="705"/>
      <c r="AE253" s="928" t="s">
        <v>94</v>
      </c>
      <c r="AF253" s="705"/>
      <c r="AG253" s="705"/>
      <c r="AH253" s="705"/>
      <c r="AI253" s="706"/>
    </row>
    <row r="254" spans="1:35" ht="18" customHeight="1">
      <c r="B254" s="116">
        <v>8500</v>
      </c>
      <c r="C254" s="772" t="s">
        <v>330</v>
      </c>
      <c r="D254" s="111"/>
      <c r="E254" s="8"/>
      <c r="F254" s="120"/>
      <c r="G254" s="772" t="s">
        <v>330</v>
      </c>
      <c r="H254" s="111"/>
      <c r="I254" s="8"/>
      <c r="J254" s="120"/>
      <c r="K254" s="772" t="s">
        <v>330</v>
      </c>
      <c r="L254" s="111"/>
      <c r="M254" s="8"/>
      <c r="N254" s="120"/>
      <c r="O254" s="772" t="s">
        <v>330</v>
      </c>
      <c r="P254" s="111"/>
      <c r="Q254" s="8"/>
      <c r="R254" s="120"/>
      <c r="S254" s="772" t="s">
        <v>331</v>
      </c>
      <c r="T254" s="111"/>
      <c r="U254" s="8"/>
      <c r="V254" s="120"/>
      <c r="W254" s="121"/>
      <c r="X254" s="111"/>
      <c r="Y254" s="8"/>
      <c r="Z254" s="120"/>
      <c r="AA254" s="121"/>
      <c r="AB254" s="111"/>
      <c r="AC254" s="8"/>
      <c r="AD254" s="8"/>
      <c r="AE254" s="112"/>
      <c r="AF254" s="8"/>
      <c r="AG254" s="8"/>
      <c r="AH254" s="8"/>
      <c r="AI254" s="105"/>
    </row>
    <row r="255" spans="1:35" ht="18" customHeight="1" thickBot="1">
      <c r="A255" s="87"/>
      <c r="B255" s="1325"/>
      <c r="C255" s="1051"/>
      <c r="D255" s="1052"/>
      <c r="E255" s="1037"/>
      <c r="F255" s="1038"/>
      <c r="G255" s="1051"/>
      <c r="H255" s="1039"/>
      <c r="I255" s="1037"/>
      <c r="J255" s="1038"/>
      <c r="K255" s="1051"/>
      <c r="L255" s="1039"/>
      <c r="M255" s="1037"/>
      <c r="N255" s="1038"/>
      <c r="O255" s="1051"/>
      <c r="P255" s="1039"/>
      <c r="Q255" s="1037"/>
      <c r="R255" s="1038"/>
      <c r="S255" s="1051"/>
      <c r="T255" s="1039"/>
      <c r="U255" s="1037"/>
      <c r="V255" s="1038"/>
      <c r="W255" s="1040"/>
      <c r="X255" s="1039"/>
      <c r="Y255" s="1037"/>
      <c r="Z255" s="1038"/>
      <c r="AA255" s="1040"/>
      <c r="AB255" s="1039"/>
      <c r="AC255" s="1037"/>
      <c r="AD255" s="1037"/>
      <c r="AE255" s="1044"/>
      <c r="AF255" s="1037"/>
      <c r="AG255" s="1037"/>
      <c r="AH255" s="1037"/>
      <c r="AI255" s="1045"/>
    </row>
    <row r="256" spans="1:35" ht="18" customHeight="1">
      <c r="A256" s="122" t="s">
        <v>332</v>
      </c>
    </row>
    <row r="257" spans="1:35" ht="18" customHeight="1" thickBot="1">
      <c r="A257" s="1326"/>
      <c r="B257" s="1303" t="s">
        <v>29</v>
      </c>
      <c r="C257" s="1206">
        <v>1</v>
      </c>
      <c r="D257" s="1207">
        <v>2</v>
      </c>
      <c r="E257" s="1207">
        <v>3</v>
      </c>
      <c r="F257" s="1206">
        <v>4</v>
      </c>
      <c r="G257" s="1206">
        <v>5</v>
      </c>
      <c r="H257" s="1207">
        <v>6</v>
      </c>
      <c r="I257" s="1207">
        <v>7</v>
      </c>
      <c r="J257" s="1207">
        <v>8</v>
      </c>
      <c r="K257" s="1207">
        <v>9</v>
      </c>
      <c r="L257" s="1207">
        <v>10</v>
      </c>
      <c r="M257" s="1206">
        <v>11</v>
      </c>
      <c r="N257" s="1206">
        <v>12</v>
      </c>
      <c r="O257" s="1207">
        <v>13</v>
      </c>
      <c r="P257" s="1207">
        <v>14</v>
      </c>
      <c r="Q257" s="1207">
        <v>15</v>
      </c>
      <c r="R257" s="1207">
        <v>16</v>
      </c>
      <c r="S257" s="1206">
        <v>17</v>
      </c>
      <c r="T257" s="1206">
        <v>18</v>
      </c>
      <c r="U257" s="1206">
        <v>19</v>
      </c>
      <c r="V257" s="1207">
        <v>20</v>
      </c>
      <c r="W257" s="1207">
        <v>21</v>
      </c>
      <c r="X257" s="1207">
        <v>22</v>
      </c>
      <c r="Y257" s="1207">
        <v>23</v>
      </c>
      <c r="Z257" s="1207">
        <v>24</v>
      </c>
      <c r="AA257" s="1206">
        <v>25</v>
      </c>
      <c r="AB257" s="1206">
        <v>26</v>
      </c>
      <c r="AC257" s="1207">
        <v>27</v>
      </c>
      <c r="AD257" s="1207">
        <v>28</v>
      </c>
      <c r="AE257" s="1207">
        <v>29</v>
      </c>
      <c r="AF257" s="1206">
        <v>30</v>
      </c>
      <c r="AG257" s="1208">
        <v>31</v>
      </c>
      <c r="AH257" s="23"/>
      <c r="AI257" s="24"/>
    </row>
    <row r="258" spans="1:35" ht="18" customHeight="1">
      <c r="A258" s="121">
        <v>8500</v>
      </c>
      <c r="B258" s="123" t="s">
        <v>333</v>
      </c>
      <c r="C258" s="1053"/>
      <c r="D258" s="1031" t="s">
        <v>31</v>
      </c>
      <c r="E258" s="1053" t="s">
        <v>31</v>
      </c>
      <c r="F258" s="1053"/>
      <c r="G258" s="1053"/>
      <c r="H258" s="1053" t="s">
        <v>31</v>
      </c>
      <c r="I258" s="1053" t="s">
        <v>31</v>
      </c>
      <c r="J258" s="1053" t="s">
        <v>31</v>
      </c>
      <c r="K258" s="1053" t="s">
        <v>31</v>
      </c>
      <c r="L258" s="1053" t="s">
        <v>31</v>
      </c>
      <c r="M258" s="1053"/>
      <c r="N258" s="1053"/>
      <c r="O258" s="1053" t="s">
        <v>31</v>
      </c>
      <c r="P258" s="794" t="s">
        <v>31</v>
      </c>
      <c r="Q258" s="794" t="s">
        <v>31</v>
      </c>
      <c r="R258" s="794" t="s">
        <v>31</v>
      </c>
      <c r="S258" s="794"/>
      <c r="T258" s="794"/>
      <c r="U258" s="794"/>
      <c r="V258" s="794" t="s">
        <v>31</v>
      </c>
      <c r="W258" s="794" t="s">
        <v>31</v>
      </c>
      <c r="X258" s="794" t="s">
        <v>31</v>
      </c>
      <c r="Y258" s="794" t="s">
        <v>31</v>
      </c>
      <c r="Z258" s="794" t="s">
        <v>31</v>
      </c>
      <c r="AA258" s="1053"/>
      <c r="AB258" s="1053"/>
      <c r="AC258" s="1053" t="s">
        <v>31</v>
      </c>
      <c r="AD258" s="1053" t="s">
        <v>31</v>
      </c>
      <c r="AE258" s="1053" t="s">
        <v>31</v>
      </c>
      <c r="AF258" s="1053"/>
      <c r="AG258" s="510" t="s">
        <v>31</v>
      </c>
      <c r="AH258" s="124"/>
      <c r="AI258" s="125"/>
    </row>
    <row r="259" spans="1:35" ht="18" customHeight="1">
      <c r="A259" s="1224"/>
      <c r="B259" s="1327" t="s">
        <v>334</v>
      </c>
      <c r="C259" s="1237"/>
      <c r="D259" s="1237" t="s">
        <v>31</v>
      </c>
      <c r="E259" s="1237" t="s">
        <v>31</v>
      </c>
      <c r="F259" s="1237"/>
      <c r="G259" s="1237"/>
      <c r="H259" s="1237" t="s">
        <v>31</v>
      </c>
      <c r="I259" s="1237" t="s">
        <v>31</v>
      </c>
      <c r="J259" s="1237" t="s">
        <v>31</v>
      </c>
      <c r="K259" s="1237" t="s">
        <v>31</v>
      </c>
      <c r="L259" s="1237" t="s">
        <v>31</v>
      </c>
      <c r="M259" s="1237"/>
      <c r="N259" s="1237"/>
      <c r="O259" s="1237" t="s">
        <v>31</v>
      </c>
      <c r="P259" s="1237" t="s">
        <v>31</v>
      </c>
      <c r="Q259" s="1237" t="s">
        <v>31</v>
      </c>
      <c r="R259" s="1237" t="s">
        <v>31</v>
      </c>
      <c r="S259" s="1237"/>
      <c r="T259" s="1237"/>
      <c r="U259" s="1237"/>
      <c r="V259" s="1237" t="s">
        <v>31</v>
      </c>
      <c r="W259" s="1237" t="s">
        <v>31</v>
      </c>
      <c r="X259" s="1237" t="s">
        <v>31</v>
      </c>
      <c r="Y259" s="1237" t="s">
        <v>31</v>
      </c>
      <c r="Z259" s="1237" t="s">
        <v>31</v>
      </c>
      <c r="AA259" s="1237"/>
      <c r="AB259" s="1237"/>
      <c r="AC259" s="1237" t="s">
        <v>31</v>
      </c>
      <c r="AD259" s="1237" t="s">
        <v>31</v>
      </c>
      <c r="AE259" s="1237" t="s">
        <v>31</v>
      </c>
      <c r="AF259" s="1237"/>
      <c r="AG259" s="1237" t="s">
        <v>31</v>
      </c>
      <c r="AH259" s="124"/>
      <c r="AI259" s="125"/>
    </row>
    <row r="260" spans="1:35" ht="18" customHeight="1">
      <c r="A260" s="1328"/>
      <c r="B260" s="1327" t="s">
        <v>335</v>
      </c>
      <c r="C260" s="1237"/>
      <c r="D260" s="510" t="s">
        <v>31</v>
      </c>
      <c r="E260" s="510" t="s">
        <v>31</v>
      </c>
      <c r="F260" s="1237"/>
      <c r="G260" s="1237"/>
      <c r="H260" s="1237" t="s">
        <v>31</v>
      </c>
      <c r="I260" s="1237" t="s">
        <v>31</v>
      </c>
      <c r="J260" s="1237" t="s">
        <v>31</v>
      </c>
      <c r="K260" s="1237" t="s">
        <v>31</v>
      </c>
      <c r="L260" s="1237" t="s">
        <v>31</v>
      </c>
      <c r="M260" s="1237"/>
      <c r="N260" s="1237"/>
      <c r="O260" s="1237" t="s">
        <v>31</v>
      </c>
      <c r="P260" s="1237" t="s">
        <v>31</v>
      </c>
      <c r="Q260" s="1237" t="s">
        <v>31</v>
      </c>
      <c r="R260" s="1237" t="s">
        <v>31</v>
      </c>
      <c r="S260" s="1237"/>
      <c r="T260" s="1237"/>
      <c r="U260" s="1237"/>
      <c r="V260" s="1237" t="s">
        <v>31</v>
      </c>
      <c r="W260" s="1237" t="s">
        <v>31</v>
      </c>
      <c r="X260" s="1237" t="s">
        <v>31</v>
      </c>
      <c r="Y260" s="1237" t="s">
        <v>31</v>
      </c>
      <c r="Z260" s="1237" t="s">
        <v>31</v>
      </c>
      <c r="AA260" s="1237"/>
      <c r="AB260" s="1237"/>
      <c r="AC260" s="1237" t="s">
        <v>31</v>
      </c>
      <c r="AD260" s="1237" t="s">
        <v>31</v>
      </c>
      <c r="AE260" s="1237" t="s">
        <v>31</v>
      </c>
      <c r="AF260" s="1237"/>
      <c r="AG260" s="1237" t="s">
        <v>31</v>
      </c>
      <c r="AH260" s="124"/>
      <c r="AI260" s="125"/>
    </row>
    <row r="261" spans="1:35" ht="18" customHeight="1">
      <c r="A261" s="29"/>
      <c r="B261" s="1329"/>
      <c r="C261" s="1237"/>
      <c r="D261" s="1237"/>
      <c r="E261" s="1237"/>
      <c r="F261" s="1237"/>
      <c r="G261" s="1237"/>
      <c r="H261" s="1237"/>
      <c r="I261" s="1237"/>
      <c r="J261" s="1237"/>
      <c r="K261" s="1237"/>
      <c r="L261" s="1237"/>
      <c r="M261" s="1237"/>
      <c r="N261" s="1237"/>
      <c r="O261" s="1237"/>
      <c r="P261" s="1237"/>
      <c r="Q261" s="1237"/>
      <c r="R261" s="1237"/>
      <c r="S261" s="1237"/>
      <c r="T261" s="1237"/>
      <c r="U261" s="1237"/>
      <c r="V261" s="1237"/>
      <c r="W261" s="1237"/>
      <c r="X261" s="1237"/>
      <c r="Y261" s="1237"/>
      <c r="Z261" s="1237"/>
      <c r="AA261" s="1237"/>
      <c r="AB261" s="1237"/>
      <c r="AC261" s="1237"/>
      <c r="AD261" s="1237"/>
      <c r="AE261" s="1237"/>
      <c r="AF261" s="1237"/>
      <c r="AG261" s="1330"/>
      <c r="AH261" s="124"/>
      <c r="AI261" s="125"/>
    </row>
    <row r="262" spans="1:35" ht="18" customHeight="1">
      <c r="A262" s="1331"/>
      <c r="B262" s="1329"/>
      <c r="C262" s="1308"/>
      <c r="D262" s="1308"/>
      <c r="E262" s="1308"/>
      <c r="F262" s="1308"/>
      <c r="G262" s="1308"/>
      <c r="H262" s="1308"/>
      <c r="I262" s="1308"/>
      <c r="J262" s="1308"/>
      <c r="K262" s="1308"/>
      <c r="L262" s="1308"/>
      <c r="M262" s="1308"/>
      <c r="N262" s="1311"/>
      <c r="O262" s="1311"/>
      <c r="P262" s="1308"/>
      <c r="Q262" s="1308"/>
      <c r="R262" s="1308"/>
      <c r="S262" s="1308"/>
      <c r="T262" s="1308"/>
      <c r="U262" s="1308"/>
      <c r="V262" s="1308"/>
      <c r="W262" s="1308"/>
      <c r="X262" s="1308"/>
      <c r="Y262" s="1308"/>
      <c r="Z262" s="1308"/>
      <c r="AA262" s="1308"/>
      <c r="AB262" s="1311"/>
      <c r="AC262" s="1311"/>
      <c r="AD262" s="1308"/>
      <c r="AE262" s="1308"/>
      <c r="AF262" s="1308"/>
      <c r="AG262" s="1308"/>
      <c r="AH262" s="126"/>
      <c r="AI262" s="127"/>
    </row>
    <row r="263" spans="1:35" ht="18" customHeight="1">
      <c r="A263" s="1332"/>
      <c r="B263" s="1333"/>
      <c r="C263" s="1308"/>
      <c r="D263" s="1308"/>
      <c r="E263" s="1308"/>
      <c r="F263" s="1308"/>
      <c r="G263" s="1308"/>
      <c r="H263" s="1308"/>
      <c r="I263" s="1308"/>
      <c r="J263" s="1308"/>
      <c r="K263" s="1308"/>
      <c r="L263" s="1308"/>
      <c r="M263" s="1308"/>
      <c r="N263" s="1311"/>
      <c r="O263" s="1311"/>
      <c r="P263" s="1308"/>
      <c r="Q263" s="1308"/>
      <c r="R263" s="1308"/>
      <c r="S263" s="1308"/>
      <c r="T263" s="1308"/>
      <c r="U263" s="1308"/>
      <c r="V263" s="1308"/>
      <c r="W263" s="1308"/>
      <c r="X263" s="1308"/>
      <c r="Y263" s="1308"/>
      <c r="Z263" s="1308"/>
      <c r="AA263" s="1308"/>
      <c r="AB263" s="1311"/>
      <c r="AC263" s="1311"/>
      <c r="AD263" s="1308"/>
      <c r="AE263" s="1308"/>
      <c r="AF263" s="1308"/>
      <c r="AG263" s="1308"/>
      <c r="AH263" s="126"/>
      <c r="AI263" s="127"/>
    </row>
    <row r="264" spans="1:35" ht="18" customHeight="1" thickBot="1">
      <c r="A264" s="416"/>
      <c r="B264" s="413"/>
      <c r="C264" s="1334"/>
      <c r="D264" s="1335"/>
      <c r="E264" s="1335"/>
      <c r="F264" s="1335"/>
      <c r="G264" s="1335"/>
      <c r="H264" s="1335"/>
      <c r="I264" s="1335"/>
      <c r="J264" s="1335"/>
      <c r="K264" s="1335"/>
      <c r="L264" s="1335"/>
      <c r="M264" s="1335"/>
      <c r="N264" s="1336"/>
      <c r="O264" s="1336"/>
      <c r="P264" s="1335"/>
      <c r="Q264" s="1335"/>
      <c r="R264" s="1335"/>
      <c r="S264" s="1335"/>
      <c r="T264" s="1335"/>
      <c r="U264" s="1335"/>
      <c r="V264" s="1335"/>
      <c r="W264" s="1335"/>
      <c r="X264" s="1335"/>
      <c r="Y264" s="1335"/>
      <c r="Z264" s="1335"/>
      <c r="AA264" s="1335"/>
      <c r="AB264" s="1336"/>
      <c r="AC264" s="1336"/>
      <c r="AD264" s="1335"/>
      <c r="AE264" s="1335"/>
      <c r="AF264" s="1335"/>
      <c r="AG264" s="1337"/>
      <c r="AH264" s="126"/>
      <c r="AI264" s="127"/>
    </row>
    <row r="265" spans="1:35" ht="18" customHeight="1"/>
    <row r="266" spans="1:35" ht="18" customHeight="1" thickBot="1">
      <c r="A266" s="14" t="s">
        <v>337</v>
      </c>
    </row>
    <row r="267" spans="1:35" ht="18" customHeight="1">
      <c r="A267" s="1"/>
      <c r="B267" s="1036" t="s">
        <v>281</v>
      </c>
      <c r="C267" s="901"/>
      <c r="D267" s="925" t="s">
        <v>87</v>
      </c>
      <c r="E267" s="705"/>
      <c r="F267" s="905"/>
      <c r="G267" s="901"/>
      <c r="H267" s="925" t="s">
        <v>88</v>
      </c>
      <c r="I267" s="705"/>
      <c r="J267" s="905"/>
      <c r="K267" s="901"/>
      <c r="L267" s="925" t="s">
        <v>89</v>
      </c>
      <c r="M267" s="705"/>
      <c r="N267" s="905"/>
      <c r="O267" s="901"/>
      <c r="P267" s="925" t="s">
        <v>90</v>
      </c>
      <c r="Q267" s="705"/>
      <c r="R267" s="905"/>
      <c r="S267" s="901"/>
      <c r="T267" s="925" t="s">
        <v>91</v>
      </c>
      <c r="U267" s="705"/>
      <c r="V267" s="905"/>
      <c r="W267" s="901"/>
      <c r="X267" s="925" t="s">
        <v>92</v>
      </c>
      <c r="Y267" s="705"/>
      <c r="Z267" s="905"/>
      <c r="AA267" s="901"/>
      <c r="AB267" s="925" t="s">
        <v>93</v>
      </c>
      <c r="AC267" s="705"/>
      <c r="AD267" s="705"/>
      <c r="AE267" s="928" t="s">
        <v>94</v>
      </c>
      <c r="AF267" s="705"/>
      <c r="AG267" s="705"/>
      <c r="AH267" s="705"/>
      <c r="AI267" s="706"/>
    </row>
    <row r="268" spans="1:35" ht="18" customHeight="1">
      <c r="A268" s="1"/>
      <c r="B268" s="116"/>
      <c r="C268" s="121"/>
      <c r="D268" s="111"/>
      <c r="E268" s="8"/>
      <c r="F268" s="120"/>
      <c r="G268" s="121"/>
      <c r="H268" s="111"/>
      <c r="I268" s="8"/>
      <c r="J268" s="120"/>
      <c r="K268" s="121"/>
      <c r="L268" s="111"/>
      <c r="M268" s="8"/>
      <c r="N268" s="120"/>
      <c r="O268" s="121"/>
      <c r="P268" s="111"/>
      <c r="Q268" s="8"/>
      <c r="R268" s="120"/>
      <c r="S268" s="121"/>
      <c r="T268" s="111"/>
      <c r="U268" s="8"/>
      <c r="V268" s="120"/>
      <c r="W268" s="121"/>
      <c r="X268" s="111"/>
      <c r="Y268" s="8"/>
      <c r="Z268" s="120"/>
      <c r="AA268" s="121"/>
      <c r="AB268" s="111"/>
      <c r="AC268" s="8"/>
      <c r="AD268" s="8"/>
      <c r="AE268" s="112"/>
      <c r="AF268" s="8"/>
      <c r="AG268" s="8"/>
      <c r="AH268" s="8"/>
      <c r="AI268" s="105"/>
    </row>
    <row r="269" spans="1:35" ht="18" customHeight="1">
      <c r="A269" s="87"/>
      <c r="B269" s="1299"/>
      <c r="C269" s="772"/>
      <c r="D269" s="1084"/>
      <c r="E269" s="1084"/>
      <c r="F269" s="933"/>
      <c r="G269" s="772"/>
      <c r="H269" s="1084"/>
      <c r="I269" s="1084"/>
      <c r="J269" s="933"/>
      <c r="K269" s="772"/>
      <c r="L269" s="1084"/>
      <c r="M269" s="1084"/>
      <c r="N269" s="933"/>
      <c r="O269" s="772"/>
      <c r="P269" s="1084"/>
      <c r="Q269" s="1084"/>
      <c r="R269" s="933"/>
      <c r="S269" s="772"/>
      <c r="T269" s="1084"/>
      <c r="U269" s="1084"/>
      <c r="V269" s="933"/>
      <c r="W269" s="772"/>
      <c r="X269" s="1084"/>
      <c r="Y269" s="1084"/>
      <c r="Z269" s="933"/>
      <c r="AA269" s="931"/>
      <c r="AB269" s="1084"/>
      <c r="AC269" s="1084"/>
      <c r="AD269" s="773"/>
      <c r="AE269" s="1338"/>
      <c r="AF269" s="1084"/>
      <c r="AG269" s="1084"/>
      <c r="AH269" s="773"/>
      <c r="AI269" s="1093"/>
    </row>
    <row r="270" spans="1:35" ht="18" customHeight="1" thickBot="1">
      <c r="A270" s="1"/>
      <c r="B270" s="943"/>
      <c r="C270" s="944"/>
      <c r="D270" s="718"/>
      <c r="E270" s="718"/>
      <c r="F270" s="968"/>
      <c r="G270" s="944"/>
      <c r="H270" s="718"/>
      <c r="I270" s="718"/>
      <c r="J270" s="968"/>
      <c r="K270" s="944"/>
      <c r="L270" s="718"/>
      <c r="M270" s="718"/>
      <c r="N270" s="968"/>
      <c r="O270" s="944"/>
      <c r="P270" s="718"/>
      <c r="Q270" s="718"/>
      <c r="R270" s="968"/>
      <c r="S270" s="944"/>
      <c r="T270" s="718"/>
      <c r="U270" s="718"/>
      <c r="V270" s="968"/>
      <c r="W270" s="966"/>
      <c r="X270" s="718"/>
      <c r="Y270" s="718"/>
      <c r="Z270" s="968"/>
      <c r="AA270" s="966"/>
      <c r="AB270" s="718"/>
      <c r="AC270" s="718"/>
      <c r="AD270" s="951"/>
      <c r="AE270" s="966"/>
      <c r="AF270" s="718"/>
      <c r="AG270" s="718"/>
      <c r="AH270" s="951"/>
      <c r="AI270" s="725"/>
    </row>
    <row r="271" spans="1:35" ht="18" customHeight="1">
      <c r="A271" s="1"/>
      <c r="B271" s="113"/>
      <c r="C271" s="37"/>
      <c r="F271" s="22"/>
      <c r="G271" s="37"/>
      <c r="J271" s="22"/>
      <c r="K271" s="37"/>
      <c r="N271" s="22"/>
      <c r="O271" s="37"/>
      <c r="R271" s="22"/>
      <c r="S271" s="37"/>
      <c r="V271" s="22"/>
      <c r="W271" s="22"/>
      <c r="Z271" s="22"/>
      <c r="AA271" s="22"/>
      <c r="AD271" s="22"/>
      <c r="AE271" s="22"/>
      <c r="AH271" s="22"/>
    </row>
    <row r="272" spans="1:35" ht="18" customHeight="1">
      <c r="A272" s="14" t="s">
        <v>338</v>
      </c>
      <c r="B272" s="113"/>
      <c r="C272" s="37"/>
      <c r="F272" s="22"/>
      <c r="G272" s="37"/>
      <c r="J272" s="22"/>
      <c r="K272" s="37"/>
      <c r="N272" s="22"/>
      <c r="O272" s="37"/>
      <c r="R272" s="22"/>
      <c r="S272" s="37"/>
      <c r="V272" s="22"/>
      <c r="W272" s="22"/>
      <c r="Z272" s="22"/>
      <c r="AA272" s="22"/>
      <c r="AD272" s="22"/>
      <c r="AE272" s="22"/>
      <c r="AH272" s="22"/>
    </row>
    <row r="273" spans="1:35" ht="18" customHeight="1" thickBot="1">
      <c r="A273" s="1302" t="s">
        <v>28</v>
      </c>
      <c r="B273" s="1303" t="s">
        <v>29</v>
      </c>
      <c r="C273" s="1206">
        <v>1</v>
      </c>
      <c r="D273" s="1207">
        <v>2</v>
      </c>
      <c r="E273" s="1207">
        <v>3</v>
      </c>
      <c r="F273" s="1206">
        <v>4</v>
      </c>
      <c r="G273" s="1206">
        <v>5</v>
      </c>
      <c r="H273" s="1207">
        <v>6</v>
      </c>
      <c r="I273" s="1207">
        <v>7</v>
      </c>
      <c r="J273" s="1207">
        <v>8</v>
      </c>
      <c r="K273" s="1207">
        <v>9</v>
      </c>
      <c r="L273" s="1207">
        <v>10</v>
      </c>
      <c r="M273" s="1206">
        <v>11</v>
      </c>
      <c r="N273" s="1206">
        <v>12</v>
      </c>
      <c r="O273" s="1207">
        <v>13</v>
      </c>
      <c r="P273" s="1207">
        <v>14</v>
      </c>
      <c r="Q273" s="1207">
        <v>15</v>
      </c>
      <c r="R273" s="1207">
        <v>16</v>
      </c>
      <c r="S273" s="1206">
        <v>17</v>
      </c>
      <c r="T273" s="1206">
        <v>18</v>
      </c>
      <c r="U273" s="1206">
        <v>19</v>
      </c>
      <c r="V273" s="1207">
        <v>20</v>
      </c>
      <c r="W273" s="1207">
        <v>21</v>
      </c>
      <c r="X273" s="1207">
        <v>22</v>
      </c>
      <c r="Y273" s="1207">
        <v>23</v>
      </c>
      <c r="Z273" s="1207">
        <v>24</v>
      </c>
      <c r="AA273" s="1206">
        <v>25</v>
      </c>
      <c r="AB273" s="1206">
        <v>26</v>
      </c>
      <c r="AC273" s="1207">
        <v>27</v>
      </c>
      <c r="AD273" s="1207">
        <v>28</v>
      </c>
      <c r="AE273" s="1207">
        <v>29</v>
      </c>
      <c r="AF273" s="1206">
        <v>30</v>
      </c>
      <c r="AG273" s="1208">
        <v>31</v>
      </c>
      <c r="AH273" s="128"/>
      <c r="AI273" s="24"/>
    </row>
    <row r="274" spans="1:35" ht="18" customHeight="1">
      <c r="A274" s="129"/>
      <c r="B274" s="130" t="s">
        <v>339</v>
      </c>
      <c r="C274" s="1129"/>
      <c r="D274" s="1243" t="s">
        <v>31</v>
      </c>
      <c r="E274" s="1129" t="s">
        <v>31</v>
      </c>
      <c r="F274" s="1129"/>
      <c r="G274" s="1237"/>
      <c r="H274" s="1237" t="s">
        <v>31</v>
      </c>
      <c r="I274" s="1237" t="s">
        <v>31</v>
      </c>
      <c r="J274" s="1237" t="s">
        <v>31</v>
      </c>
      <c r="K274" s="1237" t="s">
        <v>31</v>
      </c>
      <c r="L274" s="1237" t="s">
        <v>31</v>
      </c>
      <c r="M274" s="1237"/>
      <c r="N274" s="1237"/>
      <c r="O274" s="1237" t="s">
        <v>31</v>
      </c>
      <c r="P274" s="1237" t="s">
        <v>31</v>
      </c>
      <c r="Q274" s="1237" t="s">
        <v>31</v>
      </c>
      <c r="R274" s="1237" t="s">
        <v>31</v>
      </c>
      <c r="S274" s="1237"/>
      <c r="T274" s="1237"/>
      <c r="U274" s="1237"/>
      <c r="V274" s="1237" t="s">
        <v>31</v>
      </c>
      <c r="W274" s="1237" t="s">
        <v>31</v>
      </c>
      <c r="X274" s="1237" t="s">
        <v>31</v>
      </c>
      <c r="Y274" s="1237" t="s">
        <v>31</v>
      </c>
      <c r="Z274" s="1237" t="s">
        <v>31</v>
      </c>
      <c r="AA274" s="1237"/>
      <c r="AB274" s="1237"/>
      <c r="AC274" s="1237" t="s">
        <v>31</v>
      </c>
      <c r="AD274" s="1237" t="s">
        <v>31</v>
      </c>
      <c r="AE274" s="1237" t="s">
        <v>31</v>
      </c>
      <c r="AF274" s="1237"/>
      <c r="AG274" s="1237" t="s">
        <v>31</v>
      </c>
      <c r="AH274" s="131"/>
      <c r="AI274" s="125"/>
    </row>
    <row r="275" spans="1:35" ht="18" customHeight="1">
      <c r="A275" s="1339"/>
      <c r="B275" s="1340" t="s">
        <v>340</v>
      </c>
      <c r="C275" s="1129"/>
      <c r="D275" s="1132" t="s">
        <v>31</v>
      </c>
      <c r="E275" s="1132" t="s">
        <v>31</v>
      </c>
      <c r="F275" s="1132"/>
      <c r="G275" s="1319"/>
      <c r="H275" s="1128" t="s">
        <v>31</v>
      </c>
      <c r="I275" s="1128" t="s">
        <v>31</v>
      </c>
      <c r="J275" s="1128" t="s">
        <v>31</v>
      </c>
      <c r="K275" s="1128" t="s">
        <v>31</v>
      </c>
      <c r="L275" s="1128" t="s">
        <v>31</v>
      </c>
      <c r="M275" s="1237"/>
      <c r="N275" s="1237"/>
      <c r="O275" s="1237" t="s">
        <v>31</v>
      </c>
      <c r="P275" s="1237" t="s">
        <v>31</v>
      </c>
      <c r="Q275" s="1237" t="s">
        <v>31</v>
      </c>
      <c r="R275" s="1237" t="s">
        <v>31</v>
      </c>
      <c r="S275" s="1237"/>
      <c r="T275" s="1237"/>
      <c r="U275" s="1237"/>
      <c r="V275" s="1237" t="s">
        <v>31</v>
      </c>
      <c r="W275" s="1237" t="s">
        <v>31</v>
      </c>
      <c r="X275" s="1237" t="s">
        <v>31</v>
      </c>
      <c r="Y275" s="1237" t="s">
        <v>31</v>
      </c>
      <c r="Z275" s="1237" t="s">
        <v>31</v>
      </c>
      <c r="AA275" s="1237"/>
      <c r="AB275" s="1237"/>
      <c r="AC275" s="1237" t="s">
        <v>31</v>
      </c>
      <c r="AD275" s="1237" t="s">
        <v>31</v>
      </c>
      <c r="AE275" s="1237" t="s">
        <v>31</v>
      </c>
      <c r="AF275" s="1237"/>
      <c r="AG275" s="1128" t="s">
        <v>31</v>
      </c>
      <c r="AH275" s="131"/>
      <c r="AI275" s="125"/>
    </row>
    <row r="276" spans="1:35" ht="18" customHeight="1">
      <c r="A276" s="1304"/>
      <c r="B276" s="1340" t="s">
        <v>341</v>
      </c>
      <c r="C276" s="1129"/>
      <c r="D276" s="1243" t="s">
        <v>31</v>
      </c>
      <c r="E276" s="1129" t="s">
        <v>31</v>
      </c>
      <c r="F276" s="1129"/>
      <c r="G276" s="1237"/>
      <c r="H276" s="1237" t="s">
        <v>31</v>
      </c>
      <c r="I276" s="1237" t="s">
        <v>31</v>
      </c>
      <c r="J276" s="1237" t="s">
        <v>31</v>
      </c>
      <c r="K276" s="1237" t="s">
        <v>31</v>
      </c>
      <c r="L276" s="1237" t="s">
        <v>31</v>
      </c>
      <c r="M276" s="1237"/>
      <c r="N276" s="1237"/>
      <c r="O276" s="1237" t="s">
        <v>31</v>
      </c>
      <c r="P276" s="1237" t="s">
        <v>31</v>
      </c>
      <c r="Q276" s="1237" t="s">
        <v>31</v>
      </c>
      <c r="R276" s="1237" t="s">
        <v>31</v>
      </c>
      <c r="S276" s="1237"/>
      <c r="T276" s="1237"/>
      <c r="U276" s="1237"/>
      <c r="V276" s="1237" t="s">
        <v>31</v>
      </c>
      <c r="W276" s="1237" t="s">
        <v>31</v>
      </c>
      <c r="X276" s="1237" t="s">
        <v>31</v>
      </c>
      <c r="Y276" s="1237" t="s">
        <v>31</v>
      </c>
      <c r="Z276" s="1237" t="s">
        <v>31</v>
      </c>
      <c r="AA276" s="1237"/>
      <c r="AB276" s="1237"/>
      <c r="AC276" s="1237" t="s">
        <v>31</v>
      </c>
      <c r="AD276" s="1237" t="s">
        <v>31</v>
      </c>
      <c r="AE276" s="1237" t="s">
        <v>31</v>
      </c>
      <c r="AF276" s="1237"/>
      <c r="AG276" s="1237" t="s">
        <v>31</v>
      </c>
      <c r="AH276" s="131"/>
      <c r="AI276" s="125"/>
    </row>
    <row r="277" spans="1:35" ht="18" customHeight="1">
      <c r="A277" s="1304"/>
      <c r="B277" s="1340" t="s">
        <v>342</v>
      </c>
      <c r="C277" s="1129"/>
      <c r="D277" s="1243" t="s">
        <v>31</v>
      </c>
      <c r="E277" s="1129" t="s">
        <v>31</v>
      </c>
      <c r="F277" s="1129"/>
      <c r="G277" s="1237"/>
      <c r="H277" s="1237" t="s">
        <v>31</v>
      </c>
      <c r="I277" s="1237" t="s">
        <v>31</v>
      </c>
      <c r="J277" s="1237" t="s">
        <v>31</v>
      </c>
      <c r="K277" s="1237" t="s">
        <v>31</v>
      </c>
      <c r="L277" s="1237" t="s">
        <v>31</v>
      </c>
      <c r="M277" s="1237"/>
      <c r="N277" s="1237"/>
      <c r="O277" s="1140" t="s">
        <v>31</v>
      </c>
      <c r="P277" s="1140" t="s">
        <v>31</v>
      </c>
      <c r="Q277" s="1213" t="s">
        <v>304</v>
      </c>
      <c r="R277" s="1341" t="s">
        <v>31</v>
      </c>
      <c r="S277" s="1237"/>
      <c r="T277" s="1237"/>
      <c r="U277" s="1237"/>
      <c r="V277" s="1237" t="s">
        <v>31</v>
      </c>
      <c r="W277" s="1237" t="s">
        <v>31</v>
      </c>
      <c r="X277" s="1237" t="s">
        <v>31</v>
      </c>
      <c r="Y277" s="1237" t="s">
        <v>31</v>
      </c>
      <c r="Z277" s="1237" t="s">
        <v>31</v>
      </c>
      <c r="AA277" s="1237"/>
      <c r="AB277" s="1237"/>
      <c r="AC277" s="1237" t="s">
        <v>31</v>
      </c>
      <c r="AD277" s="1237" t="s">
        <v>31</v>
      </c>
      <c r="AE277" s="1237" t="s">
        <v>31</v>
      </c>
      <c r="AF277" s="1237"/>
      <c r="AG277" s="1342" t="s">
        <v>31</v>
      </c>
      <c r="AH277" s="131"/>
      <c r="AI277" s="125"/>
    </row>
    <row r="278" spans="1:35" ht="18" customHeight="1">
      <c r="A278" s="1304"/>
      <c r="B278" s="1340" t="s">
        <v>343</v>
      </c>
      <c r="C278" s="1129"/>
      <c r="D278" s="1243" t="s">
        <v>31</v>
      </c>
      <c r="E278" s="1129" t="s">
        <v>31</v>
      </c>
      <c r="F278" s="1129"/>
      <c r="G278" s="1237"/>
      <c r="H278" s="1237" t="s">
        <v>31</v>
      </c>
      <c r="I278" s="1237" t="s">
        <v>31</v>
      </c>
      <c r="J278" s="1237" t="s">
        <v>31</v>
      </c>
      <c r="K278" s="1237" t="s">
        <v>31</v>
      </c>
      <c r="L278" s="1237" t="s">
        <v>31</v>
      </c>
      <c r="M278" s="1237"/>
      <c r="N278" s="1237"/>
      <c r="O278" s="1237" t="s">
        <v>31</v>
      </c>
      <c r="P278" s="1237" t="s">
        <v>31</v>
      </c>
      <c r="Q278" s="1237" t="s">
        <v>31</v>
      </c>
      <c r="R278" s="1237" t="s">
        <v>31</v>
      </c>
      <c r="S278" s="1237"/>
      <c r="T278" s="1237"/>
      <c r="U278" s="1237"/>
      <c r="V278" s="1237" t="s">
        <v>31</v>
      </c>
      <c r="W278" s="1237" t="s">
        <v>31</v>
      </c>
      <c r="X278" s="1237" t="s">
        <v>31</v>
      </c>
      <c r="Y278" s="1237" t="s">
        <v>31</v>
      </c>
      <c r="Z278" s="1237" t="s">
        <v>31</v>
      </c>
      <c r="AA278" s="1237"/>
      <c r="AB278" s="1237"/>
      <c r="AC278" s="1237" t="s">
        <v>31</v>
      </c>
      <c r="AD278" s="1237" t="s">
        <v>31</v>
      </c>
      <c r="AE278" s="1237" t="s">
        <v>31</v>
      </c>
      <c r="AF278" s="1237"/>
      <c r="AG278" s="1343" t="s">
        <v>31</v>
      </c>
      <c r="AH278" s="131"/>
      <c r="AI278" s="125"/>
    </row>
    <row r="279" spans="1:35" ht="18" customHeight="1">
      <c r="A279" s="1304"/>
      <c r="B279" s="1340" t="s">
        <v>344</v>
      </c>
      <c r="C279" s="1129"/>
      <c r="D279" s="1132" t="s">
        <v>31</v>
      </c>
      <c r="E279" s="1132" t="s">
        <v>31</v>
      </c>
      <c r="F279" s="1132"/>
      <c r="G279" s="1319"/>
      <c r="H279" s="1319" t="s">
        <v>31</v>
      </c>
      <c r="I279" s="1237" t="s">
        <v>31</v>
      </c>
      <c r="J279" s="1237" t="s">
        <v>31</v>
      </c>
      <c r="K279" s="1237" t="s">
        <v>31</v>
      </c>
      <c r="L279" s="1237" t="s">
        <v>31</v>
      </c>
      <c r="M279" s="1237"/>
      <c r="N279" s="1237"/>
      <c r="O279" s="1237" t="s">
        <v>31</v>
      </c>
      <c r="P279" s="1237" t="s">
        <v>31</v>
      </c>
      <c r="Q279" s="1237" t="s">
        <v>31</v>
      </c>
      <c r="R279" s="1237" t="s">
        <v>31</v>
      </c>
      <c r="S279" s="1237"/>
      <c r="T279" s="1237"/>
      <c r="U279" s="1237"/>
      <c r="V279" s="1237" t="s">
        <v>31</v>
      </c>
      <c r="W279" s="1237" t="s">
        <v>31</v>
      </c>
      <c r="X279" s="1237" t="s">
        <v>31</v>
      </c>
      <c r="Y279" s="1237" t="s">
        <v>31</v>
      </c>
      <c r="Z279" s="1237" t="s">
        <v>31</v>
      </c>
      <c r="AA279" s="1237"/>
      <c r="AB279" s="1237"/>
      <c r="AC279" s="1237" t="s">
        <v>31</v>
      </c>
      <c r="AD279" s="1237" t="s">
        <v>31</v>
      </c>
      <c r="AE279" s="1237" t="s">
        <v>31</v>
      </c>
      <c r="AF279" s="1237"/>
      <c r="AG279" s="1176" t="s">
        <v>31</v>
      </c>
      <c r="AH279" s="131"/>
      <c r="AI279" s="125"/>
    </row>
    <row r="280" spans="1:35" ht="18" customHeight="1">
      <c r="A280" s="1304"/>
      <c r="B280" s="1340" t="s">
        <v>345</v>
      </c>
      <c r="C280" s="1129"/>
      <c r="D280" s="1243" t="s">
        <v>31</v>
      </c>
      <c r="E280" s="1129" t="s">
        <v>31</v>
      </c>
      <c r="F280" s="1129"/>
      <c r="G280" s="1237"/>
      <c r="H280" s="1237" t="s">
        <v>31</v>
      </c>
      <c r="I280" s="1237" t="s">
        <v>31</v>
      </c>
      <c r="J280" s="1237" t="s">
        <v>31</v>
      </c>
      <c r="K280" s="1237" t="s">
        <v>31</v>
      </c>
      <c r="L280" s="1237" t="s">
        <v>31</v>
      </c>
      <c r="M280" s="1237"/>
      <c r="N280" s="1237"/>
      <c r="O280" s="1237" t="s">
        <v>31</v>
      </c>
      <c r="P280" s="1237" t="s">
        <v>31</v>
      </c>
      <c r="Q280" s="1237" t="s">
        <v>31</v>
      </c>
      <c r="R280" s="1237" t="s">
        <v>31</v>
      </c>
      <c r="S280" s="1237"/>
      <c r="T280" s="1237"/>
      <c r="U280" s="1237"/>
      <c r="V280" s="1237" t="s">
        <v>31</v>
      </c>
      <c r="W280" s="1237" t="s">
        <v>31</v>
      </c>
      <c r="X280" s="1237" t="s">
        <v>31</v>
      </c>
      <c r="Y280" s="1237" t="s">
        <v>31</v>
      </c>
      <c r="Z280" s="1237" t="s">
        <v>31</v>
      </c>
      <c r="AA280" s="1237"/>
      <c r="AB280" s="1237"/>
      <c r="AC280" s="1237" t="s">
        <v>31</v>
      </c>
      <c r="AD280" s="1237" t="s">
        <v>31</v>
      </c>
      <c r="AE280" s="1237" t="s">
        <v>31</v>
      </c>
      <c r="AF280" s="1237"/>
      <c r="AG280" s="797" t="s">
        <v>31</v>
      </c>
      <c r="AH280" s="131"/>
      <c r="AI280" s="125"/>
    </row>
    <row r="281" spans="1:35" ht="18" customHeight="1">
      <c r="A281" s="1304"/>
      <c r="B281" s="1340" t="s">
        <v>346</v>
      </c>
      <c r="C281" s="1129"/>
      <c r="D281" s="1243" t="s">
        <v>31</v>
      </c>
      <c r="E281" s="1129" t="s">
        <v>31</v>
      </c>
      <c r="F281" s="1129"/>
      <c r="G281" s="1237"/>
      <c r="H281" s="1237" t="s">
        <v>31</v>
      </c>
      <c r="I281" s="1237" t="s">
        <v>31</v>
      </c>
      <c r="J281" s="1237" t="s">
        <v>31</v>
      </c>
      <c r="K281" s="1237" t="s">
        <v>31</v>
      </c>
      <c r="L281" s="1237" t="s">
        <v>31</v>
      </c>
      <c r="M281" s="1237"/>
      <c r="N281" s="1237"/>
      <c r="O281" s="1237" t="s">
        <v>31</v>
      </c>
      <c r="P281" s="1237" t="s">
        <v>31</v>
      </c>
      <c r="Q281" s="1237" t="s">
        <v>31</v>
      </c>
      <c r="R281" s="1237" t="s">
        <v>31</v>
      </c>
      <c r="S281" s="1237"/>
      <c r="T281" s="1237"/>
      <c r="U281" s="1237"/>
      <c r="V281" s="1237" t="s">
        <v>31</v>
      </c>
      <c r="W281" s="1237" t="s">
        <v>31</v>
      </c>
      <c r="X281" s="1237" t="s">
        <v>31</v>
      </c>
      <c r="Y281" s="1237" t="s">
        <v>31</v>
      </c>
      <c r="Z281" s="1237" t="s">
        <v>31</v>
      </c>
      <c r="AA281" s="1237"/>
      <c r="AB281" s="1237"/>
      <c r="AC281" s="1139" t="s">
        <v>31</v>
      </c>
      <c r="AD281" s="1139" t="s">
        <v>304</v>
      </c>
      <c r="AE281" s="1237" t="s">
        <v>31</v>
      </c>
      <c r="AF281" s="1237"/>
      <c r="AG281" s="1343" t="s">
        <v>31</v>
      </c>
      <c r="AH281" s="131"/>
      <c r="AI281" s="125"/>
    </row>
    <row r="282" spans="1:35" ht="18" customHeight="1">
      <c r="A282" s="1304"/>
      <c r="B282" s="1327" t="s">
        <v>347</v>
      </c>
      <c r="C282" s="505"/>
      <c r="D282" s="510" t="s">
        <v>31</v>
      </c>
      <c r="E282" s="1129" t="s">
        <v>31</v>
      </c>
      <c r="F282" s="1129"/>
      <c r="G282" s="1237"/>
      <c r="H282" s="1237" t="s">
        <v>31</v>
      </c>
      <c r="I282" s="1237" t="s">
        <v>31</v>
      </c>
      <c r="J282" s="1237" t="s">
        <v>31</v>
      </c>
      <c r="K282" s="1237" t="s">
        <v>31</v>
      </c>
      <c r="L282" s="1237" t="s">
        <v>31</v>
      </c>
      <c r="M282" s="1237"/>
      <c r="N282" s="1237"/>
      <c r="O282" s="1237" t="s">
        <v>31</v>
      </c>
      <c r="P282" s="1237" t="s">
        <v>31</v>
      </c>
      <c r="Q282" s="1237" t="s">
        <v>31</v>
      </c>
      <c r="R282" s="510" t="s">
        <v>31</v>
      </c>
      <c r="S282" s="1237"/>
      <c r="T282" s="1237"/>
      <c r="U282" s="1237"/>
      <c r="V282" s="1237" t="s">
        <v>31</v>
      </c>
      <c r="W282" s="1237" t="s">
        <v>31</v>
      </c>
      <c r="X282" s="1237" t="s">
        <v>31</v>
      </c>
      <c r="Y282" s="510" t="s">
        <v>31</v>
      </c>
      <c r="Z282" s="1237" t="s">
        <v>31</v>
      </c>
      <c r="AA282" s="1237"/>
      <c r="AB282" s="1237"/>
      <c r="AC282" s="1237" t="s">
        <v>31</v>
      </c>
      <c r="AD282" s="1237" t="s">
        <v>31</v>
      </c>
      <c r="AE282" s="1237" t="s">
        <v>31</v>
      </c>
      <c r="AF282" s="1237"/>
      <c r="AG282" s="1308" t="s">
        <v>31</v>
      </c>
      <c r="AH282" s="131"/>
      <c r="AI282" s="125"/>
    </row>
    <row r="283" spans="1:35" ht="18" customHeight="1">
      <c r="A283" s="1304"/>
      <c r="B283" s="1344" t="s">
        <v>348</v>
      </c>
      <c r="C283" s="1129"/>
      <c r="D283" s="1132" t="s">
        <v>31</v>
      </c>
      <c r="E283" s="1132" t="s">
        <v>31</v>
      </c>
      <c r="F283" s="1132"/>
      <c r="G283" s="1319"/>
      <c r="H283" s="510" t="s">
        <v>31</v>
      </c>
      <c r="I283" s="510" t="s">
        <v>31</v>
      </c>
      <c r="J283" s="510" t="s">
        <v>31</v>
      </c>
      <c r="K283" s="510" t="s">
        <v>31</v>
      </c>
      <c r="L283" s="510" t="s">
        <v>31</v>
      </c>
      <c r="M283" s="1237"/>
      <c r="N283" s="1237"/>
      <c r="O283" s="1345" t="s">
        <v>31</v>
      </c>
      <c r="P283" s="1237" t="s">
        <v>31</v>
      </c>
      <c r="Q283" s="1237" t="s">
        <v>31</v>
      </c>
      <c r="R283" s="1237" t="s">
        <v>31</v>
      </c>
      <c r="S283" s="1237"/>
      <c r="T283" s="1237"/>
      <c r="U283" s="1237"/>
      <c r="V283" s="1237" t="s">
        <v>31</v>
      </c>
      <c r="W283" s="1237" t="s">
        <v>31</v>
      </c>
      <c r="X283" s="1237" t="s">
        <v>31</v>
      </c>
      <c r="Y283" s="1237" t="s">
        <v>31</v>
      </c>
      <c r="Z283" s="1237" t="s">
        <v>31</v>
      </c>
      <c r="AA283" s="1237"/>
      <c r="AB283" s="1237"/>
      <c r="AC283" s="1237" t="s">
        <v>31</v>
      </c>
      <c r="AD283" s="1237" t="s">
        <v>31</v>
      </c>
      <c r="AE283" s="1237" t="s">
        <v>31</v>
      </c>
      <c r="AF283" s="1237"/>
      <c r="AG283" s="1346" t="s">
        <v>31</v>
      </c>
      <c r="AH283" s="131"/>
      <c r="AI283" s="125"/>
    </row>
    <row r="284" spans="1:35" ht="18" customHeight="1">
      <c r="A284" s="1304"/>
      <c r="B284" s="1148" t="s">
        <v>349</v>
      </c>
      <c r="C284" s="1129"/>
      <c r="D284" s="1243" t="s">
        <v>31</v>
      </c>
      <c r="E284" s="1129" t="s">
        <v>31</v>
      </c>
      <c r="F284" s="1129"/>
      <c r="G284" s="1237"/>
      <c r="H284" s="1237" t="s">
        <v>31</v>
      </c>
      <c r="I284" s="1237" t="s">
        <v>31</v>
      </c>
      <c r="J284" s="1237" t="s">
        <v>31</v>
      </c>
      <c r="K284" s="1237" t="s">
        <v>31</v>
      </c>
      <c r="L284" s="1237" t="s">
        <v>31</v>
      </c>
      <c r="M284" s="1237"/>
      <c r="N284" s="1237"/>
      <c r="O284" s="1237" t="s">
        <v>31</v>
      </c>
      <c r="P284" s="1237" t="s">
        <v>31</v>
      </c>
      <c r="Q284" s="1237" t="s">
        <v>31</v>
      </c>
      <c r="R284" s="1237" t="s">
        <v>31</v>
      </c>
      <c r="S284" s="1237"/>
      <c r="T284" s="1237"/>
      <c r="U284" s="1237"/>
      <c r="V284" s="1213" t="s">
        <v>304</v>
      </c>
      <c r="W284" s="1133" t="s">
        <v>31</v>
      </c>
      <c r="X284" s="1133" t="s">
        <v>31</v>
      </c>
      <c r="Y284" s="1133" t="s">
        <v>31</v>
      </c>
      <c r="Z284" s="1133" t="s">
        <v>31</v>
      </c>
      <c r="AA284" s="1237"/>
      <c r="AB284" s="1237"/>
      <c r="AC284" s="1237" t="s">
        <v>31</v>
      </c>
      <c r="AD284" s="1237" t="s">
        <v>31</v>
      </c>
      <c r="AE284" s="1237" t="s">
        <v>31</v>
      </c>
      <c r="AF284" s="1237"/>
      <c r="AG284" s="797" t="s">
        <v>31</v>
      </c>
      <c r="AH284" s="131"/>
      <c r="AI284" s="125"/>
    </row>
    <row r="285" spans="1:35" ht="18" customHeight="1">
      <c r="A285" s="1304"/>
      <c r="B285" s="1344"/>
      <c r="C285" s="1129"/>
      <c r="D285" s="1243"/>
      <c r="E285" s="1129"/>
      <c r="F285" s="1129"/>
      <c r="G285" s="1237"/>
      <c r="H285" s="1237"/>
      <c r="I285" s="1237"/>
      <c r="J285" s="1237"/>
      <c r="K285" s="1237"/>
      <c r="L285" s="1237"/>
      <c r="M285" s="1237"/>
      <c r="N285" s="1237"/>
      <c r="O285" s="1237"/>
      <c r="P285" s="1237"/>
      <c r="Q285" s="1237"/>
      <c r="R285" s="1237"/>
      <c r="S285" s="1237"/>
      <c r="T285" s="1237"/>
      <c r="U285" s="1237"/>
      <c r="V285" s="1237"/>
      <c r="W285" s="1237"/>
      <c r="X285" s="1237"/>
      <c r="Y285" s="1237"/>
      <c r="Z285" s="1237"/>
      <c r="AA285" s="1237"/>
      <c r="AB285" s="1237"/>
      <c r="AC285" s="1237"/>
      <c r="AD285" s="1237"/>
      <c r="AE285" s="1237"/>
      <c r="AF285" s="1237"/>
      <c r="AG285" s="1308"/>
      <c r="AH285" s="131"/>
      <c r="AI285" s="125"/>
    </row>
    <row r="286" spans="1:35" ht="18" customHeight="1">
      <c r="A286" s="1219"/>
      <c r="B286" s="1344"/>
      <c r="C286" s="570"/>
      <c r="D286" s="570"/>
      <c r="E286" s="570"/>
      <c r="F286" s="570"/>
      <c r="G286" s="1308"/>
      <c r="H286" s="1308"/>
      <c r="I286" s="1308"/>
      <c r="J286" s="1308"/>
      <c r="K286" s="1308"/>
      <c r="L286" s="1308"/>
      <c r="M286" s="1308"/>
      <c r="N286" s="1311"/>
      <c r="O286" s="1311"/>
      <c r="P286" s="1308"/>
      <c r="Q286" s="1308"/>
      <c r="R286" s="1308"/>
      <c r="S286" s="1308"/>
      <c r="T286" s="1308"/>
      <c r="U286" s="1308"/>
      <c r="V286" s="1308"/>
      <c r="W286" s="1308"/>
      <c r="X286" s="1308"/>
      <c r="Y286" s="1308"/>
      <c r="Z286" s="1308"/>
      <c r="AA286" s="1308"/>
      <c r="AB286" s="1311"/>
      <c r="AC286" s="1311"/>
      <c r="AD286" s="1308"/>
      <c r="AE286" s="1308"/>
      <c r="AF286" s="1308"/>
      <c r="AG286" s="1308"/>
      <c r="AH286" s="131"/>
      <c r="AI286" s="127"/>
    </row>
    <row r="287" spans="1:35" ht="18" customHeight="1" thickBot="1">
      <c r="A287" s="414"/>
      <c r="B287" s="415"/>
      <c r="C287" s="1334"/>
      <c r="D287" s="1335"/>
      <c r="E287" s="1335"/>
      <c r="F287" s="1335"/>
      <c r="G287" s="1335"/>
      <c r="H287" s="1335"/>
      <c r="I287" s="1335"/>
      <c r="J287" s="1335"/>
      <c r="K287" s="1335"/>
      <c r="L287" s="1335"/>
      <c r="M287" s="1335"/>
      <c r="N287" s="1336"/>
      <c r="O287" s="1336"/>
      <c r="P287" s="1335"/>
      <c r="Q287" s="1335"/>
      <c r="R287" s="1335"/>
      <c r="S287" s="1335"/>
      <c r="T287" s="1335"/>
      <c r="U287" s="1335"/>
      <c r="V287" s="1335"/>
      <c r="W287" s="1335"/>
      <c r="X287" s="1335"/>
      <c r="Y287" s="1335"/>
      <c r="Z287" s="1335"/>
      <c r="AA287" s="1335"/>
      <c r="AB287" s="1336"/>
      <c r="AC287" s="1336"/>
      <c r="AD287" s="1335"/>
      <c r="AE287" s="1335"/>
      <c r="AF287" s="1335"/>
      <c r="AG287" s="1335"/>
      <c r="AH287" s="131"/>
      <c r="AI287" s="127"/>
    </row>
    <row r="288" spans="1:35" ht="18" customHeight="1"/>
  </sheetData>
  <sheetProtection algorithmName="SHA-512" hashValue="zZatTiBxfDPLApCL0qBsLXhz5ozwq3c97TVUfmNc8bGfj2al0s2A7V5g845ayYOkw2DGZw+6P5y9bXtMu2jfkQ==" saltValue="+w9x5bEvIwoPKfuIN4lkKw==" spinCount="100000" sheet="1" objects="1" scenarios="1"/>
  <protectedRanges>
    <protectedRange sqref="B213" name="Område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81:B82" name="Område1_3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84:B85" name="Område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</protectedRanges>
  <mergeCells count="1">
    <mergeCell ref="T31:Z31"/>
  </mergeCells>
  <pageMargins left="0.25" right="0.25" top="0.75" bottom="0.75" header="0.3" footer="0.3"/>
  <pageSetup paperSize="9" orientation="landscape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78CF1-62F8-45D9-9644-69BC4437CDE9}">
  <sheetPr codeName="Ark4">
    <pageSetUpPr fitToPage="1"/>
  </sheetPr>
  <dimension ref="A1:AI293"/>
  <sheetViews>
    <sheetView topLeftCell="A238" zoomScale="70" zoomScaleNormal="70" workbookViewId="0">
      <selection activeCell="A246" sqref="A246:AH271"/>
    </sheetView>
  </sheetViews>
  <sheetFormatPr defaultRowHeight="15"/>
  <cols>
    <col min="2" max="2" width="27.28515625" customWidth="1"/>
    <col min="3" max="35" width="5.28515625" customWidth="1"/>
  </cols>
  <sheetData>
    <row r="1" spans="1:35" ht="18" customHeight="1">
      <c r="A1" t="s">
        <v>0</v>
      </c>
      <c r="B1" s="1" t="s">
        <v>1</v>
      </c>
    </row>
    <row r="2" spans="1:35" ht="18" customHeight="1">
      <c r="B2" s="1347" t="s">
        <v>2</v>
      </c>
      <c r="C2" s="1348" t="s">
        <v>3</v>
      </c>
      <c r="D2" s="1349"/>
      <c r="E2" s="1350" t="s">
        <v>4</v>
      </c>
      <c r="F2" s="1351"/>
      <c r="G2" s="1352"/>
      <c r="H2" s="1352"/>
      <c r="I2" s="1352"/>
      <c r="J2" s="1352"/>
      <c r="K2" s="1353"/>
      <c r="L2" s="1354" t="s">
        <v>5</v>
      </c>
      <c r="M2" s="1355"/>
      <c r="N2" s="1356"/>
      <c r="O2" s="1357" t="s">
        <v>6</v>
      </c>
      <c r="P2" s="1358"/>
      <c r="Q2" s="1359"/>
      <c r="R2" s="1360"/>
      <c r="S2" s="1361" t="s">
        <v>7</v>
      </c>
      <c r="T2" s="1362"/>
      <c r="U2" s="1363"/>
      <c r="V2" s="1362"/>
      <c r="W2" s="1364" t="s">
        <v>8</v>
      </c>
      <c r="X2" s="1365"/>
      <c r="Y2" s="1366"/>
      <c r="Z2" s="2" t="s">
        <v>9</v>
      </c>
      <c r="AA2" s="1367"/>
      <c r="AB2" s="1368"/>
      <c r="AC2" s="1369"/>
      <c r="AD2" s="1370" t="s">
        <v>10</v>
      </c>
      <c r="AE2" s="1371"/>
      <c r="AF2" s="1371"/>
      <c r="AG2" s="1372"/>
    </row>
    <row r="3" spans="1:35" ht="18" customHeight="1">
      <c r="A3" s="1"/>
      <c r="B3" s="1373" t="s">
        <v>11</v>
      </c>
      <c r="C3" s="1374" t="s">
        <v>12</v>
      </c>
      <c r="D3" s="1375"/>
      <c r="E3" s="3"/>
      <c r="F3" s="4"/>
      <c r="G3" s="4"/>
      <c r="H3" s="5" t="s">
        <v>13</v>
      </c>
      <c r="I3" s="6"/>
      <c r="J3" s="6"/>
      <c r="K3" s="7"/>
      <c r="L3" s="1376" t="s">
        <v>14</v>
      </c>
      <c r="M3" s="1377"/>
      <c r="N3" s="1378"/>
      <c r="O3" s="6"/>
      <c r="P3" s="6"/>
      <c r="Q3" s="6"/>
      <c r="R3" s="6"/>
      <c r="S3" s="8"/>
      <c r="T3" s="9" t="s">
        <v>15</v>
      </c>
      <c r="U3" s="10"/>
      <c r="V3" s="11"/>
      <c r="W3" s="12"/>
      <c r="X3" s="13"/>
      <c r="Y3" s="5" t="s">
        <v>16</v>
      </c>
      <c r="Z3" s="1377"/>
      <c r="AA3" s="1377"/>
      <c r="AB3" s="1379"/>
      <c r="AC3" s="1380"/>
      <c r="AD3" s="1381" t="s">
        <v>17</v>
      </c>
      <c r="AE3" s="1382"/>
      <c r="AF3" s="1382"/>
      <c r="AG3" s="1383"/>
    </row>
    <row r="4" spans="1:35" ht="18" customHeight="1">
      <c r="A4" s="14" t="s">
        <v>18</v>
      </c>
      <c r="B4" s="15"/>
      <c r="C4" s="16"/>
      <c r="D4" s="17"/>
      <c r="E4" s="17"/>
      <c r="F4" s="17"/>
      <c r="G4" s="17"/>
      <c r="H4" s="16"/>
      <c r="I4" s="17"/>
      <c r="J4" s="17"/>
      <c r="K4" s="18"/>
      <c r="L4" s="17"/>
      <c r="M4" s="18"/>
      <c r="N4" s="18"/>
      <c r="O4" s="17"/>
      <c r="P4" s="17"/>
      <c r="Q4" s="17"/>
      <c r="R4" s="17"/>
      <c r="T4" s="18"/>
      <c r="U4" s="16"/>
      <c r="W4" s="17"/>
      <c r="X4" s="17"/>
      <c r="Y4" s="16"/>
      <c r="Z4" s="17"/>
      <c r="AB4" s="17"/>
      <c r="AC4" s="17"/>
      <c r="AD4" s="17"/>
      <c r="AE4" s="17"/>
      <c r="AF4" s="17"/>
      <c r="AG4" s="17"/>
    </row>
    <row r="5" spans="1:35" ht="18" customHeight="1">
      <c r="A5" s="14" t="s">
        <v>19</v>
      </c>
      <c r="B5" s="1"/>
    </row>
    <row r="6" spans="1:35" ht="18" customHeight="1">
      <c r="A6" s="1384" t="s">
        <v>20</v>
      </c>
      <c r="B6" s="1377"/>
      <c r="C6" s="1385"/>
      <c r="D6" s="1384" t="s">
        <v>21</v>
      </c>
      <c r="E6" s="1377"/>
      <c r="F6" s="1377"/>
      <c r="G6" s="1377"/>
      <c r="H6" s="1386"/>
      <c r="I6" s="1377"/>
      <c r="J6" s="1377"/>
      <c r="K6" s="1377"/>
      <c r="L6" s="1387" t="s">
        <v>22</v>
      </c>
      <c r="M6" s="1377"/>
      <c r="N6" s="1377"/>
      <c r="O6" s="1377"/>
      <c r="P6" s="1377"/>
      <c r="Q6" s="1377"/>
      <c r="R6" s="1377"/>
      <c r="S6" s="1385"/>
      <c r="T6" s="1388"/>
      <c r="U6" s="1377"/>
      <c r="V6" s="1377"/>
      <c r="W6" s="1377"/>
      <c r="X6" s="1377"/>
      <c r="Y6" s="1377"/>
      <c r="Z6" s="1377"/>
      <c r="AA6" s="1385"/>
      <c r="AB6" s="1389"/>
      <c r="AC6" s="1390"/>
      <c r="AD6" s="1390"/>
      <c r="AE6" s="1390"/>
      <c r="AF6" s="1390"/>
      <c r="AG6" s="1391"/>
    </row>
    <row r="7" spans="1:35" ht="18" customHeight="1">
      <c r="A7" s="1384" t="s">
        <v>23</v>
      </c>
      <c r="B7" s="1377"/>
      <c r="C7" s="1377"/>
      <c r="D7" s="1377"/>
      <c r="E7" s="1377"/>
      <c r="F7" s="1377"/>
      <c r="G7" s="1377"/>
      <c r="H7" s="1377"/>
      <c r="I7" s="1377"/>
      <c r="J7" s="1377"/>
      <c r="K7" s="1385"/>
      <c r="L7" s="19" t="s">
        <v>24</v>
      </c>
      <c r="M7" s="8"/>
      <c r="N7" s="8"/>
      <c r="O7" s="8"/>
      <c r="P7" s="8"/>
      <c r="Q7" s="8"/>
      <c r="R7" s="8"/>
      <c r="S7" s="8"/>
      <c r="T7" s="8"/>
      <c r="U7" s="1377"/>
      <c r="V7" s="1377"/>
      <c r="W7" s="1377"/>
      <c r="X7" s="1377"/>
      <c r="Y7" s="1377"/>
      <c r="Z7" s="1377"/>
      <c r="AA7" s="1377"/>
      <c r="AB7" s="1392"/>
      <c r="AC7" s="1377"/>
      <c r="AD7" s="1377"/>
      <c r="AE7" s="1377"/>
      <c r="AF7" s="1377"/>
      <c r="AG7" s="1385"/>
    </row>
    <row r="8" spans="1:35" ht="18" customHeight="1">
      <c r="A8" s="14" t="s">
        <v>25</v>
      </c>
      <c r="L8" s="20"/>
      <c r="AB8" s="1"/>
    </row>
    <row r="9" spans="1:35" ht="18" customHeight="1">
      <c r="A9" s="14" t="s">
        <v>26</v>
      </c>
      <c r="L9" s="20"/>
      <c r="AB9" s="1"/>
    </row>
    <row r="10" spans="1:35" ht="18" customHeight="1">
      <c r="B10" s="21" t="s">
        <v>27</v>
      </c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</row>
    <row r="11" spans="1:35" ht="18" customHeight="1" thickBot="1">
      <c r="A11" s="1393" t="s">
        <v>28</v>
      </c>
      <c r="B11" s="1394" t="s">
        <v>29</v>
      </c>
      <c r="C11" s="1395">
        <v>1</v>
      </c>
      <c r="D11" s="1395">
        <v>2</v>
      </c>
      <c r="E11" s="1396">
        <v>3</v>
      </c>
      <c r="F11" s="1396">
        <v>4</v>
      </c>
      <c r="G11" s="1395">
        <v>5</v>
      </c>
      <c r="H11" s="1395">
        <v>6</v>
      </c>
      <c r="I11" s="1395">
        <v>7</v>
      </c>
      <c r="J11" s="1395">
        <v>8</v>
      </c>
      <c r="K11" s="1395">
        <v>9</v>
      </c>
      <c r="L11" s="1396">
        <v>10</v>
      </c>
      <c r="M11" s="1396">
        <v>11</v>
      </c>
      <c r="N11" s="1395">
        <v>12</v>
      </c>
      <c r="O11" s="1395">
        <v>13</v>
      </c>
      <c r="P11" s="1395">
        <v>14</v>
      </c>
      <c r="Q11" s="1395">
        <v>15</v>
      </c>
      <c r="R11" s="1395">
        <v>16</v>
      </c>
      <c r="S11" s="1396">
        <v>17</v>
      </c>
      <c r="T11" s="1396">
        <v>18</v>
      </c>
      <c r="U11" s="1395">
        <v>19</v>
      </c>
      <c r="V11" s="1395">
        <v>20</v>
      </c>
      <c r="W11" s="1395">
        <v>21</v>
      </c>
      <c r="X11" s="1395">
        <v>22</v>
      </c>
      <c r="Y11" s="1395">
        <v>23</v>
      </c>
      <c r="Z11" s="1396">
        <v>24</v>
      </c>
      <c r="AA11" s="1396">
        <v>25</v>
      </c>
      <c r="AB11" s="1395">
        <v>26</v>
      </c>
      <c r="AC11" s="1395">
        <v>27</v>
      </c>
      <c r="AD11" s="1395">
        <v>28</v>
      </c>
      <c r="AE11" s="1395">
        <v>29</v>
      </c>
      <c r="AF11" s="1395">
        <v>30</v>
      </c>
      <c r="AG11" s="1397">
        <v>31</v>
      </c>
      <c r="AH11" s="23"/>
      <c r="AI11" s="24"/>
    </row>
    <row r="12" spans="1:35" ht="18" customHeight="1">
      <c r="A12" s="1398">
        <v>8500</v>
      </c>
      <c r="B12" s="1102" t="s">
        <v>30</v>
      </c>
      <c r="C12" s="826">
        <v>1</v>
      </c>
      <c r="D12" s="826">
        <v>1</v>
      </c>
      <c r="E12" s="826"/>
      <c r="F12" s="826"/>
      <c r="G12" s="826" t="s">
        <v>31</v>
      </c>
      <c r="H12" s="826" t="s">
        <v>31</v>
      </c>
      <c r="I12" s="826" t="s">
        <v>31</v>
      </c>
      <c r="J12" s="826" t="s">
        <v>31</v>
      </c>
      <c r="K12" s="826" t="s">
        <v>31</v>
      </c>
      <c r="L12" s="826"/>
      <c r="M12" s="826"/>
      <c r="N12" s="826">
        <v>3</v>
      </c>
      <c r="O12" s="826" t="s">
        <v>31</v>
      </c>
      <c r="P12" s="826" t="s">
        <v>31</v>
      </c>
      <c r="Q12" s="826" t="s">
        <v>31</v>
      </c>
      <c r="R12" s="826" t="s">
        <v>31</v>
      </c>
      <c r="S12" s="826"/>
      <c r="T12" s="826"/>
      <c r="U12" s="826" t="s">
        <v>31</v>
      </c>
      <c r="V12" s="826" t="s">
        <v>31</v>
      </c>
      <c r="W12" s="826" t="s">
        <v>31</v>
      </c>
      <c r="X12" s="826" t="s">
        <v>31</v>
      </c>
      <c r="Y12" s="471" t="s">
        <v>31</v>
      </c>
      <c r="Z12" s="826"/>
      <c r="AA12" s="826"/>
      <c r="AB12" s="826" t="s">
        <v>31</v>
      </c>
      <c r="AC12" s="826" t="s">
        <v>31</v>
      </c>
      <c r="AD12" s="826" t="s">
        <v>31</v>
      </c>
      <c r="AE12" s="826" t="s">
        <v>31</v>
      </c>
      <c r="AF12" s="826" t="s">
        <v>31</v>
      </c>
      <c r="AG12" s="827"/>
      <c r="AH12" s="25"/>
      <c r="AI12" s="25"/>
    </row>
    <row r="13" spans="1:35" ht="18" customHeight="1">
      <c r="A13" s="1399" t="s">
        <v>32</v>
      </c>
      <c r="B13" s="1400"/>
      <c r="C13" s="1400"/>
      <c r="D13" s="1400"/>
      <c r="E13" s="1400"/>
      <c r="F13" s="1400"/>
      <c r="G13" s="1400"/>
      <c r="H13" s="1400"/>
      <c r="I13" s="1400"/>
      <c r="J13" s="1400"/>
      <c r="K13" s="1400"/>
      <c r="L13" s="1400"/>
      <c r="M13" s="1400"/>
      <c r="N13" s="1400"/>
      <c r="O13" s="1400"/>
      <c r="P13" s="1400"/>
      <c r="Q13" s="1400"/>
      <c r="R13" s="1400"/>
      <c r="S13" s="1400"/>
      <c r="T13" s="1400"/>
      <c r="U13" s="1400"/>
      <c r="V13" s="1400"/>
      <c r="W13" s="1400"/>
      <c r="X13" s="1400"/>
      <c r="Y13" s="1400"/>
      <c r="Z13" s="1400"/>
      <c r="AA13" s="1400"/>
      <c r="AB13" s="1400"/>
      <c r="AC13" s="1400"/>
      <c r="AD13" s="1400"/>
      <c r="AE13" s="1400"/>
      <c r="AF13" s="1400"/>
      <c r="AG13" s="1401"/>
      <c r="AH13" s="26"/>
      <c r="AI13" s="26"/>
    </row>
    <row r="14" spans="1:35" ht="18" customHeight="1">
      <c r="A14" s="27">
        <v>8546</v>
      </c>
      <c r="B14" s="1402" t="s">
        <v>33</v>
      </c>
      <c r="C14" s="1403">
        <v>1</v>
      </c>
      <c r="D14" s="1403">
        <v>1</v>
      </c>
      <c r="E14" s="1403"/>
      <c r="F14" s="1403"/>
      <c r="G14" s="1403">
        <v>2</v>
      </c>
      <c r="H14" s="1403">
        <v>2</v>
      </c>
      <c r="I14" s="1403">
        <v>2</v>
      </c>
      <c r="J14" s="1403">
        <v>2</v>
      </c>
      <c r="K14" s="1403">
        <v>2</v>
      </c>
      <c r="L14" s="1403" t="s">
        <v>34</v>
      </c>
      <c r="M14" s="1403" t="s">
        <v>34</v>
      </c>
      <c r="N14" s="1403" t="s">
        <v>35</v>
      </c>
      <c r="O14" s="1403" t="s">
        <v>35</v>
      </c>
      <c r="P14" s="1403" t="s">
        <v>35</v>
      </c>
      <c r="Q14" s="1403" t="s">
        <v>35</v>
      </c>
      <c r="R14" s="1403" t="s">
        <v>35</v>
      </c>
      <c r="S14" s="1403"/>
      <c r="T14" s="1403"/>
      <c r="U14" s="1404">
        <v>4</v>
      </c>
      <c r="V14" s="1404">
        <v>4</v>
      </c>
      <c r="W14" s="1404">
        <v>4</v>
      </c>
      <c r="X14" s="1404">
        <v>4</v>
      </c>
      <c r="Y14" s="1404">
        <v>4</v>
      </c>
      <c r="Z14" s="1404" t="s">
        <v>36</v>
      </c>
      <c r="AA14" s="1404" t="s">
        <v>36</v>
      </c>
      <c r="AB14" s="1404" t="s">
        <v>35</v>
      </c>
      <c r="AC14" s="1404" t="s">
        <v>35</v>
      </c>
      <c r="AD14" s="1316" t="s">
        <v>35</v>
      </c>
      <c r="AE14" s="1404" t="s">
        <v>35</v>
      </c>
      <c r="AF14" s="1404" t="s">
        <v>35</v>
      </c>
      <c r="AG14" s="1405"/>
      <c r="AH14" s="25"/>
      <c r="AI14" s="25"/>
    </row>
    <row r="15" spans="1:35" ht="18" customHeight="1">
      <c r="A15" s="1406">
        <v>8546</v>
      </c>
      <c r="B15" s="1402" t="s">
        <v>350</v>
      </c>
      <c r="C15" s="1407" t="s">
        <v>35</v>
      </c>
      <c r="D15" s="1404" t="s">
        <v>35</v>
      </c>
      <c r="E15" s="1404"/>
      <c r="F15" s="1316"/>
      <c r="G15" s="1316">
        <v>1</v>
      </c>
      <c r="H15" s="1316">
        <v>1</v>
      </c>
      <c r="I15" s="1404">
        <v>1</v>
      </c>
      <c r="J15" s="1407">
        <v>1</v>
      </c>
      <c r="K15" s="1316">
        <v>1</v>
      </c>
      <c r="L15" s="1404"/>
      <c r="M15" s="1404"/>
      <c r="N15" s="1404">
        <v>2</v>
      </c>
      <c r="O15" s="1404">
        <v>2</v>
      </c>
      <c r="P15" s="1404">
        <v>2</v>
      </c>
      <c r="Q15" s="1404">
        <v>2</v>
      </c>
      <c r="R15" s="1404">
        <v>2</v>
      </c>
      <c r="S15" s="1403" t="s">
        <v>34</v>
      </c>
      <c r="T15" s="1403" t="s">
        <v>34</v>
      </c>
      <c r="U15" s="1404" t="s">
        <v>35</v>
      </c>
      <c r="V15" s="1404" t="s">
        <v>35</v>
      </c>
      <c r="W15" s="1404" t="s">
        <v>35</v>
      </c>
      <c r="X15" s="1404" t="s">
        <v>35</v>
      </c>
      <c r="Y15" s="1404" t="s">
        <v>35</v>
      </c>
      <c r="Z15" s="1404"/>
      <c r="AA15" s="1404"/>
      <c r="AB15" s="1403">
        <v>4</v>
      </c>
      <c r="AC15" s="1408">
        <v>4</v>
      </c>
      <c r="AD15" s="1408">
        <v>4</v>
      </c>
      <c r="AE15" s="1408">
        <v>4</v>
      </c>
      <c r="AF15" s="1346">
        <v>4</v>
      </c>
      <c r="AG15" s="1409" t="s">
        <v>36</v>
      </c>
      <c r="AH15" s="25"/>
      <c r="AI15" s="25"/>
    </row>
    <row r="16" spans="1:35" ht="18" customHeight="1">
      <c r="A16" s="1406">
        <v>8546</v>
      </c>
      <c r="B16" s="1402" t="s">
        <v>38</v>
      </c>
      <c r="C16" s="1404" t="s">
        <v>35</v>
      </c>
      <c r="D16" s="1404" t="s">
        <v>35</v>
      </c>
      <c r="E16" s="1404"/>
      <c r="F16" s="1404"/>
      <c r="G16" s="1404">
        <v>4</v>
      </c>
      <c r="H16" s="1404">
        <v>4</v>
      </c>
      <c r="I16" s="1404">
        <v>4</v>
      </c>
      <c r="J16" s="1404">
        <v>4</v>
      </c>
      <c r="K16" s="1404">
        <v>4</v>
      </c>
      <c r="L16" s="1404" t="s">
        <v>36</v>
      </c>
      <c r="M16" s="1404" t="s">
        <v>36</v>
      </c>
      <c r="N16" s="1316" t="s">
        <v>35</v>
      </c>
      <c r="O16" s="1316" t="s">
        <v>35</v>
      </c>
      <c r="P16" s="1316" t="s">
        <v>35</v>
      </c>
      <c r="Q16" s="1316" t="s">
        <v>35</v>
      </c>
      <c r="R16" s="1316" t="s">
        <v>35</v>
      </c>
      <c r="S16" s="1404"/>
      <c r="T16" s="1404"/>
      <c r="U16" s="1404">
        <v>1</v>
      </c>
      <c r="V16" s="1404">
        <v>1</v>
      </c>
      <c r="W16" s="1407">
        <v>1</v>
      </c>
      <c r="X16" s="1404">
        <v>1</v>
      </c>
      <c r="Y16" s="1316">
        <v>1</v>
      </c>
      <c r="Z16" s="1316"/>
      <c r="AA16" s="1316"/>
      <c r="AB16" s="1316">
        <v>2</v>
      </c>
      <c r="AC16" s="1316">
        <v>2</v>
      </c>
      <c r="AD16" s="1404">
        <v>2</v>
      </c>
      <c r="AE16" s="1404">
        <v>2</v>
      </c>
      <c r="AF16" s="1404">
        <v>2</v>
      </c>
      <c r="AG16" s="1405" t="s">
        <v>34</v>
      </c>
      <c r="AH16" s="25"/>
      <c r="AI16" s="25"/>
    </row>
    <row r="17" spans="1:35" ht="18" customHeight="1">
      <c r="A17" s="1406">
        <v>8546</v>
      </c>
      <c r="B17" s="1410" t="s">
        <v>39</v>
      </c>
      <c r="C17" s="1408">
        <v>2</v>
      </c>
      <c r="D17" s="1407">
        <v>2</v>
      </c>
      <c r="E17" s="1404" t="s">
        <v>34</v>
      </c>
      <c r="F17" s="1316" t="s">
        <v>34</v>
      </c>
      <c r="G17" s="1404" t="s">
        <v>35</v>
      </c>
      <c r="H17" s="1404" t="s">
        <v>35</v>
      </c>
      <c r="I17" s="1404" t="s">
        <v>35</v>
      </c>
      <c r="J17" s="1404" t="s">
        <v>35</v>
      </c>
      <c r="K17" s="1404" t="s">
        <v>35</v>
      </c>
      <c r="L17" s="1404"/>
      <c r="M17" s="1404"/>
      <c r="N17" s="1404">
        <v>4</v>
      </c>
      <c r="O17" s="1404">
        <v>4</v>
      </c>
      <c r="P17" s="1404">
        <v>4</v>
      </c>
      <c r="Q17" s="1404">
        <v>4</v>
      </c>
      <c r="R17" s="1404">
        <v>4</v>
      </c>
      <c r="S17" s="1404" t="s">
        <v>36</v>
      </c>
      <c r="T17" s="1404" t="s">
        <v>36</v>
      </c>
      <c r="U17" s="1404" t="s">
        <v>35</v>
      </c>
      <c r="V17" s="1404" t="s">
        <v>35</v>
      </c>
      <c r="W17" s="1404" t="s">
        <v>35</v>
      </c>
      <c r="X17" s="1407" t="s">
        <v>35</v>
      </c>
      <c r="Y17" s="1404" t="s">
        <v>35</v>
      </c>
      <c r="Z17" s="1404"/>
      <c r="AA17" s="1404"/>
      <c r="AB17" s="1404">
        <v>1</v>
      </c>
      <c r="AC17" s="1404">
        <v>1</v>
      </c>
      <c r="AD17" s="1404">
        <v>1</v>
      </c>
      <c r="AE17" s="1404">
        <v>1</v>
      </c>
      <c r="AF17" s="1404">
        <v>1</v>
      </c>
      <c r="AG17" s="1405"/>
      <c r="AH17" s="25"/>
      <c r="AI17" s="25"/>
    </row>
    <row r="18" spans="1:35" ht="18" customHeight="1">
      <c r="A18" s="1406">
        <v>8546</v>
      </c>
      <c r="B18" s="1402" t="s">
        <v>40</v>
      </c>
      <c r="C18" s="1404">
        <v>4</v>
      </c>
      <c r="D18" s="1407">
        <v>4</v>
      </c>
      <c r="E18" s="1404" t="s">
        <v>36</v>
      </c>
      <c r="F18" s="1404" t="s">
        <v>36</v>
      </c>
      <c r="G18" s="1404" t="s">
        <v>35</v>
      </c>
      <c r="H18" s="1404" t="s">
        <v>35</v>
      </c>
      <c r="I18" s="1404" t="s">
        <v>35</v>
      </c>
      <c r="J18" s="1316" t="s">
        <v>35</v>
      </c>
      <c r="K18" s="1316" t="s">
        <v>35</v>
      </c>
      <c r="L18" s="1404"/>
      <c r="M18" s="1316"/>
      <c r="N18" s="1316">
        <v>1</v>
      </c>
      <c r="O18" s="1404">
        <v>1</v>
      </c>
      <c r="P18" s="1404">
        <v>1</v>
      </c>
      <c r="Q18" s="1408">
        <v>1</v>
      </c>
      <c r="R18" s="1408">
        <v>1</v>
      </c>
      <c r="S18" s="1404"/>
      <c r="T18" s="1404"/>
      <c r="U18" s="1316">
        <v>2</v>
      </c>
      <c r="V18" s="1316">
        <v>2</v>
      </c>
      <c r="W18" s="1404">
        <v>2</v>
      </c>
      <c r="X18" s="1404">
        <v>2</v>
      </c>
      <c r="Y18" s="1404">
        <v>2</v>
      </c>
      <c r="Z18" s="1404" t="s">
        <v>34</v>
      </c>
      <c r="AA18" s="1404" t="s">
        <v>34</v>
      </c>
      <c r="AB18" s="1404" t="s">
        <v>35</v>
      </c>
      <c r="AC18" s="1411" t="s">
        <v>35</v>
      </c>
      <c r="AD18" s="1404" t="s">
        <v>35</v>
      </c>
      <c r="AE18" s="1404" t="s">
        <v>35</v>
      </c>
      <c r="AF18" s="1404" t="s">
        <v>35</v>
      </c>
      <c r="AG18" s="1405"/>
      <c r="AH18" s="25"/>
      <c r="AI18" s="25"/>
    </row>
    <row r="19" spans="1:35" ht="18" customHeight="1" thickBot="1">
      <c r="A19" s="1412" t="s">
        <v>41</v>
      </c>
      <c r="B19" s="1413"/>
      <c r="C19" s="1414"/>
      <c r="D19" s="1414"/>
      <c r="E19" s="1414"/>
      <c r="F19" s="1414"/>
      <c r="G19" s="1414"/>
      <c r="H19" s="1414"/>
      <c r="I19" s="1414"/>
      <c r="J19" s="1414"/>
      <c r="K19" s="1414"/>
      <c r="L19" s="1414"/>
      <c r="M19" s="1414"/>
      <c r="N19" s="1414"/>
      <c r="O19" s="1414"/>
      <c r="P19" s="1414"/>
      <c r="Q19" s="1414"/>
      <c r="R19" s="1414"/>
      <c r="S19" s="1414"/>
      <c r="T19" s="1414"/>
      <c r="U19" s="1414"/>
      <c r="V19" s="1414"/>
      <c r="W19" s="1414"/>
      <c r="X19" s="1414"/>
      <c r="Y19" s="1414"/>
      <c r="Z19" s="1414"/>
      <c r="AA19" s="1414"/>
      <c r="AB19" s="1414"/>
      <c r="AC19" s="1414"/>
      <c r="AD19" s="1414"/>
      <c r="AE19" s="1414"/>
      <c r="AF19" s="1414"/>
      <c r="AG19" s="1415"/>
      <c r="AH19" s="26"/>
      <c r="AI19" s="26"/>
    </row>
    <row r="20" spans="1:35" ht="18" customHeight="1" thickBot="1">
      <c r="A20" s="1123">
        <v>8500</v>
      </c>
      <c r="B20" s="1124" t="s">
        <v>37</v>
      </c>
      <c r="C20" s="1053" t="s">
        <v>35</v>
      </c>
      <c r="D20" s="1053" t="s">
        <v>237</v>
      </c>
      <c r="E20" s="1053"/>
      <c r="F20" s="1053"/>
      <c r="G20" s="1416">
        <v>2</v>
      </c>
      <c r="H20" s="1404">
        <v>2</v>
      </c>
      <c r="I20" s="1404">
        <v>2</v>
      </c>
      <c r="J20" s="1404">
        <v>2</v>
      </c>
      <c r="K20" s="1416">
        <v>2</v>
      </c>
      <c r="L20" s="1404" t="s">
        <v>34</v>
      </c>
      <c r="M20" s="1404" t="s">
        <v>34</v>
      </c>
      <c r="N20" s="1053" t="s">
        <v>35</v>
      </c>
      <c r="O20" s="1053" t="s">
        <v>35</v>
      </c>
      <c r="P20" s="1053" t="s">
        <v>35</v>
      </c>
      <c r="Q20" s="1053" t="s">
        <v>35</v>
      </c>
      <c r="R20" s="1053" t="s">
        <v>35</v>
      </c>
      <c r="S20" s="1053"/>
      <c r="T20" s="1053"/>
      <c r="U20" s="1417" t="s">
        <v>146</v>
      </c>
      <c r="V20" s="1417" t="s">
        <v>146</v>
      </c>
      <c r="W20" s="1417" t="s">
        <v>146</v>
      </c>
      <c r="X20" s="1417" t="s">
        <v>146</v>
      </c>
      <c r="Y20" s="1417" t="s">
        <v>146</v>
      </c>
      <c r="Z20" s="1418"/>
      <c r="AA20" s="1418"/>
      <c r="AB20" s="1417">
        <v>4</v>
      </c>
      <c r="AC20" s="1417">
        <v>4</v>
      </c>
      <c r="AD20" s="1417">
        <v>4</v>
      </c>
      <c r="AE20" s="1319">
        <v>4</v>
      </c>
      <c r="AF20" s="1319">
        <v>4</v>
      </c>
      <c r="AG20" s="795" t="s">
        <v>36</v>
      </c>
      <c r="AH20" s="25"/>
      <c r="AI20" s="25"/>
    </row>
    <row r="21" spans="1:35" ht="18" customHeight="1">
      <c r="A21" s="1419">
        <v>8500</v>
      </c>
      <c r="B21" s="1420" t="s">
        <v>42</v>
      </c>
      <c r="C21" s="1421">
        <v>2</v>
      </c>
      <c r="D21" s="1422" t="s">
        <v>250</v>
      </c>
      <c r="E21" s="1422"/>
      <c r="F21" s="1422"/>
      <c r="G21" s="1423" t="s">
        <v>237</v>
      </c>
      <c r="H21" s="1423" t="s">
        <v>237</v>
      </c>
      <c r="I21" s="1423" t="s">
        <v>237</v>
      </c>
      <c r="J21" s="1423" t="s">
        <v>237</v>
      </c>
      <c r="K21" s="1424" t="s">
        <v>396</v>
      </c>
      <c r="L21" s="1425"/>
      <c r="M21" s="1422"/>
      <c r="N21" s="1426" t="s">
        <v>31</v>
      </c>
      <c r="O21" s="826" t="s">
        <v>31</v>
      </c>
      <c r="P21" s="826" t="s">
        <v>31</v>
      </c>
      <c r="Q21" s="1426">
        <v>1</v>
      </c>
      <c r="R21" s="1427" t="s">
        <v>31</v>
      </c>
      <c r="S21" s="1422"/>
      <c r="T21" s="1422"/>
      <c r="U21" s="1422" t="s">
        <v>31</v>
      </c>
      <c r="V21" s="1319" t="s">
        <v>31</v>
      </c>
      <c r="W21" s="1422" t="s">
        <v>31</v>
      </c>
      <c r="X21" s="1422" t="s">
        <v>31</v>
      </c>
      <c r="Y21" s="1422" t="s">
        <v>31</v>
      </c>
      <c r="Z21" s="1422"/>
      <c r="AA21" s="1422"/>
      <c r="AB21" s="1422" t="s">
        <v>31</v>
      </c>
      <c r="AC21" s="1422" t="s">
        <v>31</v>
      </c>
      <c r="AD21" s="1422" t="s">
        <v>31</v>
      </c>
      <c r="AE21" s="1428" t="s">
        <v>31</v>
      </c>
      <c r="AF21" s="1428" t="s">
        <v>31</v>
      </c>
      <c r="AG21" s="1211"/>
      <c r="AH21" s="25"/>
      <c r="AI21" s="25"/>
    </row>
    <row r="22" spans="1:35" ht="18" customHeight="1">
      <c r="A22" s="1419">
        <v>8500</v>
      </c>
      <c r="B22" s="1429" t="s">
        <v>43</v>
      </c>
      <c r="C22" s="1428" t="s">
        <v>31</v>
      </c>
      <c r="D22" s="1428" t="s">
        <v>31</v>
      </c>
      <c r="E22" s="1428"/>
      <c r="F22" s="1428"/>
      <c r="G22" s="1428" t="s">
        <v>31</v>
      </c>
      <c r="H22" s="1428" t="s">
        <v>31</v>
      </c>
      <c r="I22" s="1428" t="s">
        <v>31</v>
      </c>
      <c r="J22" s="1428" t="s">
        <v>31</v>
      </c>
      <c r="K22" s="1428" t="s">
        <v>31</v>
      </c>
      <c r="L22" s="1428"/>
      <c r="M22" s="1428"/>
      <c r="N22" s="1428" t="s">
        <v>31</v>
      </c>
      <c r="O22" s="1428" t="s">
        <v>31</v>
      </c>
      <c r="P22" s="1428" t="s">
        <v>31</v>
      </c>
      <c r="Q22" s="1428" t="s">
        <v>31</v>
      </c>
      <c r="R22" s="1428" t="s">
        <v>31</v>
      </c>
      <c r="S22" s="1428"/>
      <c r="T22" s="1428"/>
      <c r="U22" s="1422" t="s">
        <v>31</v>
      </c>
      <c r="V22" s="1422">
        <v>1</v>
      </c>
      <c r="W22" s="1422">
        <v>1</v>
      </c>
      <c r="X22" s="1422">
        <v>1</v>
      </c>
      <c r="Y22" s="1422" t="s">
        <v>31</v>
      </c>
      <c r="Z22" s="1422" t="s">
        <v>0</v>
      </c>
      <c r="AA22" s="1422" t="s">
        <v>0</v>
      </c>
      <c r="AB22" s="1422" t="s">
        <v>31</v>
      </c>
      <c r="AC22" s="1422" t="s">
        <v>31</v>
      </c>
      <c r="AD22" s="1422" t="s">
        <v>31</v>
      </c>
      <c r="AE22" s="1422" t="s">
        <v>31</v>
      </c>
      <c r="AF22" s="1237" t="s">
        <v>146</v>
      </c>
      <c r="AG22" s="1430"/>
      <c r="AH22" s="25"/>
      <c r="AI22" s="25"/>
    </row>
    <row r="23" spans="1:35" ht="18" customHeight="1">
      <c r="A23" s="1419"/>
      <c r="B23" s="1431" t="s">
        <v>353</v>
      </c>
      <c r="C23" s="1341" t="s">
        <v>31</v>
      </c>
      <c r="D23" s="1341" t="s">
        <v>31</v>
      </c>
      <c r="E23" s="1341"/>
      <c r="F23" s="1341"/>
      <c r="G23" s="1432" t="s">
        <v>31</v>
      </c>
      <c r="H23" s="1432" t="s">
        <v>31</v>
      </c>
      <c r="I23" s="1432" t="s">
        <v>31</v>
      </c>
      <c r="J23" s="1432" t="s">
        <v>31</v>
      </c>
      <c r="K23" s="1432" t="s">
        <v>31</v>
      </c>
      <c r="L23" s="1237"/>
      <c r="M23" s="1237"/>
      <c r="N23" s="1432" t="s">
        <v>31</v>
      </c>
      <c r="O23" s="1432" t="s">
        <v>31</v>
      </c>
      <c r="P23" s="1432" t="s">
        <v>31</v>
      </c>
      <c r="Q23" s="1432" t="s">
        <v>31</v>
      </c>
      <c r="R23" s="1432" t="s">
        <v>31</v>
      </c>
      <c r="S23" s="1433"/>
      <c r="T23" s="1237"/>
      <c r="U23" s="1237" t="s">
        <v>31</v>
      </c>
      <c r="V23" s="1237" t="s">
        <v>31</v>
      </c>
      <c r="W23" s="1237" t="s">
        <v>31</v>
      </c>
      <c r="X23" s="1237" t="s">
        <v>31</v>
      </c>
      <c r="Y23" s="1237" t="s">
        <v>31</v>
      </c>
      <c r="Z23" s="1237"/>
      <c r="AA23" s="1237"/>
      <c r="AB23" s="1237" t="s">
        <v>31</v>
      </c>
      <c r="AC23" s="1319" t="s">
        <v>31</v>
      </c>
      <c r="AD23" s="1319" t="s">
        <v>31</v>
      </c>
      <c r="AE23" s="1319" t="s">
        <v>31</v>
      </c>
      <c r="AF23" s="1319" t="s">
        <v>31</v>
      </c>
      <c r="AG23" s="1430"/>
    </row>
    <row r="24" spans="1:35" ht="18" customHeight="1" thickBot="1">
      <c r="A24" s="416"/>
      <c r="B24" s="417"/>
      <c r="C24" s="418"/>
      <c r="D24" s="418"/>
      <c r="E24" s="418"/>
      <c r="F24" s="418"/>
      <c r="G24" s="418" t="s">
        <v>0</v>
      </c>
      <c r="H24" s="418"/>
      <c r="I24" s="418"/>
      <c r="J24" s="418"/>
      <c r="K24" s="418"/>
      <c r="L24" s="418" t="s">
        <v>0</v>
      </c>
      <c r="M24" s="418"/>
      <c r="N24" s="418" t="s">
        <v>0</v>
      </c>
      <c r="O24" s="418" t="s">
        <v>0</v>
      </c>
      <c r="P24" s="418"/>
      <c r="Q24" s="418"/>
      <c r="R24" s="418"/>
      <c r="S24" s="418"/>
      <c r="T24" s="418"/>
      <c r="U24" s="418" t="s">
        <v>0</v>
      </c>
      <c r="V24" s="418"/>
      <c r="W24" s="418"/>
      <c r="X24" s="418"/>
      <c r="Y24" s="418"/>
      <c r="Z24" s="418"/>
      <c r="AA24" s="418"/>
      <c r="AB24" s="418"/>
      <c r="AC24" s="418"/>
      <c r="AD24" s="418"/>
      <c r="AE24" s="418"/>
      <c r="AF24" s="418"/>
      <c r="AG24" s="28"/>
    </row>
    <row r="25" spans="1:35" ht="18" customHeight="1">
      <c r="A25" s="29"/>
      <c r="B25" s="1434" t="s">
        <v>397</v>
      </c>
      <c r="C25" s="1435" t="s">
        <v>0</v>
      </c>
      <c r="D25" s="1435" t="s">
        <v>0</v>
      </c>
      <c r="E25" t="s">
        <v>0</v>
      </c>
      <c r="F25" t="s">
        <v>0</v>
      </c>
      <c r="G25" s="1435" t="s">
        <v>0</v>
      </c>
      <c r="H25" s="1435" t="s">
        <v>0</v>
      </c>
      <c r="I25" s="1435" t="s">
        <v>0</v>
      </c>
      <c r="J25" s="1435" t="s">
        <v>0</v>
      </c>
      <c r="K25" s="1435" t="s">
        <v>0</v>
      </c>
      <c r="L25" s="1435" t="s">
        <v>0</v>
      </c>
      <c r="N25" s="281" t="s">
        <v>0</v>
      </c>
      <c r="O25" s="1435" t="s">
        <v>0</v>
      </c>
      <c r="P25" s="1435" t="s">
        <v>0</v>
      </c>
      <c r="Q25" s="1435" t="s">
        <v>0</v>
      </c>
      <c r="R25" s="1435" t="s">
        <v>0</v>
      </c>
      <c r="S25" s="281" t="s">
        <v>0</v>
      </c>
      <c r="T25" s="281" t="s">
        <v>0</v>
      </c>
    </row>
    <row r="26" spans="1:35" ht="18" customHeight="1">
      <c r="A26" s="29"/>
      <c r="B26" s="1434" t="s">
        <v>397</v>
      </c>
      <c r="C26" t="s">
        <v>0</v>
      </c>
      <c r="D26" t="s">
        <v>0</v>
      </c>
      <c r="G26" s="1435" t="s">
        <v>0</v>
      </c>
      <c r="H26" s="1435" t="s">
        <v>0</v>
      </c>
      <c r="I26" s="1435" t="s">
        <v>0</v>
      </c>
      <c r="J26" s="1435" t="s">
        <v>0</v>
      </c>
      <c r="K26" s="1435" t="s">
        <v>0</v>
      </c>
      <c r="S26" t="s">
        <v>0</v>
      </c>
      <c r="T26" t="s">
        <v>0</v>
      </c>
    </row>
    <row r="27" spans="1:35" ht="18" customHeight="1">
      <c r="A27" s="29"/>
      <c r="B27" s="1434" t="s">
        <v>397</v>
      </c>
      <c r="G27" t="s">
        <v>0</v>
      </c>
      <c r="H27" t="s">
        <v>0</v>
      </c>
      <c r="I27" t="s">
        <v>0</v>
      </c>
      <c r="J27" t="s">
        <v>0</v>
      </c>
      <c r="K27" t="s">
        <v>0</v>
      </c>
      <c r="L27" t="s">
        <v>0</v>
      </c>
      <c r="M27" t="s">
        <v>0</v>
      </c>
      <c r="N27" s="30" t="s">
        <v>0</v>
      </c>
    </row>
    <row r="28" spans="1:35" ht="18" customHeight="1">
      <c r="A28" s="29"/>
      <c r="N28" s="30" t="s">
        <v>0</v>
      </c>
      <c r="O28" s="30" t="s">
        <v>0</v>
      </c>
      <c r="P28" s="30" t="s">
        <v>0</v>
      </c>
      <c r="Q28" s="30" t="s">
        <v>0</v>
      </c>
      <c r="R28" s="30" t="s">
        <v>0</v>
      </c>
    </row>
    <row r="29" spans="1:35" ht="18" customHeight="1">
      <c r="A29" s="29"/>
    </row>
    <row r="30" spans="1:35" ht="18" customHeight="1" thickBot="1">
      <c r="A30" s="14" t="s">
        <v>49</v>
      </c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</row>
    <row r="31" spans="1:35" ht="18" customHeight="1">
      <c r="A31" s="695" t="s">
        <v>50</v>
      </c>
      <c r="B31" s="696"/>
      <c r="C31" s="696"/>
      <c r="D31" s="697" t="s">
        <v>51</v>
      </c>
      <c r="E31" s="698"/>
      <c r="F31" s="698"/>
      <c r="G31" s="698"/>
      <c r="H31" s="698"/>
      <c r="I31" s="698"/>
      <c r="J31" s="698"/>
      <c r="K31" s="698"/>
      <c r="L31" s="698"/>
      <c r="M31" s="699" t="s">
        <v>52</v>
      </c>
      <c r="N31" s="698"/>
      <c r="O31" s="698"/>
      <c r="P31" s="698"/>
      <c r="Q31" s="698"/>
      <c r="R31" s="698"/>
      <c r="S31" s="700"/>
      <c r="T31" s="701" t="s">
        <v>53</v>
      </c>
      <c r="U31" s="702"/>
      <c r="V31" s="702"/>
      <c r="W31" s="702"/>
      <c r="X31" s="702"/>
      <c r="Y31" s="702"/>
      <c r="Z31" s="703"/>
      <c r="AA31" s="704" t="s">
        <v>54</v>
      </c>
      <c r="AB31" s="705"/>
      <c r="AC31" s="705"/>
      <c r="AD31" s="705"/>
      <c r="AE31" s="705"/>
      <c r="AF31" s="705"/>
      <c r="AG31" s="706"/>
    </row>
    <row r="32" spans="1:35" ht="18" customHeight="1">
      <c r="A32" s="1436" t="s">
        <v>55</v>
      </c>
      <c r="B32" s="1390"/>
      <c r="C32" s="1390"/>
      <c r="D32" s="1437" t="s">
        <v>56</v>
      </c>
      <c r="E32" s="1438"/>
      <c r="F32" s="1377"/>
      <c r="G32" s="1377"/>
      <c r="H32" s="1377"/>
      <c r="I32" s="1377"/>
      <c r="J32" s="1377"/>
      <c r="K32" s="1377"/>
      <c r="L32" s="1385"/>
      <c r="M32" s="1439" t="s">
        <v>57</v>
      </c>
      <c r="N32" s="1390"/>
      <c r="O32" s="1440"/>
      <c r="P32" s="1390"/>
      <c r="Q32" s="1390"/>
      <c r="R32" s="1390"/>
      <c r="S32" s="1441"/>
      <c r="T32" s="1437" t="s">
        <v>58</v>
      </c>
      <c r="U32" s="1377"/>
      <c r="V32" s="1438"/>
      <c r="W32" s="1377"/>
      <c r="X32" s="1377"/>
      <c r="Y32" s="1377"/>
      <c r="Z32" s="1385"/>
      <c r="AA32" s="31" t="s">
        <v>59</v>
      </c>
      <c r="AD32" s="20"/>
      <c r="AG32" s="32"/>
    </row>
    <row r="33" spans="1:35" ht="18" customHeight="1">
      <c r="A33" s="1442" t="s">
        <v>60</v>
      </c>
      <c r="B33" s="1377"/>
      <c r="C33" s="1377"/>
      <c r="D33" s="1443"/>
      <c r="E33" s="1377"/>
      <c r="F33" s="1377"/>
      <c r="G33" s="1385"/>
      <c r="H33" s="1392" t="s">
        <v>61</v>
      </c>
      <c r="I33" s="1377"/>
      <c r="J33" s="1377"/>
      <c r="K33" s="1377"/>
      <c r="L33" s="1377"/>
      <c r="M33" s="1444"/>
      <c r="N33" s="1377"/>
      <c r="O33" s="1377"/>
      <c r="P33" s="1377"/>
      <c r="Q33" s="1377"/>
      <c r="R33" s="1377"/>
      <c r="S33" s="1377"/>
      <c r="T33" s="1443"/>
      <c r="U33" s="14" t="s">
        <v>62</v>
      </c>
      <c r="AA33" s="1440"/>
      <c r="AB33" s="1390"/>
      <c r="AC33" s="1390"/>
      <c r="AD33" s="1390"/>
      <c r="AE33" s="1390"/>
      <c r="AF33" s="1390"/>
      <c r="AG33" s="1445"/>
    </row>
    <row r="34" spans="1:35" ht="18" customHeight="1" thickBot="1">
      <c r="A34" s="1446" t="s">
        <v>63</v>
      </c>
      <c r="B34" s="1447"/>
      <c r="C34" s="1447"/>
      <c r="D34" s="1448"/>
      <c r="E34" s="1447"/>
      <c r="F34" s="1447"/>
      <c r="G34" s="1449"/>
      <c r="H34" s="1450" t="s">
        <v>64</v>
      </c>
      <c r="I34" s="1449"/>
      <c r="J34" s="1447"/>
      <c r="K34" s="1447"/>
      <c r="L34" s="1447"/>
      <c r="M34" s="1451"/>
      <c r="N34" s="1447"/>
      <c r="O34" s="1447"/>
      <c r="P34" s="1447"/>
      <c r="Q34" s="1452"/>
      <c r="R34" s="1452"/>
      <c r="S34" s="1452"/>
      <c r="T34" s="1448"/>
      <c r="U34" s="1453" t="s">
        <v>65</v>
      </c>
      <c r="V34" s="1447"/>
      <c r="W34" s="1447"/>
      <c r="X34" s="1447"/>
      <c r="Y34" s="1447"/>
      <c r="Z34" s="1447"/>
      <c r="AA34" s="1447"/>
      <c r="AB34" s="1447"/>
      <c r="AC34" s="1447"/>
      <c r="AD34" s="1447"/>
      <c r="AE34" s="1447"/>
      <c r="AF34" s="1447"/>
      <c r="AG34" s="1454"/>
    </row>
    <row r="35" spans="1:35" ht="18" customHeight="1">
      <c r="B35" s="33" t="s">
        <v>27</v>
      </c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"/>
    </row>
    <row r="36" spans="1:35" ht="18" customHeight="1" thickBot="1">
      <c r="A36" s="1455" t="s">
        <v>28</v>
      </c>
      <c r="B36" s="1456" t="s">
        <v>29</v>
      </c>
      <c r="C36" s="1395">
        <v>1</v>
      </c>
      <c r="D36" s="1395">
        <v>2</v>
      </c>
      <c r="E36" s="1396">
        <v>3</v>
      </c>
      <c r="F36" s="1396">
        <v>4</v>
      </c>
      <c r="G36" s="1395">
        <v>5</v>
      </c>
      <c r="H36" s="1395">
        <v>6</v>
      </c>
      <c r="I36" s="1395">
        <v>7</v>
      </c>
      <c r="J36" s="1395">
        <v>8</v>
      </c>
      <c r="K36" s="1395">
        <v>9</v>
      </c>
      <c r="L36" s="1396">
        <v>10</v>
      </c>
      <c r="M36" s="1396">
        <v>11</v>
      </c>
      <c r="N36" s="1395">
        <v>12</v>
      </c>
      <c r="O36" s="1395">
        <v>13</v>
      </c>
      <c r="P36" s="1395">
        <v>14</v>
      </c>
      <c r="Q36" s="1395">
        <v>15</v>
      </c>
      <c r="R36" s="1395">
        <v>16</v>
      </c>
      <c r="S36" s="1396">
        <v>17</v>
      </c>
      <c r="T36" s="1396">
        <v>18</v>
      </c>
      <c r="U36" s="1395">
        <v>19</v>
      </c>
      <c r="V36" s="1395">
        <v>20</v>
      </c>
      <c r="W36" s="1395">
        <v>21</v>
      </c>
      <c r="X36" s="1395">
        <v>22</v>
      </c>
      <c r="Y36" s="1395">
        <v>23</v>
      </c>
      <c r="Z36" s="1396">
        <v>24</v>
      </c>
      <c r="AA36" s="1396">
        <v>25</v>
      </c>
      <c r="AB36" s="1395">
        <v>26</v>
      </c>
      <c r="AC36" s="1395">
        <v>27</v>
      </c>
      <c r="AD36" s="1395">
        <v>28</v>
      </c>
      <c r="AE36" s="1395">
        <v>29</v>
      </c>
      <c r="AF36" s="1395">
        <v>30</v>
      </c>
      <c r="AG36" s="1397">
        <v>31</v>
      </c>
      <c r="AH36" s="23"/>
      <c r="AI36" s="24"/>
    </row>
    <row r="37" spans="1:35" ht="18" customHeight="1">
      <c r="A37" s="728">
        <v>1</v>
      </c>
      <c r="B37" s="689" t="s">
        <v>66</v>
      </c>
      <c r="C37" s="472" t="s">
        <v>35</v>
      </c>
      <c r="D37" s="826" t="s">
        <v>35</v>
      </c>
      <c r="E37" s="472" t="s">
        <v>67</v>
      </c>
      <c r="F37" s="472" t="s">
        <v>67</v>
      </c>
      <c r="G37" s="472">
        <v>7</v>
      </c>
      <c r="H37" s="472">
        <v>7</v>
      </c>
      <c r="I37" s="472">
        <v>7</v>
      </c>
      <c r="J37" s="826">
        <v>7</v>
      </c>
      <c r="K37" s="472">
        <v>7</v>
      </c>
      <c r="L37" s="472"/>
      <c r="M37" s="472"/>
      <c r="N37" s="472">
        <v>4</v>
      </c>
      <c r="O37" s="826">
        <v>4</v>
      </c>
      <c r="P37" s="472">
        <v>4</v>
      </c>
      <c r="Q37" s="471">
        <v>4</v>
      </c>
      <c r="R37" s="826">
        <v>4</v>
      </c>
      <c r="S37" s="472"/>
      <c r="T37" s="472"/>
      <c r="U37" s="472">
        <v>3</v>
      </c>
      <c r="V37" s="472">
        <v>3</v>
      </c>
      <c r="W37" s="472">
        <v>3</v>
      </c>
      <c r="X37" s="472">
        <v>3</v>
      </c>
      <c r="Y37" s="472">
        <v>3</v>
      </c>
      <c r="Z37" s="472"/>
      <c r="AA37" s="472"/>
      <c r="AB37" s="471">
        <v>11</v>
      </c>
      <c r="AC37" s="471">
        <v>11</v>
      </c>
      <c r="AD37" s="471">
        <v>11</v>
      </c>
      <c r="AE37" s="471">
        <v>11</v>
      </c>
      <c r="AF37" s="471">
        <v>11</v>
      </c>
      <c r="AG37" s="734" t="s">
        <v>68</v>
      </c>
      <c r="AH37" s="34"/>
      <c r="AI37" s="25"/>
    </row>
    <row r="38" spans="1:35" ht="18" customHeight="1">
      <c r="A38" s="1457">
        <v>6</v>
      </c>
      <c r="B38" s="1294" t="s">
        <v>355</v>
      </c>
      <c r="C38" s="1403" t="s">
        <v>35</v>
      </c>
      <c r="D38" s="1403" t="s">
        <v>35</v>
      </c>
      <c r="E38" s="1403" t="s">
        <v>69</v>
      </c>
      <c r="F38" s="1403" t="s">
        <v>69</v>
      </c>
      <c r="G38" s="1403">
        <v>8</v>
      </c>
      <c r="H38" s="1403">
        <v>8</v>
      </c>
      <c r="I38" s="1403">
        <v>8</v>
      </c>
      <c r="J38" s="1403">
        <v>8</v>
      </c>
      <c r="K38" s="1403">
        <v>8</v>
      </c>
      <c r="L38" s="1403"/>
      <c r="M38" s="1403"/>
      <c r="N38" s="1403" t="s">
        <v>35</v>
      </c>
      <c r="O38" s="1403" t="s">
        <v>35</v>
      </c>
      <c r="P38" s="1403" t="s">
        <v>35</v>
      </c>
      <c r="Q38" s="1403" t="s">
        <v>35</v>
      </c>
      <c r="R38" s="1403" t="s">
        <v>35</v>
      </c>
      <c r="S38" s="1403"/>
      <c r="T38" s="1403"/>
      <c r="U38" s="1458">
        <v>1</v>
      </c>
      <c r="V38" s="1459">
        <v>1</v>
      </c>
      <c r="W38" s="1460" t="s">
        <v>398</v>
      </c>
      <c r="X38" s="1461">
        <v>1</v>
      </c>
      <c r="Y38" s="1461">
        <v>1</v>
      </c>
      <c r="Z38" s="1458"/>
      <c r="AA38" s="1458"/>
      <c r="AB38" s="1458">
        <v>9</v>
      </c>
      <c r="AC38" s="1458">
        <v>9</v>
      </c>
      <c r="AD38" s="1458">
        <v>9</v>
      </c>
      <c r="AE38" s="1458">
        <v>9</v>
      </c>
      <c r="AF38" s="1458">
        <v>9</v>
      </c>
      <c r="AG38" s="1462" t="s">
        <v>70</v>
      </c>
      <c r="AH38" s="34"/>
      <c r="AI38" s="25"/>
    </row>
    <row r="39" spans="1:35" ht="18" customHeight="1" thickBot="1">
      <c r="A39" s="1463">
        <v>11</v>
      </c>
      <c r="B39" s="1464" t="s">
        <v>71</v>
      </c>
      <c r="C39" s="1465" t="s">
        <v>35</v>
      </c>
      <c r="D39" s="1465" t="s">
        <v>35</v>
      </c>
      <c r="E39" s="1465" t="s">
        <v>75</v>
      </c>
      <c r="F39" s="1465" t="s">
        <v>69</v>
      </c>
      <c r="G39" s="1465">
        <v>6</v>
      </c>
      <c r="H39" s="1465">
        <v>6</v>
      </c>
      <c r="I39" s="1465">
        <v>6</v>
      </c>
      <c r="J39" s="1465">
        <v>6</v>
      </c>
      <c r="K39" s="1465">
        <v>6</v>
      </c>
      <c r="L39" s="1465"/>
      <c r="M39" s="1465"/>
      <c r="N39" s="1465" t="s">
        <v>35</v>
      </c>
      <c r="O39" s="1465" t="s">
        <v>35</v>
      </c>
      <c r="P39" s="1465" t="s">
        <v>35</v>
      </c>
      <c r="Q39" s="1465" t="s">
        <v>35</v>
      </c>
      <c r="R39" s="1465" t="s">
        <v>35</v>
      </c>
      <c r="S39" s="1465"/>
      <c r="T39" s="1465"/>
      <c r="U39" s="1466">
        <v>5</v>
      </c>
      <c r="V39" s="1466">
        <v>5</v>
      </c>
      <c r="W39" s="1466">
        <v>5</v>
      </c>
      <c r="X39" s="1466">
        <v>5</v>
      </c>
      <c r="Y39" s="1466">
        <v>5</v>
      </c>
      <c r="Z39" s="1466"/>
      <c r="AA39" s="1466"/>
      <c r="AB39" s="1466">
        <v>10</v>
      </c>
      <c r="AC39" s="1466">
        <v>10</v>
      </c>
      <c r="AD39" s="1466">
        <v>10</v>
      </c>
      <c r="AE39" s="1466">
        <v>10</v>
      </c>
      <c r="AF39" s="1466">
        <v>10</v>
      </c>
      <c r="AG39" s="1467" t="s">
        <v>72</v>
      </c>
      <c r="AH39" s="34"/>
      <c r="AI39" s="25"/>
    </row>
    <row r="40" spans="1:35" ht="18" customHeight="1">
      <c r="A40" s="728">
        <v>2</v>
      </c>
      <c r="B40" s="35" t="s">
        <v>73</v>
      </c>
      <c r="C40" s="1147">
        <v>7</v>
      </c>
      <c r="D40" s="1147">
        <v>7</v>
      </c>
      <c r="E40" s="1147"/>
      <c r="F40" s="1147"/>
      <c r="G40" s="1147">
        <v>4</v>
      </c>
      <c r="H40" s="1147">
        <v>4</v>
      </c>
      <c r="I40" s="1147">
        <v>4</v>
      </c>
      <c r="J40" s="1147">
        <v>4</v>
      </c>
      <c r="K40" s="1147">
        <v>4</v>
      </c>
      <c r="L40" s="1147"/>
      <c r="M40" s="1147"/>
      <c r="N40" s="1147">
        <v>3</v>
      </c>
      <c r="O40" s="1147">
        <v>3</v>
      </c>
      <c r="P40" s="1147">
        <v>3</v>
      </c>
      <c r="Q40" s="1147">
        <v>3</v>
      </c>
      <c r="R40" s="1147">
        <v>3</v>
      </c>
      <c r="S40" s="1147"/>
      <c r="T40" s="1147"/>
      <c r="U40" s="471">
        <v>11</v>
      </c>
      <c r="V40" s="471">
        <v>11</v>
      </c>
      <c r="W40" s="471">
        <v>11</v>
      </c>
      <c r="X40" s="472">
        <v>11</v>
      </c>
      <c r="Y40" s="472">
        <v>11</v>
      </c>
      <c r="Z40" s="472" t="s">
        <v>68</v>
      </c>
      <c r="AA40" s="472" t="s">
        <v>68</v>
      </c>
      <c r="AB40" s="472" t="s">
        <v>35</v>
      </c>
      <c r="AC40" s="471" t="s">
        <v>35</v>
      </c>
      <c r="AD40" s="471" t="s">
        <v>35</v>
      </c>
      <c r="AE40" s="472" t="s">
        <v>35</v>
      </c>
      <c r="AF40" s="472" t="s">
        <v>35</v>
      </c>
      <c r="AG40" s="734" t="s">
        <v>69</v>
      </c>
      <c r="AH40" s="34"/>
      <c r="AI40" s="25"/>
    </row>
    <row r="41" spans="1:35" ht="18" customHeight="1">
      <c r="A41" s="1457">
        <v>7</v>
      </c>
      <c r="B41" s="1410" t="s">
        <v>74</v>
      </c>
      <c r="C41" s="1308">
        <v>8</v>
      </c>
      <c r="D41" s="1311">
        <v>8</v>
      </c>
      <c r="E41" s="1308"/>
      <c r="F41" s="1308"/>
      <c r="G41" s="1308" t="s">
        <v>35</v>
      </c>
      <c r="H41" s="1416" t="s">
        <v>35</v>
      </c>
      <c r="I41" s="1416" t="s">
        <v>35</v>
      </c>
      <c r="J41" s="1416" t="s">
        <v>35</v>
      </c>
      <c r="K41" s="1416" t="s">
        <v>35</v>
      </c>
      <c r="L41" s="1468"/>
      <c r="M41" s="1468"/>
      <c r="N41" s="1308">
        <v>1</v>
      </c>
      <c r="O41" s="1308">
        <v>1</v>
      </c>
      <c r="P41" s="1308">
        <v>1</v>
      </c>
      <c r="Q41" s="1311">
        <v>1</v>
      </c>
      <c r="R41" s="1308">
        <v>1</v>
      </c>
      <c r="S41" s="1308"/>
      <c r="T41" s="1308"/>
      <c r="U41" s="1308">
        <v>9</v>
      </c>
      <c r="V41" s="1308">
        <v>9</v>
      </c>
      <c r="W41" s="1308">
        <v>9</v>
      </c>
      <c r="X41" s="1308">
        <v>9</v>
      </c>
      <c r="Y41" s="1308">
        <v>9</v>
      </c>
      <c r="Z41" s="1308" t="s">
        <v>70</v>
      </c>
      <c r="AA41" s="1308" t="s">
        <v>72</v>
      </c>
      <c r="AB41" s="1308" t="s">
        <v>35</v>
      </c>
      <c r="AC41" s="1308" t="s">
        <v>35</v>
      </c>
      <c r="AD41" s="1308" t="s">
        <v>35</v>
      </c>
      <c r="AE41" s="1308" t="s">
        <v>35</v>
      </c>
      <c r="AF41" s="1308" t="s">
        <v>35</v>
      </c>
      <c r="AG41" s="1469" t="s">
        <v>75</v>
      </c>
      <c r="AH41" s="34"/>
      <c r="AI41" s="25"/>
    </row>
    <row r="42" spans="1:35" ht="18" customHeight="1" thickBot="1">
      <c r="A42" s="1463">
        <v>12</v>
      </c>
      <c r="B42" s="1470" t="s">
        <v>76</v>
      </c>
      <c r="C42" s="1321">
        <v>6</v>
      </c>
      <c r="D42" s="1471">
        <v>6</v>
      </c>
      <c r="E42" s="1321"/>
      <c r="F42" s="1321"/>
      <c r="G42" s="1321" t="s">
        <v>35</v>
      </c>
      <c r="H42" s="1321" t="s">
        <v>35</v>
      </c>
      <c r="I42" s="1321" t="s">
        <v>35</v>
      </c>
      <c r="J42" s="1321" t="s">
        <v>35</v>
      </c>
      <c r="K42" s="1395" t="s">
        <v>35</v>
      </c>
      <c r="L42" s="1321"/>
      <c r="M42" s="1321"/>
      <c r="N42" s="1321">
        <v>5</v>
      </c>
      <c r="O42" s="1321">
        <v>5</v>
      </c>
      <c r="P42" s="1321">
        <v>5</v>
      </c>
      <c r="Q42" s="1395">
        <v>5</v>
      </c>
      <c r="R42" s="1321">
        <v>5</v>
      </c>
      <c r="S42" s="1321"/>
      <c r="T42" s="1321"/>
      <c r="U42" s="1471">
        <v>10</v>
      </c>
      <c r="V42" s="1471">
        <v>10</v>
      </c>
      <c r="W42" s="1471">
        <v>10</v>
      </c>
      <c r="X42" s="1321">
        <v>10</v>
      </c>
      <c r="Y42" s="1321">
        <v>10</v>
      </c>
      <c r="Z42" s="1321" t="s">
        <v>72</v>
      </c>
      <c r="AA42" s="1321" t="s">
        <v>72</v>
      </c>
      <c r="AB42" s="1321" t="s">
        <v>35</v>
      </c>
      <c r="AC42" s="1395" t="s">
        <v>35</v>
      </c>
      <c r="AD42" s="1395" t="s">
        <v>35</v>
      </c>
      <c r="AE42" s="1395" t="s">
        <v>35</v>
      </c>
      <c r="AF42" s="1395" t="s">
        <v>35</v>
      </c>
      <c r="AG42" s="1472" t="s">
        <v>67</v>
      </c>
      <c r="AH42" s="34"/>
      <c r="AI42" s="25"/>
    </row>
    <row r="43" spans="1:35" ht="18" customHeight="1">
      <c r="A43" s="728">
        <v>3</v>
      </c>
      <c r="B43" s="1154" t="s">
        <v>77</v>
      </c>
      <c r="C43" s="471">
        <v>4</v>
      </c>
      <c r="D43" s="471">
        <v>4</v>
      </c>
      <c r="E43" s="472"/>
      <c r="F43" s="472"/>
      <c r="G43" s="472">
        <v>3</v>
      </c>
      <c r="H43" s="472">
        <v>3</v>
      </c>
      <c r="I43" s="472">
        <v>3</v>
      </c>
      <c r="J43" s="471">
        <v>3</v>
      </c>
      <c r="K43" s="471">
        <v>3</v>
      </c>
      <c r="L43" s="471"/>
      <c r="M43" s="471"/>
      <c r="N43" s="471">
        <v>11</v>
      </c>
      <c r="O43" s="471">
        <v>11</v>
      </c>
      <c r="P43" s="471">
        <v>11</v>
      </c>
      <c r="Q43" s="472">
        <v>11</v>
      </c>
      <c r="R43" s="472">
        <v>11</v>
      </c>
      <c r="S43" s="472" t="s">
        <v>68</v>
      </c>
      <c r="T43" s="472" t="s">
        <v>68</v>
      </c>
      <c r="U43" s="472" t="s">
        <v>35</v>
      </c>
      <c r="V43" s="471" t="s">
        <v>35</v>
      </c>
      <c r="W43" s="471" t="s">
        <v>35</v>
      </c>
      <c r="X43" s="826" t="s">
        <v>35</v>
      </c>
      <c r="Y43" s="472" t="s">
        <v>35</v>
      </c>
      <c r="Z43" s="472" t="s">
        <v>69</v>
      </c>
      <c r="AA43" s="472" t="s">
        <v>69</v>
      </c>
      <c r="AB43" s="472">
        <v>8</v>
      </c>
      <c r="AC43" s="750">
        <v>8</v>
      </c>
      <c r="AD43" s="472">
        <v>8</v>
      </c>
      <c r="AE43" s="472">
        <v>8</v>
      </c>
      <c r="AF43" s="472">
        <v>8</v>
      </c>
      <c r="AG43" s="734"/>
      <c r="AH43" s="34"/>
      <c r="AI43" s="25"/>
    </row>
    <row r="44" spans="1:35" ht="18" customHeight="1">
      <c r="A44" s="1457">
        <v>8</v>
      </c>
      <c r="B44" s="1410" t="s">
        <v>358</v>
      </c>
      <c r="C44" s="1316" t="s">
        <v>35</v>
      </c>
      <c r="D44" s="1316" t="s">
        <v>35</v>
      </c>
      <c r="E44" s="1316"/>
      <c r="F44" s="1316"/>
      <c r="G44" s="1316">
        <v>1</v>
      </c>
      <c r="H44" s="1316">
        <v>1</v>
      </c>
      <c r="I44" s="1308">
        <v>1</v>
      </c>
      <c r="J44" s="1311">
        <v>1</v>
      </c>
      <c r="K44" s="1317">
        <v>1</v>
      </c>
      <c r="L44" s="1317"/>
      <c r="M44" s="1317"/>
      <c r="N44" s="1316">
        <v>9</v>
      </c>
      <c r="O44" s="1308">
        <v>9</v>
      </c>
      <c r="P44" s="1308">
        <v>9</v>
      </c>
      <c r="Q44" s="1308">
        <v>9</v>
      </c>
      <c r="R44" s="1308">
        <v>9</v>
      </c>
      <c r="S44" s="1308" t="s">
        <v>70</v>
      </c>
      <c r="T44" s="1308" t="s">
        <v>72</v>
      </c>
      <c r="U44" s="1308" t="s">
        <v>35</v>
      </c>
      <c r="V44" s="1308" t="s">
        <v>35</v>
      </c>
      <c r="W44" s="1308" t="s">
        <v>35</v>
      </c>
      <c r="X44" s="1311" t="s">
        <v>35</v>
      </c>
      <c r="Y44" s="1308" t="s">
        <v>35</v>
      </c>
      <c r="Z44" s="1473" t="s">
        <v>75</v>
      </c>
      <c r="AA44" s="1473" t="s">
        <v>399</v>
      </c>
      <c r="AB44" s="1308">
        <v>6</v>
      </c>
      <c r="AC44" s="1308">
        <v>6</v>
      </c>
      <c r="AD44" s="1308">
        <v>6</v>
      </c>
      <c r="AE44" s="1308">
        <v>6</v>
      </c>
      <c r="AF44" s="1308">
        <v>6</v>
      </c>
      <c r="AG44" s="1469"/>
      <c r="AH44" s="34"/>
      <c r="AI44" s="25"/>
    </row>
    <row r="45" spans="1:35" ht="18" customHeight="1" thickBot="1">
      <c r="A45" s="1463">
        <v>13</v>
      </c>
      <c r="B45" s="1464" t="s">
        <v>79</v>
      </c>
      <c r="C45" s="1395" t="s">
        <v>35</v>
      </c>
      <c r="D45" s="1395" t="s">
        <v>35</v>
      </c>
      <c r="E45" s="1321"/>
      <c r="F45" s="1321"/>
      <c r="G45" s="1321" t="s">
        <v>128</v>
      </c>
      <c r="H45" s="1321" t="s">
        <v>128</v>
      </c>
      <c r="I45" s="1321" t="s">
        <v>128</v>
      </c>
      <c r="J45" s="1321" t="s">
        <v>128</v>
      </c>
      <c r="K45" s="1321" t="s">
        <v>128</v>
      </c>
      <c r="L45" s="1471"/>
      <c r="M45" s="1321"/>
      <c r="N45" s="1471">
        <v>10</v>
      </c>
      <c r="O45" s="1471">
        <v>10</v>
      </c>
      <c r="P45" s="1471">
        <v>10</v>
      </c>
      <c r="Q45" s="1321">
        <v>10</v>
      </c>
      <c r="R45" s="1321">
        <v>10</v>
      </c>
      <c r="S45" s="1321" t="s">
        <v>72</v>
      </c>
      <c r="T45" s="1321" t="s">
        <v>72</v>
      </c>
      <c r="U45" s="1466" t="s">
        <v>35</v>
      </c>
      <c r="V45" s="1466" t="s">
        <v>35</v>
      </c>
      <c r="W45" s="1466" t="s">
        <v>35</v>
      </c>
      <c r="X45" s="1466" t="s">
        <v>35</v>
      </c>
      <c r="Y45" s="1466" t="s">
        <v>35</v>
      </c>
      <c r="Z45" s="1466" t="s">
        <v>67</v>
      </c>
      <c r="AA45" s="1466" t="s">
        <v>67</v>
      </c>
      <c r="AB45" s="1466">
        <v>7</v>
      </c>
      <c r="AC45" s="1466">
        <v>7</v>
      </c>
      <c r="AD45" s="1466">
        <v>7</v>
      </c>
      <c r="AE45" s="1466">
        <v>7</v>
      </c>
      <c r="AF45" s="1466">
        <v>7</v>
      </c>
      <c r="AG45" s="1467"/>
      <c r="AH45" s="34"/>
      <c r="AI45" s="25"/>
    </row>
    <row r="46" spans="1:35" ht="18" customHeight="1">
      <c r="A46" s="728">
        <v>4</v>
      </c>
      <c r="B46" s="689" t="s">
        <v>80</v>
      </c>
      <c r="C46" s="1147">
        <v>3</v>
      </c>
      <c r="D46" s="1147">
        <v>3</v>
      </c>
      <c r="E46" s="1147"/>
      <c r="F46" s="1147"/>
      <c r="G46" s="1147">
        <v>11</v>
      </c>
      <c r="H46" s="1147">
        <v>11</v>
      </c>
      <c r="I46" s="1147">
        <v>11</v>
      </c>
      <c r="J46" s="1147">
        <v>11</v>
      </c>
      <c r="K46" s="1147">
        <v>11</v>
      </c>
      <c r="L46" s="1147" t="s">
        <v>68</v>
      </c>
      <c r="M46" s="1147" t="s">
        <v>68</v>
      </c>
      <c r="N46" s="1147" t="s">
        <v>35</v>
      </c>
      <c r="O46" s="1147" t="s">
        <v>35</v>
      </c>
      <c r="P46" s="1147" t="s">
        <v>35</v>
      </c>
      <c r="Q46" s="1147" t="s">
        <v>35</v>
      </c>
      <c r="R46" s="1147" t="s">
        <v>35</v>
      </c>
      <c r="S46" s="1147" t="s">
        <v>69</v>
      </c>
      <c r="T46" s="1147" t="s">
        <v>69</v>
      </c>
      <c r="U46" s="472">
        <v>8</v>
      </c>
      <c r="V46" s="750">
        <v>8</v>
      </c>
      <c r="W46" s="472">
        <v>8</v>
      </c>
      <c r="X46" s="472">
        <v>8</v>
      </c>
      <c r="Y46" s="826">
        <v>8</v>
      </c>
      <c r="Z46" s="472"/>
      <c r="AA46" s="472"/>
      <c r="AB46" s="472" t="s">
        <v>35</v>
      </c>
      <c r="AC46" s="472" t="s">
        <v>35</v>
      </c>
      <c r="AD46" s="472" t="s">
        <v>35</v>
      </c>
      <c r="AE46" s="471" t="s">
        <v>35</v>
      </c>
      <c r="AF46" s="472" t="s">
        <v>35</v>
      </c>
      <c r="AG46" s="734"/>
      <c r="AH46" s="34"/>
      <c r="AI46" s="25"/>
    </row>
    <row r="47" spans="1:35" ht="18" customHeight="1">
      <c r="A47" s="1457">
        <v>9</v>
      </c>
      <c r="B47" s="1410" t="s">
        <v>81</v>
      </c>
      <c r="C47" s="1311">
        <v>1</v>
      </c>
      <c r="D47" s="1308">
        <v>1</v>
      </c>
      <c r="E47" s="1308"/>
      <c r="F47" s="1308"/>
      <c r="G47" s="1308">
        <v>9</v>
      </c>
      <c r="H47" s="1308">
        <v>9</v>
      </c>
      <c r="I47" s="1308">
        <v>9</v>
      </c>
      <c r="J47" s="1308">
        <v>9</v>
      </c>
      <c r="K47" s="1308">
        <v>9</v>
      </c>
      <c r="L47" s="1308" t="s">
        <v>70</v>
      </c>
      <c r="M47" s="1308" t="s">
        <v>72</v>
      </c>
      <c r="N47" s="1308" t="s">
        <v>35</v>
      </c>
      <c r="O47" s="1308" t="s">
        <v>35</v>
      </c>
      <c r="P47" s="1308" t="s">
        <v>35</v>
      </c>
      <c r="Q47" s="1311" t="s">
        <v>35</v>
      </c>
      <c r="R47" s="1308" t="s">
        <v>35</v>
      </c>
      <c r="S47" s="1308" t="s">
        <v>75</v>
      </c>
      <c r="T47" s="1308" t="s">
        <v>69</v>
      </c>
      <c r="U47" s="1308">
        <v>6</v>
      </c>
      <c r="V47" s="1308">
        <v>6</v>
      </c>
      <c r="W47" s="1308">
        <v>6</v>
      </c>
      <c r="X47" s="1308">
        <v>6</v>
      </c>
      <c r="Y47" s="1308">
        <v>6</v>
      </c>
      <c r="Z47" s="1308"/>
      <c r="AA47" s="1308"/>
      <c r="AB47" s="1308" t="s">
        <v>35</v>
      </c>
      <c r="AC47" s="1308" t="s">
        <v>35</v>
      </c>
      <c r="AD47" s="1308" t="s">
        <v>35</v>
      </c>
      <c r="AE47" s="1308" t="s">
        <v>35</v>
      </c>
      <c r="AF47" s="1308" t="s">
        <v>35</v>
      </c>
      <c r="AG47" s="1469"/>
      <c r="AH47" s="34"/>
      <c r="AI47" s="25"/>
    </row>
    <row r="48" spans="1:35" ht="18" customHeight="1" thickBot="1">
      <c r="A48" s="1463">
        <v>14</v>
      </c>
      <c r="B48" s="1464" t="s">
        <v>82</v>
      </c>
      <c r="C48" s="1395">
        <v>5</v>
      </c>
      <c r="D48" s="1321">
        <v>5</v>
      </c>
      <c r="E48" s="1321"/>
      <c r="F48" s="1321"/>
      <c r="G48" s="1471">
        <v>10</v>
      </c>
      <c r="H48" s="1471">
        <v>10</v>
      </c>
      <c r="I48" s="1471">
        <v>10</v>
      </c>
      <c r="J48" s="1321">
        <v>10</v>
      </c>
      <c r="K48" s="1321">
        <v>10</v>
      </c>
      <c r="L48" s="1321" t="s">
        <v>72</v>
      </c>
      <c r="M48" s="1321" t="s">
        <v>72</v>
      </c>
      <c r="N48" s="1321" t="s">
        <v>35</v>
      </c>
      <c r="O48" s="1395" t="s">
        <v>35</v>
      </c>
      <c r="P48" s="1321" t="s">
        <v>35</v>
      </c>
      <c r="Q48" s="1321" t="s">
        <v>35</v>
      </c>
      <c r="R48" s="1395" t="s">
        <v>35</v>
      </c>
      <c r="S48" s="1321" t="s">
        <v>67</v>
      </c>
      <c r="T48" s="1321" t="s">
        <v>67</v>
      </c>
      <c r="U48" s="1321">
        <v>7</v>
      </c>
      <c r="V48" s="1321">
        <v>7</v>
      </c>
      <c r="W48" s="1321">
        <v>7</v>
      </c>
      <c r="X48" s="1395">
        <v>7</v>
      </c>
      <c r="Y48" s="1321">
        <v>7</v>
      </c>
      <c r="Z48" s="1321"/>
      <c r="AA48" s="1321"/>
      <c r="AB48" s="1321">
        <v>4</v>
      </c>
      <c r="AC48" s="1395">
        <v>4</v>
      </c>
      <c r="AD48" s="1321">
        <v>4</v>
      </c>
      <c r="AE48" s="1321">
        <v>4</v>
      </c>
      <c r="AF48" s="1395">
        <v>4</v>
      </c>
      <c r="AG48" s="1474"/>
      <c r="AH48" s="34"/>
      <c r="AI48" s="25"/>
    </row>
    <row r="49" spans="1:35" ht="18" customHeight="1">
      <c r="A49" s="728">
        <v>5</v>
      </c>
      <c r="B49" s="1410" t="s">
        <v>83</v>
      </c>
      <c r="C49" s="471">
        <v>11</v>
      </c>
      <c r="D49" s="471">
        <v>11</v>
      </c>
      <c r="E49" s="472" t="s">
        <v>68</v>
      </c>
      <c r="F49" s="472" t="s">
        <v>68</v>
      </c>
      <c r="G49" s="472" t="s">
        <v>35</v>
      </c>
      <c r="H49" s="471" t="s">
        <v>35</v>
      </c>
      <c r="I49" s="471" t="s">
        <v>35</v>
      </c>
      <c r="J49" s="826" t="s">
        <v>35</v>
      </c>
      <c r="K49" s="472" t="s">
        <v>35</v>
      </c>
      <c r="L49" s="472" t="s">
        <v>69</v>
      </c>
      <c r="M49" s="472" t="s">
        <v>69</v>
      </c>
      <c r="N49" s="472">
        <v>8</v>
      </c>
      <c r="O49" s="826">
        <v>8</v>
      </c>
      <c r="P49" s="472">
        <v>8</v>
      </c>
      <c r="Q49" s="472">
        <v>8</v>
      </c>
      <c r="R49" s="826">
        <v>8</v>
      </c>
      <c r="S49" s="472"/>
      <c r="T49" s="472"/>
      <c r="U49" s="471" t="s">
        <v>35</v>
      </c>
      <c r="V49" s="471" t="s">
        <v>35</v>
      </c>
      <c r="W49" s="471" t="s">
        <v>35</v>
      </c>
      <c r="X49" s="471" t="s">
        <v>35</v>
      </c>
      <c r="Y49" s="471" t="s">
        <v>35</v>
      </c>
      <c r="Z49" s="471"/>
      <c r="AA49" s="471"/>
      <c r="AB49" s="471">
        <v>1</v>
      </c>
      <c r="AC49" s="471">
        <v>1</v>
      </c>
      <c r="AD49" s="472">
        <v>1</v>
      </c>
      <c r="AE49" s="472">
        <v>1</v>
      </c>
      <c r="AF49" s="759">
        <v>1</v>
      </c>
      <c r="AG49" s="760"/>
      <c r="AH49" s="34"/>
      <c r="AI49" s="25"/>
    </row>
    <row r="50" spans="1:35" ht="18" customHeight="1">
      <c r="A50" s="1457">
        <v>10</v>
      </c>
      <c r="B50" s="1410" t="s">
        <v>84</v>
      </c>
      <c r="C50" s="1308">
        <v>9</v>
      </c>
      <c r="D50" s="1308">
        <v>9</v>
      </c>
      <c r="E50" s="1308" t="s">
        <v>70</v>
      </c>
      <c r="F50" s="1316" t="s">
        <v>72</v>
      </c>
      <c r="G50" s="1317" t="s">
        <v>35</v>
      </c>
      <c r="H50" s="1317" t="s">
        <v>35</v>
      </c>
      <c r="I50" s="1317" t="s">
        <v>35</v>
      </c>
      <c r="J50" s="1317" t="s">
        <v>35</v>
      </c>
      <c r="K50" s="1317" t="s">
        <v>35</v>
      </c>
      <c r="L50" s="1317" t="s">
        <v>75</v>
      </c>
      <c r="M50" s="1317" t="s">
        <v>69</v>
      </c>
      <c r="N50" s="1317">
        <v>6</v>
      </c>
      <c r="O50" s="1317">
        <v>6</v>
      </c>
      <c r="P50" s="1317">
        <v>6</v>
      </c>
      <c r="Q50" s="1317">
        <v>6</v>
      </c>
      <c r="R50" s="1317">
        <v>6</v>
      </c>
      <c r="S50" s="1317"/>
      <c r="T50" s="1317"/>
      <c r="U50" s="1317" t="s">
        <v>35</v>
      </c>
      <c r="V50" s="1317" t="s">
        <v>35</v>
      </c>
      <c r="W50" s="1316" t="s">
        <v>35</v>
      </c>
      <c r="X50" s="1308" t="s">
        <v>35</v>
      </c>
      <c r="Y50" s="1311" t="s">
        <v>35</v>
      </c>
      <c r="Z50" s="1308"/>
      <c r="AA50" s="1308"/>
      <c r="AB50" s="1308">
        <v>5</v>
      </c>
      <c r="AC50" s="1308">
        <v>5</v>
      </c>
      <c r="AD50" s="1308">
        <v>5</v>
      </c>
      <c r="AE50" s="1308">
        <v>5</v>
      </c>
      <c r="AF50" s="1473" t="s">
        <v>400</v>
      </c>
      <c r="AG50" s="1469"/>
      <c r="AH50" s="34"/>
      <c r="AI50" s="25"/>
    </row>
    <row r="51" spans="1:35" ht="18" customHeight="1" thickBot="1">
      <c r="A51" s="1463">
        <v>15</v>
      </c>
      <c r="B51" s="1464" t="s">
        <v>85</v>
      </c>
      <c r="C51" s="1321">
        <v>10</v>
      </c>
      <c r="D51" s="1321">
        <v>10</v>
      </c>
      <c r="E51" s="1321" t="s">
        <v>72</v>
      </c>
      <c r="F51" s="1321" t="s">
        <v>72</v>
      </c>
      <c r="G51" s="1321" t="s">
        <v>35</v>
      </c>
      <c r="H51" s="1395" t="s">
        <v>35</v>
      </c>
      <c r="I51" s="1395" t="s">
        <v>35</v>
      </c>
      <c r="J51" s="1321" t="s">
        <v>35</v>
      </c>
      <c r="K51" s="1395" t="s">
        <v>35</v>
      </c>
      <c r="L51" s="1321" t="s">
        <v>67</v>
      </c>
      <c r="M51" s="1321" t="s">
        <v>67</v>
      </c>
      <c r="N51" s="1321">
        <v>7</v>
      </c>
      <c r="O51" s="1321">
        <v>7</v>
      </c>
      <c r="P51" s="1321">
        <v>7</v>
      </c>
      <c r="Q51" s="1395">
        <v>7</v>
      </c>
      <c r="R51" s="1321">
        <v>7</v>
      </c>
      <c r="S51" s="1321"/>
      <c r="T51" s="1321"/>
      <c r="U51" s="1466">
        <v>4</v>
      </c>
      <c r="V51" s="1466">
        <v>4</v>
      </c>
      <c r="W51" s="1466">
        <v>4</v>
      </c>
      <c r="X51" s="1466">
        <v>4</v>
      </c>
      <c r="Y51" s="1466">
        <v>4</v>
      </c>
      <c r="Z51" s="1466"/>
      <c r="AA51" s="1466"/>
      <c r="AB51" s="1466">
        <v>3</v>
      </c>
      <c r="AC51" s="1466">
        <v>3</v>
      </c>
      <c r="AD51" s="1466">
        <v>3</v>
      </c>
      <c r="AE51" s="1466">
        <v>3</v>
      </c>
      <c r="AF51" s="1466">
        <v>3</v>
      </c>
      <c r="AG51" s="1467"/>
      <c r="AH51" s="34"/>
      <c r="AI51" s="25"/>
    </row>
    <row r="52" spans="1:35" ht="18" customHeight="1">
      <c r="A52" s="29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"/>
    </row>
    <row r="53" spans="1:35" ht="18" customHeight="1">
      <c r="A53" s="36"/>
      <c r="B53" s="37" t="s">
        <v>86</v>
      </c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1"/>
    </row>
    <row r="54" spans="1:35" ht="18" customHeight="1">
      <c r="A54" s="1216" t="s">
        <v>28</v>
      </c>
      <c r="B54" s="1216"/>
      <c r="C54" s="1217"/>
      <c r="D54" s="1216" t="s">
        <v>87</v>
      </c>
      <c r="E54" s="1218"/>
      <c r="F54" s="1217"/>
      <c r="G54" s="1216" t="s">
        <v>88</v>
      </c>
      <c r="H54" s="1218"/>
      <c r="I54" s="1217"/>
      <c r="J54" s="1216" t="s">
        <v>89</v>
      </c>
      <c r="K54" s="1218"/>
      <c r="L54" s="1217"/>
      <c r="M54" s="1216" t="s">
        <v>90</v>
      </c>
      <c r="N54" s="1218"/>
      <c r="O54" s="1217"/>
      <c r="P54" s="1216" t="s">
        <v>91</v>
      </c>
      <c r="Q54" s="1218"/>
      <c r="R54" s="1219"/>
      <c r="S54" s="1220" t="s">
        <v>92</v>
      </c>
      <c r="T54" s="1218"/>
      <c r="U54" s="1217"/>
      <c r="V54" s="1216" t="s">
        <v>93</v>
      </c>
      <c r="W54" s="1218"/>
      <c r="X54" s="1221" t="s">
        <v>94</v>
      </c>
      <c r="Y54" s="1218"/>
      <c r="Z54" s="1218"/>
      <c r="AA54" s="1222"/>
      <c r="AB54" s="1379"/>
      <c r="AC54" s="1379"/>
      <c r="AD54" s="1379"/>
      <c r="AE54" s="1379"/>
      <c r="AF54" s="1379"/>
      <c r="AG54" s="1380"/>
      <c r="AH54" s="1"/>
    </row>
    <row r="55" spans="1:35" ht="18" customHeight="1">
      <c r="A55" s="1223">
        <v>8517</v>
      </c>
      <c r="B55" s="1406" t="s">
        <v>95</v>
      </c>
      <c r="C55" s="1475" t="s">
        <v>96</v>
      </c>
      <c r="D55" s="1476"/>
      <c r="E55" s="1378"/>
      <c r="F55" s="1475" t="s">
        <v>96</v>
      </c>
      <c r="G55" s="1476"/>
      <c r="H55" s="1378"/>
      <c r="I55" s="1475" t="s">
        <v>96</v>
      </c>
      <c r="J55" s="1476"/>
      <c r="K55" s="1378"/>
      <c r="L55" s="1475" t="s">
        <v>96</v>
      </c>
      <c r="M55" s="1476"/>
      <c r="N55" s="1378"/>
      <c r="O55" s="1475" t="s">
        <v>97</v>
      </c>
      <c r="P55" s="1476"/>
      <c r="Q55" s="1378"/>
      <c r="R55" s="1475" t="s">
        <v>96</v>
      </c>
      <c r="S55" s="1476"/>
      <c r="T55" s="1378"/>
      <c r="U55" s="1475" t="s">
        <v>96</v>
      </c>
      <c r="V55" s="1476"/>
      <c r="W55" s="1378"/>
      <c r="X55" s="1376"/>
      <c r="Y55" s="1379"/>
      <c r="Z55" s="1379"/>
      <c r="AA55" s="1379"/>
      <c r="AB55" s="1379"/>
      <c r="AC55" s="1379"/>
      <c r="AD55" s="1379"/>
      <c r="AE55" s="1379"/>
      <c r="AF55" s="1379"/>
      <c r="AG55" s="1380"/>
      <c r="AH55" s="1"/>
    </row>
    <row r="56" spans="1:35" ht="18" customHeight="1">
      <c r="B56" s="1224" t="s">
        <v>98</v>
      </c>
      <c r="C56" s="1477" t="s">
        <v>99</v>
      </c>
      <c r="D56" s="1478"/>
      <c r="E56" s="1225"/>
      <c r="F56" s="1477" t="s">
        <v>99</v>
      </c>
      <c r="G56" s="1226"/>
      <c r="H56" s="1225"/>
      <c r="I56" s="1475" t="s">
        <v>99</v>
      </c>
      <c r="J56" s="1476"/>
      <c r="K56" s="1227"/>
      <c r="L56" s="1475" t="s">
        <v>99</v>
      </c>
      <c r="M56" s="1476"/>
      <c r="N56" s="1227"/>
      <c r="O56" s="1475" t="s">
        <v>100</v>
      </c>
      <c r="P56" s="1476"/>
      <c r="Q56" s="1378"/>
      <c r="R56" s="1228" t="s">
        <v>0</v>
      </c>
      <c r="S56" s="1476"/>
      <c r="T56" s="1227"/>
      <c r="U56" s="1476" t="s">
        <v>0</v>
      </c>
      <c r="V56" s="1476"/>
      <c r="W56" s="1378"/>
      <c r="X56" s="781" t="s">
        <v>0</v>
      </c>
      <c r="Y56" s="17"/>
      <c r="Z56" s="17"/>
      <c r="AA56" s="17"/>
      <c r="AB56" s="17"/>
      <c r="AC56" s="17"/>
      <c r="AD56" s="17"/>
      <c r="AE56" s="17"/>
      <c r="AF56" s="17"/>
      <c r="AG56" s="39"/>
      <c r="AH56" s="1"/>
    </row>
    <row r="57" spans="1:35" ht="18" customHeight="1">
      <c r="A57" s="1230"/>
      <c r="B57" s="1406" t="s">
        <v>101</v>
      </c>
      <c r="C57" s="1475" t="s">
        <v>102</v>
      </c>
      <c r="D57" s="1476"/>
      <c r="E57" s="1378"/>
      <c r="F57" s="1475" t="s">
        <v>102</v>
      </c>
      <c r="G57" s="1476"/>
      <c r="H57" s="1227"/>
      <c r="I57" s="1475" t="s">
        <v>102</v>
      </c>
      <c r="J57" s="1476"/>
      <c r="K57" s="1227"/>
      <c r="L57" s="1475" t="s">
        <v>102</v>
      </c>
      <c r="M57" s="1476"/>
      <c r="N57" s="1227"/>
      <c r="O57" s="1475" t="s">
        <v>103</v>
      </c>
      <c r="P57" s="1476"/>
      <c r="Q57" s="1378"/>
      <c r="R57" s="40"/>
      <c r="S57" s="41"/>
      <c r="T57" s="1227"/>
      <c r="U57" s="1476"/>
      <c r="V57" s="1476"/>
      <c r="W57" s="1378"/>
      <c r="X57" s="1376"/>
      <c r="Y57" s="1379"/>
      <c r="Z57" s="1379"/>
      <c r="AA57" s="1379"/>
      <c r="AB57" s="1379"/>
      <c r="AC57" s="1379"/>
      <c r="AD57" s="1379"/>
      <c r="AE57" s="1379"/>
      <c r="AF57" s="1379"/>
      <c r="AG57" s="1380"/>
      <c r="AH57" s="1"/>
    </row>
    <row r="58" spans="1:35" ht="18" customHeight="1">
      <c r="A58" s="1216"/>
      <c r="B58" s="1224" t="s">
        <v>104</v>
      </c>
      <c r="C58" s="1231" t="s">
        <v>105</v>
      </c>
      <c r="D58" s="1231"/>
      <c r="E58" s="1232"/>
      <c r="F58" s="1231" t="s">
        <v>105</v>
      </c>
      <c r="G58" s="1231"/>
      <c r="H58" s="1232"/>
      <c r="I58" s="1231" t="s">
        <v>105</v>
      </c>
      <c r="J58" s="1231"/>
      <c r="K58" s="1232"/>
      <c r="L58" s="1231" t="s">
        <v>105</v>
      </c>
      <c r="M58" s="1231"/>
      <c r="N58" s="1232"/>
      <c r="O58" s="1231" t="s">
        <v>105</v>
      </c>
      <c r="P58" s="1231"/>
      <c r="Q58" s="1232"/>
      <c r="R58" s="1231" t="s">
        <v>105</v>
      </c>
      <c r="S58" s="1231"/>
      <c r="T58" s="1232"/>
      <c r="U58" s="1231" t="s">
        <v>105</v>
      </c>
      <c r="V58" s="1231"/>
      <c r="W58" s="1232"/>
      <c r="X58" s="1376"/>
      <c r="Y58" s="1379"/>
      <c r="Z58" s="1379"/>
      <c r="AA58" s="1379"/>
      <c r="AB58" s="1379"/>
      <c r="AC58" s="1379"/>
      <c r="AD58" s="1379"/>
      <c r="AE58" s="1379"/>
      <c r="AF58" s="1379"/>
      <c r="AG58" s="1380"/>
      <c r="AH58" s="1"/>
    </row>
    <row r="59" spans="1:35" ht="18" customHeight="1">
      <c r="A59" s="42"/>
      <c r="B59" s="29"/>
      <c r="C59" s="22"/>
      <c r="D59" s="22"/>
      <c r="E59" s="18"/>
      <c r="F59" s="22"/>
      <c r="G59" s="22"/>
      <c r="H59" s="18"/>
      <c r="I59" s="22"/>
      <c r="J59" s="22"/>
      <c r="K59" s="18"/>
      <c r="L59" s="22"/>
      <c r="M59" s="22"/>
      <c r="N59" s="18"/>
      <c r="O59" s="22"/>
      <c r="P59" s="22"/>
      <c r="Q59" s="18"/>
      <c r="R59" s="22"/>
      <c r="S59" s="22"/>
      <c r="T59" s="18"/>
      <c r="U59" s="22"/>
      <c r="V59" s="22"/>
      <c r="W59" s="18"/>
      <c r="X59" s="18"/>
      <c r="Y59" s="17"/>
      <c r="Z59" s="17"/>
      <c r="AA59" s="17"/>
      <c r="AB59" s="17"/>
      <c r="AC59" s="17"/>
      <c r="AD59" s="17"/>
      <c r="AE59" s="17"/>
      <c r="AF59" s="17"/>
      <c r="AG59" s="17"/>
      <c r="AH59" s="1"/>
    </row>
    <row r="60" spans="1:35" ht="18" customHeight="1" thickBot="1">
      <c r="A60" s="1479"/>
      <c r="B60" s="1456" t="s">
        <v>29</v>
      </c>
      <c r="C60" s="1234">
        <v>1</v>
      </c>
      <c r="D60" s="1234">
        <v>2</v>
      </c>
      <c r="E60" s="1233">
        <v>3</v>
      </c>
      <c r="F60" s="1233">
        <v>4</v>
      </c>
      <c r="G60" s="1234">
        <v>5</v>
      </c>
      <c r="H60" s="1234">
        <v>6</v>
      </c>
      <c r="I60" s="1234">
        <v>7</v>
      </c>
      <c r="J60" s="1234">
        <v>8</v>
      </c>
      <c r="K60" s="1234">
        <v>9</v>
      </c>
      <c r="L60" s="1233">
        <v>10</v>
      </c>
      <c r="M60" s="1233">
        <v>11</v>
      </c>
      <c r="N60" s="1234">
        <v>12</v>
      </c>
      <c r="O60" s="1234">
        <v>13</v>
      </c>
      <c r="P60" s="1234">
        <v>14</v>
      </c>
      <c r="Q60" s="1234">
        <v>15</v>
      </c>
      <c r="R60" s="1234">
        <v>16</v>
      </c>
      <c r="S60" s="1233">
        <v>17</v>
      </c>
      <c r="T60" s="1233">
        <v>18</v>
      </c>
      <c r="U60" s="1234">
        <v>19</v>
      </c>
      <c r="V60" s="1234">
        <v>20</v>
      </c>
      <c r="W60" s="1234">
        <v>21</v>
      </c>
      <c r="X60" s="1234">
        <v>22</v>
      </c>
      <c r="Y60" s="1234">
        <v>23</v>
      </c>
      <c r="Z60" s="1233">
        <v>24</v>
      </c>
      <c r="AA60" s="1233">
        <v>25</v>
      </c>
      <c r="AB60" s="1234">
        <v>26</v>
      </c>
      <c r="AC60" s="1234">
        <v>27</v>
      </c>
      <c r="AD60" s="1234">
        <v>28</v>
      </c>
      <c r="AE60" s="1234">
        <v>29</v>
      </c>
      <c r="AF60" s="1234">
        <v>30</v>
      </c>
      <c r="AG60" s="1480">
        <v>31</v>
      </c>
      <c r="AH60" s="1"/>
    </row>
    <row r="61" spans="1:35" ht="18" customHeight="1">
      <c r="A61" s="789"/>
      <c r="B61" s="789" t="s">
        <v>177</v>
      </c>
      <c r="C61" s="1053" t="s">
        <v>136</v>
      </c>
      <c r="D61" s="1053" t="s">
        <v>136</v>
      </c>
      <c r="E61" s="973">
        <v>26</v>
      </c>
      <c r="F61" s="973">
        <v>26</v>
      </c>
      <c r="G61" s="790" t="s">
        <v>136</v>
      </c>
      <c r="H61" s="790" t="s">
        <v>136</v>
      </c>
      <c r="I61" s="790" t="s">
        <v>136</v>
      </c>
      <c r="J61" s="790" t="s">
        <v>136</v>
      </c>
      <c r="K61" s="790" t="s">
        <v>136</v>
      </c>
      <c r="L61" s="1481"/>
      <c r="M61" s="1053"/>
      <c r="N61" s="790" t="s">
        <v>136</v>
      </c>
      <c r="O61" s="790" t="s">
        <v>136</v>
      </c>
      <c r="P61" s="790" t="s">
        <v>136</v>
      </c>
      <c r="Q61" s="790" t="s">
        <v>136</v>
      </c>
      <c r="R61" s="790" t="s">
        <v>136</v>
      </c>
      <c r="S61" s="1053"/>
      <c r="T61" s="1053"/>
      <c r="U61" s="790" t="s">
        <v>136</v>
      </c>
      <c r="V61" s="790" t="s">
        <v>136</v>
      </c>
      <c r="W61" s="790" t="s">
        <v>136</v>
      </c>
      <c r="X61" s="790" t="s">
        <v>136</v>
      </c>
      <c r="Y61" s="790" t="s">
        <v>136</v>
      </c>
      <c r="Z61" s="971"/>
      <c r="AA61" s="971"/>
      <c r="AB61" s="790" t="s">
        <v>136</v>
      </c>
      <c r="AC61" s="790" t="s">
        <v>136</v>
      </c>
      <c r="AD61" s="790" t="s">
        <v>136</v>
      </c>
      <c r="AE61" s="790" t="s">
        <v>136</v>
      </c>
      <c r="AF61" s="790" t="s">
        <v>136</v>
      </c>
      <c r="AG61" s="795"/>
      <c r="AH61" s="1"/>
    </row>
    <row r="62" spans="1:35" ht="18" customHeight="1">
      <c r="A62" s="1236"/>
      <c r="B62" s="1236" t="s">
        <v>106</v>
      </c>
      <c r="C62" s="1482">
        <v>26</v>
      </c>
      <c r="D62" s="1482">
        <v>26</v>
      </c>
      <c r="E62" s="1237"/>
      <c r="F62" s="1237"/>
      <c r="G62" s="1237">
        <v>26</v>
      </c>
      <c r="H62" s="1237">
        <v>26</v>
      </c>
      <c r="I62" s="1237">
        <v>26</v>
      </c>
      <c r="J62" s="1237">
        <v>26</v>
      </c>
      <c r="K62" s="1237">
        <v>26</v>
      </c>
      <c r="L62" s="1237" t="s">
        <v>45</v>
      </c>
      <c r="M62" s="1237" t="s">
        <v>68</v>
      </c>
      <c r="N62" s="1237" t="s">
        <v>35</v>
      </c>
      <c r="O62" s="1237" t="s">
        <v>35</v>
      </c>
      <c r="P62" s="1237" t="s">
        <v>35</v>
      </c>
      <c r="Q62" s="1237" t="s">
        <v>35</v>
      </c>
      <c r="R62" s="1237" t="s">
        <v>35</v>
      </c>
      <c r="S62" s="1237" t="s">
        <v>45</v>
      </c>
      <c r="T62" s="1237"/>
      <c r="U62" s="1237">
        <v>26</v>
      </c>
      <c r="V62" s="1237">
        <v>26</v>
      </c>
      <c r="W62" s="1237">
        <v>26</v>
      </c>
      <c r="X62" s="1237">
        <v>26</v>
      </c>
      <c r="Y62" s="1237">
        <v>26</v>
      </c>
      <c r="Z62" s="1237">
        <v>26</v>
      </c>
      <c r="AA62" s="1237">
        <v>26</v>
      </c>
      <c r="AB62" s="1237" t="s">
        <v>35</v>
      </c>
      <c r="AC62" s="1237" t="s">
        <v>35</v>
      </c>
      <c r="AD62" s="1237" t="s">
        <v>35</v>
      </c>
      <c r="AE62" s="1237" t="s">
        <v>35</v>
      </c>
      <c r="AF62" s="1237" t="s">
        <v>35</v>
      </c>
      <c r="AG62" s="1430"/>
      <c r="AH62" s="1"/>
    </row>
    <row r="63" spans="1:35" ht="18" customHeight="1">
      <c r="A63" s="1420"/>
      <c r="B63" s="1294" t="s">
        <v>111</v>
      </c>
      <c r="C63" s="1237">
        <v>21</v>
      </c>
      <c r="D63" s="1422">
        <v>21</v>
      </c>
      <c r="E63" s="1422" t="s">
        <v>45</v>
      </c>
      <c r="F63" s="1422">
        <v>21</v>
      </c>
      <c r="G63" s="1237" t="s">
        <v>35</v>
      </c>
      <c r="H63" s="1237" t="s">
        <v>35</v>
      </c>
      <c r="I63" s="1237" t="s">
        <v>35</v>
      </c>
      <c r="J63" s="1237" t="s">
        <v>35</v>
      </c>
      <c r="K63" s="1237" t="s">
        <v>35</v>
      </c>
      <c r="L63" s="1237"/>
      <c r="M63" s="1237"/>
      <c r="N63" s="1237">
        <v>22</v>
      </c>
      <c r="O63" s="1425">
        <v>22</v>
      </c>
      <c r="P63" s="1425">
        <v>22</v>
      </c>
      <c r="Q63" s="1425">
        <v>22</v>
      </c>
      <c r="R63" s="1237">
        <v>22</v>
      </c>
      <c r="S63" s="1483">
        <v>22</v>
      </c>
      <c r="T63" s="1422">
        <v>22</v>
      </c>
      <c r="U63" s="1237" t="s">
        <v>35</v>
      </c>
      <c r="V63" s="1425" t="s">
        <v>35</v>
      </c>
      <c r="W63" s="1425" t="s">
        <v>35</v>
      </c>
      <c r="X63" s="1432" t="s">
        <v>31</v>
      </c>
      <c r="Y63" s="1484">
        <v>79</v>
      </c>
      <c r="Z63" s="1238"/>
      <c r="AA63" s="1238"/>
      <c r="AB63" s="1422">
        <v>26</v>
      </c>
      <c r="AC63" s="1422">
        <v>26</v>
      </c>
      <c r="AD63" s="1422">
        <v>26</v>
      </c>
      <c r="AE63" s="1422">
        <v>26</v>
      </c>
      <c r="AF63" s="1422">
        <v>26</v>
      </c>
      <c r="AG63" s="1430">
        <v>26</v>
      </c>
      <c r="AH63" s="1"/>
    </row>
    <row r="64" spans="1:35" ht="18" customHeight="1">
      <c r="A64" s="1294"/>
      <c r="B64" s="1294" t="s">
        <v>113</v>
      </c>
      <c r="C64" s="1237" t="s">
        <v>128</v>
      </c>
      <c r="D64" s="1237" t="s">
        <v>128</v>
      </c>
      <c r="E64" s="1485" t="s">
        <v>115</v>
      </c>
      <c r="F64" s="1485"/>
      <c r="G64" s="1485">
        <v>4</v>
      </c>
      <c r="H64" s="1485">
        <v>4</v>
      </c>
      <c r="I64" s="1485">
        <v>4</v>
      </c>
      <c r="J64" s="1485">
        <v>4</v>
      </c>
      <c r="K64" s="1485">
        <v>4</v>
      </c>
      <c r="L64" s="1237"/>
      <c r="M64" s="1237"/>
      <c r="N64">
        <v>25</v>
      </c>
      <c r="O64">
        <v>25</v>
      </c>
      <c r="P64">
        <v>25</v>
      </c>
      <c r="Q64">
        <v>25</v>
      </c>
      <c r="R64">
        <v>25</v>
      </c>
      <c r="S64" t="s">
        <v>0</v>
      </c>
      <c r="T64" t="s">
        <v>0</v>
      </c>
      <c r="U64" s="1485">
        <v>5</v>
      </c>
      <c r="V64" s="1485">
        <v>5</v>
      </c>
      <c r="W64" s="1485">
        <v>5</v>
      </c>
      <c r="X64" s="1485">
        <v>5</v>
      </c>
      <c r="Y64" s="1485">
        <v>5</v>
      </c>
      <c r="Z64" s="1485" t="s">
        <v>115</v>
      </c>
      <c r="AA64" s="1485" t="s">
        <v>0</v>
      </c>
      <c r="AB64" s="1237">
        <v>10</v>
      </c>
      <c r="AC64" s="1237">
        <v>10</v>
      </c>
      <c r="AD64" s="1237">
        <v>10</v>
      </c>
      <c r="AE64" s="1237">
        <v>10</v>
      </c>
      <c r="AF64" s="1237">
        <v>10</v>
      </c>
      <c r="AG64" s="1430" t="s">
        <v>68</v>
      </c>
      <c r="AH64" s="1"/>
    </row>
    <row r="65" spans="1:34" ht="18" customHeight="1">
      <c r="A65" s="1294"/>
      <c r="B65" s="1486" t="s">
        <v>379</v>
      </c>
      <c r="C65" s="1487" t="s">
        <v>31</v>
      </c>
      <c r="D65" s="1487" t="s">
        <v>31</v>
      </c>
      <c r="E65" s="1487"/>
      <c r="F65" s="1487"/>
      <c r="G65" s="1487" t="s">
        <v>31</v>
      </c>
      <c r="H65" s="1487" t="s">
        <v>31</v>
      </c>
      <c r="I65" s="1487" t="s">
        <v>31</v>
      </c>
      <c r="J65" s="1487" t="s">
        <v>31</v>
      </c>
      <c r="K65" s="1487" t="s">
        <v>31</v>
      </c>
      <c r="L65" s="1487"/>
      <c r="M65" s="1487"/>
      <c r="N65" s="1487" t="s">
        <v>31</v>
      </c>
      <c r="O65" s="1487" t="s">
        <v>31</v>
      </c>
      <c r="P65" s="1487" t="s">
        <v>31</v>
      </c>
      <c r="Q65" s="1487" t="s">
        <v>31</v>
      </c>
      <c r="R65" s="1487" t="s">
        <v>31</v>
      </c>
      <c r="S65" s="1487"/>
      <c r="T65" s="1487"/>
      <c r="U65" s="1485" t="s">
        <v>127</v>
      </c>
      <c r="V65" s="1485" t="s">
        <v>127</v>
      </c>
      <c r="W65" s="1485" t="s">
        <v>127</v>
      </c>
      <c r="X65" s="1485" t="s">
        <v>127</v>
      </c>
      <c r="Y65" s="1485" t="s">
        <v>127</v>
      </c>
      <c r="Z65" s="1237"/>
      <c r="AA65" s="1237"/>
      <c r="AB65" s="1485" t="s">
        <v>127</v>
      </c>
      <c r="AC65" s="1485" t="s">
        <v>127</v>
      </c>
      <c r="AD65" s="1485" t="s">
        <v>127</v>
      </c>
      <c r="AE65" s="1485" t="s">
        <v>127</v>
      </c>
      <c r="AF65" s="1485" t="s">
        <v>127</v>
      </c>
      <c r="AG65" s="1430" t="s">
        <v>69</v>
      </c>
      <c r="AH65" s="1"/>
    </row>
    <row r="66" spans="1:34" ht="18" customHeight="1">
      <c r="A66" s="1294"/>
      <c r="B66" s="1486" t="s">
        <v>116</v>
      </c>
      <c r="C66" s="1238" t="s">
        <v>110</v>
      </c>
      <c r="D66" s="1238" t="s">
        <v>110</v>
      </c>
      <c r="E66" s="1238" t="s">
        <v>108</v>
      </c>
      <c r="F66" s="1422" t="s">
        <v>108</v>
      </c>
      <c r="G66" s="1488" t="s">
        <v>35</v>
      </c>
      <c r="H66" s="1421" t="s">
        <v>35</v>
      </c>
      <c r="I66" s="1421" t="s">
        <v>35</v>
      </c>
      <c r="J66" s="1489" t="s">
        <v>31</v>
      </c>
      <c r="K66" s="1489" t="s">
        <v>31</v>
      </c>
      <c r="L66" s="1485" t="s">
        <v>45</v>
      </c>
      <c r="M66" s="1485" t="s">
        <v>45</v>
      </c>
      <c r="N66" s="1237" t="s">
        <v>244</v>
      </c>
      <c r="O66" s="1237" t="s">
        <v>244</v>
      </c>
      <c r="P66" s="1237" t="s">
        <v>244</v>
      </c>
      <c r="Q66" s="1237" t="s">
        <v>244</v>
      </c>
      <c r="R66" s="1237" t="s">
        <v>244</v>
      </c>
      <c r="S66" s="1237" t="s">
        <v>45</v>
      </c>
      <c r="T66" s="1237" t="s">
        <v>45</v>
      </c>
      <c r="U66" s="1241" t="s">
        <v>110</v>
      </c>
      <c r="V66" s="1490" t="s">
        <v>110</v>
      </c>
      <c r="W66" s="1490" t="s">
        <v>110</v>
      </c>
      <c r="X66" s="1238" t="s">
        <v>110</v>
      </c>
      <c r="Y66" s="1238" t="s">
        <v>110</v>
      </c>
      <c r="Z66" s="1238" t="s">
        <v>108</v>
      </c>
      <c r="AA66" s="1238" t="s">
        <v>108</v>
      </c>
      <c r="AB66" s="1237" t="s">
        <v>35</v>
      </c>
      <c r="AC66" s="1237" t="s">
        <v>35</v>
      </c>
      <c r="AD66" s="1237" t="s">
        <v>35</v>
      </c>
      <c r="AE66" s="1237" t="s">
        <v>31</v>
      </c>
      <c r="AF66" s="1237" t="s">
        <v>31</v>
      </c>
      <c r="AG66" s="1430"/>
      <c r="AH66" s="1"/>
    </row>
    <row r="67" spans="1:34" ht="18" customHeight="1">
      <c r="A67" s="1294"/>
      <c r="B67" s="1486" t="s">
        <v>122</v>
      </c>
      <c r="C67" s="1491" t="s">
        <v>401</v>
      </c>
      <c r="D67" s="1237">
        <v>3</v>
      </c>
      <c r="E67" s="1330">
        <v>21</v>
      </c>
      <c r="F67" s="1330" t="s">
        <v>0</v>
      </c>
      <c r="G67" s="1421">
        <v>5</v>
      </c>
      <c r="H67" s="1421">
        <v>5</v>
      </c>
      <c r="I67" s="1421">
        <v>5</v>
      </c>
      <c r="J67" s="1421">
        <v>5</v>
      </c>
      <c r="K67" s="1421">
        <v>5</v>
      </c>
      <c r="L67" s="1483"/>
      <c r="M67" s="1483"/>
      <c r="N67">
        <v>26</v>
      </c>
      <c r="O67">
        <v>26</v>
      </c>
      <c r="P67">
        <v>26</v>
      </c>
      <c r="Q67">
        <v>26</v>
      </c>
      <c r="R67">
        <v>26</v>
      </c>
      <c r="S67">
        <v>26</v>
      </c>
      <c r="T67">
        <v>26</v>
      </c>
      <c r="U67" s="1491" t="s">
        <v>35</v>
      </c>
      <c r="V67" s="1491" t="s">
        <v>35</v>
      </c>
      <c r="W67" s="1491" t="s">
        <v>35</v>
      </c>
      <c r="X67" s="1491" t="s">
        <v>35</v>
      </c>
      <c r="Y67" s="1262" t="s">
        <v>146</v>
      </c>
      <c r="Z67" s="1491"/>
      <c r="AA67" s="1491"/>
      <c r="AB67" s="1237" t="s">
        <v>146</v>
      </c>
      <c r="AC67" s="1237" t="s">
        <v>146</v>
      </c>
      <c r="AD67" s="1237" t="s">
        <v>146</v>
      </c>
      <c r="AE67" s="1237" t="s">
        <v>146</v>
      </c>
      <c r="AF67" s="1432" t="s">
        <v>146</v>
      </c>
      <c r="AG67" s="1492" t="s">
        <v>45</v>
      </c>
      <c r="AH67" s="1"/>
    </row>
    <row r="68" spans="1:34" ht="18" customHeight="1">
      <c r="A68" s="1294"/>
      <c r="B68" s="1294" t="s">
        <v>381</v>
      </c>
      <c r="C68" s="1489">
        <v>69</v>
      </c>
      <c r="D68" s="1489">
        <v>69</v>
      </c>
      <c r="E68" s="1237"/>
      <c r="F68" s="1237"/>
      <c r="G68" s="1425">
        <v>11</v>
      </c>
      <c r="H68" s="1425">
        <v>11</v>
      </c>
      <c r="I68" s="1425">
        <v>11</v>
      </c>
      <c r="J68" s="1483">
        <v>11</v>
      </c>
      <c r="K68" s="1483">
        <v>11</v>
      </c>
      <c r="L68" s="1483" t="s">
        <v>0</v>
      </c>
      <c r="M68" s="1483" t="s">
        <v>48</v>
      </c>
      <c r="N68" s="1237" t="s">
        <v>35</v>
      </c>
      <c r="O68" s="1237" t="s">
        <v>35</v>
      </c>
      <c r="P68" s="1237" t="s">
        <v>35</v>
      </c>
      <c r="Q68" s="1237" t="s">
        <v>35</v>
      </c>
      <c r="R68" s="1237" t="s">
        <v>35</v>
      </c>
      <c r="S68" s="1238" t="s">
        <v>108</v>
      </c>
      <c r="T68" s="1238" t="s">
        <v>108</v>
      </c>
      <c r="U68" s="1237">
        <v>25</v>
      </c>
      <c r="V68" s="1237">
        <v>25</v>
      </c>
      <c r="W68" s="1493">
        <v>23</v>
      </c>
      <c r="X68" s="1493">
        <v>23</v>
      </c>
      <c r="Y68" s="1237">
        <v>25</v>
      </c>
      <c r="Z68" s="1237" t="s">
        <v>0</v>
      </c>
      <c r="AA68" s="1237"/>
      <c r="AB68" s="1237">
        <v>23</v>
      </c>
      <c r="AC68" s="1422">
        <v>23</v>
      </c>
      <c r="AD68" s="1237">
        <v>23</v>
      </c>
      <c r="AE68" s="1237">
        <v>23</v>
      </c>
      <c r="AF68" s="1237">
        <v>23</v>
      </c>
      <c r="AG68" s="1494"/>
      <c r="AH68" s="1"/>
    </row>
    <row r="69" spans="1:34" ht="18" customHeight="1" thickBot="1">
      <c r="A69" s="1486"/>
      <c r="B69" s="1486" t="s">
        <v>380</v>
      </c>
      <c r="C69" s="1237" t="s">
        <v>35</v>
      </c>
      <c r="D69" s="1237" t="s">
        <v>35</v>
      </c>
      <c r="E69" s="1237"/>
      <c r="F69" s="1237"/>
      <c r="G69" s="1487" t="s">
        <v>31</v>
      </c>
      <c r="H69" s="1487" t="s">
        <v>31</v>
      </c>
      <c r="I69" s="1487" t="s">
        <v>31</v>
      </c>
      <c r="J69" s="1487" t="s">
        <v>31</v>
      </c>
      <c r="K69" s="1487" t="s">
        <v>31</v>
      </c>
      <c r="L69" s="1487"/>
      <c r="M69" s="1487"/>
      <c r="N69" s="1487" t="s">
        <v>31</v>
      </c>
      <c r="O69" s="1487" t="s">
        <v>31</v>
      </c>
      <c r="P69" s="1487" t="s">
        <v>31</v>
      </c>
      <c r="Q69" s="1487" t="s">
        <v>31</v>
      </c>
      <c r="R69" s="1487" t="s">
        <v>31</v>
      </c>
      <c r="S69" s="1487"/>
      <c r="T69" s="1487"/>
      <c r="U69" s="1487" t="s">
        <v>31</v>
      </c>
      <c r="V69" s="1487" t="s">
        <v>31</v>
      </c>
      <c r="W69" s="1487" t="s">
        <v>31</v>
      </c>
      <c r="X69" s="1487" t="s">
        <v>31</v>
      </c>
      <c r="Y69" s="1487" t="s">
        <v>31</v>
      </c>
      <c r="Z69" s="1487"/>
      <c r="AA69" s="1487"/>
      <c r="AB69" s="1425" t="s">
        <v>356</v>
      </c>
      <c r="AC69" s="1237" t="s">
        <v>244</v>
      </c>
      <c r="AD69" s="1237" t="s">
        <v>244</v>
      </c>
      <c r="AE69" s="1495" t="s">
        <v>31</v>
      </c>
      <c r="AF69" s="1495" t="s">
        <v>31</v>
      </c>
      <c r="AG69" s="1244">
        <v>23</v>
      </c>
      <c r="AH69" s="1"/>
    </row>
    <row r="70" spans="1:34" ht="18" customHeight="1" thickBot="1">
      <c r="A70" s="1486"/>
      <c r="B70" s="1496" t="s">
        <v>385</v>
      </c>
      <c r="C70" s="817" t="s">
        <v>127</v>
      </c>
      <c r="D70" s="1485" t="s">
        <v>127</v>
      </c>
      <c r="E70" s="282" t="s">
        <v>69</v>
      </c>
      <c r="F70" s="282" t="s">
        <v>69</v>
      </c>
      <c r="G70" s="1485" t="s">
        <v>127</v>
      </c>
      <c r="H70" s="1485" t="s">
        <v>127</v>
      </c>
      <c r="I70" s="1485" t="s">
        <v>127</v>
      </c>
      <c r="J70" s="1485" t="s">
        <v>127</v>
      </c>
      <c r="K70" s="1485" t="s">
        <v>127</v>
      </c>
      <c r="L70" s="1237" t="s">
        <v>68</v>
      </c>
      <c r="M70" s="1237"/>
      <c r="N70" s="1485" t="s">
        <v>127</v>
      </c>
      <c r="O70" s="1485" t="s">
        <v>127</v>
      </c>
      <c r="P70" s="1485" t="s">
        <v>127</v>
      </c>
      <c r="Q70" s="1485" t="s">
        <v>127</v>
      </c>
      <c r="R70" s="1485" t="s">
        <v>127</v>
      </c>
      <c r="S70" s="281" t="s">
        <v>69</v>
      </c>
      <c r="T70" s="281" t="s">
        <v>69</v>
      </c>
      <c r="U70" s="1237" t="s">
        <v>35</v>
      </c>
      <c r="V70" s="1425" t="s">
        <v>35</v>
      </c>
      <c r="W70" s="1425" t="s">
        <v>35</v>
      </c>
      <c r="X70" s="1237" t="s">
        <v>35</v>
      </c>
      <c r="Y70" s="1237" t="s">
        <v>35</v>
      </c>
      <c r="Z70" s="1395" t="s">
        <v>0</v>
      </c>
      <c r="AA70" s="1321" t="s">
        <v>0</v>
      </c>
      <c r="AB70" s="1237">
        <v>89</v>
      </c>
      <c r="AC70" s="1421">
        <v>89</v>
      </c>
      <c r="AD70" s="1237">
        <v>89</v>
      </c>
      <c r="AE70" s="1237">
        <v>89</v>
      </c>
      <c r="AF70" s="1237">
        <v>89</v>
      </c>
      <c r="AG70" s="1237">
        <v>89</v>
      </c>
      <c r="AH70" s="1"/>
    </row>
    <row r="71" spans="1:34" ht="18" customHeight="1">
      <c r="A71" s="1341"/>
      <c r="B71" s="1497" t="s">
        <v>402</v>
      </c>
      <c r="C71" s="1237">
        <v>69</v>
      </c>
      <c r="D71" s="1237">
        <v>69</v>
      </c>
      <c r="E71" s="1237"/>
      <c r="F71" s="1483"/>
      <c r="G71" s="1237" t="s">
        <v>112</v>
      </c>
      <c r="H71" s="1237" t="s">
        <v>112</v>
      </c>
      <c r="I71" s="1237" t="s">
        <v>112</v>
      </c>
      <c r="J71" s="1237" t="s">
        <v>112</v>
      </c>
      <c r="K71" s="1237" t="s">
        <v>112</v>
      </c>
      <c r="L71" s="1237"/>
      <c r="M71" s="1237"/>
      <c r="N71" s="1237" t="s">
        <v>112</v>
      </c>
      <c r="O71" s="1237" t="s">
        <v>112</v>
      </c>
      <c r="P71" s="1237" t="s">
        <v>112</v>
      </c>
      <c r="Q71" s="1237" t="s">
        <v>112</v>
      </c>
      <c r="R71" s="1237" t="s">
        <v>112</v>
      </c>
      <c r="S71" s="1237" t="s">
        <v>0</v>
      </c>
      <c r="T71" s="1237"/>
      <c r="U71" s="1330">
        <v>4</v>
      </c>
      <c r="V71" s="1422">
        <v>4</v>
      </c>
      <c r="W71" s="1237">
        <v>4</v>
      </c>
      <c r="X71" s="1237">
        <v>4</v>
      </c>
      <c r="Y71" s="1237">
        <v>4</v>
      </c>
      <c r="Z71" s="1425"/>
      <c r="AA71" s="1425"/>
      <c r="AB71" s="1237">
        <v>3</v>
      </c>
      <c r="AC71" s="1237">
        <v>3</v>
      </c>
      <c r="AD71" s="1237">
        <v>3</v>
      </c>
      <c r="AE71" s="1237">
        <v>3</v>
      </c>
      <c r="AF71" s="1422">
        <v>3</v>
      </c>
      <c r="AG71" s="1244"/>
      <c r="AH71" s="1"/>
    </row>
    <row r="72" spans="1:34" ht="18" customHeight="1">
      <c r="A72" s="1341"/>
      <c r="B72" s="1498" t="s">
        <v>403</v>
      </c>
      <c r="C72" s="1491" t="s">
        <v>35</v>
      </c>
      <c r="D72" s="1262" t="s">
        <v>110</v>
      </c>
      <c r="E72" s="1237"/>
      <c r="F72" s="1483"/>
      <c r="G72" s="1319">
        <v>25</v>
      </c>
      <c r="H72" s="1319">
        <v>25</v>
      </c>
      <c r="I72" s="1237">
        <v>25</v>
      </c>
      <c r="J72" s="1237">
        <v>25</v>
      </c>
      <c r="K72" s="1237">
        <v>25</v>
      </c>
      <c r="L72" s="1237">
        <v>26</v>
      </c>
      <c r="M72" s="1237"/>
      <c r="N72" s="1241" t="s">
        <v>110</v>
      </c>
      <c r="O72" s="1490" t="s">
        <v>110</v>
      </c>
      <c r="P72" s="1490" t="s">
        <v>110</v>
      </c>
      <c r="Q72" s="1238" t="s">
        <v>110</v>
      </c>
      <c r="R72" s="1238" t="s">
        <v>110</v>
      </c>
      <c r="S72" s="1237"/>
      <c r="T72" s="1237"/>
      <c r="U72" s="1237">
        <v>79</v>
      </c>
      <c r="V72" s="1237">
        <v>79</v>
      </c>
      <c r="W72" s="1237">
        <v>79</v>
      </c>
      <c r="X72" s="1237">
        <v>79</v>
      </c>
      <c r="Y72" s="1489">
        <v>79</v>
      </c>
      <c r="Z72" s="1425"/>
      <c r="AA72" s="1425"/>
      <c r="AB72" s="1237">
        <v>25</v>
      </c>
      <c r="AC72" s="1237">
        <v>25</v>
      </c>
      <c r="AD72" s="1237">
        <v>25</v>
      </c>
      <c r="AE72" s="1237">
        <v>25</v>
      </c>
      <c r="AF72" s="1237">
        <v>25</v>
      </c>
      <c r="AG72" s="1244"/>
      <c r="AH72" s="1"/>
    </row>
    <row r="73" spans="1:34" ht="18" customHeight="1">
      <c r="A73" s="1341"/>
      <c r="B73" s="1498" t="s">
        <v>0</v>
      </c>
      <c r="C73" s="1483"/>
      <c r="D73" s="1483"/>
      <c r="E73" s="1483"/>
      <c r="F73" s="1483"/>
      <c r="G73" s="1483"/>
      <c r="H73" s="1483"/>
      <c r="I73" s="1483"/>
      <c r="J73" s="1483"/>
      <c r="K73" s="1483"/>
      <c r="L73" s="1483"/>
      <c r="M73" s="1483"/>
      <c r="N73" s="1483"/>
      <c r="O73" s="1483"/>
      <c r="P73" s="1483"/>
      <c r="Q73" s="1483"/>
      <c r="R73" s="1483"/>
      <c r="S73" s="1483"/>
      <c r="T73" s="1483"/>
      <c r="U73" s="1483"/>
      <c r="V73" s="1483"/>
      <c r="W73" s="1483"/>
      <c r="X73" s="1483"/>
      <c r="Y73" s="1483"/>
      <c r="Z73" s="1483"/>
      <c r="AA73" s="1483"/>
      <c r="AB73" s="1483"/>
      <c r="AC73" s="1483"/>
      <c r="AD73" s="1483"/>
      <c r="AE73" s="1483"/>
      <c r="AF73" s="1483"/>
      <c r="AG73" s="1483"/>
      <c r="AH73" s="1"/>
    </row>
    <row r="74" spans="1:34" ht="18" customHeight="1">
      <c r="A74" s="1341"/>
      <c r="B74" s="1498" t="s">
        <v>0</v>
      </c>
      <c r="C74" s="1341" t="s">
        <v>0</v>
      </c>
      <c r="D74" s="1237"/>
      <c r="E74" s="1237"/>
      <c r="F74" s="1237"/>
      <c r="G74" s="1237"/>
      <c r="H74" s="1237"/>
      <c r="I74" s="1237"/>
      <c r="J74" s="1237"/>
      <c r="K74" s="1237"/>
      <c r="L74" s="1237"/>
      <c r="M74" s="1237"/>
      <c r="N74" s="1237"/>
      <c r="O74" s="1237"/>
      <c r="P74" s="1237"/>
      <c r="Q74" s="1237"/>
      <c r="R74" s="1237"/>
      <c r="S74" s="1237"/>
      <c r="T74" s="1237"/>
      <c r="U74" s="1237"/>
      <c r="V74" s="1237"/>
      <c r="W74" s="1237"/>
      <c r="X74" s="1237"/>
      <c r="Y74" s="1237"/>
      <c r="Z74" s="1237"/>
      <c r="AA74" s="1237"/>
      <c r="AB74" s="1237"/>
      <c r="AC74" s="1237"/>
      <c r="AD74" s="1237"/>
      <c r="AE74" s="1237"/>
      <c r="AF74" s="1237"/>
      <c r="AG74" s="1237"/>
      <c r="AH74" s="1"/>
    </row>
    <row r="75" spans="1:34" ht="18" customHeight="1" thickBot="1">
      <c r="A75" s="423"/>
      <c r="B75" s="1499"/>
      <c r="C75" s="1499"/>
      <c r="D75" s="1499"/>
      <c r="E75" s="1499"/>
      <c r="F75" s="1499"/>
      <c r="G75" s="1499"/>
      <c r="H75" s="1499"/>
      <c r="I75" s="1499"/>
      <c r="J75" s="1499"/>
      <c r="K75" s="1499"/>
      <c r="L75" s="1499"/>
      <c r="M75" s="1499"/>
      <c r="N75" s="1499"/>
      <c r="O75" s="1499"/>
      <c r="P75" s="1499"/>
      <c r="Q75" s="1499"/>
      <c r="R75" s="1499"/>
      <c r="S75" s="1499"/>
      <c r="T75" s="1499"/>
      <c r="U75" s="1499"/>
      <c r="V75" s="1499"/>
      <c r="W75" s="1499"/>
      <c r="X75" s="1499"/>
      <c r="Y75" s="1499"/>
      <c r="Z75" s="1499"/>
      <c r="AA75" s="1499"/>
      <c r="AB75" s="1499"/>
      <c r="AC75" s="1499"/>
      <c r="AD75" s="1499"/>
      <c r="AE75" s="1499"/>
      <c r="AF75" s="1499"/>
      <c r="AG75" s="1500"/>
      <c r="AH75" s="1"/>
    </row>
    <row r="76" spans="1:34" ht="18" customHeight="1" thickBot="1">
      <c r="A76" s="473"/>
      <c r="B76" s="475" t="s">
        <v>138</v>
      </c>
      <c r="C76" s="1501">
        <v>1</v>
      </c>
      <c r="D76" s="1501">
        <v>2</v>
      </c>
      <c r="E76" s="1502">
        <v>3</v>
      </c>
      <c r="F76" s="1502">
        <v>4</v>
      </c>
      <c r="G76" s="1501">
        <v>5</v>
      </c>
      <c r="H76" s="1501">
        <v>6</v>
      </c>
      <c r="I76" s="1501">
        <v>7</v>
      </c>
      <c r="J76" s="1501">
        <v>8</v>
      </c>
      <c r="K76" s="1501">
        <v>9</v>
      </c>
      <c r="L76" s="1502">
        <v>10</v>
      </c>
      <c r="M76" s="1502">
        <v>11</v>
      </c>
      <c r="N76" s="1501">
        <v>12</v>
      </c>
      <c r="O76" s="1501">
        <v>13</v>
      </c>
      <c r="P76" s="1501">
        <v>14</v>
      </c>
      <c r="Q76" s="1501">
        <v>15</v>
      </c>
      <c r="R76" s="1501">
        <v>16</v>
      </c>
      <c r="S76" s="1502">
        <v>17</v>
      </c>
      <c r="T76" s="1502">
        <v>18</v>
      </c>
      <c r="U76" s="1501">
        <v>19</v>
      </c>
      <c r="V76" s="1501">
        <v>20</v>
      </c>
      <c r="W76" s="1501">
        <v>21</v>
      </c>
      <c r="X76" s="1501">
        <v>22</v>
      </c>
      <c r="Y76" s="1501">
        <v>23</v>
      </c>
      <c r="Z76" s="1502">
        <v>24</v>
      </c>
      <c r="AA76" s="1502">
        <v>25</v>
      </c>
      <c r="AB76" s="1501">
        <v>26</v>
      </c>
      <c r="AC76" s="1501">
        <v>27</v>
      </c>
      <c r="AD76" s="1501">
        <v>28</v>
      </c>
      <c r="AE76" s="1501">
        <v>29</v>
      </c>
      <c r="AF76" s="1501">
        <v>30</v>
      </c>
      <c r="AG76" s="1503">
        <v>31</v>
      </c>
      <c r="AH76" s="1"/>
    </row>
    <row r="77" spans="1:34" ht="18" customHeight="1" thickBot="1">
      <c r="A77" s="816"/>
      <c r="B77" s="1124" t="s">
        <v>389</v>
      </c>
      <c r="C77" s="1053">
        <v>7</v>
      </c>
      <c r="D77" s="1053">
        <v>7</v>
      </c>
      <c r="E77" s="999" t="s">
        <v>0</v>
      </c>
      <c r="F77" s="1504"/>
      <c r="G77" s="1505">
        <v>79</v>
      </c>
      <c r="H77" s="1505">
        <v>79</v>
      </c>
      <c r="I77" s="1505">
        <v>79</v>
      </c>
      <c r="J77" s="1505">
        <v>79</v>
      </c>
      <c r="K77" s="1505">
        <v>79</v>
      </c>
      <c r="L77" s="1505"/>
      <c r="M77" s="1505"/>
      <c r="N77" s="1505"/>
      <c r="O77" s="1505"/>
      <c r="P77" s="1505"/>
      <c r="Q77" s="1505"/>
      <c r="R77" s="1505"/>
      <c r="S77" s="1505"/>
      <c r="T77" s="1505"/>
      <c r="U77" s="476">
        <v>3</v>
      </c>
      <c r="V77" s="476">
        <v>3</v>
      </c>
      <c r="W77" s="476">
        <v>1</v>
      </c>
      <c r="X77" s="476" t="s">
        <v>35</v>
      </c>
      <c r="Y77" s="476" t="s">
        <v>35</v>
      </c>
      <c r="Z77" s="1506" t="s">
        <v>67</v>
      </c>
      <c r="AA77" s="1506" t="s">
        <v>67</v>
      </c>
      <c r="AB77" s="1504">
        <v>7</v>
      </c>
      <c r="AC77" s="794">
        <v>7</v>
      </c>
      <c r="AD77" s="794" t="s">
        <v>357</v>
      </c>
      <c r="AE77" s="1504">
        <v>7</v>
      </c>
      <c r="AF77" s="1504">
        <v>7</v>
      </c>
      <c r="AG77" s="1507"/>
      <c r="AH77" s="1"/>
    </row>
    <row r="78" spans="1:34" ht="18" customHeight="1" thickBot="1">
      <c r="A78" s="1486"/>
      <c r="B78" s="1508" t="s">
        <v>386</v>
      </c>
      <c r="C78" s="1483" t="s">
        <v>35</v>
      </c>
      <c r="D78" s="1483" t="s">
        <v>35</v>
      </c>
      <c r="E78" s="1237"/>
      <c r="F78" s="1483"/>
      <c r="G78" s="1425">
        <v>23</v>
      </c>
      <c r="H78" s="1237">
        <v>23</v>
      </c>
      <c r="I78" s="1483">
        <v>23</v>
      </c>
      <c r="J78" s="1425">
        <v>23</v>
      </c>
      <c r="K78" s="1237">
        <v>23</v>
      </c>
      <c r="L78" s="1483">
        <v>23</v>
      </c>
      <c r="M78" s="1425">
        <v>23</v>
      </c>
      <c r="N78" s="1237" t="s">
        <v>35</v>
      </c>
      <c r="O78" s="1237" t="s">
        <v>35</v>
      </c>
      <c r="P78" s="1237" t="s">
        <v>35</v>
      </c>
      <c r="Q78" s="1237" t="s">
        <v>35</v>
      </c>
      <c r="R78" s="1237" t="s">
        <v>35</v>
      </c>
      <c r="S78" s="1237"/>
      <c r="T78" s="1237"/>
      <c r="U78" s="1237">
        <v>21</v>
      </c>
      <c r="V78" s="1237">
        <v>21</v>
      </c>
      <c r="W78" s="1237">
        <v>21</v>
      </c>
      <c r="X78" s="1237">
        <v>21</v>
      </c>
      <c r="Y78" s="1237">
        <v>21</v>
      </c>
      <c r="Z78" s="1237">
        <v>21</v>
      </c>
      <c r="AA78" s="1237">
        <v>21</v>
      </c>
      <c r="AB78" s="1237" t="s">
        <v>35</v>
      </c>
      <c r="AC78" s="1237" t="s">
        <v>35</v>
      </c>
      <c r="AD78" s="1237" t="s">
        <v>35</v>
      </c>
      <c r="AE78" s="1237" t="s">
        <v>35</v>
      </c>
      <c r="AF78" s="1237" t="s">
        <v>35</v>
      </c>
      <c r="AG78" s="1509"/>
      <c r="AH78" s="1"/>
    </row>
    <row r="79" spans="1:34" ht="18" customHeight="1">
      <c r="A79" s="1510"/>
      <c r="B79" s="468" t="s">
        <v>404</v>
      </c>
      <c r="C79" s="1511" t="s">
        <v>35</v>
      </c>
      <c r="D79" s="1511" t="s">
        <v>35</v>
      </c>
      <c r="E79" s="1512"/>
      <c r="F79" s="1512"/>
      <c r="G79" s="1428" t="s">
        <v>31</v>
      </c>
      <c r="H79" s="1428" t="s">
        <v>31</v>
      </c>
      <c r="I79" s="1428" t="s">
        <v>31</v>
      </c>
      <c r="J79" s="1428" t="s">
        <v>31</v>
      </c>
      <c r="K79" s="1428" t="s">
        <v>31</v>
      </c>
      <c r="L79" s="1237" t="s">
        <v>0</v>
      </c>
      <c r="M79" s="1237" t="s">
        <v>0</v>
      </c>
      <c r="N79" s="472">
        <v>3</v>
      </c>
      <c r="O79" s="472">
        <v>3</v>
      </c>
      <c r="P79" s="472">
        <v>3</v>
      </c>
      <c r="Q79" s="471">
        <v>3</v>
      </c>
      <c r="R79" s="471">
        <v>3</v>
      </c>
      <c r="S79" s="476" t="s">
        <v>0</v>
      </c>
      <c r="T79" s="1513"/>
      <c r="U79" s="1513">
        <v>7</v>
      </c>
      <c r="V79" s="1504">
        <v>7</v>
      </c>
      <c r="W79" s="1504">
        <v>7</v>
      </c>
      <c r="X79" s="1504">
        <v>7</v>
      </c>
      <c r="Y79" s="1504">
        <v>7</v>
      </c>
      <c r="Z79" s="1237"/>
      <c r="AA79" s="1237"/>
      <c r="AB79" s="1422" t="s">
        <v>31</v>
      </c>
      <c r="AC79" s="1514" t="s">
        <v>107</v>
      </c>
      <c r="AD79" s="1485">
        <v>7</v>
      </c>
      <c r="AE79" s="1515">
        <v>23</v>
      </c>
      <c r="AF79" s="1515">
        <v>23</v>
      </c>
      <c r="AG79" s="1516" t="s">
        <v>72</v>
      </c>
      <c r="AH79" s="1"/>
    </row>
    <row r="80" spans="1:34" ht="18" customHeight="1" thickBot="1">
      <c r="A80" s="401"/>
      <c r="B80" s="402" t="s">
        <v>405</v>
      </c>
      <c r="C80" s="418" t="s">
        <v>35</v>
      </c>
      <c r="D80" s="424" t="s">
        <v>35</v>
      </c>
      <c r="E80" s="424"/>
      <c r="F80" s="424"/>
      <c r="G80" s="424" t="s">
        <v>110</v>
      </c>
      <c r="H80" s="424" t="s">
        <v>110</v>
      </c>
      <c r="I80" s="424" t="s">
        <v>110</v>
      </c>
      <c r="J80" s="424" t="s">
        <v>110</v>
      </c>
      <c r="K80" s="424" t="s">
        <v>110</v>
      </c>
      <c r="L80" s="424" t="s">
        <v>45</v>
      </c>
      <c r="M80" s="403" t="s">
        <v>108</v>
      </c>
      <c r="N80" s="1237" t="s">
        <v>35</v>
      </c>
      <c r="O80" s="1237" t="s">
        <v>35</v>
      </c>
      <c r="P80" s="1237" t="s">
        <v>35</v>
      </c>
      <c r="Q80" s="1237">
        <v>3</v>
      </c>
      <c r="R80" s="1237">
        <v>69</v>
      </c>
      <c r="S80" s="408"/>
      <c r="T80" s="408"/>
      <c r="U80" s="425" t="s">
        <v>107</v>
      </c>
      <c r="V80" s="423">
        <v>3</v>
      </c>
      <c r="W80" s="423">
        <v>3</v>
      </c>
      <c r="X80" s="423">
        <v>3</v>
      </c>
      <c r="Y80" s="423">
        <v>3</v>
      </c>
      <c r="Z80" s="408"/>
      <c r="AA80" s="408"/>
      <c r="AB80" s="424" t="s">
        <v>110</v>
      </c>
      <c r="AC80" s="424" t="s">
        <v>110</v>
      </c>
      <c r="AD80" s="424" t="s">
        <v>110</v>
      </c>
      <c r="AE80" s="424" t="s">
        <v>110</v>
      </c>
      <c r="AF80" s="424" t="s">
        <v>110</v>
      </c>
      <c r="AG80" s="424" t="s">
        <v>108</v>
      </c>
      <c r="AH80" s="1"/>
    </row>
    <row r="81" spans="1:35" ht="18" customHeight="1" thickBot="1">
      <c r="A81" s="44"/>
      <c r="B81" s="45" t="s">
        <v>147</v>
      </c>
      <c r="C81" s="46"/>
      <c r="D81" s="47"/>
      <c r="E81" s="47"/>
      <c r="F81" s="47"/>
      <c r="G81" s="47" t="s">
        <v>0</v>
      </c>
      <c r="H81" s="47" t="s">
        <v>0</v>
      </c>
      <c r="I81" s="47" t="s">
        <v>0</v>
      </c>
      <c r="J81" s="47" t="s">
        <v>0</v>
      </c>
      <c r="K81" s="47" t="s">
        <v>0</v>
      </c>
      <c r="L81" s="47"/>
      <c r="M81" s="47"/>
      <c r="N81" s="47"/>
      <c r="O81" s="47"/>
      <c r="P81" s="46"/>
      <c r="Q81" s="46"/>
      <c r="R81" s="46"/>
      <c r="S81" s="48"/>
      <c r="T81" s="48"/>
      <c r="U81" s="48"/>
      <c r="V81" s="49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50"/>
      <c r="AH81" s="1"/>
    </row>
    <row r="82" spans="1:35" ht="18" customHeight="1" thickBot="1">
      <c r="A82" s="51"/>
      <c r="B82" s="52" t="s">
        <v>148</v>
      </c>
      <c r="C82" s="276" t="s">
        <v>406</v>
      </c>
      <c r="D82" s="276" t="s">
        <v>35</v>
      </c>
      <c r="E82" s="729" t="s">
        <v>69</v>
      </c>
      <c r="F82" s="729" t="s">
        <v>69</v>
      </c>
      <c r="G82" s="472" t="s">
        <v>107</v>
      </c>
      <c r="H82" s="826" t="s">
        <v>107</v>
      </c>
      <c r="I82" s="472" t="s">
        <v>107</v>
      </c>
      <c r="J82" s="472" t="s">
        <v>107</v>
      </c>
      <c r="K82" s="826" t="s">
        <v>107</v>
      </c>
      <c r="L82" s="132"/>
      <c r="M82" s="132"/>
      <c r="N82" s="1237" t="s">
        <v>107</v>
      </c>
      <c r="O82" s="1237" t="s">
        <v>107</v>
      </c>
      <c r="P82" s="1425" t="s">
        <v>107</v>
      </c>
      <c r="Q82" s="1237" t="s">
        <v>107</v>
      </c>
      <c r="R82" s="1237" t="s">
        <v>107</v>
      </c>
      <c r="S82" s="132"/>
      <c r="T82" s="132"/>
      <c r="U82" s="132" t="s">
        <v>107</v>
      </c>
      <c r="V82" s="132" t="s">
        <v>107</v>
      </c>
      <c r="W82" s="132" t="s">
        <v>107</v>
      </c>
      <c r="X82" s="132" t="s">
        <v>107</v>
      </c>
      <c r="Y82" s="132" t="s">
        <v>107</v>
      </c>
      <c r="Z82" s="132"/>
      <c r="AA82" s="132"/>
      <c r="AB82" s="132" t="s">
        <v>31</v>
      </c>
      <c r="AC82" s="132" t="s">
        <v>31</v>
      </c>
      <c r="AD82" s="132" t="s">
        <v>31</v>
      </c>
      <c r="AE82" s="132" t="s">
        <v>31</v>
      </c>
      <c r="AF82" s="132" t="s">
        <v>31</v>
      </c>
      <c r="AG82" s="53"/>
      <c r="AH82" s="1"/>
    </row>
    <row r="83" spans="1:35" ht="18" customHeight="1">
      <c r="A83" s="37" t="s">
        <v>149</v>
      </c>
      <c r="AH83" s="1"/>
    </row>
    <row r="84" spans="1:35" ht="18" customHeight="1" thickBot="1">
      <c r="A84" s="1479"/>
      <c r="B84" s="1456" t="s">
        <v>29</v>
      </c>
      <c r="C84" s="1395">
        <v>1</v>
      </c>
      <c r="D84" s="1395">
        <v>2</v>
      </c>
      <c r="E84" s="1396">
        <v>3</v>
      </c>
      <c r="F84" s="1396">
        <v>4</v>
      </c>
      <c r="G84" s="1395">
        <v>5</v>
      </c>
      <c r="H84" s="1395">
        <v>6</v>
      </c>
      <c r="I84" s="1395">
        <v>7</v>
      </c>
      <c r="J84" s="1395">
        <v>8</v>
      </c>
      <c r="K84" s="1395">
        <v>9</v>
      </c>
      <c r="L84" s="1396">
        <v>10</v>
      </c>
      <c r="M84" s="1396">
        <v>11</v>
      </c>
      <c r="N84" s="1395">
        <v>12</v>
      </c>
      <c r="O84" s="1395">
        <v>13</v>
      </c>
      <c r="P84" s="1395">
        <v>14</v>
      </c>
      <c r="Q84" s="1395">
        <v>15</v>
      </c>
      <c r="R84" s="1395">
        <v>16</v>
      </c>
      <c r="S84" s="1396">
        <v>17</v>
      </c>
      <c r="T84" s="1396">
        <v>18</v>
      </c>
      <c r="U84" s="1395">
        <v>19</v>
      </c>
      <c r="V84" s="1395">
        <v>20</v>
      </c>
      <c r="W84" s="1395">
        <v>21</v>
      </c>
      <c r="X84" s="1395">
        <v>22</v>
      </c>
      <c r="Y84" s="1395">
        <v>23</v>
      </c>
      <c r="Z84" s="1396">
        <v>24</v>
      </c>
      <c r="AA84" s="1396">
        <v>25</v>
      </c>
      <c r="AB84" s="1395">
        <v>26</v>
      </c>
      <c r="AC84" s="1395">
        <v>27</v>
      </c>
      <c r="AD84" s="1395">
        <v>28</v>
      </c>
      <c r="AE84" s="1395">
        <v>29</v>
      </c>
      <c r="AF84" s="1395">
        <v>30</v>
      </c>
      <c r="AG84" s="1397">
        <v>31</v>
      </c>
      <c r="AH84" s="1"/>
    </row>
    <row r="85" spans="1:35" ht="18" customHeight="1" thickBot="1">
      <c r="A85" s="824"/>
      <c r="B85" s="825" t="s">
        <v>150</v>
      </c>
      <c r="C85" s="826"/>
      <c r="D85" s="750"/>
      <c r="E85" s="826"/>
      <c r="F85" s="826"/>
      <c r="G85" s="826"/>
      <c r="H85" s="826"/>
      <c r="I85" s="826"/>
      <c r="J85" s="826"/>
      <c r="K85" s="826"/>
      <c r="L85" s="826"/>
      <c r="M85" s="826"/>
      <c r="N85" s="826"/>
      <c r="O85" s="826"/>
      <c r="P85" s="826"/>
      <c r="Q85" s="826"/>
      <c r="R85" s="826"/>
      <c r="S85" s="826"/>
      <c r="T85" s="826"/>
      <c r="U85" s="826"/>
      <c r="V85" s="826"/>
      <c r="W85" s="826"/>
      <c r="X85" s="826"/>
      <c r="Y85" s="826"/>
      <c r="Z85" s="826"/>
      <c r="AA85" s="826"/>
      <c r="AB85" s="826"/>
      <c r="AC85" s="826"/>
      <c r="AD85" s="826"/>
      <c r="AE85" s="826"/>
      <c r="AF85" s="826"/>
      <c r="AG85" s="827"/>
      <c r="AH85" s="1"/>
    </row>
    <row r="86" spans="1:35" ht="18" customHeight="1">
      <c r="A86" s="1517">
        <v>1</v>
      </c>
      <c r="B86" s="954"/>
      <c r="C86" s="829"/>
      <c r="D86" s="829"/>
      <c r="E86" s="750"/>
      <c r="F86" s="750"/>
      <c r="G86" s="829"/>
      <c r="H86" s="829"/>
      <c r="I86" s="829"/>
      <c r="J86" s="829"/>
      <c r="K86" s="829"/>
      <c r="L86" s="750"/>
      <c r="M86" s="750"/>
      <c r="N86" s="829"/>
      <c r="O86" s="829"/>
      <c r="P86" s="829"/>
      <c r="Q86" s="829"/>
      <c r="R86" s="829"/>
      <c r="S86" s="750"/>
      <c r="T86" s="750"/>
      <c r="U86" s="829"/>
      <c r="V86" s="829"/>
      <c r="W86" s="829"/>
      <c r="X86" s="829"/>
      <c r="Y86" s="829"/>
      <c r="Z86" s="829"/>
      <c r="AA86" s="829"/>
      <c r="AB86" s="829"/>
      <c r="AC86" s="829"/>
      <c r="AD86" s="829"/>
      <c r="AE86" s="829"/>
      <c r="AF86" s="829"/>
      <c r="AG86" s="1518"/>
      <c r="AH86" s="1"/>
    </row>
    <row r="87" spans="1:35" ht="18" customHeight="1">
      <c r="A87" s="1517">
        <v>2</v>
      </c>
      <c r="B87" s="1519"/>
      <c r="C87" s="1311"/>
      <c r="D87" s="1311"/>
      <c r="E87" s="1311"/>
      <c r="F87" s="1311"/>
      <c r="G87" s="1311"/>
      <c r="H87" s="1311"/>
      <c r="I87" s="1311"/>
      <c r="J87" s="1311"/>
      <c r="K87" s="1311"/>
      <c r="L87" s="1311"/>
      <c r="M87" s="1311"/>
      <c r="N87" s="1311"/>
      <c r="O87" s="1311"/>
      <c r="P87" s="1311"/>
      <c r="Q87" s="1311"/>
      <c r="R87" s="1520"/>
      <c r="S87" s="1520"/>
      <c r="T87" s="1520"/>
      <c r="U87" s="1520"/>
      <c r="V87" s="1520"/>
      <c r="W87" s="1311"/>
      <c r="X87" s="1311"/>
      <c r="Y87" s="1520"/>
      <c r="Z87" s="1520"/>
      <c r="AA87" s="1520"/>
      <c r="AB87" s="1520"/>
      <c r="AC87" s="1520"/>
      <c r="AD87" s="1311"/>
      <c r="AE87" s="1311"/>
      <c r="AF87" s="1520"/>
      <c r="AG87" s="1521"/>
      <c r="AH87" s="1"/>
    </row>
    <row r="88" spans="1:35" ht="18" customHeight="1">
      <c r="A88" s="1517">
        <v>3</v>
      </c>
      <c r="B88" s="1522"/>
      <c r="C88" s="1523"/>
      <c r="D88" s="1523"/>
      <c r="E88" s="1523"/>
      <c r="F88" s="1523"/>
      <c r="G88" s="1523"/>
      <c r="H88" s="1523"/>
      <c r="I88" s="1523"/>
      <c r="J88" s="1523"/>
      <c r="K88" s="1523"/>
      <c r="L88" s="1523"/>
      <c r="M88" s="1523"/>
      <c r="N88" s="1523"/>
      <c r="O88" s="1523"/>
      <c r="P88" s="1523"/>
      <c r="Q88" s="1523"/>
      <c r="R88" s="1523"/>
      <c r="S88" s="1523"/>
      <c r="T88" s="1523"/>
      <c r="U88" s="1523"/>
      <c r="V88" s="1523"/>
      <c r="W88" s="1523"/>
      <c r="X88" s="1523"/>
      <c r="Y88" s="1523"/>
      <c r="Z88" s="1523"/>
      <c r="AA88" s="1523"/>
      <c r="AB88" s="1523"/>
      <c r="AC88" s="1523"/>
      <c r="AD88" s="1523"/>
      <c r="AE88" s="1523"/>
      <c r="AF88" s="1523"/>
      <c r="AG88" s="1524"/>
      <c r="AH88" s="1"/>
    </row>
    <row r="89" spans="1:35" ht="18" customHeight="1" thickBot="1">
      <c r="A89" s="1517">
        <v>4</v>
      </c>
      <c r="B89" s="1464"/>
      <c r="C89" s="1395"/>
      <c r="D89" s="1395"/>
      <c r="E89" s="1395"/>
      <c r="F89" s="1395"/>
      <c r="G89" s="1395"/>
      <c r="H89" s="1395"/>
      <c r="I89" s="1395"/>
      <c r="J89" s="1395"/>
      <c r="K89" s="1395"/>
      <c r="L89" s="1395"/>
      <c r="M89" s="1395"/>
      <c r="N89" s="1395"/>
      <c r="O89" s="1395"/>
      <c r="P89" s="1395"/>
      <c r="Q89" s="1395"/>
      <c r="R89" s="1525"/>
      <c r="S89" s="1525"/>
      <c r="T89" s="1525"/>
      <c r="U89" s="1395"/>
      <c r="V89" s="1395"/>
      <c r="W89" s="1395"/>
      <c r="X89" s="1395"/>
      <c r="Y89" s="1395"/>
      <c r="Z89" s="1395"/>
      <c r="AA89" s="1395"/>
      <c r="AB89" s="1395"/>
      <c r="AC89" s="1395"/>
      <c r="AD89" s="1395"/>
      <c r="AE89" s="1395"/>
      <c r="AF89" s="1395"/>
      <c r="AG89" s="1526"/>
      <c r="AH89" s="1"/>
    </row>
    <row r="90" spans="1:35" ht="18" customHeight="1">
      <c r="A90" s="54"/>
      <c r="B90" s="55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56"/>
      <c r="S90" s="56"/>
      <c r="T90" s="56"/>
      <c r="U90" s="30"/>
      <c r="V90" s="30"/>
      <c r="W90" s="30"/>
      <c r="X90" s="30"/>
      <c r="Y90" s="30"/>
      <c r="Z90" s="30"/>
      <c r="AA90" s="30"/>
      <c r="AB90" s="30"/>
      <c r="AC90" s="30"/>
      <c r="AD90" s="30"/>
      <c r="AE90" s="30"/>
      <c r="AF90" s="30"/>
      <c r="AG90" s="30"/>
      <c r="AH90" s="1"/>
    </row>
    <row r="91" spans="1:35" ht="18" customHeight="1" thickBot="1">
      <c r="A91" s="57" t="s">
        <v>154</v>
      </c>
      <c r="B91" s="58"/>
      <c r="C91" s="58"/>
      <c r="D91" s="58"/>
      <c r="E91" s="58"/>
      <c r="F91" s="58"/>
      <c r="G91" s="59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8"/>
      <c r="AI91" s="58"/>
    </row>
    <row r="92" spans="1:35" ht="18" customHeight="1" thickBot="1">
      <c r="A92" s="60"/>
      <c r="B92" s="836" t="s">
        <v>155</v>
      </c>
      <c r="C92" s="837"/>
      <c r="D92" s="838" t="s">
        <v>87</v>
      </c>
      <c r="E92" s="839"/>
      <c r="F92" s="840"/>
      <c r="G92" s="837"/>
      <c r="H92" s="838" t="s">
        <v>88</v>
      </c>
      <c r="I92" s="839"/>
      <c r="J92" s="840"/>
      <c r="K92" s="837"/>
      <c r="L92" s="838" t="s">
        <v>89</v>
      </c>
      <c r="M92" s="839"/>
      <c r="N92" s="840"/>
      <c r="O92" s="837"/>
      <c r="P92" s="838" t="s">
        <v>90</v>
      </c>
      <c r="Q92" s="839"/>
      <c r="R92" s="840"/>
      <c r="S92" s="841" t="s">
        <v>156</v>
      </c>
      <c r="T92" s="838"/>
      <c r="U92" s="839"/>
      <c r="V92" s="840"/>
      <c r="W92" s="837" t="s">
        <v>108</v>
      </c>
      <c r="X92" s="838" t="s">
        <v>157</v>
      </c>
      <c r="Y92" s="839"/>
      <c r="Z92" s="840"/>
      <c r="AA92" s="837" t="s">
        <v>108</v>
      </c>
      <c r="AB92" s="838" t="s">
        <v>93</v>
      </c>
      <c r="AC92" s="839"/>
      <c r="AD92" s="839"/>
      <c r="AE92" s="842" t="s">
        <v>158</v>
      </c>
      <c r="AF92" s="839"/>
      <c r="AG92" s="839"/>
      <c r="AH92" s="839"/>
      <c r="AI92" s="843"/>
    </row>
    <row r="93" spans="1:35" ht="18" customHeight="1">
      <c r="A93" s="60"/>
      <c r="B93" s="844" t="s">
        <v>159</v>
      </c>
      <c r="C93" s="845" t="s">
        <v>160</v>
      </c>
      <c r="D93" s="839"/>
      <c r="E93" s="846"/>
      <c r="F93" s="847"/>
      <c r="G93" s="845" t="s">
        <v>160</v>
      </c>
      <c r="H93" s="846"/>
      <c r="I93" s="846"/>
      <c r="J93" s="847"/>
      <c r="K93" s="848" t="s">
        <v>160</v>
      </c>
      <c r="L93" s="839"/>
      <c r="M93" s="839"/>
      <c r="N93" s="849"/>
      <c r="O93" s="848" t="s">
        <v>161</v>
      </c>
      <c r="P93" s="839"/>
      <c r="Q93" s="846"/>
      <c r="R93" s="847"/>
      <c r="S93" s="845" t="s">
        <v>162</v>
      </c>
      <c r="T93" s="846"/>
      <c r="U93" s="846"/>
      <c r="V93" s="850"/>
      <c r="W93" s="851"/>
      <c r="X93" s="852"/>
      <c r="Y93" s="852"/>
      <c r="Z93" s="853"/>
      <c r="AA93" s="850"/>
      <c r="AB93" s="846"/>
      <c r="AC93" s="846"/>
      <c r="AD93" s="850"/>
      <c r="AE93" s="854">
        <v>37</v>
      </c>
      <c r="AF93" s="839"/>
      <c r="AG93" s="846"/>
      <c r="AH93" s="850"/>
      <c r="AI93" s="855"/>
    </row>
    <row r="94" spans="1:35" ht="18" customHeight="1">
      <c r="A94" s="60"/>
      <c r="B94" s="1527" t="s">
        <v>163</v>
      </c>
      <c r="C94" s="1528" t="s">
        <v>156</v>
      </c>
      <c r="D94" s="1529"/>
      <c r="E94" s="1529"/>
      <c r="F94" s="1530"/>
      <c r="G94" s="1528" t="s">
        <v>164</v>
      </c>
      <c r="H94" s="1529"/>
      <c r="I94" s="1529"/>
      <c r="J94" s="1530"/>
      <c r="K94" s="1528" t="s">
        <v>165</v>
      </c>
      <c r="L94" s="1531" t="s">
        <v>166</v>
      </c>
      <c r="M94" s="1529"/>
      <c r="N94" s="1530"/>
      <c r="O94" s="1528" t="s">
        <v>165</v>
      </c>
      <c r="P94" s="1531" t="s">
        <v>166</v>
      </c>
      <c r="Q94" s="1529"/>
      <c r="R94" s="1530"/>
      <c r="S94" s="1528" t="s">
        <v>164</v>
      </c>
      <c r="T94" s="1531" t="s">
        <v>167</v>
      </c>
      <c r="U94" s="1529"/>
      <c r="V94" s="1530"/>
      <c r="W94" s="61" t="s">
        <v>168</v>
      </c>
      <c r="X94" s="62" t="s">
        <v>169</v>
      </c>
      <c r="Y94" s="63"/>
      <c r="Z94" s="63"/>
      <c r="AA94" s="1528" t="s">
        <v>170</v>
      </c>
      <c r="AB94" s="1532" t="s">
        <v>157</v>
      </c>
      <c r="AC94" s="1528"/>
      <c r="AD94" s="1528"/>
      <c r="AE94" s="1533">
        <v>68</v>
      </c>
      <c r="AF94" s="1529"/>
      <c r="AG94" s="1534"/>
      <c r="AH94" s="1535"/>
      <c r="AI94" s="1536"/>
    </row>
    <row r="95" spans="1:35" ht="18" customHeight="1">
      <c r="A95" s="60"/>
      <c r="B95" s="1527" t="s">
        <v>171</v>
      </c>
      <c r="C95" s="1537" t="s">
        <v>172</v>
      </c>
      <c r="D95" s="1529"/>
      <c r="E95" s="1529"/>
      <c r="F95" s="1530"/>
      <c r="G95" s="1529" t="s">
        <v>172</v>
      </c>
      <c r="H95" s="1529"/>
      <c r="I95" s="1529"/>
      <c r="J95" s="1530"/>
      <c r="K95" s="1529" t="s">
        <v>172</v>
      </c>
      <c r="L95" s="1529"/>
      <c r="M95" s="1529"/>
      <c r="N95" s="1530"/>
      <c r="O95" s="1529" t="s">
        <v>172</v>
      </c>
      <c r="P95" s="1529"/>
      <c r="Q95" s="1529"/>
      <c r="R95" s="1530"/>
      <c r="S95" s="1529" t="s">
        <v>172</v>
      </c>
      <c r="T95" s="1529"/>
      <c r="U95" s="1529"/>
      <c r="V95" s="1530"/>
      <c r="W95" s="1528"/>
      <c r="X95" s="1529"/>
      <c r="Y95" s="1529"/>
      <c r="Z95" s="1530"/>
      <c r="AA95" s="1528"/>
      <c r="AB95" s="1529"/>
      <c r="AC95" s="1529"/>
      <c r="AD95" s="1531"/>
      <c r="AE95" s="1533">
        <v>0</v>
      </c>
      <c r="AF95" s="1534"/>
      <c r="AG95" s="1529"/>
      <c r="AH95" s="1531"/>
      <c r="AI95" s="1538"/>
    </row>
    <row r="96" spans="1:35" ht="18" customHeight="1" thickBot="1">
      <c r="A96" s="60"/>
      <c r="B96" s="1539" t="s">
        <v>173</v>
      </c>
      <c r="C96" s="1540" t="s">
        <v>160</v>
      </c>
      <c r="D96" s="870"/>
      <c r="E96" s="1541"/>
      <c r="F96" s="1542"/>
      <c r="G96" s="1540" t="s">
        <v>160</v>
      </c>
      <c r="H96" s="870"/>
      <c r="I96" s="1541"/>
      <c r="J96" s="1542"/>
      <c r="K96" s="1540" t="s">
        <v>160</v>
      </c>
      <c r="L96" s="870"/>
      <c r="M96" s="1541"/>
      <c r="N96" s="1542"/>
      <c r="O96" s="1540" t="s">
        <v>161</v>
      </c>
      <c r="P96" s="1541"/>
      <c r="Q96" s="1541"/>
      <c r="R96" s="1542"/>
      <c r="S96" s="1540" t="s">
        <v>162</v>
      </c>
      <c r="T96" s="1541"/>
      <c r="U96" s="1541"/>
      <c r="V96" s="1543"/>
      <c r="W96" s="1544"/>
      <c r="X96" s="1541"/>
      <c r="Y96" s="1541"/>
      <c r="Z96" s="1545"/>
      <c r="AA96" s="1543"/>
      <c r="AB96" s="1541"/>
      <c r="AC96" s="1541"/>
      <c r="AD96" s="1543"/>
      <c r="AE96" s="1546">
        <v>37</v>
      </c>
      <c r="AF96" s="1541"/>
      <c r="AG96" s="1541"/>
      <c r="AH96" s="1543"/>
      <c r="AI96" s="1547"/>
    </row>
    <row r="97" spans="1:35" ht="18" customHeight="1">
      <c r="A97" s="66"/>
      <c r="B97" s="60"/>
      <c r="C97" s="58"/>
      <c r="D97" s="63"/>
      <c r="E97" s="58"/>
      <c r="F97" s="58"/>
      <c r="G97" s="58"/>
      <c r="H97" s="58"/>
      <c r="I97" s="58"/>
      <c r="J97" s="58"/>
      <c r="K97" s="58"/>
      <c r="L97" s="58"/>
      <c r="M97" s="58"/>
      <c r="N97" s="58"/>
      <c r="O97" s="58"/>
      <c r="P97" s="58"/>
      <c r="Q97" s="58"/>
      <c r="R97" s="58"/>
      <c r="S97" s="58"/>
      <c r="T97" s="58"/>
      <c r="U97" s="58"/>
      <c r="V97" s="58"/>
      <c r="W97" s="58"/>
      <c r="X97" s="58"/>
      <c r="Y97" s="58"/>
      <c r="Z97" s="58"/>
      <c r="AA97" s="58"/>
      <c r="AB97" s="58"/>
      <c r="AC97" s="58"/>
      <c r="AD97" s="58"/>
      <c r="AE97" s="58"/>
      <c r="AF97" s="58"/>
      <c r="AG97" s="58"/>
      <c r="AH97" s="58"/>
      <c r="AI97" s="58"/>
    </row>
    <row r="98" spans="1:35" ht="18" customHeight="1" thickBot="1">
      <c r="A98" s="1548"/>
      <c r="B98" s="1549" t="s">
        <v>29</v>
      </c>
      <c r="C98" s="1395">
        <v>1</v>
      </c>
      <c r="D98" s="1395">
        <v>2</v>
      </c>
      <c r="E98" s="1396">
        <v>3</v>
      </c>
      <c r="F98" s="1396">
        <v>4</v>
      </c>
      <c r="G98" s="1395">
        <v>5</v>
      </c>
      <c r="H98" s="1395">
        <v>6</v>
      </c>
      <c r="I98" s="1395">
        <v>7</v>
      </c>
      <c r="J98" s="1395">
        <v>8</v>
      </c>
      <c r="K98" s="1395">
        <v>9</v>
      </c>
      <c r="L98" s="1396">
        <v>10</v>
      </c>
      <c r="M98" s="1396">
        <v>11</v>
      </c>
      <c r="N98" s="1395">
        <v>12</v>
      </c>
      <c r="O98" s="1395">
        <v>13</v>
      </c>
      <c r="P98" s="1395">
        <v>14</v>
      </c>
      <c r="Q98" s="1395">
        <v>15</v>
      </c>
      <c r="R98" s="1395">
        <v>16</v>
      </c>
      <c r="S98" s="1396">
        <v>17</v>
      </c>
      <c r="T98" s="1396">
        <v>18</v>
      </c>
      <c r="U98" s="1395">
        <v>19</v>
      </c>
      <c r="V98" s="1395">
        <v>20</v>
      </c>
      <c r="W98" s="1395">
        <v>21</v>
      </c>
      <c r="X98" s="1395">
        <v>22</v>
      </c>
      <c r="Y98" s="1395">
        <v>23</v>
      </c>
      <c r="Z98" s="1396">
        <v>24</v>
      </c>
      <c r="AA98" s="1396">
        <v>25</v>
      </c>
      <c r="AB98" s="1395">
        <v>26</v>
      </c>
      <c r="AC98" s="1395">
        <v>27</v>
      </c>
      <c r="AD98" s="1395">
        <v>28</v>
      </c>
      <c r="AE98" s="1395">
        <v>29</v>
      </c>
      <c r="AF98" s="1395">
        <v>30</v>
      </c>
      <c r="AG98" s="1397">
        <v>31</v>
      </c>
      <c r="AH98" s="67"/>
      <c r="AI98" s="68"/>
    </row>
    <row r="99" spans="1:35" ht="18" customHeight="1">
      <c r="A99" s="880">
        <v>1</v>
      </c>
      <c r="B99" s="689" t="s">
        <v>46</v>
      </c>
      <c r="C99" s="731" t="s">
        <v>237</v>
      </c>
      <c r="D99" s="881" t="s">
        <v>35</v>
      </c>
      <c r="E99" s="881"/>
      <c r="F99" s="881"/>
      <c r="G99" s="1550" t="s">
        <v>250</v>
      </c>
      <c r="H99" s="1550" t="s">
        <v>250</v>
      </c>
      <c r="I99" s="1550" t="s">
        <v>250</v>
      </c>
      <c r="J99" s="1550" t="s">
        <v>250</v>
      </c>
      <c r="K99" s="1550" t="s">
        <v>250</v>
      </c>
      <c r="L99" s="881"/>
      <c r="M99" s="881"/>
      <c r="N99" s="1550" t="s">
        <v>250</v>
      </c>
      <c r="O99" s="1550" t="s">
        <v>128</v>
      </c>
      <c r="P99" s="1551" t="s">
        <v>128</v>
      </c>
      <c r="Q99" s="1550" t="s">
        <v>128</v>
      </c>
      <c r="R99" s="1550" t="s">
        <v>128</v>
      </c>
      <c r="S99" s="881"/>
      <c r="T99" s="881"/>
      <c r="U99" s="1147" t="s">
        <v>110</v>
      </c>
      <c r="V99" s="1147" t="s">
        <v>110</v>
      </c>
      <c r="W99" s="1147" t="s">
        <v>110</v>
      </c>
      <c r="X99" s="1147" t="s">
        <v>110</v>
      </c>
      <c r="Y99" s="1147" t="s">
        <v>110</v>
      </c>
      <c r="Z99" s="1147" t="s">
        <v>108</v>
      </c>
      <c r="AA99" s="1147" t="s">
        <v>108</v>
      </c>
      <c r="AB99" s="1147" t="s">
        <v>35</v>
      </c>
      <c r="AC99" s="1147" t="s">
        <v>35</v>
      </c>
      <c r="AD99" s="1147" t="s">
        <v>35</v>
      </c>
      <c r="AE99" s="1147" t="s">
        <v>35</v>
      </c>
      <c r="AF99" s="1147" t="s">
        <v>35</v>
      </c>
      <c r="AG99" s="753"/>
      <c r="AH99" s="69"/>
      <c r="AI99" s="70"/>
    </row>
    <row r="100" spans="1:35" ht="18" customHeight="1">
      <c r="A100" s="1552">
        <v>2</v>
      </c>
      <c r="B100" s="1553"/>
      <c r="C100" s="1554" t="s">
        <v>110</v>
      </c>
      <c r="D100" s="1554" t="s">
        <v>110</v>
      </c>
      <c r="E100" s="1554" t="s">
        <v>108</v>
      </c>
      <c r="F100" s="1554" t="s">
        <v>108</v>
      </c>
      <c r="G100" s="1554" t="s">
        <v>35</v>
      </c>
      <c r="H100" s="1554" t="s">
        <v>35</v>
      </c>
      <c r="I100" s="1554" t="s">
        <v>35</v>
      </c>
      <c r="J100" s="1555" t="s">
        <v>35</v>
      </c>
      <c r="K100" s="1556" t="s">
        <v>35</v>
      </c>
      <c r="L100" s="1555"/>
      <c r="M100" s="1555"/>
      <c r="N100" s="1555" t="s">
        <v>176</v>
      </c>
      <c r="O100" s="1555" t="s">
        <v>176</v>
      </c>
      <c r="P100" s="1554" t="s">
        <v>176</v>
      </c>
      <c r="Q100" s="1555" t="s">
        <v>176</v>
      </c>
      <c r="R100" s="1555" t="s">
        <v>176</v>
      </c>
      <c r="S100" s="1555"/>
      <c r="T100" s="1555"/>
      <c r="U100" s="1557" t="s">
        <v>176</v>
      </c>
      <c r="V100" s="1555" t="s">
        <v>176</v>
      </c>
      <c r="W100" s="1558" t="s">
        <v>176</v>
      </c>
      <c r="X100" s="1555" t="s">
        <v>176</v>
      </c>
      <c r="Y100" s="1555" t="s">
        <v>176</v>
      </c>
      <c r="Z100" s="1555"/>
      <c r="AA100" s="1555"/>
      <c r="AB100" s="1555" t="s">
        <v>110</v>
      </c>
      <c r="AC100" s="1555" t="s">
        <v>110</v>
      </c>
      <c r="AD100" s="1555" t="s">
        <v>110</v>
      </c>
      <c r="AE100" s="1554" t="s">
        <v>110</v>
      </c>
      <c r="AF100" s="1554" t="s">
        <v>110</v>
      </c>
      <c r="AG100" s="1559" t="s">
        <v>108</v>
      </c>
      <c r="AH100" s="69"/>
      <c r="AI100" s="70"/>
    </row>
    <row r="101" spans="1:35" ht="18" customHeight="1">
      <c r="A101" s="1552">
        <v>3</v>
      </c>
      <c r="B101" s="1560" t="s">
        <v>178</v>
      </c>
      <c r="C101" s="1561" t="s">
        <v>244</v>
      </c>
      <c r="D101" s="1561" t="s">
        <v>244</v>
      </c>
      <c r="E101" s="1562"/>
      <c r="F101" s="1562"/>
      <c r="G101" s="1416" t="s">
        <v>110</v>
      </c>
      <c r="H101" s="1403" t="s">
        <v>110</v>
      </c>
      <c r="I101" s="1403" t="s">
        <v>110</v>
      </c>
      <c r="J101" s="1403" t="s">
        <v>110</v>
      </c>
      <c r="K101" s="1403" t="s">
        <v>110</v>
      </c>
      <c r="L101" s="1554" t="s">
        <v>108</v>
      </c>
      <c r="M101" s="1554" t="s">
        <v>108</v>
      </c>
      <c r="N101" s="1308" t="s">
        <v>35</v>
      </c>
      <c r="O101" s="1308" t="s">
        <v>35</v>
      </c>
      <c r="P101" s="1308" t="s">
        <v>35</v>
      </c>
      <c r="Q101" s="1308" t="s">
        <v>35</v>
      </c>
      <c r="R101" s="1308" t="s">
        <v>35</v>
      </c>
      <c r="S101" s="1557"/>
      <c r="T101" s="1555"/>
      <c r="U101" s="1308" t="s">
        <v>244</v>
      </c>
      <c r="V101" s="1308" t="s">
        <v>244</v>
      </c>
      <c r="W101" s="1308" t="s">
        <v>244</v>
      </c>
      <c r="X101" s="1308" t="s">
        <v>244</v>
      </c>
      <c r="Y101" s="1308" t="s">
        <v>244</v>
      </c>
      <c r="Z101" s="1563" t="s">
        <v>75</v>
      </c>
      <c r="AA101" s="1563" t="s">
        <v>69</v>
      </c>
      <c r="AB101" s="1564" t="s">
        <v>244</v>
      </c>
      <c r="AC101" s="1408" t="s">
        <v>244</v>
      </c>
      <c r="AD101" s="1564" t="s">
        <v>244</v>
      </c>
      <c r="AE101" s="1564" t="s">
        <v>244</v>
      </c>
      <c r="AF101" s="1564" t="s">
        <v>244</v>
      </c>
      <c r="AG101" s="1561"/>
      <c r="AH101" s="69"/>
      <c r="AI101" s="70"/>
    </row>
    <row r="102" spans="1:35" ht="18" customHeight="1" thickBot="1">
      <c r="A102" s="1565">
        <v>4</v>
      </c>
      <c r="B102" s="1566" t="s">
        <v>360</v>
      </c>
      <c r="C102" s="1466" t="s">
        <v>250</v>
      </c>
      <c r="D102" s="1466" t="s">
        <v>250</v>
      </c>
      <c r="E102" s="1466"/>
      <c r="F102" s="1466"/>
      <c r="G102" s="1567" t="s">
        <v>244</v>
      </c>
      <c r="H102" s="1567" t="s">
        <v>244</v>
      </c>
      <c r="I102" s="1567" t="s">
        <v>244</v>
      </c>
      <c r="J102" s="1567" t="s">
        <v>244</v>
      </c>
      <c r="K102" s="1466" t="s">
        <v>244</v>
      </c>
      <c r="L102" s="1466" t="s">
        <v>0</v>
      </c>
      <c r="M102" s="1466" t="s">
        <v>0</v>
      </c>
      <c r="N102" s="1466" t="s">
        <v>110</v>
      </c>
      <c r="O102" s="1466" t="s">
        <v>110</v>
      </c>
      <c r="P102" s="1466" t="s">
        <v>110</v>
      </c>
      <c r="Q102" s="1466" t="s">
        <v>110</v>
      </c>
      <c r="R102" s="1466" t="s">
        <v>110</v>
      </c>
      <c r="S102" s="1466" t="s">
        <v>108</v>
      </c>
      <c r="T102" s="1466" t="s">
        <v>108</v>
      </c>
      <c r="U102" s="1466" t="s">
        <v>35</v>
      </c>
      <c r="V102" s="1466" t="s">
        <v>35</v>
      </c>
      <c r="W102" s="1466" t="s">
        <v>35</v>
      </c>
      <c r="X102" s="1466" t="s">
        <v>35</v>
      </c>
      <c r="Y102" s="1466" t="s">
        <v>35</v>
      </c>
      <c r="Z102" s="1466"/>
      <c r="AA102" s="1466"/>
      <c r="AB102" s="1568" t="s">
        <v>176</v>
      </c>
      <c r="AC102" s="1568" t="s">
        <v>176</v>
      </c>
      <c r="AD102" s="1568" t="s">
        <v>176</v>
      </c>
      <c r="AE102" s="1466" t="s">
        <v>176</v>
      </c>
      <c r="AF102" s="1466" t="s">
        <v>176</v>
      </c>
      <c r="AG102" s="1467"/>
      <c r="AH102" s="69"/>
      <c r="AI102" s="70"/>
    </row>
    <row r="103" spans="1:35" ht="18" customHeight="1" thickBot="1">
      <c r="A103" s="71"/>
      <c r="B103" s="72"/>
      <c r="C103" s="73"/>
      <c r="D103" s="73"/>
      <c r="E103" s="73"/>
      <c r="F103" s="73"/>
      <c r="G103" s="73"/>
      <c r="H103" s="73"/>
      <c r="I103" s="73"/>
      <c r="J103" s="73"/>
      <c r="K103" s="73"/>
      <c r="L103" s="73"/>
      <c r="M103" s="73"/>
      <c r="N103" s="73"/>
      <c r="O103" s="73"/>
      <c r="P103" s="73"/>
      <c r="Q103" s="73"/>
      <c r="R103" s="73"/>
      <c r="S103" s="73"/>
      <c r="T103" s="73"/>
      <c r="U103" s="73"/>
      <c r="V103" s="73"/>
      <c r="W103" s="73"/>
      <c r="X103" s="73"/>
      <c r="Y103" s="73"/>
      <c r="Z103" s="73"/>
      <c r="AA103" s="73"/>
      <c r="AB103" s="73"/>
      <c r="AC103" s="73"/>
      <c r="AD103" s="73"/>
      <c r="AE103" s="73"/>
      <c r="AF103" s="73"/>
      <c r="AG103" s="74"/>
      <c r="AH103" s="75"/>
      <c r="AI103" s="70"/>
    </row>
    <row r="104" spans="1:35" ht="18" customHeight="1">
      <c r="A104" s="17"/>
      <c r="B104" s="900" t="s">
        <v>179</v>
      </c>
      <c r="C104" s="901"/>
      <c r="D104" s="902" t="s">
        <v>87</v>
      </c>
      <c r="E104" s="903"/>
      <c r="F104" s="901"/>
      <c r="G104" s="904" t="s">
        <v>88</v>
      </c>
      <c r="H104" s="905"/>
      <c r="I104" s="906"/>
      <c r="J104" s="904" t="s">
        <v>89</v>
      </c>
      <c r="K104" s="907"/>
      <c r="L104" s="906"/>
      <c r="M104" s="908" t="s">
        <v>90</v>
      </c>
      <c r="N104" s="907"/>
      <c r="O104" s="906"/>
      <c r="P104" s="904" t="s">
        <v>91</v>
      </c>
      <c r="Q104" s="909"/>
      <c r="R104" s="906"/>
      <c r="S104" s="904" t="s">
        <v>92</v>
      </c>
      <c r="T104" s="910"/>
      <c r="U104" s="906"/>
      <c r="V104" s="904" t="s">
        <v>93</v>
      </c>
      <c r="W104" s="909"/>
      <c r="X104" s="911" t="s">
        <v>158</v>
      </c>
      <c r="Y104" s="912"/>
      <c r="Z104" s="912"/>
      <c r="AA104" s="913"/>
      <c r="AB104" s="914" t="s">
        <v>94</v>
      </c>
      <c r="AC104" s="915"/>
      <c r="AD104" s="915"/>
      <c r="AE104" s="916"/>
      <c r="AF104" s="916"/>
      <c r="AG104" s="917"/>
      <c r="AH104" s="75"/>
      <c r="AI104" s="70"/>
    </row>
    <row r="105" spans="1:35" ht="18" customHeight="1">
      <c r="A105" s="17"/>
      <c r="B105" s="1569" t="s">
        <v>180</v>
      </c>
      <c r="C105" s="1570" t="s">
        <v>181</v>
      </c>
      <c r="D105" s="1379"/>
      <c r="E105" s="1380"/>
      <c r="F105" s="1570" t="s">
        <v>181</v>
      </c>
      <c r="G105" s="1379"/>
      <c r="H105" s="1380"/>
      <c r="I105" s="1570" t="s">
        <v>181</v>
      </c>
      <c r="J105" s="1379"/>
      <c r="K105" s="1380"/>
      <c r="L105" s="1570" t="s">
        <v>181</v>
      </c>
      <c r="M105" s="1379"/>
      <c r="N105" s="1380"/>
      <c r="O105" s="1570" t="s">
        <v>182</v>
      </c>
      <c r="P105" s="1379"/>
      <c r="Q105" s="1380"/>
      <c r="R105" s="1570"/>
      <c r="S105" s="1379"/>
      <c r="T105" s="1380"/>
      <c r="U105" s="1570"/>
      <c r="V105" s="1379"/>
      <c r="W105" s="1380"/>
      <c r="X105" s="1570"/>
      <c r="Y105" s="1571"/>
      <c r="Z105" s="1571"/>
      <c r="AA105" s="1571"/>
      <c r="AB105" s="1376"/>
      <c r="AC105" s="1571"/>
      <c r="AD105" s="1571"/>
      <c r="AE105" s="1571"/>
      <c r="AF105" s="1571"/>
      <c r="AG105" s="1572"/>
      <c r="AH105" s="75"/>
      <c r="AI105" s="70"/>
    </row>
    <row r="106" spans="1:35" ht="18" customHeight="1">
      <c r="A106" s="17"/>
      <c r="B106" s="16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75"/>
      <c r="AI106" s="70"/>
    </row>
    <row r="107" spans="1:35" ht="18" customHeight="1" thickBot="1">
      <c r="A107" s="1479" t="s">
        <v>28</v>
      </c>
      <c r="B107" s="1456" t="s">
        <v>29</v>
      </c>
      <c r="C107" s="1395">
        <v>1</v>
      </c>
      <c r="D107" s="1395">
        <v>2</v>
      </c>
      <c r="E107" s="1396">
        <v>3</v>
      </c>
      <c r="F107" s="1396">
        <v>4</v>
      </c>
      <c r="G107" s="1395">
        <v>5</v>
      </c>
      <c r="H107" s="1395">
        <v>6</v>
      </c>
      <c r="I107" s="1395">
        <v>7</v>
      </c>
      <c r="J107" s="1395">
        <v>8</v>
      </c>
      <c r="K107" s="1395">
        <v>9</v>
      </c>
      <c r="L107" s="1396">
        <v>10</v>
      </c>
      <c r="M107" s="1396">
        <v>11</v>
      </c>
      <c r="N107" s="1395">
        <v>12</v>
      </c>
      <c r="O107" s="1395">
        <v>13</v>
      </c>
      <c r="P107" s="1395">
        <v>14</v>
      </c>
      <c r="Q107" s="1395">
        <v>15</v>
      </c>
      <c r="R107" s="1395">
        <v>16</v>
      </c>
      <c r="S107" s="1396">
        <v>17</v>
      </c>
      <c r="T107" s="1396">
        <v>18</v>
      </c>
      <c r="U107" s="1395">
        <v>19</v>
      </c>
      <c r="V107" s="1395">
        <v>20</v>
      </c>
      <c r="W107" s="1395">
        <v>21</v>
      </c>
      <c r="X107" s="1395">
        <v>22</v>
      </c>
      <c r="Y107" s="1395">
        <v>23</v>
      </c>
      <c r="Z107" s="1396">
        <v>24</v>
      </c>
      <c r="AA107" s="1396">
        <v>25</v>
      </c>
      <c r="AB107" s="1395">
        <v>26</v>
      </c>
      <c r="AC107" s="1395">
        <v>27</v>
      </c>
      <c r="AD107" s="1395">
        <v>28</v>
      </c>
      <c r="AE107" s="1395">
        <v>29</v>
      </c>
      <c r="AF107" s="1395">
        <v>30</v>
      </c>
      <c r="AG107" s="1397">
        <v>31</v>
      </c>
      <c r="AH107" s="75"/>
      <c r="AI107" s="70"/>
    </row>
    <row r="108" spans="1:35" ht="18" customHeight="1">
      <c r="A108" s="922">
        <v>8520</v>
      </c>
      <c r="B108" s="923" t="s">
        <v>183</v>
      </c>
      <c r="C108" s="826" t="s">
        <v>118</v>
      </c>
      <c r="D108" s="826" t="s">
        <v>118</v>
      </c>
      <c r="E108" s="826"/>
      <c r="F108" s="826"/>
      <c r="G108" s="826" t="s">
        <v>118</v>
      </c>
      <c r="H108" s="826" t="s">
        <v>118</v>
      </c>
      <c r="I108" s="826" t="s">
        <v>118</v>
      </c>
      <c r="J108" s="826" t="s">
        <v>118</v>
      </c>
      <c r="K108" s="826" t="s">
        <v>118</v>
      </c>
      <c r="L108" s="826"/>
      <c r="M108" s="826"/>
      <c r="N108" s="826" t="s">
        <v>118</v>
      </c>
      <c r="O108" s="471" t="s">
        <v>118</v>
      </c>
      <c r="P108" s="826" t="s">
        <v>118</v>
      </c>
      <c r="Q108" s="826" t="s">
        <v>118</v>
      </c>
      <c r="R108" s="826" t="s">
        <v>118</v>
      </c>
      <c r="S108" s="826"/>
      <c r="T108" s="826"/>
      <c r="U108" s="826" t="s">
        <v>118</v>
      </c>
      <c r="V108" s="826" t="s">
        <v>118</v>
      </c>
      <c r="W108" s="826" t="s">
        <v>118</v>
      </c>
      <c r="X108" s="826" t="s">
        <v>118</v>
      </c>
      <c r="Y108" s="826" t="s">
        <v>118</v>
      </c>
      <c r="Z108" s="826"/>
      <c r="AA108" s="826"/>
      <c r="AB108" s="826" t="s">
        <v>118</v>
      </c>
      <c r="AC108" s="826" t="s">
        <v>118</v>
      </c>
      <c r="AD108" s="826" t="s">
        <v>118</v>
      </c>
      <c r="AE108" s="826" t="s">
        <v>118</v>
      </c>
      <c r="AF108" s="826" t="s">
        <v>118</v>
      </c>
      <c r="AG108" s="827"/>
      <c r="AH108" s="75"/>
      <c r="AI108" s="70"/>
    </row>
    <row r="109" spans="1:35" ht="18" customHeight="1">
      <c r="AH109" s="76"/>
      <c r="AI109" s="76"/>
    </row>
    <row r="110" spans="1:35" ht="18" customHeight="1" thickBot="1">
      <c r="A110" s="77" t="s">
        <v>185</v>
      </c>
      <c r="B110" s="78"/>
      <c r="C110" s="78"/>
      <c r="D110" s="79"/>
      <c r="E110" s="79"/>
      <c r="F110" s="79"/>
      <c r="G110" s="80"/>
      <c r="H110" s="79"/>
      <c r="I110" s="79"/>
      <c r="J110" s="79"/>
      <c r="K110" s="79"/>
      <c r="L110" s="79"/>
      <c r="M110" s="79"/>
      <c r="N110" s="79"/>
      <c r="O110" s="79"/>
      <c r="P110" s="79"/>
      <c r="Q110" s="79"/>
      <c r="R110" s="79"/>
      <c r="S110" s="79"/>
      <c r="T110" s="79"/>
      <c r="U110" s="79"/>
      <c r="V110" s="79"/>
      <c r="W110" s="79"/>
      <c r="X110" s="79"/>
      <c r="Y110" s="79"/>
      <c r="Z110" s="79"/>
      <c r="AA110" s="79"/>
      <c r="AB110" s="79"/>
      <c r="AC110" s="79"/>
      <c r="AD110" s="79"/>
      <c r="AE110" s="79"/>
      <c r="AF110" s="79"/>
      <c r="AG110" s="79"/>
      <c r="AH110" s="78"/>
      <c r="AI110" s="78"/>
    </row>
    <row r="111" spans="1:35" ht="18" customHeight="1">
      <c r="A111" s="77"/>
      <c r="B111" s="900" t="s">
        <v>186</v>
      </c>
      <c r="C111" s="924"/>
      <c r="D111" s="925" t="s">
        <v>87</v>
      </c>
      <c r="E111" s="926"/>
      <c r="F111" s="927"/>
      <c r="G111" s="924"/>
      <c r="H111" s="925" t="s">
        <v>88</v>
      </c>
      <c r="I111" s="926"/>
      <c r="J111" s="927"/>
      <c r="K111" s="924"/>
      <c r="L111" s="925" t="s">
        <v>89</v>
      </c>
      <c r="M111" s="926"/>
      <c r="N111" s="927"/>
      <c r="O111" s="924"/>
      <c r="P111" s="925" t="s">
        <v>90</v>
      </c>
      <c r="Q111" s="926"/>
      <c r="R111" s="927"/>
      <c r="S111" s="924"/>
      <c r="T111" s="925" t="s">
        <v>91</v>
      </c>
      <c r="U111" s="926"/>
      <c r="V111" s="927"/>
      <c r="W111" s="924"/>
      <c r="X111" s="925" t="s">
        <v>92</v>
      </c>
      <c r="Y111" s="926"/>
      <c r="Z111" s="927"/>
      <c r="AA111" s="924"/>
      <c r="AB111" s="925" t="s">
        <v>93</v>
      </c>
      <c r="AC111" s="926"/>
      <c r="AD111" s="926"/>
      <c r="AE111" s="928" t="s">
        <v>94</v>
      </c>
      <c r="AF111" s="926"/>
      <c r="AG111" s="926"/>
      <c r="AH111" s="926"/>
      <c r="AI111" s="929"/>
    </row>
    <row r="112" spans="1:35" ht="18" customHeight="1">
      <c r="A112" s="77"/>
      <c r="B112" s="1573" t="s">
        <v>159</v>
      </c>
      <c r="C112" s="1574">
        <v>69</v>
      </c>
      <c r="D112" s="1575" t="s">
        <v>187</v>
      </c>
      <c r="E112" s="1575"/>
      <c r="F112" s="1576"/>
      <c r="G112" s="1574">
        <v>69</v>
      </c>
      <c r="H112" s="1575" t="s">
        <v>187</v>
      </c>
      <c r="I112" s="1575"/>
      <c r="J112" s="1576"/>
      <c r="K112" s="1574">
        <v>69</v>
      </c>
      <c r="L112" s="1575" t="s">
        <v>187</v>
      </c>
      <c r="M112" s="1575"/>
      <c r="N112" s="1576"/>
      <c r="O112" s="1574">
        <v>69</v>
      </c>
      <c r="P112" s="1575" t="s">
        <v>187</v>
      </c>
      <c r="Q112" s="1575"/>
      <c r="R112" s="1576"/>
      <c r="S112" s="1574">
        <v>69</v>
      </c>
      <c r="T112" s="1575" t="s">
        <v>187</v>
      </c>
      <c r="U112" s="1575"/>
      <c r="V112" s="1576"/>
      <c r="W112" s="1574"/>
      <c r="X112" s="1577"/>
      <c r="Y112" s="1577"/>
      <c r="Z112" s="1578"/>
      <c r="AA112" s="1574"/>
      <c r="AB112" s="1575"/>
      <c r="AC112" s="1575"/>
      <c r="AD112" s="1476"/>
      <c r="AE112" s="1579">
        <v>35</v>
      </c>
      <c r="AF112" s="1575"/>
      <c r="AG112" s="1575"/>
      <c r="AH112" s="1476"/>
      <c r="AI112" s="1580"/>
    </row>
    <row r="113" spans="1:35" ht="18" customHeight="1">
      <c r="A113" s="77"/>
      <c r="B113" s="1573" t="s">
        <v>163</v>
      </c>
      <c r="C113" s="1574">
        <v>79</v>
      </c>
      <c r="D113" s="1575" t="s">
        <v>188</v>
      </c>
      <c r="E113" s="1575"/>
      <c r="F113" s="1576"/>
      <c r="G113" s="1574">
        <v>79</v>
      </c>
      <c r="H113" s="1575" t="s">
        <v>188</v>
      </c>
      <c r="I113" s="1575"/>
      <c r="J113" s="1576"/>
      <c r="K113" s="1574">
        <v>79</v>
      </c>
      <c r="L113" s="1575" t="s">
        <v>188</v>
      </c>
      <c r="M113" s="1575"/>
      <c r="N113" s="1576"/>
      <c r="O113" s="1574">
        <v>79</v>
      </c>
      <c r="P113" s="1575" t="s">
        <v>188</v>
      </c>
      <c r="Q113" s="1575"/>
      <c r="R113" s="1576"/>
      <c r="S113" s="1574">
        <v>79</v>
      </c>
      <c r="T113" s="1575" t="s">
        <v>188</v>
      </c>
      <c r="U113" s="1575"/>
      <c r="V113" s="1576"/>
      <c r="W113" s="1574"/>
      <c r="X113" s="1575"/>
      <c r="Y113" s="1575"/>
      <c r="Z113" s="1576"/>
      <c r="AA113" s="1575"/>
      <c r="AB113" s="1575"/>
      <c r="AC113" s="1575"/>
      <c r="AD113" s="1476"/>
      <c r="AE113" s="1579">
        <v>40</v>
      </c>
      <c r="AF113" s="1575"/>
      <c r="AG113" s="1575"/>
      <c r="AH113" s="1476"/>
      <c r="AI113" s="1580"/>
    </row>
    <row r="114" spans="1:35" ht="18" customHeight="1">
      <c r="A114" s="77"/>
      <c r="B114" s="1573" t="s">
        <v>171</v>
      </c>
      <c r="C114" s="1574">
        <v>89</v>
      </c>
      <c r="D114" s="1575" t="s">
        <v>189</v>
      </c>
      <c r="E114" s="1575"/>
      <c r="F114" s="1576"/>
      <c r="G114" s="1574">
        <v>89</v>
      </c>
      <c r="H114" s="1575" t="s">
        <v>189</v>
      </c>
      <c r="I114" s="1575"/>
      <c r="J114" s="1576"/>
      <c r="K114" s="1574">
        <v>89</v>
      </c>
      <c r="L114" s="1575" t="s">
        <v>189</v>
      </c>
      <c r="M114" s="1575"/>
      <c r="N114" s="1576"/>
      <c r="O114" s="1574">
        <v>89</v>
      </c>
      <c r="P114" s="1575" t="s">
        <v>189</v>
      </c>
      <c r="Q114" s="1575"/>
      <c r="R114" s="1576"/>
      <c r="S114" s="1574">
        <v>89</v>
      </c>
      <c r="T114" s="1575" t="s">
        <v>190</v>
      </c>
      <c r="U114" s="1575"/>
      <c r="V114" s="1576"/>
      <c r="W114" s="1581"/>
      <c r="X114" s="1582" t="s">
        <v>191</v>
      </c>
      <c r="Y114" s="1582"/>
      <c r="Z114" s="1583"/>
      <c r="AA114" s="1581"/>
      <c r="AB114" s="1582"/>
      <c r="AC114" s="1582"/>
      <c r="AD114" s="1478"/>
      <c r="AE114" s="1579">
        <v>44</v>
      </c>
      <c r="AF114" s="1575"/>
      <c r="AG114" s="1575"/>
      <c r="AH114" s="1476"/>
      <c r="AI114" s="1580"/>
    </row>
    <row r="115" spans="1:35" ht="18" customHeight="1">
      <c r="A115" s="77"/>
      <c r="B115" s="81" t="s">
        <v>173</v>
      </c>
      <c r="C115" s="1581">
        <v>99</v>
      </c>
      <c r="D115" s="1582" t="s">
        <v>192</v>
      </c>
      <c r="E115" s="1582"/>
      <c r="F115" s="1583"/>
      <c r="G115" s="1581">
        <v>99</v>
      </c>
      <c r="H115" s="1582" t="s">
        <v>192</v>
      </c>
      <c r="I115" s="1582"/>
      <c r="J115" s="1583"/>
      <c r="K115" s="1581">
        <v>99</v>
      </c>
      <c r="L115" s="1582" t="s">
        <v>192</v>
      </c>
      <c r="M115" s="1582"/>
      <c r="N115" s="1583"/>
      <c r="O115" s="1581">
        <v>99</v>
      </c>
      <c r="P115" s="1582" t="s">
        <v>192</v>
      </c>
      <c r="Q115" s="1582"/>
      <c r="R115" s="1583"/>
      <c r="S115" s="1581">
        <v>99</v>
      </c>
      <c r="T115" s="1582" t="s">
        <v>172</v>
      </c>
      <c r="U115" s="1582"/>
      <c r="V115" s="1478"/>
      <c r="W115" s="1477"/>
      <c r="X115" s="1478"/>
      <c r="Y115" s="1582"/>
      <c r="Z115" s="1583"/>
      <c r="AA115" s="1477"/>
      <c r="AB115" s="1478"/>
      <c r="AC115" s="1582"/>
      <c r="AD115" s="1583"/>
      <c r="AE115" s="1584">
        <v>28</v>
      </c>
      <c r="AF115" s="1582"/>
      <c r="AG115" s="1582"/>
      <c r="AH115" s="1478"/>
      <c r="AI115" s="1585"/>
    </row>
    <row r="116" spans="1:35" ht="18" customHeight="1" thickBot="1">
      <c r="A116" s="77"/>
      <c r="B116" s="1586" t="s">
        <v>193</v>
      </c>
      <c r="C116" s="1587" t="s">
        <v>47</v>
      </c>
      <c r="D116" s="1588" t="s">
        <v>194</v>
      </c>
      <c r="E116" s="1589"/>
      <c r="F116" s="1449"/>
      <c r="G116" s="1587" t="s">
        <v>47</v>
      </c>
      <c r="H116" s="1588" t="s">
        <v>194</v>
      </c>
      <c r="I116" s="1447"/>
      <c r="J116" s="1589"/>
      <c r="K116" s="1587" t="s">
        <v>47</v>
      </c>
      <c r="L116" s="1588" t="s">
        <v>194</v>
      </c>
      <c r="M116" s="1589"/>
      <c r="N116" s="1590"/>
      <c r="O116" s="1587" t="s">
        <v>47</v>
      </c>
      <c r="P116" s="1588" t="s">
        <v>194</v>
      </c>
      <c r="Q116" s="1589"/>
      <c r="R116" s="1588"/>
      <c r="S116" s="1587" t="s">
        <v>47</v>
      </c>
      <c r="T116" s="1451" t="s">
        <v>195</v>
      </c>
      <c r="U116" s="1588"/>
      <c r="V116" s="1590"/>
      <c r="W116" s="1589"/>
      <c r="X116" s="1588"/>
      <c r="Y116" s="1588"/>
      <c r="Z116" s="1588"/>
      <c r="AA116" s="1591"/>
      <c r="AB116" s="1592"/>
      <c r="AC116" s="1588"/>
      <c r="AD116" s="1593"/>
      <c r="AE116" s="1588"/>
      <c r="AF116" s="1588"/>
      <c r="AG116" s="1588"/>
      <c r="AH116" s="1594"/>
      <c r="AI116" s="1595"/>
    </row>
    <row r="117" spans="1:35" ht="18" customHeight="1">
      <c r="A117" s="82"/>
      <c r="B117" s="77"/>
      <c r="C117" s="79"/>
      <c r="D117" s="79"/>
      <c r="E117" s="79"/>
      <c r="F117" s="79"/>
      <c r="G117" s="79"/>
      <c r="H117" s="79"/>
      <c r="I117" s="79"/>
      <c r="J117" s="79"/>
      <c r="K117" s="79"/>
      <c r="L117" s="79"/>
      <c r="M117" s="79"/>
      <c r="N117" s="79"/>
      <c r="O117" s="79"/>
      <c r="P117" s="79"/>
      <c r="Q117" s="79"/>
      <c r="R117" s="79"/>
      <c r="S117" s="79"/>
      <c r="T117" s="79"/>
      <c r="U117" s="79"/>
      <c r="V117" s="79"/>
      <c r="W117" s="79"/>
      <c r="X117" s="79"/>
      <c r="Y117" s="79"/>
      <c r="Z117" s="79"/>
      <c r="AA117" s="79"/>
      <c r="AB117" s="79"/>
      <c r="AC117" s="79"/>
      <c r="AD117" s="79"/>
      <c r="AE117" s="79"/>
      <c r="AF117" s="79"/>
      <c r="AG117" s="79"/>
      <c r="AH117" s="78"/>
      <c r="AI117" s="78"/>
    </row>
    <row r="118" spans="1:35" ht="18" customHeight="1" thickBot="1">
      <c r="A118" s="1479"/>
      <c r="B118" s="1456" t="s">
        <v>29</v>
      </c>
      <c r="C118" s="1395">
        <v>1</v>
      </c>
      <c r="D118" s="1395">
        <v>2</v>
      </c>
      <c r="E118" s="1396">
        <v>3</v>
      </c>
      <c r="F118" s="1396">
        <v>4</v>
      </c>
      <c r="G118" s="1395">
        <v>5</v>
      </c>
      <c r="H118" s="1395">
        <v>6</v>
      </c>
      <c r="I118" s="1395">
        <v>7</v>
      </c>
      <c r="J118" s="1395">
        <v>8</v>
      </c>
      <c r="K118" s="1395">
        <v>9</v>
      </c>
      <c r="L118" s="1396">
        <v>10</v>
      </c>
      <c r="M118" s="1396">
        <v>11</v>
      </c>
      <c r="N118" s="1395">
        <v>12</v>
      </c>
      <c r="O118" s="1395">
        <v>13</v>
      </c>
      <c r="P118" s="1395">
        <v>14</v>
      </c>
      <c r="Q118" s="1395">
        <v>15</v>
      </c>
      <c r="R118" s="1395">
        <v>16</v>
      </c>
      <c r="S118" s="1396">
        <v>17</v>
      </c>
      <c r="T118" s="1396">
        <v>18</v>
      </c>
      <c r="U118" s="1395">
        <v>19</v>
      </c>
      <c r="V118" s="1395">
        <v>20</v>
      </c>
      <c r="W118" s="1395">
        <v>21</v>
      </c>
      <c r="X118" s="1395">
        <v>22</v>
      </c>
      <c r="Y118" s="1395">
        <v>23</v>
      </c>
      <c r="Z118" s="1396">
        <v>24</v>
      </c>
      <c r="AA118" s="1396">
        <v>25</v>
      </c>
      <c r="AB118" s="1395">
        <v>26</v>
      </c>
      <c r="AC118" s="1395">
        <v>27</v>
      </c>
      <c r="AD118" s="1395">
        <v>28</v>
      </c>
      <c r="AE118" s="1395">
        <v>29</v>
      </c>
      <c r="AF118" s="1395">
        <v>30</v>
      </c>
      <c r="AG118" s="1397">
        <v>31</v>
      </c>
      <c r="AH118" s="23"/>
      <c r="AI118" s="24"/>
    </row>
    <row r="119" spans="1:35" ht="18" customHeight="1">
      <c r="A119" s="953">
        <v>1</v>
      </c>
      <c r="B119" s="954" t="s">
        <v>196</v>
      </c>
      <c r="C119" s="1147">
        <v>69</v>
      </c>
      <c r="D119" s="1147">
        <v>69</v>
      </c>
      <c r="E119" s="1147"/>
      <c r="F119" s="1147"/>
      <c r="G119" s="1596">
        <v>79</v>
      </c>
      <c r="H119" s="1596">
        <v>79</v>
      </c>
      <c r="I119" s="1596">
        <v>79</v>
      </c>
      <c r="J119" s="1596">
        <v>79</v>
      </c>
      <c r="K119" s="1596">
        <v>79</v>
      </c>
      <c r="L119" s="1596"/>
      <c r="M119" s="1596"/>
      <c r="N119" s="1596">
        <v>89</v>
      </c>
      <c r="O119" s="1596">
        <v>89</v>
      </c>
      <c r="P119" s="1596">
        <v>89</v>
      </c>
      <c r="Q119" s="1596">
        <v>89</v>
      </c>
      <c r="R119" s="1596">
        <v>89</v>
      </c>
      <c r="S119" s="1596">
        <v>89</v>
      </c>
      <c r="T119" s="1596"/>
      <c r="U119" s="472">
        <v>99</v>
      </c>
      <c r="V119" s="472">
        <v>99</v>
      </c>
      <c r="W119" s="472">
        <v>99</v>
      </c>
      <c r="X119" s="472">
        <v>99</v>
      </c>
      <c r="Y119" s="472" t="s">
        <v>35</v>
      </c>
      <c r="Z119" s="472"/>
      <c r="AA119" s="471"/>
      <c r="AB119" s="472" t="s">
        <v>47</v>
      </c>
      <c r="AC119" s="472" t="s">
        <v>47</v>
      </c>
      <c r="AD119" s="472" t="s">
        <v>47</v>
      </c>
      <c r="AE119" s="472" t="s">
        <v>47</v>
      </c>
      <c r="AF119" s="472" t="s">
        <v>47</v>
      </c>
      <c r="AG119" s="734"/>
      <c r="AH119" s="83"/>
      <c r="AI119" s="76"/>
    </row>
    <row r="120" spans="1:35" ht="18" customHeight="1">
      <c r="A120" s="1597">
        <v>2</v>
      </c>
      <c r="B120" s="1519" t="s">
        <v>197</v>
      </c>
      <c r="C120" s="1316">
        <v>79</v>
      </c>
      <c r="D120" s="1308">
        <v>79</v>
      </c>
      <c r="E120" s="1311"/>
      <c r="F120" s="1311"/>
      <c r="G120" s="1308">
        <v>89</v>
      </c>
      <c r="H120" s="1308">
        <v>89</v>
      </c>
      <c r="I120" s="1308">
        <v>89</v>
      </c>
      <c r="J120" s="1308">
        <v>89</v>
      </c>
      <c r="K120" s="1308">
        <v>89</v>
      </c>
      <c r="L120" s="1311">
        <v>89</v>
      </c>
      <c r="M120" s="1311"/>
      <c r="N120" s="1308">
        <v>99</v>
      </c>
      <c r="O120" s="1308">
        <v>99</v>
      </c>
      <c r="P120" s="1308">
        <v>99</v>
      </c>
      <c r="Q120" s="1308">
        <v>99</v>
      </c>
      <c r="R120" s="1316" t="s">
        <v>35</v>
      </c>
      <c r="S120" s="1308"/>
      <c r="T120" s="1311"/>
      <c r="U120" s="1308" t="s">
        <v>47</v>
      </c>
      <c r="V120" s="1308" t="s">
        <v>47</v>
      </c>
      <c r="W120" s="1308" t="s">
        <v>47</v>
      </c>
      <c r="X120" s="1308" t="s">
        <v>47</v>
      </c>
      <c r="Y120" s="1308" t="s">
        <v>47</v>
      </c>
      <c r="Z120" s="1311"/>
      <c r="AA120" s="1311"/>
      <c r="AB120" s="1316">
        <v>69</v>
      </c>
      <c r="AC120" s="1308">
        <v>69</v>
      </c>
      <c r="AD120" s="1316">
        <v>69</v>
      </c>
      <c r="AE120" s="1316">
        <v>69</v>
      </c>
      <c r="AF120" s="1308">
        <v>69</v>
      </c>
      <c r="AG120" s="1598"/>
      <c r="AH120" s="84"/>
      <c r="AI120" s="85"/>
    </row>
    <row r="121" spans="1:35" ht="18" customHeight="1">
      <c r="A121" s="1597">
        <v>3</v>
      </c>
      <c r="B121" s="1519" t="s">
        <v>198</v>
      </c>
      <c r="C121" s="1308">
        <v>89</v>
      </c>
      <c r="D121" s="1308">
        <v>89</v>
      </c>
      <c r="E121" s="1599">
        <v>89</v>
      </c>
      <c r="F121" s="1311"/>
      <c r="G121" s="1308">
        <v>99</v>
      </c>
      <c r="H121" s="1308">
        <v>99</v>
      </c>
      <c r="I121" s="1308">
        <v>99</v>
      </c>
      <c r="J121" s="1316">
        <v>99</v>
      </c>
      <c r="K121" s="1308" t="s">
        <v>35</v>
      </c>
      <c r="L121" s="1316"/>
      <c r="M121" s="1311"/>
      <c r="N121" s="1308" t="s">
        <v>47</v>
      </c>
      <c r="O121" s="1308" t="s">
        <v>47</v>
      </c>
      <c r="P121" s="1308" t="s">
        <v>47</v>
      </c>
      <c r="Q121" s="1308" t="s">
        <v>47</v>
      </c>
      <c r="R121" s="1308" t="s">
        <v>47</v>
      </c>
      <c r="S121" s="1311"/>
      <c r="T121" s="1311"/>
      <c r="U121" s="1316">
        <v>69</v>
      </c>
      <c r="V121" s="1308">
        <v>69</v>
      </c>
      <c r="W121" s="1316">
        <v>69</v>
      </c>
      <c r="X121" s="1316">
        <v>69</v>
      </c>
      <c r="Y121" s="1316">
        <v>69</v>
      </c>
      <c r="Z121" s="1311"/>
      <c r="AA121" s="1311"/>
      <c r="AB121" s="1308">
        <v>79</v>
      </c>
      <c r="AC121" s="1308">
        <v>79</v>
      </c>
      <c r="AD121" s="1308">
        <v>79</v>
      </c>
      <c r="AE121" s="1308">
        <v>79</v>
      </c>
      <c r="AF121" s="1308">
        <v>79</v>
      </c>
      <c r="AG121" s="1469"/>
      <c r="AH121" s="83"/>
      <c r="AI121" s="76"/>
    </row>
    <row r="122" spans="1:35" ht="18" customHeight="1">
      <c r="A122" s="1597">
        <v>4</v>
      </c>
      <c r="B122" s="1519" t="s">
        <v>268</v>
      </c>
      <c r="C122" s="1308" t="s">
        <v>407</v>
      </c>
      <c r="D122" s="1520" t="s">
        <v>35</v>
      </c>
      <c r="E122" s="1520"/>
      <c r="F122" s="1311"/>
      <c r="G122" s="1308" t="s">
        <v>47</v>
      </c>
      <c r="H122" s="1308" t="s">
        <v>47</v>
      </c>
      <c r="I122" s="1308" t="s">
        <v>47</v>
      </c>
      <c r="J122" s="1308" t="s">
        <v>47</v>
      </c>
      <c r="K122" s="1308" t="s">
        <v>199</v>
      </c>
      <c r="L122" s="1311"/>
      <c r="M122" s="1311"/>
      <c r="N122" s="1308" t="s">
        <v>408</v>
      </c>
      <c r="O122" s="1520">
        <v>69</v>
      </c>
      <c r="P122" s="1520">
        <v>69</v>
      </c>
      <c r="Q122" s="1308" t="s">
        <v>408</v>
      </c>
      <c r="R122" s="1600">
        <v>69</v>
      </c>
      <c r="S122" s="1311"/>
      <c r="T122" s="1599"/>
      <c r="U122" s="1408">
        <v>79</v>
      </c>
      <c r="V122" s="1408">
        <v>79</v>
      </c>
      <c r="W122" s="1408">
        <v>79</v>
      </c>
      <c r="X122" s="1408">
        <v>79</v>
      </c>
      <c r="Y122" s="1408">
        <v>79</v>
      </c>
      <c r="Z122" s="1403"/>
      <c r="AA122" s="1403"/>
      <c r="AB122" s="1403">
        <v>89</v>
      </c>
      <c r="AC122" s="1403">
        <v>89</v>
      </c>
      <c r="AD122" s="1403">
        <v>89</v>
      </c>
      <c r="AE122" s="1346">
        <v>89</v>
      </c>
      <c r="AF122" s="1408">
        <v>89</v>
      </c>
      <c r="AG122" s="1601">
        <v>89</v>
      </c>
      <c r="AH122" s="83"/>
      <c r="AI122" s="76"/>
    </row>
    <row r="123" spans="1:35" ht="18" customHeight="1" thickBot="1">
      <c r="A123" s="1602">
        <v>5</v>
      </c>
      <c r="B123" s="1603" t="s">
        <v>361</v>
      </c>
      <c r="C123" s="1604" t="s">
        <v>47</v>
      </c>
      <c r="D123" s="1604" t="s">
        <v>47</v>
      </c>
      <c r="E123" s="1604"/>
      <c r="F123" s="1395"/>
      <c r="G123" s="1506">
        <v>69</v>
      </c>
      <c r="H123" s="1506">
        <v>69</v>
      </c>
      <c r="I123" s="1506">
        <v>69</v>
      </c>
      <c r="J123" s="1506">
        <v>69</v>
      </c>
      <c r="K123" s="1506">
        <v>69</v>
      </c>
      <c r="L123" s="1395"/>
      <c r="M123" s="1395"/>
      <c r="N123" s="1604">
        <v>79</v>
      </c>
      <c r="O123" s="1604">
        <v>79</v>
      </c>
      <c r="P123" s="1604">
        <v>79</v>
      </c>
      <c r="Q123" s="1604">
        <v>79</v>
      </c>
      <c r="R123" s="1604">
        <v>79</v>
      </c>
      <c r="S123" s="1395"/>
      <c r="T123" s="1605"/>
      <c r="U123" s="1604">
        <v>89</v>
      </c>
      <c r="V123" s="1604">
        <v>89</v>
      </c>
      <c r="W123" s="1604">
        <v>89</v>
      </c>
      <c r="X123" s="1604">
        <v>89</v>
      </c>
      <c r="Y123" s="1604">
        <v>89</v>
      </c>
      <c r="Z123" s="1606">
        <v>89</v>
      </c>
      <c r="AA123" s="1606"/>
      <c r="AB123" s="1604">
        <v>99</v>
      </c>
      <c r="AC123" s="1604">
        <v>99</v>
      </c>
      <c r="AD123" s="1604">
        <v>99</v>
      </c>
      <c r="AE123" s="1604">
        <v>99</v>
      </c>
      <c r="AF123" s="1604" t="s">
        <v>35</v>
      </c>
      <c r="AG123" s="1607"/>
      <c r="AH123" s="83"/>
      <c r="AI123" s="76"/>
    </row>
    <row r="124" spans="1:35" ht="18" customHeight="1">
      <c r="A124" s="36"/>
      <c r="B124" s="87"/>
      <c r="C124" s="38"/>
      <c r="D124" s="38"/>
      <c r="E124" s="38"/>
      <c r="F124" s="38"/>
      <c r="G124" s="38"/>
      <c r="H124" s="38"/>
      <c r="I124" s="38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76"/>
      <c r="AI124" s="76"/>
    </row>
    <row r="125" spans="1:35" ht="18" customHeight="1" thickBot="1">
      <c r="A125" s="77" t="s">
        <v>202</v>
      </c>
      <c r="B125" s="78"/>
      <c r="C125" s="78"/>
      <c r="D125" s="79"/>
      <c r="E125" s="79"/>
      <c r="F125" s="79"/>
      <c r="G125" s="80"/>
      <c r="H125" s="79"/>
      <c r="I125" s="79"/>
      <c r="J125" s="79"/>
      <c r="K125" s="79"/>
      <c r="L125" s="79"/>
      <c r="M125" s="79"/>
      <c r="N125" s="79"/>
      <c r="O125" s="79"/>
      <c r="P125" s="79"/>
      <c r="Q125" s="79"/>
      <c r="R125" s="79"/>
      <c r="S125" s="79"/>
      <c r="T125" s="79"/>
      <c r="U125" s="79"/>
      <c r="V125" s="79"/>
      <c r="W125" s="79"/>
      <c r="X125" s="79"/>
      <c r="Y125" s="79"/>
      <c r="Z125" s="79"/>
      <c r="AA125" s="79"/>
      <c r="AB125" s="79"/>
      <c r="AC125" s="79"/>
      <c r="AD125" s="79"/>
      <c r="AE125" s="79"/>
      <c r="AF125" s="79"/>
      <c r="AG125" s="79"/>
      <c r="AH125" s="78"/>
      <c r="AI125" s="78"/>
    </row>
    <row r="126" spans="1:35" ht="18" customHeight="1">
      <c r="A126" s="77"/>
      <c r="B126" s="900" t="s">
        <v>186</v>
      </c>
      <c r="C126" s="924"/>
      <c r="D126" s="925" t="s">
        <v>87</v>
      </c>
      <c r="E126" s="926"/>
      <c r="F126" s="927"/>
      <c r="G126" s="924"/>
      <c r="H126" s="925" t="s">
        <v>88</v>
      </c>
      <c r="I126" s="926"/>
      <c r="J126" s="927"/>
      <c r="K126" s="924"/>
      <c r="L126" s="925" t="s">
        <v>89</v>
      </c>
      <c r="M126" s="926"/>
      <c r="N126" s="927"/>
      <c r="O126" s="924"/>
      <c r="P126" s="925" t="s">
        <v>90</v>
      </c>
      <c r="Q126" s="926"/>
      <c r="R126" s="927"/>
      <c r="S126" s="924"/>
      <c r="T126" s="925" t="s">
        <v>91</v>
      </c>
      <c r="U126" s="926"/>
      <c r="V126" s="927"/>
      <c r="W126" s="924"/>
      <c r="X126" s="925" t="s">
        <v>92</v>
      </c>
      <c r="Y126" s="926"/>
      <c r="Z126" s="927"/>
      <c r="AA126" s="924"/>
      <c r="AB126" s="925" t="s">
        <v>93</v>
      </c>
      <c r="AC126" s="926"/>
      <c r="AD126" s="926"/>
      <c r="AE126" s="928" t="s">
        <v>94</v>
      </c>
      <c r="AF126" s="926"/>
      <c r="AG126" s="926"/>
      <c r="AH126" s="926"/>
      <c r="AI126" s="929"/>
    </row>
    <row r="127" spans="1:35" ht="18" customHeight="1">
      <c r="A127" s="77"/>
      <c r="B127" s="1573" t="s">
        <v>203</v>
      </c>
      <c r="C127" s="1475" t="s">
        <v>204</v>
      </c>
      <c r="D127" s="1575"/>
      <c r="E127" s="1575"/>
      <c r="F127" s="1576"/>
      <c r="G127" s="1475" t="s">
        <v>204</v>
      </c>
      <c r="H127" s="1575"/>
      <c r="I127" s="1575"/>
      <c r="J127" s="1576"/>
      <c r="K127" s="1475" t="s">
        <v>204</v>
      </c>
      <c r="L127" s="1575"/>
      <c r="M127" s="1575"/>
      <c r="N127" s="1576"/>
      <c r="O127" s="1475" t="s">
        <v>204</v>
      </c>
      <c r="P127" s="1575"/>
      <c r="Q127" s="1575"/>
      <c r="R127" s="1576"/>
      <c r="S127" s="1475" t="s">
        <v>204</v>
      </c>
      <c r="T127" s="1575"/>
      <c r="U127" s="1575"/>
      <c r="V127" s="1576"/>
      <c r="W127" s="1475" t="s">
        <v>205</v>
      </c>
      <c r="X127" s="1577"/>
      <c r="Y127" s="1577"/>
      <c r="Z127" s="1578"/>
      <c r="AA127" s="1475" t="s">
        <v>205</v>
      </c>
      <c r="AB127" s="1575"/>
      <c r="AC127" s="1575"/>
      <c r="AD127" s="1476"/>
      <c r="AE127" s="1579">
        <v>68</v>
      </c>
      <c r="AF127" s="88"/>
      <c r="AG127" s="88"/>
      <c r="AH127" s="88"/>
      <c r="AI127" s="89"/>
    </row>
    <row r="128" spans="1:35" ht="18" customHeight="1">
      <c r="A128" s="77"/>
      <c r="B128" s="1573" t="s">
        <v>163</v>
      </c>
      <c r="C128" s="1475" t="s">
        <v>172</v>
      </c>
      <c r="D128" s="1575"/>
      <c r="E128" s="1575"/>
      <c r="F128" s="1576"/>
      <c r="G128" s="1475" t="s">
        <v>172</v>
      </c>
      <c r="H128" s="1575"/>
      <c r="I128" s="1575"/>
      <c r="J128" s="1576"/>
      <c r="K128" s="1475" t="s">
        <v>172</v>
      </c>
      <c r="L128" s="1575"/>
      <c r="M128" s="1575"/>
      <c r="N128" s="1576"/>
      <c r="O128" s="1475" t="s">
        <v>172</v>
      </c>
      <c r="P128" s="1575"/>
      <c r="Q128" s="1575"/>
      <c r="R128" s="1576"/>
      <c r="S128" s="1475" t="s">
        <v>172</v>
      </c>
      <c r="T128" s="1575"/>
      <c r="U128" s="1575"/>
      <c r="V128" s="1576"/>
      <c r="W128" s="1475" t="s">
        <v>172</v>
      </c>
      <c r="X128" s="1575"/>
      <c r="Y128" s="1575"/>
      <c r="Z128" s="1576"/>
      <c r="AA128" s="1575" t="s">
        <v>172</v>
      </c>
      <c r="AB128" s="1575"/>
      <c r="AC128" s="1575"/>
      <c r="AD128" s="1476"/>
      <c r="AE128" s="1579">
        <v>0</v>
      </c>
      <c r="AF128" s="88"/>
      <c r="AG128" s="88"/>
      <c r="AH128" s="88"/>
      <c r="AI128" s="89"/>
    </row>
    <row r="129" spans="1:35" ht="18" customHeight="1">
      <c r="A129" s="77"/>
      <c r="B129" s="1573" t="s">
        <v>206</v>
      </c>
      <c r="C129" s="1475" t="s">
        <v>204</v>
      </c>
      <c r="D129" s="1575"/>
      <c r="E129" s="1575"/>
      <c r="F129" s="1576"/>
      <c r="G129" s="1475" t="s">
        <v>204</v>
      </c>
      <c r="H129" s="1575"/>
      <c r="I129" s="1575"/>
      <c r="J129" s="1576"/>
      <c r="K129" s="1475" t="s">
        <v>204</v>
      </c>
      <c r="L129" s="1575"/>
      <c r="M129" s="1575"/>
      <c r="N129" s="1576"/>
      <c r="O129" s="1475" t="s">
        <v>204</v>
      </c>
      <c r="P129" s="1575"/>
      <c r="Q129" s="1575"/>
      <c r="R129" s="1576"/>
      <c r="S129" s="1475" t="s">
        <v>204</v>
      </c>
      <c r="T129" s="1575"/>
      <c r="U129" s="1575"/>
      <c r="V129" s="1576"/>
      <c r="W129" s="1475" t="s">
        <v>205</v>
      </c>
      <c r="X129" s="1577"/>
      <c r="Y129" s="1577"/>
      <c r="Z129" s="1578"/>
      <c r="AA129" s="1475" t="s">
        <v>205</v>
      </c>
      <c r="AB129" s="1575"/>
      <c r="AC129" s="1575"/>
      <c r="AD129" s="1476"/>
      <c r="AE129" s="1579">
        <v>68</v>
      </c>
      <c r="AF129" s="1575"/>
      <c r="AG129" s="1575" t="s">
        <v>0</v>
      </c>
      <c r="AH129" s="1476"/>
      <c r="AI129" s="1580"/>
    </row>
    <row r="130" spans="1:35" ht="18" customHeight="1">
      <c r="A130" s="77"/>
      <c r="B130" s="1573" t="s">
        <v>173</v>
      </c>
      <c r="C130" s="1475" t="s">
        <v>172</v>
      </c>
      <c r="D130" s="1575"/>
      <c r="E130" s="1575"/>
      <c r="F130" s="1576"/>
      <c r="G130" s="1475" t="s">
        <v>172</v>
      </c>
      <c r="H130" s="1575"/>
      <c r="I130" s="1575"/>
      <c r="J130" s="1576"/>
      <c r="K130" s="1475" t="s">
        <v>172</v>
      </c>
      <c r="L130" s="1575"/>
      <c r="M130" s="1575"/>
      <c r="N130" s="1576"/>
      <c r="O130" s="1475" t="s">
        <v>172</v>
      </c>
      <c r="P130" s="1575"/>
      <c r="Q130" s="1575"/>
      <c r="R130" s="1576"/>
      <c r="S130" s="1475" t="s">
        <v>172</v>
      </c>
      <c r="T130" s="1575"/>
      <c r="U130" s="1575"/>
      <c r="V130" s="1576"/>
      <c r="W130" s="1475" t="s">
        <v>172</v>
      </c>
      <c r="X130" s="1575"/>
      <c r="Y130" s="1575"/>
      <c r="Z130" s="1576"/>
      <c r="AA130" s="1575" t="s">
        <v>172</v>
      </c>
      <c r="AB130" s="1575"/>
      <c r="AC130" s="1575"/>
      <c r="AD130" s="1476"/>
      <c r="AE130" s="1579">
        <v>0</v>
      </c>
      <c r="AF130" s="1575"/>
      <c r="AG130" s="1575"/>
      <c r="AH130" s="1476"/>
      <c r="AI130" s="1580"/>
    </row>
    <row r="131" spans="1:35" ht="18" customHeight="1">
      <c r="A131" s="77"/>
      <c r="B131" s="1573" t="s">
        <v>207</v>
      </c>
      <c r="C131" s="1475" t="s">
        <v>204</v>
      </c>
      <c r="D131" s="1575"/>
      <c r="E131" s="1575"/>
      <c r="F131" s="1576"/>
      <c r="G131" s="1475" t="s">
        <v>204</v>
      </c>
      <c r="H131" s="1575"/>
      <c r="I131" s="1575"/>
      <c r="J131" s="1576"/>
      <c r="K131" s="1475" t="s">
        <v>204</v>
      </c>
      <c r="L131" s="1575"/>
      <c r="M131" s="1575"/>
      <c r="N131" s="1576"/>
      <c r="O131" s="1475" t="s">
        <v>204</v>
      </c>
      <c r="P131" s="1575"/>
      <c r="Q131" s="1575"/>
      <c r="R131" s="1576"/>
      <c r="S131" s="1475" t="s">
        <v>204</v>
      </c>
      <c r="T131" s="1575"/>
      <c r="U131" s="1575"/>
      <c r="V131" s="1576"/>
      <c r="W131" s="1475" t="s">
        <v>208</v>
      </c>
      <c r="X131" s="1582"/>
      <c r="Y131" s="1582"/>
      <c r="Z131" s="1583"/>
      <c r="AA131" s="1475" t="s">
        <v>208</v>
      </c>
      <c r="AB131" s="1582"/>
      <c r="AC131" s="1582"/>
      <c r="AD131" s="1478"/>
      <c r="AE131" s="1579">
        <v>66</v>
      </c>
      <c r="AF131" s="1575"/>
      <c r="AG131" s="1575"/>
      <c r="AH131" s="1476"/>
      <c r="AI131" s="1580"/>
    </row>
    <row r="132" spans="1:35" ht="18" customHeight="1" thickBot="1">
      <c r="A132" s="77"/>
      <c r="B132" s="1573" t="s">
        <v>209</v>
      </c>
      <c r="C132" s="1608" t="s">
        <v>172</v>
      </c>
      <c r="D132" s="1609"/>
      <c r="E132" s="1609"/>
      <c r="F132" s="1610"/>
      <c r="G132" s="1608" t="s">
        <v>172</v>
      </c>
      <c r="H132" s="1609"/>
      <c r="I132" s="1609"/>
      <c r="J132" s="1610"/>
      <c r="K132" s="1608" t="s">
        <v>172</v>
      </c>
      <c r="L132" s="1609"/>
      <c r="M132" s="1609"/>
      <c r="N132" s="1610"/>
      <c r="O132" s="1608" t="s">
        <v>172</v>
      </c>
      <c r="P132" s="1609"/>
      <c r="Q132" s="1609"/>
      <c r="R132" s="1610"/>
      <c r="S132" s="1608" t="s">
        <v>172</v>
      </c>
      <c r="T132" s="1609"/>
      <c r="U132" s="1609"/>
      <c r="V132" s="1594"/>
      <c r="W132" s="1608" t="s">
        <v>172</v>
      </c>
      <c r="X132" s="1594"/>
      <c r="Y132" s="1609"/>
      <c r="Z132" s="1610"/>
      <c r="AA132" s="1608" t="s">
        <v>172</v>
      </c>
      <c r="AB132" s="1594"/>
      <c r="AC132" s="1609"/>
      <c r="AD132" s="1610"/>
      <c r="AE132" s="1611" t="s">
        <v>210</v>
      </c>
      <c r="AF132" s="1609"/>
      <c r="AG132" s="1609"/>
      <c r="AH132" s="1594"/>
      <c r="AI132" s="1595"/>
    </row>
    <row r="133" spans="1:35" ht="18" customHeight="1">
      <c r="A133" s="82"/>
      <c r="B133" s="77"/>
      <c r="C133" s="79"/>
      <c r="D133" s="79"/>
      <c r="E133" s="79"/>
      <c r="F133" s="79"/>
      <c r="G133" s="79"/>
      <c r="H133" s="79"/>
      <c r="I133" s="79"/>
      <c r="J133" s="79"/>
      <c r="K133" s="79"/>
      <c r="L133" s="79"/>
      <c r="M133" s="79"/>
      <c r="N133" s="79"/>
      <c r="O133" s="79"/>
      <c r="P133" s="79"/>
      <c r="Q133" s="79"/>
      <c r="R133" s="79"/>
      <c r="S133" s="79"/>
      <c r="T133" s="79"/>
      <c r="U133" s="79"/>
      <c r="V133" s="79"/>
      <c r="W133" s="79"/>
      <c r="X133" s="79"/>
      <c r="Y133" s="79"/>
      <c r="Z133" s="79"/>
      <c r="AA133" s="79"/>
      <c r="AB133" s="79"/>
      <c r="AC133" s="79"/>
      <c r="AD133" s="79"/>
      <c r="AE133" s="79"/>
      <c r="AF133" s="79"/>
      <c r="AG133" s="79"/>
      <c r="AH133" s="78"/>
      <c r="AI133" s="78"/>
    </row>
    <row r="134" spans="1:35" ht="18" customHeight="1" thickBot="1">
      <c r="A134" s="1479"/>
      <c r="B134" s="1456" t="s">
        <v>29</v>
      </c>
      <c r="C134" s="1395">
        <v>1</v>
      </c>
      <c r="D134" s="1395">
        <v>2</v>
      </c>
      <c r="E134" s="1396">
        <v>3</v>
      </c>
      <c r="F134" s="1396">
        <v>4</v>
      </c>
      <c r="G134" s="1395">
        <v>5</v>
      </c>
      <c r="H134" s="1395">
        <v>6</v>
      </c>
      <c r="I134" s="1395">
        <v>7</v>
      </c>
      <c r="J134" s="1395">
        <v>8</v>
      </c>
      <c r="K134" s="1395">
        <v>9</v>
      </c>
      <c r="L134" s="1396">
        <v>10</v>
      </c>
      <c r="M134" s="1396">
        <v>11</v>
      </c>
      <c r="N134" s="1395">
        <v>12</v>
      </c>
      <c r="O134" s="1395">
        <v>13</v>
      </c>
      <c r="P134" s="1395">
        <v>14</v>
      </c>
      <c r="Q134" s="1395">
        <v>15</v>
      </c>
      <c r="R134" s="1395">
        <v>16</v>
      </c>
      <c r="S134" s="1396">
        <v>17</v>
      </c>
      <c r="T134" s="1396">
        <v>18</v>
      </c>
      <c r="U134" s="1395">
        <v>19</v>
      </c>
      <c r="V134" s="1395">
        <v>20</v>
      </c>
      <c r="W134" s="1395">
        <v>21</v>
      </c>
      <c r="X134" s="1395">
        <v>22</v>
      </c>
      <c r="Y134" s="1395">
        <v>23</v>
      </c>
      <c r="Z134" s="1396">
        <v>24</v>
      </c>
      <c r="AA134" s="1396">
        <v>25</v>
      </c>
      <c r="AB134" s="1395">
        <v>26</v>
      </c>
      <c r="AC134" s="1395">
        <v>27</v>
      </c>
      <c r="AD134" s="1395">
        <v>28</v>
      </c>
      <c r="AE134" s="1395">
        <v>29</v>
      </c>
      <c r="AF134" s="1395">
        <v>30</v>
      </c>
      <c r="AG134" s="1397">
        <v>31</v>
      </c>
      <c r="AH134" s="23"/>
      <c r="AI134" s="24"/>
    </row>
    <row r="135" spans="1:35" ht="18" customHeight="1">
      <c r="A135" s="970">
        <v>1</v>
      </c>
      <c r="B135" s="1508" t="s">
        <v>386</v>
      </c>
      <c r="C135" s="1053" t="s">
        <v>35</v>
      </c>
      <c r="D135" s="1053" t="s">
        <v>35</v>
      </c>
      <c r="E135" s="1053"/>
      <c r="F135" s="1053"/>
      <c r="G135" s="971">
        <v>23</v>
      </c>
      <c r="H135" s="1053">
        <v>23</v>
      </c>
      <c r="I135" s="972">
        <v>23</v>
      </c>
      <c r="J135" s="971">
        <v>23</v>
      </c>
      <c r="K135" s="1053">
        <v>23</v>
      </c>
      <c r="L135" s="972">
        <v>23</v>
      </c>
      <c r="M135" s="971">
        <v>23</v>
      </c>
      <c r="N135" s="971" t="s">
        <v>35</v>
      </c>
      <c r="O135" s="1053" t="s">
        <v>35</v>
      </c>
      <c r="P135" s="1053" t="s">
        <v>35</v>
      </c>
      <c r="Q135" s="1053" t="s">
        <v>35</v>
      </c>
      <c r="R135" s="1053" t="s">
        <v>35</v>
      </c>
      <c r="S135" s="1053"/>
      <c r="T135" s="1053"/>
      <c r="U135" s="1032">
        <v>21</v>
      </c>
      <c r="V135" s="1032">
        <v>21</v>
      </c>
      <c r="W135" s="1032">
        <v>21</v>
      </c>
      <c r="X135" s="1032">
        <v>21</v>
      </c>
      <c r="Y135" s="1032">
        <v>21</v>
      </c>
      <c r="Z135" s="1032">
        <v>21</v>
      </c>
      <c r="AA135" s="1032">
        <v>21</v>
      </c>
      <c r="AB135" s="1032" t="s">
        <v>35</v>
      </c>
      <c r="AC135" s="1032" t="s">
        <v>35</v>
      </c>
      <c r="AD135" s="1032" t="s">
        <v>35</v>
      </c>
      <c r="AE135" s="1032" t="s">
        <v>35</v>
      </c>
      <c r="AF135" s="1032" t="s">
        <v>35</v>
      </c>
      <c r="AG135" s="1612"/>
      <c r="AH135" s="76"/>
      <c r="AI135" s="76"/>
    </row>
    <row r="136" spans="1:35" ht="18" customHeight="1">
      <c r="A136" s="1613">
        <v>2</v>
      </c>
      <c r="B136" s="1420" t="s">
        <v>212</v>
      </c>
      <c r="C136" s="1237" t="s">
        <v>35</v>
      </c>
      <c r="D136" s="1237" t="s">
        <v>35</v>
      </c>
      <c r="E136" s="1237"/>
      <c r="F136" s="1237"/>
      <c r="G136" s="1237">
        <v>21</v>
      </c>
      <c r="H136" s="1237">
        <v>21</v>
      </c>
      <c r="I136" s="1483">
        <v>21</v>
      </c>
      <c r="J136" s="1237">
        <v>21</v>
      </c>
      <c r="K136" s="1237">
        <v>21</v>
      </c>
      <c r="L136" s="1483">
        <v>21</v>
      </c>
      <c r="M136" s="1237">
        <v>21</v>
      </c>
      <c r="N136" s="1237" t="s">
        <v>35</v>
      </c>
      <c r="O136" s="1237" t="s">
        <v>35</v>
      </c>
      <c r="P136" s="1237" t="s">
        <v>35</v>
      </c>
      <c r="Q136" s="1237" t="s">
        <v>35</v>
      </c>
      <c r="R136" s="1237" t="s">
        <v>35</v>
      </c>
      <c r="S136" s="1237"/>
      <c r="T136" s="1425"/>
      <c r="U136" s="1425">
        <v>22</v>
      </c>
      <c r="V136" s="1425">
        <v>22</v>
      </c>
      <c r="W136" s="1483">
        <v>22</v>
      </c>
      <c r="X136" s="1237">
        <v>22</v>
      </c>
      <c r="Y136" s="1237">
        <v>22</v>
      </c>
      <c r="Z136" s="1483">
        <v>22</v>
      </c>
      <c r="AA136" s="1237">
        <v>22</v>
      </c>
      <c r="AB136" s="1237" t="s">
        <v>35</v>
      </c>
      <c r="AC136" s="1237" t="s">
        <v>35</v>
      </c>
      <c r="AD136" s="1237" t="s">
        <v>35</v>
      </c>
      <c r="AE136" s="1237" t="s">
        <v>35</v>
      </c>
      <c r="AF136" s="1237" t="s">
        <v>35</v>
      </c>
      <c r="AG136" s="1614"/>
      <c r="AH136" s="76"/>
      <c r="AI136" s="76"/>
    </row>
    <row r="137" spans="1:35" ht="18" customHeight="1">
      <c r="A137" s="1613">
        <v>3</v>
      </c>
      <c r="B137" s="1420" t="s">
        <v>365</v>
      </c>
      <c r="C137" s="1237" t="s">
        <v>35</v>
      </c>
      <c r="D137" s="1237" t="s">
        <v>35</v>
      </c>
      <c r="E137" s="1237"/>
      <c r="F137" s="1237"/>
      <c r="G137" s="1425">
        <v>22</v>
      </c>
      <c r="H137" s="1425">
        <v>22</v>
      </c>
      <c r="I137" s="1483">
        <v>22</v>
      </c>
      <c r="J137" s="1237">
        <v>22</v>
      </c>
      <c r="K137" s="1237">
        <v>22</v>
      </c>
      <c r="L137" s="1483">
        <v>22</v>
      </c>
      <c r="M137" s="1237">
        <v>22</v>
      </c>
      <c r="N137" s="1237" t="s">
        <v>35</v>
      </c>
      <c r="O137" s="1237" t="s">
        <v>35</v>
      </c>
      <c r="P137" s="1237" t="s">
        <v>35</v>
      </c>
      <c r="Q137" s="1237" t="s">
        <v>35</v>
      </c>
      <c r="R137" s="1237" t="s">
        <v>35</v>
      </c>
      <c r="S137" s="1237"/>
      <c r="T137" s="1237"/>
      <c r="U137" s="1428">
        <v>23</v>
      </c>
      <c r="V137" s="1428">
        <v>23</v>
      </c>
      <c r="W137" s="1428">
        <v>23</v>
      </c>
      <c r="X137" s="1428">
        <v>23</v>
      </c>
      <c r="Y137" s="1428">
        <v>23</v>
      </c>
      <c r="Z137" s="1428">
        <v>23</v>
      </c>
      <c r="AA137" s="1428">
        <v>23</v>
      </c>
      <c r="AB137" s="1237" t="s">
        <v>35</v>
      </c>
      <c r="AC137" s="1237" t="s">
        <v>35</v>
      </c>
      <c r="AD137" s="1237" t="s">
        <v>35</v>
      </c>
      <c r="AE137" s="1237" t="s">
        <v>35</v>
      </c>
      <c r="AF137" s="1237" t="s">
        <v>35</v>
      </c>
      <c r="AG137" s="1614"/>
      <c r="AH137" s="76"/>
      <c r="AI137" s="76"/>
    </row>
    <row r="138" spans="1:35" ht="18" customHeight="1">
      <c r="A138" s="1613">
        <v>4</v>
      </c>
      <c r="B138" s="1420" t="s">
        <v>366</v>
      </c>
      <c r="C138" s="1428">
        <v>22</v>
      </c>
      <c r="D138" s="1428">
        <v>22</v>
      </c>
      <c r="E138" s="1428">
        <v>22</v>
      </c>
      <c r="F138" s="1428">
        <v>22</v>
      </c>
      <c r="G138" s="1428" t="s">
        <v>35</v>
      </c>
      <c r="H138" s="1428" t="s">
        <v>35</v>
      </c>
      <c r="I138" s="1428" t="s">
        <v>35</v>
      </c>
      <c r="J138" s="1428" t="s">
        <v>35</v>
      </c>
      <c r="K138" s="1428" t="s">
        <v>35</v>
      </c>
      <c r="L138" s="1428"/>
      <c r="M138" s="1428"/>
      <c r="N138" s="1428">
        <v>23</v>
      </c>
      <c r="O138" s="1428">
        <v>23</v>
      </c>
      <c r="P138" s="1428">
        <v>23</v>
      </c>
      <c r="Q138" s="1428">
        <v>23</v>
      </c>
      <c r="R138" s="1428">
        <v>23</v>
      </c>
      <c r="S138" s="1428">
        <v>23</v>
      </c>
      <c r="T138" s="1428">
        <v>23</v>
      </c>
      <c r="U138" s="1237" t="s">
        <v>35</v>
      </c>
      <c r="V138" s="1237" t="s">
        <v>35</v>
      </c>
      <c r="W138" s="1237" t="s">
        <v>35</v>
      </c>
      <c r="X138" s="1237" t="s">
        <v>35</v>
      </c>
      <c r="Y138" s="1237" t="s">
        <v>35</v>
      </c>
      <c r="Z138" s="1237"/>
      <c r="AA138" s="1237"/>
      <c r="AB138" s="1237">
        <v>21</v>
      </c>
      <c r="AC138" s="1237">
        <v>21</v>
      </c>
      <c r="AD138" s="1483">
        <v>21</v>
      </c>
      <c r="AE138" s="1432">
        <v>21</v>
      </c>
      <c r="AF138" s="1432">
        <v>21</v>
      </c>
      <c r="AG138" s="1615">
        <v>21</v>
      </c>
      <c r="AH138" s="76"/>
      <c r="AI138" s="76"/>
    </row>
    <row r="139" spans="1:35" ht="18" customHeight="1">
      <c r="A139" s="1613">
        <v>5</v>
      </c>
      <c r="B139" s="1486" t="s">
        <v>367</v>
      </c>
      <c r="C139" s="1341">
        <v>23</v>
      </c>
      <c r="D139" s="1341">
        <v>23</v>
      </c>
      <c r="E139" s="1341">
        <v>23</v>
      </c>
      <c r="F139" s="1341">
        <v>23</v>
      </c>
      <c r="G139" s="1341" t="s">
        <v>35</v>
      </c>
      <c r="H139" s="1341" t="s">
        <v>35</v>
      </c>
      <c r="I139" s="1341" t="s">
        <v>35</v>
      </c>
      <c r="J139" s="1341" t="s">
        <v>35</v>
      </c>
      <c r="K139" s="1341" t="s">
        <v>35</v>
      </c>
      <c r="L139" s="1341"/>
      <c r="M139" s="1341"/>
      <c r="N139" s="1341">
        <v>21</v>
      </c>
      <c r="O139" s="1341">
        <v>21</v>
      </c>
      <c r="P139" s="1341">
        <v>21</v>
      </c>
      <c r="Q139" s="1341">
        <v>21</v>
      </c>
      <c r="R139" s="1341">
        <v>21</v>
      </c>
      <c r="S139" s="1341">
        <v>21</v>
      </c>
      <c r="T139" s="1341">
        <v>21</v>
      </c>
      <c r="U139" s="1237" t="s">
        <v>35</v>
      </c>
      <c r="V139" s="1237" t="s">
        <v>35</v>
      </c>
      <c r="W139" s="1237" t="s">
        <v>35</v>
      </c>
      <c r="X139" s="1237" t="s">
        <v>35</v>
      </c>
      <c r="Y139" s="1421">
        <v>23</v>
      </c>
      <c r="Z139" s="1421">
        <v>23</v>
      </c>
      <c r="AA139" s="1421">
        <v>23</v>
      </c>
      <c r="AB139" s="1237">
        <v>22</v>
      </c>
      <c r="AC139" s="1425">
        <v>22</v>
      </c>
      <c r="AD139" s="1425">
        <v>22</v>
      </c>
      <c r="AE139" s="1425">
        <v>22</v>
      </c>
      <c r="AF139" s="1237">
        <v>22</v>
      </c>
      <c r="AG139" s="1615">
        <v>22</v>
      </c>
      <c r="AH139" s="76"/>
      <c r="AI139" s="76"/>
    </row>
    <row r="140" spans="1:35" ht="18" customHeight="1" thickBot="1">
      <c r="A140" s="405">
        <v>6</v>
      </c>
      <c r="B140" s="406" t="s">
        <v>217</v>
      </c>
      <c r="C140" s="426">
        <v>21</v>
      </c>
      <c r="D140" s="426">
        <v>21</v>
      </c>
      <c r="E140" s="426">
        <v>21</v>
      </c>
      <c r="F140" s="426">
        <v>21</v>
      </c>
      <c r="G140" s="426" t="s">
        <v>35</v>
      </c>
      <c r="H140" s="426" t="s">
        <v>35</v>
      </c>
      <c r="I140" s="426" t="s">
        <v>35</v>
      </c>
      <c r="J140" s="426" t="s">
        <v>35</v>
      </c>
      <c r="K140" s="426" t="s">
        <v>35</v>
      </c>
      <c r="L140" s="426"/>
      <c r="M140" s="426"/>
      <c r="N140" s="426">
        <v>22</v>
      </c>
      <c r="O140" s="426">
        <v>22</v>
      </c>
      <c r="P140" s="426">
        <v>22</v>
      </c>
      <c r="Q140" s="426">
        <v>22</v>
      </c>
      <c r="R140" s="426">
        <v>22</v>
      </c>
      <c r="S140" s="426">
        <v>22</v>
      </c>
      <c r="T140" s="426">
        <v>22</v>
      </c>
      <c r="U140" s="418" t="s">
        <v>35</v>
      </c>
      <c r="V140" s="418" t="s">
        <v>35</v>
      </c>
      <c r="W140" s="418" t="s">
        <v>35</v>
      </c>
      <c r="X140" s="418" t="s">
        <v>35</v>
      </c>
      <c r="Y140" s="418" t="s">
        <v>35</v>
      </c>
      <c r="Z140" s="418"/>
      <c r="AA140" s="418"/>
      <c r="AB140" s="407">
        <v>23</v>
      </c>
      <c r="AC140" s="407">
        <v>23</v>
      </c>
      <c r="AD140" s="407">
        <v>23</v>
      </c>
      <c r="AE140" s="407">
        <v>23</v>
      </c>
      <c r="AF140" s="407">
        <v>23</v>
      </c>
      <c r="AG140" s="283">
        <v>23</v>
      </c>
      <c r="AH140" s="76"/>
      <c r="AI140" s="76"/>
    </row>
    <row r="141" spans="1:35" ht="18" customHeight="1">
      <c r="A141" s="36"/>
      <c r="B141" s="87"/>
      <c r="C141" s="91"/>
      <c r="D141" s="91"/>
      <c r="E141" s="85"/>
      <c r="F141" s="91"/>
      <c r="G141" s="91"/>
      <c r="H141" s="91"/>
      <c r="I141" s="91"/>
      <c r="J141" s="91"/>
      <c r="K141" s="91"/>
      <c r="L141" s="91"/>
      <c r="M141" s="91"/>
      <c r="N141" s="91"/>
      <c r="O141" s="91"/>
      <c r="P141" s="85"/>
      <c r="Q141" s="91"/>
      <c r="R141" s="91"/>
      <c r="S141" s="85"/>
      <c r="T141" s="91"/>
      <c r="U141" s="91"/>
      <c r="V141" s="91"/>
      <c r="W141" s="91"/>
      <c r="X141" s="91"/>
      <c r="Y141" s="91"/>
      <c r="Z141" s="91"/>
      <c r="AA141" s="91"/>
      <c r="AB141" s="91"/>
      <c r="AC141" s="92"/>
      <c r="AD141" s="92"/>
      <c r="AE141" s="92"/>
      <c r="AF141" s="91"/>
      <c r="AG141" s="85"/>
      <c r="AH141" s="76"/>
      <c r="AI141" s="76"/>
    </row>
    <row r="142" spans="1:35" ht="18" customHeight="1" thickBot="1">
      <c r="A142" s="14" t="s">
        <v>218</v>
      </c>
      <c r="D142" s="17"/>
      <c r="E142" s="17"/>
      <c r="F142" s="17"/>
      <c r="G142" s="80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</row>
    <row r="143" spans="1:35" ht="18" customHeight="1">
      <c r="A143" s="1"/>
      <c r="B143" s="900" t="s">
        <v>186</v>
      </c>
      <c r="C143" s="901"/>
      <c r="D143" s="925" t="s">
        <v>87</v>
      </c>
      <c r="E143" s="705"/>
      <c r="F143" s="905"/>
      <c r="G143" s="901"/>
      <c r="H143" s="925" t="s">
        <v>88</v>
      </c>
      <c r="I143" s="705"/>
      <c r="J143" s="905"/>
      <c r="K143" s="901"/>
      <c r="L143" s="925" t="s">
        <v>89</v>
      </c>
      <c r="M143" s="705"/>
      <c r="N143" s="905"/>
      <c r="O143" s="901"/>
      <c r="P143" s="925" t="s">
        <v>90</v>
      </c>
      <c r="Q143" s="705"/>
      <c r="R143" s="905"/>
      <c r="S143" s="901"/>
      <c r="T143" s="925" t="s">
        <v>91</v>
      </c>
      <c r="U143" s="705"/>
      <c r="V143" s="905"/>
      <c r="W143" s="901"/>
      <c r="X143" s="925" t="s">
        <v>92</v>
      </c>
      <c r="Y143" s="705"/>
      <c r="Z143" s="905"/>
      <c r="AA143" s="901"/>
      <c r="AB143" s="925" t="s">
        <v>93</v>
      </c>
      <c r="AC143" s="705"/>
      <c r="AD143" s="705"/>
      <c r="AE143" s="928" t="s">
        <v>94</v>
      </c>
      <c r="AF143" s="705"/>
      <c r="AG143" s="705"/>
      <c r="AH143" s="705"/>
      <c r="AI143" s="706"/>
    </row>
    <row r="144" spans="1:35" ht="18" customHeight="1">
      <c r="A144" s="1"/>
      <c r="B144" s="1573" t="s">
        <v>159</v>
      </c>
      <c r="C144" s="1475" t="s">
        <v>368</v>
      </c>
      <c r="D144" s="1377"/>
      <c r="E144" s="1377"/>
      <c r="F144" s="1576"/>
      <c r="G144" s="1475" t="s">
        <v>368</v>
      </c>
      <c r="H144" s="1377"/>
      <c r="I144" s="1377"/>
      <c r="J144" s="1576"/>
      <c r="K144" s="1475" t="s">
        <v>368</v>
      </c>
      <c r="L144" s="1377"/>
      <c r="M144" s="1377"/>
      <c r="N144" s="1576"/>
      <c r="O144" s="1475" t="s">
        <v>195</v>
      </c>
      <c r="P144" s="1377"/>
      <c r="Q144" s="1377"/>
      <c r="R144" s="1576"/>
      <c r="S144" s="1475" t="s">
        <v>172</v>
      </c>
      <c r="T144" s="1377"/>
      <c r="U144" s="1377"/>
      <c r="V144" s="1576"/>
      <c r="W144" s="1616"/>
      <c r="X144" s="1617"/>
      <c r="Y144" s="1617"/>
      <c r="Z144" s="1578"/>
      <c r="AA144" s="1574"/>
      <c r="AB144" s="1377"/>
      <c r="AC144" s="1377"/>
      <c r="AD144" s="1476"/>
      <c r="AE144" s="1579">
        <v>27</v>
      </c>
      <c r="AF144" s="1377"/>
      <c r="AG144" s="1377"/>
      <c r="AH144" s="1476"/>
      <c r="AI144" s="1386" t="s">
        <v>0</v>
      </c>
    </row>
    <row r="145" spans="1:35" ht="18" customHeight="1">
      <c r="A145" s="1"/>
      <c r="B145" s="1573" t="s">
        <v>163</v>
      </c>
      <c r="C145" s="1475" t="s">
        <v>188</v>
      </c>
      <c r="D145" s="1377"/>
      <c r="E145" s="1377"/>
      <c r="F145" s="1576"/>
      <c r="G145" s="1475" t="s">
        <v>188</v>
      </c>
      <c r="H145" s="1377"/>
      <c r="I145" s="1377"/>
      <c r="J145" s="1576"/>
      <c r="K145" s="1475" t="s">
        <v>188</v>
      </c>
      <c r="L145" s="1377"/>
      <c r="M145" s="1377"/>
      <c r="N145" s="1576"/>
      <c r="O145" s="1475" t="s">
        <v>188</v>
      </c>
      <c r="P145" s="1377"/>
      <c r="Q145" s="1377"/>
      <c r="R145" s="1576"/>
      <c r="S145" s="1475" t="s">
        <v>368</v>
      </c>
      <c r="T145" s="1377"/>
      <c r="U145" s="1377"/>
      <c r="V145" s="1576"/>
      <c r="W145" s="1475"/>
      <c r="X145" s="1377"/>
      <c r="Y145" s="1377"/>
      <c r="Z145" s="1576"/>
      <c r="AA145" s="1377"/>
      <c r="AB145" s="1377"/>
      <c r="AC145" s="1377"/>
      <c r="AD145" s="1476"/>
      <c r="AE145" s="1579">
        <v>39</v>
      </c>
      <c r="AF145" s="1377"/>
      <c r="AG145" s="1377"/>
      <c r="AH145" s="1476"/>
      <c r="AI145" s="1386"/>
    </row>
    <row r="146" spans="1:35" ht="18" customHeight="1">
      <c r="A146" s="1"/>
      <c r="B146" s="1573" t="s">
        <v>171</v>
      </c>
      <c r="C146" s="1475" t="s">
        <v>188</v>
      </c>
      <c r="D146" s="1377"/>
      <c r="E146" s="1377"/>
      <c r="F146" s="1576"/>
      <c r="G146" s="1475" t="s">
        <v>188</v>
      </c>
      <c r="H146" s="1377"/>
      <c r="I146" s="1377"/>
      <c r="J146" s="1576"/>
      <c r="K146" s="1475" t="s">
        <v>188</v>
      </c>
      <c r="L146" s="1377"/>
      <c r="M146" s="1377"/>
      <c r="N146" s="1576"/>
      <c r="O146" s="1475" t="s">
        <v>188</v>
      </c>
      <c r="P146" s="1377"/>
      <c r="Q146" s="1377"/>
      <c r="R146" s="1576"/>
      <c r="S146" s="1475" t="s">
        <v>188</v>
      </c>
      <c r="T146" s="1377"/>
      <c r="U146" s="1377"/>
      <c r="V146" s="1576"/>
      <c r="W146" s="1477" t="s">
        <v>221</v>
      </c>
      <c r="X146" s="1390"/>
      <c r="Y146" s="1390"/>
      <c r="Z146" s="1583"/>
      <c r="AA146" s="1581"/>
      <c r="AB146" s="1390"/>
      <c r="AC146" s="1390"/>
      <c r="AD146" s="1478"/>
      <c r="AE146" s="1579">
        <v>45</v>
      </c>
      <c r="AF146" s="1377"/>
      <c r="AG146" s="1377"/>
      <c r="AH146" s="1476"/>
      <c r="AI146" s="1386"/>
    </row>
    <row r="147" spans="1:35" ht="18" customHeight="1" thickBot="1">
      <c r="A147" s="1"/>
      <c r="B147" s="976" t="s">
        <v>173</v>
      </c>
      <c r="C147" s="1608"/>
      <c r="D147" s="1447"/>
      <c r="E147" s="1447"/>
      <c r="F147" s="1610"/>
      <c r="G147" s="1608"/>
      <c r="H147" s="1447"/>
      <c r="I147" s="1447"/>
      <c r="J147" s="1610"/>
      <c r="K147" s="1608"/>
      <c r="L147" s="1447"/>
      <c r="M147" s="1447"/>
      <c r="N147" s="1610"/>
      <c r="O147" s="1608"/>
      <c r="P147" s="1447"/>
      <c r="Q147" s="1447"/>
      <c r="R147" s="1610"/>
      <c r="S147" s="1608"/>
      <c r="T147" s="1447"/>
      <c r="U147" s="1447"/>
      <c r="V147" s="1594"/>
      <c r="W147" s="1608"/>
      <c r="X147" s="1594"/>
      <c r="Y147" s="1447"/>
      <c r="Z147" s="1610"/>
      <c r="AA147" s="1608"/>
      <c r="AB147" s="1594"/>
      <c r="AC147" s="1447"/>
      <c r="AD147" s="1610"/>
      <c r="AE147" s="1618"/>
      <c r="AF147" s="1447"/>
      <c r="AG147" s="1447"/>
      <c r="AH147" s="1594"/>
      <c r="AI147" s="1454"/>
    </row>
    <row r="148" spans="1:35" ht="18" customHeight="1">
      <c r="A148" s="82"/>
      <c r="B148" s="1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</row>
    <row r="149" spans="1:35" ht="18" customHeight="1" thickBot="1">
      <c r="A149" s="1479"/>
      <c r="B149" s="1456" t="s">
        <v>29</v>
      </c>
      <c r="C149" s="1395">
        <v>1</v>
      </c>
      <c r="D149" s="1395">
        <v>2</v>
      </c>
      <c r="E149" s="1396">
        <v>3</v>
      </c>
      <c r="F149" s="1396">
        <v>4</v>
      </c>
      <c r="G149" s="1395">
        <v>5</v>
      </c>
      <c r="H149" s="1395">
        <v>6</v>
      </c>
      <c r="I149" s="1395">
        <v>7</v>
      </c>
      <c r="J149" s="1395">
        <v>8</v>
      </c>
      <c r="K149" s="1395">
        <v>9</v>
      </c>
      <c r="L149" s="1396">
        <v>10</v>
      </c>
      <c r="M149" s="1396">
        <v>11</v>
      </c>
      <c r="N149" s="1395">
        <v>12</v>
      </c>
      <c r="O149" s="1395">
        <v>13</v>
      </c>
      <c r="P149" s="1395">
        <v>14</v>
      </c>
      <c r="Q149" s="1395">
        <v>15</v>
      </c>
      <c r="R149" s="1395">
        <v>16</v>
      </c>
      <c r="S149" s="1396">
        <v>17</v>
      </c>
      <c r="T149" s="1396">
        <v>18</v>
      </c>
      <c r="U149" s="1395">
        <v>19</v>
      </c>
      <c r="V149" s="1395">
        <v>20</v>
      </c>
      <c r="W149" s="1395">
        <v>21</v>
      </c>
      <c r="X149" s="1395">
        <v>22</v>
      </c>
      <c r="Y149" s="1395">
        <v>23</v>
      </c>
      <c r="Z149" s="1396">
        <v>24</v>
      </c>
      <c r="AA149" s="1396">
        <v>25</v>
      </c>
      <c r="AB149" s="1395">
        <v>26</v>
      </c>
      <c r="AC149" s="1395">
        <v>27</v>
      </c>
      <c r="AD149" s="1395">
        <v>28</v>
      </c>
      <c r="AE149" s="1395">
        <v>29</v>
      </c>
      <c r="AF149" s="1395">
        <v>30</v>
      </c>
      <c r="AG149" s="1397">
        <v>31</v>
      </c>
      <c r="AH149" s="23"/>
      <c r="AI149" s="24"/>
    </row>
    <row r="150" spans="1:35" ht="18" customHeight="1">
      <c r="A150" s="953">
        <v>1</v>
      </c>
      <c r="B150" s="978" t="s">
        <v>223</v>
      </c>
      <c r="C150" s="979" t="s">
        <v>31</v>
      </c>
      <c r="D150" s="979" t="s">
        <v>31</v>
      </c>
      <c r="E150" s="979"/>
      <c r="F150" s="979"/>
      <c r="G150" s="979" t="s">
        <v>31</v>
      </c>
      <c r="H150" s="979" t="s">
        <v>31</v>
      </c>
      <c r="I150" s="979" t="s">
        <v>31</v>
      </c>
      <c r="J150" s="979" t="s">
        <v>31</v>
      </c>
      <c r="K150" s="979" t="s">
        <v>31</v>
      </c>
      <c r="L150" s="979"/>
      <c r="M150" s="979"/>
      <c r="N150" s="979" t="s">
        <v>31</v>
      </c>
      <c r="O150" s="979" t="s">
        <v>31</v>
      </c>
      <c r="P150" s="979" t="s">
        <v>31</v>
      </c>
      <c r="Q150" s="1103" t="s">
        <v>31</v>
      </c>
      <c r="R150" s="1103" t="s">
        <v>31</v>
      </c>
      <c r="S150" s="979"/>
      <c r="T150" s="979"/>
      <c r="U150" s="1147" t="s">
        <v>31</v>
      </c>
      <c r="V150" s="1147" t="s">
        <v>31</v>
      </c>
      <c r="W150" s="1147" t="s">
        <v>31</v>
      </c>
      <c r="X150" s="1147" t="s">
        <v>31</v>
      </c>
      <c r="Y150" s="1147" t="s">
        <v>31</v>
      </c>
      <c r="Z150" s="1147"/>
      <c r="AA150" s="1147"/>
      <c r="AB150" s="1147" t="s">
        <v>31</v>
      </c>
      <c r="AC150" s="1147" t="s">
        <v>31</v>
      </c>
      <c r="AD150" s="1147" t="s">
        <v>31</v>
      </c>
      <c r="AE150" s="1147" t="s">
        <v>31</v>
      </c>
      <c r="AF150" s="1147" t="s">
        <v>31</v>
      </c>
      <c r="AG150" s="753"/>
      <c r="AH150" s="34"/>
      <c r="AI150" s="25"/>
    </row>
    <row r="151" spans="1:35" ht="18" customHeight="1">
      <c r="A151" s="1597">
        <v>2</v>
      </c>
      <c r="B151" s="1619" t="s">
        <v>224</v>
      </c>
      <c r="C151" s="1620" t="s">
        <v>114</v>
      </c>
      <c r="D151" s="1621" t="s">
        <v>114</v>
      </c>
      <c r="E151" s="1620"/>
      <c r="F151" s="1620"/>
      <c r="G151" s="1620" t="s">
        <v>115</v>
      </c>
      <c r="H151" s="1620" t="s">
        <v>115</v>
      </c>
      <c r="I151" s="1459" t="s">
        <v>115</v>
      </c>
      <c r="J151" s="1460" t="s">
        <v>378</v>
      </c>
      <c r="K151" s="1458" t="s">
        <v>115</v>
      </c>
      <c r="L151" s="1458" t="s">
        <v>115</v>
      </c>
      <c r="M151" s="1620"/>
      <c r="N151" s="1408" t="s">
        <v>225</v>
      </c>
      <c r="O151" s="1620" t="s">
        <v>225</v>
      </c>
      <c r="P151" s="1620" t="s">
        <v>225</v>
      </c>
      <c r="Q151" s="1620" t="s">
        <v>225</v>
      </c>
      <c r="R151" s="1620" t="s">
        <v>35</v>
      </c>
      <c r="S151" s="1620"/>
      <c r="T151" s="1620"/>
      <c r="U151" s="1620" t="s">
        <v>114</v>
      </c>
      <c r="V151" s="1620" t="s">
        <v>114</v>
      </c>
      <c r="W151" s="1620" t="s">
        <v>114</v>
      </c>
      <c r="X151" s="1620" t="s">
        <v>114</v>
      </c>
      <c r="Y151" s="1621" t="s">
        <v>114</v>
      </c>
      <c r="Z151" s="1620"/>
      <c r="AA151" s="1620"/>
      <c r="AB151" s="1620" t="s">
        <v>115</v>
      </c>
      <c r="AC151" s="1620" t="s">
        <v>115</v>
      </c>
      <c r="AD151" s="1620" t="s">
        <v>115</v>
      </c>
      <c r="AE151" s="1620" t="s">
        <v>115</v>
      </c>
      <c r="AF151" s="1620" t="s">
        <v>115</v>
      </c>
      <c r="AG151" s="1622" t="s">
        <v>115</v>
      </c>
      <c r="AH151" s="34"/>
      <c r="AI151" s="25"/>
    </row>
    <row r="152" spans="1:35" ht="18" customHeight="1">
      <c r="A152" s="1597">
        <v>3</v>
      </c>
      <c r="B152" s="1619"/>
      <c r="C152" s="1620" t="s">
        <v>115</v>
      </c>
      <c r="D152" s="1620" t="s">
        <v>115</v>
      </c>
      <c r="E152" s="1620" t="s">
        <v>115</v>
      </c>
      <c r="F152" s="1620"/>
      <c r="G152" s="1620" t="s">
        <v>225</v>
      </c>
      <c r="H152" s="1620" t="s">
        <v>225</v>
      </c>
      <c r="I152" s="1620" t="s">
        <v>225</v>
      </c>
      <c r="J152" s="1620" t="s">
        <v>225</v>
      </c>
      <c r="K152" s="1620" t="s">
        <v>35</v>
      </c>
      <c r="L152" s="1620"/>
      <c r="M152" s="1620"/>
      <c r="N152" s="1620" t="s">
        <v>114</v>
      </c>
      <c r="O152" s="1620" t="s">
        <v>114</v>
      </c>
      <c r="P152" s="1620" t="s">
        <v>114</v>
      </c>
      <c r="Q152" s="1620" t="s">
        <v>114</v>
      </c>
      <c r="R152" s="1620" t="s">
        <v>114</v>
      </c>
      <c r="S152" s="1620"/>
      <c r="T152" s="1620"/>
      <c r="U152" s="1620" t="s">
        <v>115</v>
      </c>
      <c r="V152" s="1620" t="s">
        <v>115</v>
      </c>
      <c r="W152" s="1620" t="s">
        <v>115</v>
      </c>
      <c r="X152" s="1620" t="s">
        <v>115</v>
      </c>
      <c r="Y152" s="1620" t="s">
        <v>115</v>
      </c>
      <c r="Z152" s="1620" t="s">
        <v>115</v>
      </c>
      <c r="AA152" s="1620"/>
      <c r="AB152" s="1620" t="s">
        <v>225</v>
      </c>
      <c r="AC152" s="1620" t="s">
        <v>225</v>
      </c>
      <c r="AD152" s="1620" t="s">
        <v>225</v>
      </c>
      <c r="AE152" s="1620" t="s">
        <v>225</v>
      </c>
      <c r="AF152" s="1620" t="s">
        <v>35</v>
      </c>
      <c r="AG152" s="1622"/>
      <c r="AH152" s="34"/>
      <c r="AI152" s="25"/>
    </row>
    <row r="153" spans="1:35" ht="18" customHeight="1">
      <c r="A153" s="1597">
        <v>4</v>
      </c>
      <c r="B153" s="1623" t="s">
        <v>227</v>
      </c>
      <c r="C153" s="1620"/>
      <c r="D153" s="1620" t="s">
        <v>31</v>
      </c>
      <c r="E153" s="1620"/>
      <c r="F153" s="1620"/>
      <c r="G153" s="1620"/>
      <c r="H153" s="1620" t="s">
        <v>31</v>
      </c>
      <c r="I153" s="1620" t="s">
        <v>31</v>
      </c>
      <c r="J153" s="1620"/>
      <c r="K153" s="1620" t="s">
        <v>31</v>
      </c>
      <c r="L153" s="1620"/>
      <c r="M153" s="1620"/>
      <c r="N153" s="1620"/>
      <c r="O153" s="1620" t="s">
        <v>31</v>
      </c>
      <c r="P153" s="1620"/>
      <c r="Q153" s="1620"/>
      <c r="R153" s="1620" t="s">
        <v>31</v>
      </c>
      <c r="S153" s="1523" t="s">
        <v>115</v>
      </c>
      <c r="T153" s="1620"/>
      <c r="U153" s="1620"/>
      <c r="V153" s="1620" t="s">
        <v>31</v>
      </c>
      <c r="W153" s="1620" t="s">
        <v>31</v>
      </c>
      <c r="X153" s="1620"/>
      <c r="Y153" s="1620" t="s">
        <v>31</v>
      </c>
      <c r="Z153" s="1620"/>
      <c r="AA153" s="1620"/>
      <c r="AB153" s="1620"/>
      <c r="AC153" s="1620" t="s">
        <v>31</v>
      </c>
      <c r="AD153" s="1620" t="s">
        <v>31</v>
      </c>
      <c r="AE153" s="1620"/>
      <c r="AF153" s="1620" t="s">
        <v>31</v>
      </c>
      <c r="AG153" s="1622"/>
      <c r="AH153" s="34"/>
      <c r="AI153" s="25"/>
    </row>
    <row r="154" spans="1:35" ht="18" customHeight="1">
      <c r="A154" s="1597">
        <v>5</v>
      </c>
      <c r="B154" s="1623" t="s">
        <v>228</v>
      </c>
      <c r="C154" s="1620" t="s">
        <v>31</v>
      </c>
      <c r="D154" s="1620"/>
      <c r="E154" s="1620"/>
      <c r="F154" s="1620"/>
      <c r="G154" s="1620" t="s">
        <v>31</v>
      </c>
      <c r="H154" s="1620"/>
      <c r="I154" s="1620"/>
      <c r="J154" s="1620" t="s">
        <v>31</v>
      </c>
      <c r="K154" s="1620"/>
      <c r="L154" s="1620"/>
      <c r="M154" s="1620"/>
      <c r="N154" s="1620" t="s">
        <v>31</v>
      </c>
      <c r="O154" s="1620"/>
      <c r="P154" s="1620"/>
      <c r="Q154" s="1620" t="s">
        <v>31</v>
      </c>
      <c r="R154" s="1620"/>
      <c r="S154" s="1620"/>
      <c r="T154" s="1620"/>
      <c r="U154" s="1620" t="s">
        <v>31</v>
      </c>
      <c r="V154" s="1620"/>
      <c r="W154" s="1620"/>
      <c r="X154" s="1620" t="s">
        <v>31</v>
      </c>
      <c r="Y154" s="1620"/>
      <c r="Z154" s="1620"/>
      <c r="AA154" s="1620"/>
      <c r="AB154" s="1620" t="s">
        <v>31</v>
      </c>
      <c r="AC154" s="1620"/>
      <c r="AD154" s="1620"/>
      <c r="AE154" s="1620" t="s">
        <v>31</v>
      </c>
      <c r="AF154" s="1620"/>
      <c r="AG154" s="1622"/>
      <c r="AH154" s="34"/>
      <c r="AI154" s="25"/>
    </row>
    <row r="155" spans="1:35" ht="18" customHeight="1" thickBot="1">
      <c r="A155" s="1602">
        <v>6</v>
      </c>
      <c r="B155" s="1464" t="s">
        <v>229</v>
      </c>
      <c r="C155" s="1466" t="s">
        <v>31</v>
      </c>
      <c r="D155" s="1466" t="s">
        <v>31</v>
      </c>
      <c r="E155" s="1466"/>
      <c r="F155" s="1466"/>
      <c r="G155" s="1624" t="s">
        <v>31</v>
      </c>
      <c r="H155" s="1624" t="s">
        <v>31</v>
      </c>
      <c r="I155" s="1624" t="s">
        <v>31</v>
      </c>
      <c r="J155" s="1624" t="s">
        <v>31</v>
      </c>
      <c r="K155" s="1624" t="s">
        <v>31</v>
      </c>
      <c r="L155" s="1624"/>
      <c r="M155" s="1624"/>
      <c r="N155" s="1624" t="s">
        <v>31</v>
      </c>
      <c r="O155" s="1624" t="s">
        <v>31</v>
      </c>
      <c r="P155" s="1624" t="s">
        <v>31</v>
      </c>
      <c r="Q155" s="1624" t="s">
        <v>31</v>
      </c>
      <c r="R155" s="1624" t="s">
        <v>31</v>
      </c>
      <c r="S155" s="1624"/>
      <c r="T155" s="1624"/>
      <c r="U155" s="1624" t="s">
        <v>31</v>
      </c>
      <c r="V155" s="1624" t="s">
        <v>31</v>
      </c>
      <c r="W155" s="1624" t="s">
        <v>31</v>
      </c>
      <c r="X155" s="1624" t="s">
        <v>31</v>
      </c>
      <c r="Y155" s="1624" t="s">
        <v>31</v>
      </c>
      <c r="Z155" s="1624"/>
      <c r="AA155" s="1624"/>
      <c r="AB155" s="1624" t="s">
        <v>31</v>
      </c>
      <c r="AC155" s="1624" t="s">
        <v>31</v>
      </c>
      <c r="AD155" s="1624" t="s">
        <v>31</v>
      </c>
      <c r="AE155" s="1624" t="s">
        <v>31</v>
      </c>
      <c r="AF155" s="1624" t="s">
        <v>31</v>
      </c>
      <c r="AG155" s="1625"/>
      <c r="AH155" s="93"/>
      <c r="AI155" s="76"/>
    </row>
    <row r="156" spans="1:35" ht="18" customHeight="1">
      <c r="A156" s="36"/>
      <c r="B156" s="87"/>
      <c r="C156" s="133"/>
      <c r="D156" s="133"/>
      <c r="E156" s="133"/>
      <c r="F156" s="133"/>
      <c r="G156" s="133"/>
      <c r="H156" s="133"/>
      <c r="I156" s="133"/>
      <c r="J156" s="133"/>
      <c r="K156" s="133"/>
      <c r="L156" s="133"/>
      <c r="M156" s="133"/>
      <c r="N156" s="133"/>
      <c r="O156" s="133"/>
      <c r="P156" s="133"/>
      <c r="Q156" s="133"/>
      <c r="R156" s="133"/>
      <c r="S156" s="133"/>
      <c r="T156" s="133"/>
      <c r="U156" s="133"/>
      <c r="V156" s="133"/>
      <c r="W156" s="133"/>
      <c r="X156" s="133"/>
      <c r="Y156" s="133"/>
      <c r="Z156" s="133"/>
      <c r="AA156" s="133"/>
      <c r="AB156" s="133"/>
      <c r="AC156" s="133"/>
      <c r="AD156" s="78"/>
      <c r="AE156" s="78"/>
      <c r="AF156" s="78"/>
      <c r="AG156" s="78"/>
      <c r="AH156" s="76"/>
      <c r="AI156" s="76"/>
    </row>
    <row r="157" spans="1:35" ht="18" customHeight="1" thickBot="1">
      <c r="A157" s="94" t="s">
        <v>230</v>
      </c>
      <c r="B157" s="17"/>
      <c r="C157" s="38" t="s">
        <v>96</v>
      </c>
      <c r="D157" s="17"/>
      <c r="E157" s="17"/>
      <c r="F157" s="38" t="s">
        <v>96</v>
      </c>
      <c r="G157" s="17"/>
      <c r="H157" s="17"/>
      <c r="I157" s="38" t="s">
        <v>96</v>
      </c>
      <c r="J157" s="38"/>
      <c r="K157" s="17"/>
      <c r="L157" s="38" t="s">
        <v>96</v>
      </c>
      <c r="M157" s="17"/>
      <c r="N157" s="17"/>
      <c r="O157" s="38" t="s">
        <v>96</v>
      </c>
      <c r="P157" s="17"/>
      <c r="Q157" s="38"/>
      <c r="R157" s="38" t="s">
        <v>96</v>
      </c>
      <c r="S157" s="17"/>
      <c r="T157" s="17"/>
      <c r="U157" s="38" t="s">
        <v>96</v>
      </c>
      <c r="V157" s="17"/>
      <c r="W157" s="38"/>
      <c r="X157" s="38"/>
      <c r="Y157" s="17"/>
      <c r="Z157" s="17"/>
      <c r="AA157" s="17"/>
      <c r="AB157" s="17"/>
      <c r="AC157" s="17"/>
      <c r="AD157" s="17"/>
      <c r="AE157" s="38"/>
      <c r="AF157" s="17"/>
      <c r="AG157" s="17"/>
      <c r="AH157" s="76"/>
      <c r="AI157" s="76"/>
    </row>
    <row r="158" spans="1:35" ht="18" customHeight="1">
      <c r="A158" s="36"/>
      <c r="B158" s="1187" t="s">
        <v>231</v>
      </c>
      <c r="C158" s="1188"/>
      <c r="D158" s="1189" t="s">
        <v>87</v>
      </c>
      <c r="E158" s="1190"/>
      <c r="F158" s="1191"/>
      <c r="G158" s="1192"/>
      <c r="H158" s="1189" t="s">
        <v>88</v>
      </c>
      <c r="I158" s="1190"/>
      <c r="J158" s="1191"/>
      <c r="K158" s="1192"/>
      <c r="L158" s="1189" t="s">
        <v>89</v>
      </c>
      <c r="M158" s="1190"/>
      <c r="N158" s="1191"/>
      <c r="O158" s="1192"/>
      <c r="P158" s="1189" t="s">
        <v>90</v>
      </c>
      <c r="Q158" s="1190"/>
      <c r="R158" s="1191"/>
      <c r="S158" s="1192"/>
      <c r="T158" s="1189" t="s">
        <v>91</v>
      </c>
      <c r="U158" s="1190"/>
      <c r="V158" s="1191"/>
      <c r="W158" s="1192"/>
      <c r="X158" s="1189" t="s">
        <v>92</v>
      </c>
      <c r="Y158" s="1190"/>
      <c r="Z158" s="1191"/>
      <c r="AA158" s="1192"/>
      <c r="AB158" s="1189" t="s">
        <v>93</v>
      </c>
      <c r="AC158" s="1190"/>
      <c r="AD158" s="1190"/>
      <c r="AE158" s="1193" t="s">
        <v>94</v>
      </c>
      <c r="AF158" s="1190"/>
      <c r="AG158" s="1190"/>
      <c r="AH158" s="1190"/>
      <c r="AI158" s="1194"/>
    </row>
    <row r="159" spans="1:35" ht="18" customHeight="1">
      <c r="A159" s="36"/>
      <c r="B159" s="1626" t="s">
        <v>232</v>
      </c>
      <c r="C159" s="1627" t="s">
        <v>233</v>
      </c>
      <c r="D159" s="477" t="s">
        <v>369</v>
      </c>
      <c r="E159" s="478"/>
      <c r="F159" s="1628"/>
      <c r="G159" s="1627"/>
      <c r="H159" s="477" t="s">
        <v>369</v>
      </c>
      <c r="I159" s="478"/>
      <c r="J159" s="1628"/>
      <c r="K159" s="1627"/>
      <c r="L159" s="477" t="s">
        <v>369</v>
      </c>
      <c r="M159" s="478"/>
      <c r="N159" s="1628"/>
      <c r="O159" s="1627"/>
      <c r="P159" s="477" t="s">
        <v>370</v>
      </c>
      <c r="Q159" s="478"/>
      <c r="R159" s="1628"/>
      <c r="S159" s="1627"/>
      <c r="T159" s="477" t="s">
        <v>236</v>
      </c>
      <c r="U159" s="478"/>
      <c r="V159" s="1628"/>
      <c r="W159" s="1627"/>
      <c r="X159" s="478"/>
      <c r="Y159" s="478"/>
      <c r="Z159" s="1628"/>
      <c r="AA159" s="1627"/>
      <c r="AB159" s="478"/>
      <c r="AC159" s="478"/>
      <c r="AD159" s="478"/>
      <c r="AE159" s="1627"/>
      <c r="AF159" s="478"/>
      <c r="AG159" s="478"/>
      <c r="AH159" s="480"/>
      <c r="AI159" s="1629"/>
    </row>
    <row r="160" spans="1:35" ht="18" customHeight="1">
      <c r="A160" s="36"/>
      <c r="B160" s="1630" t="s">
        <v>371</v>
      </c>
      <c r="C160" s="1627" t="s">
        <v>237</v>
      </c>
      <c r="D160" s="477" t="s">
        <v>369</v>
      </c>
      <c r="E160" s="478"/>
      <c r="F160" s="1628"/>
      <c r="G160" s="1627"/>
      <c r="H160" s="477" t="s">
        <v>369</v>
      </c>
      <c r="I160" s="478"/>
      <c r="J160" s="1628"/>
      <c r="K160" s="1627"/>
      <c r="L160" s="477" t="s">
        <v>369</v>
      </c>
      <c r="M160" s="478"/>
      <c r="N160" s="1628"/>
      <c r="O160" s="1627"/>
      <c r="P160" s="477" t="s">
        <v>370</v>
      </c>
      <c r="Q160" s="478"/>
      <c r="R160" s="1628"/>
      <c r="S160" s="1627"/>
      <c r="T160" s="477" t="s">
        <v>236</v>
      </c>
      <c r="U160" s="478"/>
      <c r="V160" s="1628"/>
      <c r="W160" s="1627"/>
      <c r="X160" s="478"/>
      <c r="Y160" s="478"/>
      <c r="Z160" s="1628"/>
      <c r="AA160" s="1627"/>
      <c r="AB160" s="478"/>
      <c r="AC160" s="478"/>
      <c r="AD160" s="478"/>
      <c r="AE160" s="1627"/>
      <c r="AF160" s="478"/>
      <c r="AG160" s="478"/>
      <c r="AH160" s="480"/>
      <c r="AI160" s="1629"/>
    </row>
    <row r="161" spans="1:35" ht="18" customHeight="1">
      <c r="A161" s="36"/>
      <c r="B161" s="1630" t="s">
        <v>238</v>
      </c>
      <c r="C161" s="1627" t="s">
        <v>201</v>
      </c>
      <c r="D161" s="477" t="s">
        <v>369</v>
      </c>
      <c r="E161" s="478"/>
      <c r="F161" s="1628"/>
      <c r="G161" s="1627"/>
      <c r="H161" s="477" t="s">
        <v>369</v>
      </c>
      <c r="I161" s="478"/>
      <c r="J161" s="1628"/>
      <c r="K161" s="1627"/>
      <c r="L161" s="477" t="s">
        <v>369</v>
      </c>
      <c r="M161" s="478"/>
      <c r="N161" s="1628"/>
      <c r="O161" s="1627"/>
      <c r="P161" s="477" t="s">
        <v>370</v>
      </c>
      <c r="Q161" s="478"/>
      <c r="R161" s="1628"/>
      <c r="S161" s="1627"/>
      <c r="T161" s="477" t="s">
        <v>236</v>
      </c>
      <c r="U161" s="478"/>
      <c r="V161" s="1628"/>
      <c r="W161" s="1627"/>
      <c r="X161" s="478"/>
      <c r="Y161" s="478"/>
      <c r="Z161" s="1628"/>
      <c r="AA161" s="1627"/>
      <c r="AB161" s="478"/>
      <c r="AC161" s="478"/>
      <c r="AD161" s="478"/>
      <c r="AE161" s="1627"/>
      <c r="AF161" s="478"/>
      <c r="AG161" s="478"/>
      <c r="AH161" s="480"/>
      <c r="AI161" s="1629"/>
    </row>
    <row r="162" spans="1:35" ht="18" customHeight="1">
      <c r="A162" s="36"/>
      <c r="B162" s="1630" t="s">
        <v>239</v>
      </c>
      <c r="C162" s="1627" t="s">
        <v>121</v>
      </c>
      <c r="D162" s="477" t="s">
        <v>369</v>
      </c>
      <c r="E162" s="478"/>
      <c r="F162" s="1628"/>
      <c r="G162" s="1627"/>
      <c r="H162" s="477" t="s">
        <v>369</v>
      </c>
      <c r="I162" s="478"/>
      <c r="J162" s="1628"/>
      <c r="K162" s="1627"/>
      <c r="L162" s="477" t="s">
        <v>369</v>
      </c>
      <c r="M162" s="478"/>
      <c r="N162" s="1628"/>
      <c r="O162" s="1627"/>
      <c r="P162" s="477" t="s">
        <v>370</v>
      </c>
      <c r="Q162" s="478"/>
      <c r="R162" s="1628"/>
      <c r="S162" s="1627"/>
      <c r="T162" s="477" t="s">
        <v>236</v>
      </c>
      <c r="U162" s="478"/>
      <c r="V162" s="1628"/>
      <c r="W162" s="1627"/>
      <c r="X162" s="478"/>
      <c r="Y162" s="478"/>
      <c r="Z162" s="1628"/>
      <c r="AA162" s="1627"/>
      <c r="AB162" s="478"/>
      <c r="AC162" s="478"/>
      <c r="AD162" s="478"/>
      <c r="AE162" s="1627"/>
      <c r="AF162" s="478"/>
      <c r="AG162" s="478"/>
      <c r="AH162" s="480"/>
      <c r="AI162" s="1629"/>
    </row>
    <row r="163" spans="1:35" ht="18" customHeight="1">
      <c r="A163" s="36"/>
      <c r="B163" s="1630" t="s">
        <v>243</v>
      </c>
      <c r="C163" s="1627" t="s">
        <v>244</v>
      </c>
      <c r="D163" s="477" t="s">
        <v>369</v>
      </c>
      <c r="E163" s="478"/>
      <c r="F163" s="1628"/>
      <c r="G163" s="1627"/>
      <c r="H163" s="477" t="s">
        <v>369</v>
      </c>
      <c r="I163" s="478"/>
      <c r="J163" s="1628"/>
      <c r="K163" s="1627"/>
      <c r="L163" s="477" t="s">
        <v>369</v>
      </c>
      <c r="M163" s="478"/>
      <c r="N163" s="1628"/>
      <c r="O163" s="1627"/>
      <c r="P163" s="477" t="s">
        <v>370</v>
      </c>
      <c r="Q163" s="478"/>
      <c r="R163" s="1628"/>
      <c r="S163" s="1627"/>
      <c r="T163" s="468" t="s">
        <v>242</v>
      </c>
      <c r="U163" s="478"/>
      <c r="V163" s="1628"/>
      <c r="W163" s="1627"/>
      <c r="X163" s="478"/>
      <c r="Y163" s="478"/>
      <c r="Z163" s="1628"/>
      <c r="AA163" s="1627"/>
      <c r="AB163" s="478"/>
      <c r="AC163" s="478"/>
      <c r="AD163" s="478"/>
      <c r="AE163" s="1627"/>
      <c r="AF163" s="478"/>
      <c r="AG163" s="478"/>
      <c r="AH163" s="480"/>
      <c r="AI163" s="1629"/>
    </row>
    <row r="164" spans="1:35" ht="18" customHeight="1">
      <c r="A164" s="36"/>
      <c r="B164" s="1630" t="s">
        <v>248</v>
      </c>
      <c r="C164" s="1627" t="s">
        <v>128</v>
      </c>
      <c r="D164" s="477" t="s">
        <v>234</v>
      </c>
      <c r="E164" s="478"/>
      <c r="F164" s="1628"/>
      <c r="G164" s="1627"/>
      <c r="H164" s="468" t="s">
        <v>234</v>
      </c>
      <c r="I164" s="478"/>
      <c r="J164" s="1628"/>
      <c r="K164" s="1627"/>
      <c r="L164" s="468" t="s">
        <v>234</v>
      </c>
      <c r="M164" s="478"/>
      <c r="N164" s="1628"/>
      <c r="O164" s="1627"/>
      <c r="P164" s="468" t="s">
        <v>234</v>
      </c>
      <c r="Q164" s="478"/>
      <c r="R164" s="1628"/>
      <c r="S164" s="1627"/>
      <c r="T164" s="468" t="s">
        <v>245</v>
      </c>
      <c r="U164" s="478"/>
      <c r="V164" s="1628"/>
      <c r="W164" s="1627"/>
      <c r="X164" s="478"/>
      <c r="Y164" s="478"/>
      <c r="Z164" s="1628"/>
      <c r="AA164" s="1627"/>
      <c r="AB164" s="478"/>
      <c r="AC164" s="478"/>
      <c r="AD164" s="478"/>
      <c r="AE164" s="1627"/>
      <c r="AF164" s="478"/>
      <c r="AG164" s="478"/>
      <c r="AH164" s="480"/>
      <c r="AI164" s="1629"/>
    </row>
    <row r="165" spans="1:35" ht="18" customHeight="1">
      <c r="A165" s="36"/>
      <c r="B165" s="1630" t="s">
        <v>249</v>
      </c>
      <c r="C165" s="1627" t="s">
        <v>250</v>
      </c>
      <c r="D165" s="477" t="s">
        <v>369</v>
      </c>
      <c r="E165" s="478"/>
      <c r="F165" s="1628"/>
      <c r="G165" s="1627"/>
      <c r="H165" s="477" t="s">
        <v>369</v>
      </c>
      <c r="I165" s="478"/>
      <c r="J165" s="1628"/>
      <c r="K165" s="1627"/>
      <c r="L165" s="477" t="s">
        <v>369</v>
      </c>
      <c r="M165" s="478"/>
      <c r="N165" s="1628"/>
      <c r="O165" s="1627"/>
      <c r="P165" s="477" t="s">
        <v>370</v>
      </c>
      <c r="Q165" s="478"/>
      <c r="R165" s="1628"/>
      <c r="S165" s="1627"/>
      <c r="T165" s="477" t="s">
        <v>236</v>
      </c>
      <c r="U165" s="478"/>
      <c r="V165" s="1628"/>
      <c r="W165" s="1627"/>
      <c r="X165" s="478"/>
      <c r="Y165" s="478"/>
      <c r="Z165" s="1628"/>
      <c r="AA165" s="1627"/>
      <c r="AB165" s="478"/>
      <c r="AC165" s="478"/>
      <c r="AD165" s="478"/>
      <c r="AE165" s="1627"/>
      <c r="AF165" s="478"/>
      <c r="AG165" s="478"/>
      <c r="AH165" s="480"/>
      <c r="AI165" s="1629"/>
    </row>
    <row r="166" spans="1:35" ht="18" customHeight="1">
      <c r="A166" s="36"/>
      <c r="B166" s="1630" t="s">
        <v>249</v>
      </c>
      <c r="C166" s="1627" t="s">
        <v>251</v>
      </c>
      <c r="D166" s="477" t="s">
        <v>369</v>
      </c>
      <c r="E166" s="478"/>
      <c r="F166" s="1628"/>
      <c r="G166" s="1627"/>
      <c r="H166" s="477" t="s">
        <v>369</v>
      </c>
      <c r="I166" s="478"/>
      <c r="J166" s="1628"/>
      <c r="K166" s="1627"/>
      <c r="L166" s="477" t="s">
        <v>369</v>
      </c>
      <c r="M166" s="478"/>
      <c r="N166" s="1628"/>
      <c r="O166" s="1627"/>
      <c r="P166" s="477" t="s">
        <v>370</v>
      </c>
      <c r="Q166" s="478"/>
      <c r="R166" s="1628"/>
      <c r="S166" s="1627"/>
      <c r="T166" s="477" t="s">
        <v>236</v>
      </c>
      <c r="U166" s="478"/>
      <c r="V166" s="1628"/>
      <c r="W166" s="1627"/>
      <c r="X166" s="478"/>
      <c r="Y166" s="478"/>
      <c r="Z166" s="1628"/>
      <c r="AA166" s="1627"/>
      <c r="AB166" s="478"/>
      <c r="AC166" s="478"/>
      <c r="AD166" s="478"/>
      <c r="AE166" s="1627"/>
      <c r="AF166" s="478"/>
      <c r="AG166" s="478"/>
      <c r="AH166" s="480"/>
      <c r="AI166" s="1629"/>
    </row>
    <row r="167" spans="1:35" ht="18" customHeight="1">
      <c r="A167" s="36"/>
      <c r="B167" s="1630" t="s">
        <v>252</v>
      </c>
      <c r="C167" s="1627" t="s">
        <v>253</v>
      </c>
      <c r="D167" s="477" t="s">
        <v>369</v>
      </c>
      <c r="E167" s="478"/>
      <c r="F167" s="1628"/>
      <c r="G167" s="1627"/>
      <c r="H167" s="477" t="s">
        <v>369</v>
      </c>
      <c r="I167" s="478"/>
      <c r="J167" s="1628"/>
      <c r="K167" s="1627"/>
      <c r="L167" s="477" t="s">
        <v>369</v>
      </c>
      <c r="M167" s="478"/>
      <c r="N167" s="1628"/>
      <c r="O167" s="1627"/>
      <c r="P167" s="477" t="s">
        <v>370</v>
      </c>
      <c r="Q167" s="478"/>
      <c r="R167" s="1628"/>
      <c r="S167" s="1627"/>
      <c r="T167" s="477" t="s">
        <v>236</v>
      </c>
      <c r="U167" s="478"/>
      <c r="V167" s="1628"/>
      <c r="W167" s="1627"/>
      <c r="X167" s="478"/>
      <c r="Y167" s="478"/>
      <c r="Z167" s="1628"/>
      <c r="AA167" s="1627"/>
      <c r="AB167" s="478"/>
      <c r="AC167" s="478"/>
      <c r="AD167" s="478"/>
      <c r="AE167" s="1627"/>
      <c r="AF167" s="478"/>
      <c r="AG167" s="478"/>
      <c r="AH167" s="480"/>
      <c r="AI167" s="1629"/>
    </row>
    <row r="168" spans="1:35" ht="18" customHeight="1">
      <c r="A168" s="36"/>
      <c r="B168" s="1631" t="s">
        <v>255</v>
      </c>
      <c r="C168" s="1632" t="s">
        <v>123</v>
      </c>
      <c r="D168" s="419" t="s">
        <v>369</v>
      </c>
      <c r="E168" s="420"/>
      <c r="F168" s="1633"/>
      <c r="G168" s="1632"/>
      <c r="H168" s="419" t="s">
        <v>369</v>
      </c>
      <c r="I168" s="420"/>
      <c r="J168" s="1633"/>
      <c r="K168" s="1632"/>
      <c r="L168" s="419" t="s">
        <v>369</v>
      </c>
      <c r="M168" s="420"/>
      <c r="N168" s="1633"/>
      <c r="O168" s="1632"/>
      <c r="P168" s="419" t="s">
        <v>370</v>
      </c>
      <c r="Q168" s="420"/>
      <c r="R168" s="1633"/>
      <c r="S168" s="1632"/>
      <c r="T168" s="419" t="s">
        <v>236</v>
      </c>
      <c r="U168" s="420"/>
      <c r="V168" s="1633"/>
      <c r="W168" s="1632"/>
      <c r="X168" s="420"/>
      <c r="Y168" s="420"/>
      <c r="Z168" s="1633"/>
      <c r="AA168" s="1632"/>
      <c r="AB168" s="420"/>
      <c r="AC168" s="420"/>
      <c r="AD168" s="420"/>
      <c r="AE168" s="1632"/>
      <c r="AF168" s="420"/>
      <c r="AG168" s="420"/>
      <c r="AH168" s="421"/>
      <c r="AI168" s="1634"/>
    </row>
    <row r="169" spans="1:35" ht="18" customHeight="1">
      <c r="A169" s="36"/>
      <c r="B169" s="1630" t="s">
        <v>256</v>
      </c>
      <c r="C169" s="1627" t="s">
        <v>146</v>
      </c>
      <c r="D169" s="477" t="s">
        <v>369</v>
      </c>
      <c r="E169" s="478"/>
      <c r="F169" s="1628"/>
      <c r="G169" s="1627"/>
      <c r="H169" s="477" t="s">
        <v>369</v>
      </c>
      <c r="I169" s="478"/>
      <c r="J169" s="1628"/>
      <c r="K169" s="1627"/>
      <c r="L169" s="477" t="s">
        <v>369</v>
      </c>
      <c r="M169" s="478"/>
      <c r="N169" s="478"/>
      <c r="O169" s="1627"/>
      <c r="P169" s="477" t="s">
        <v>370</v>
      </c>
      <c r="Q169" s="478"/>
      <c r="R169" s="478"/>
      <c r="S169" s="1627"/>
      <c r="T169" s="477" t="s">
        <v>236</v>
      </c>
      <c r="U169" s="478"/>
      <c r="V169" s="478"/>
      <c r="W169" s="1627"/>
      <c r="X169" s="478"/>
      <c r="Y169" s="478"/>
      <c r="Z169" s="478"/>
      <c r="AA169" s="1627"/>
      <c r="AB169" s="478"/>
      <c r="AC169" s="478"/>
      <c r="AD169" s="478"/>
      <c r="AE169" s="1627"/>
      <c r="AF169" s="478"/>
      <c r="AG169" s="478"/>
      <c r="AH169" s="480"/>
      <c r="AI169" s="1629"/>
    </row>
    <row r="170" spans="1:35" ht="18" customHeight="1">
      <c r="A170" s="36"/>
      <c r="B170" s="1630" t="s">
        <v>257</v>
      </c>
      <c r="C170" s="1635" t="s">
        <v>136</v>
      </c>
      <c r="D170" s="477" t="s">
        <v>369</v>
      </c>
      <c r="E170" s="478"/>
      <c r="F170" s="1628"/>
      <c r="G170" s="1627"/>
      <c r="H170" s="477" t="s">
        <v>369</v>
      </c>
      <c r="I170" s="478"/>
      <c r="J170" s="1628"/>
      <c r="K170" s="1627"/>
      <c r="L170" s="477" t="s">
        <v>369</v>
      </c>
      <c r="M170" s="478"/>
      <c r="N170" s="478"/>
      <c r="O170" s="1627"/>
      <c r="P170" s="477" t="s">
        <v>370</v>
      </c>
      <c r="Q170" s="478"/>
      <c r="R170" s="478"/>
      <c r="S170" s="1627"/>
      <c r="T170" s="477" t="s">
        <v>236</v>
      </c>
      <c r="U170" s="478"/>
      <c r="V170" s="478"/>
      <c r="W170" s="1636"/>
      <c r="X170" s="478"/>
      <c r="Y170" s="478"/>
      <c r="Z170" s="478"/>
      <c r="AA170" s="1627"/>
      <c r="AB170" s="478"/>
      <c r="AC170" s="478"/>
      <c r="AD170" s="478"/>
      <c r="AE170" s="1627"/>
      <c r="AF170" s="478"/>
      <c r="AG170" s="478"/>
      <c r="AH170" s="480"/>
      <c r="AI170" s="1629"/>
    </row>
    <row r="171" spans="1:35" ht="18" customHeight="1" thickBot="1">
      <c r="A171" s="36"/>
      <c r="B171" s="95" t="s">
        <v>259</v>
      </c>
      <c r="C171" s="1637" t="s">
        <v>112</v>
      </c>
      <c r="D171" s="1638" t="s">
        <v>369</v>
      </c>
      <c r="E171" s="1639"/>
      <c r="F171" s="1640"/>
      <c r="G171" s="1641"/>
      <c r="H171" s="1638" t="s">
        <v>369</v>
      </c>
      <c r="I171" s="1639"/>
      <c r="J171" s="1640"/>
      <c r="K171" s="1641"/>
      <c r="L171" s="1638" t="s">
        <v>369</v>
      </c>
      <c r="M171" s="1639"/>
      <c r="N171" s="1639"/>
      <c r="O171" s="1641"/>
      <c r="P171" s="1642" t="s">
        <v>372</v>
      </c>
      <c r="Q171" s="1639"/>
      <c r="R171" s="1639"/>
      <c r="S171" s="1641"/>
      <c r="T171" s="1642" t="s">
        <v>242</v>
      </c>
      <c r="U171" s="1639"/>
      <c r="V171" s="1639"/>
      <c r="W171" s="1643"/>
      <c r="X171" s="1639"/>
      <c r="Y171" s="1639"/>
      <c r="Z171" s="1640"/>
      <c r="AA171" s="1202"/>
      <c r="AB171" s="1203"/>
      <c r="AC171" s="1203"/>
      <c r="AD171" s="1203"/>
      <c r="AE171" s="1641"/>
      <c r="AF171" s="1203"/>
      <c r="AG171" s="1203"/>
      <c r="AH171" s="1204"/>
      <c r="AI171" s="1205"/>
    </row>
    <row r="172" spans="1:35" ht="18" customHeight="1">
      <c r="A172" s="36"/>
      <c r="C172" s="38"/>
      <c r="D172" s="17"/>
      <c r="E172" s="17"/>
      <c r="F172" s="17"/>
      <c r="G172" s="17"/>
      <c r="H172" s="17"/>
      <c r="I172" s="38"/>
      <c r="J172" s="38"/>
      <c r="K172" s="17"/>
      <c r="L172" s="17"/>
      <c r="M172" s="17"/>
      <c r="N172" s="17"/>
      <c r="O172" s="17"/>
      <c r="P172" s="17"/>
      <c r="Q172" s="38"/>
      <c r="R172" s="17"/>
      <c r="S172" s="17"/>
      <c r="T172" s="17"/>
      <c r="U172" s="17"/>
      <c r="V172" s="17"/>
      <c r="W172" s="38"/>
      <c r="X172" s="38"/>
      <c r="Y172" s="17"/>
      <c r="Z172" s="17"/>
      <c r="AA172" s="17"/>
      <c r="AB172" s="17"/>
      <c r="AC172" s="17"/>
      <c r="AD172" s="17"/>
      <c r="AE172" s="38"/>
      <c r="AF172" s="17"/>
      <c r="AG172" s="17"/>
      <c r="AH172" s="76"/>
      <c r="AI172" s="76"/>
    </row>
    <row r="173" spans="1:35" ht="18" customHeight="1" thickBot="1">
      <c r="A173" s="96"/>
      <c r="B173" s="1644" t="s">
        <v>29</v>
      </c>
      <c r="C173" s="1645">
        <v>1</v>
      </c>
      <c r="D173" s="1645">
        <v>2</v>
      </c>
      <c r="E173" s="1646">
        <v>3</v>
      </c>
      <c r="F173" s="1646">
        <v>4</v>
      </c>
      <c r="G173" s="1645">
        <v>5</v>
      </c>
      <c r="H173" s="1645">
        <v>6</v>
      </c>
      <c r="I173" s="1645">
        <v>7</v>
      </c>
      <c r="J173" s="1645">
        <v>8</v>
      </c>
      <c r="K173" s="1645">
        <v>9</v>
      </c>
      <c r="L173" s="1646">
        <v>10</v>
      </c>
      <c r="M173" s="1646">
        <v>11</v>
      </c>
      <c r="N173" s="1645">
        <v>12</v>
      </c>
      <c r="O173" s="1645">
        <v>13</v>
      </c>
      <c r="P173" s="1645">
        <v>14</v>
      </c>
      <c r="Q173" s="1645">
        <v>15</v>
      </c>
      <c r="R173" s="1645">
        <v>16</v>
      </c>
      <c r="S173" s="1646">
        <v>17</v>
      </c>
      <c r="T173" s="1646">
        <v>18</v>
      </c>
      <c r="U173" s="1645">
        <v>19</v>
      </c>
      <c r="V173" s="1645">
        <v>20</v>
      </c>
      <c r="W173" s="1645">
        <v>21</v>
      </c>
      <c r="X173" s="1645">
        <v>22</v>
      </c>
      <c r="Y173" s="1645">
        <v>23</v>
      </c>
      <c r="Z173" s="1646">
        <v>24</v>
      </c>
      <c r="AA173" s="1646">
        <v>25</v>
      </c>
      <c r="AB173" s="1645">
        <v>26</v>
      </c>
      <c r="AC173" s="1645">
        <v>27</v>
      </c>
      <c r="AD173" s="1645">
        <v>28</v>
      </c>
      <c r="AE173" s="1645">
        <v>29</v>
      </c>
      <c r="AF173" s="1645">
        <v>30</v>
      </c>
      <c r="AG173" s="1647">
        <v>31</v>
      </c>
      <c r="AH173" s="97"/>
      <c r="AI173" s="24"/>
    </row>
    <row r="174" spans="1:35" ht="18" customHeight="1">
      <c r="A174" s="36"/>
      <c r="B174" s="998" t="s">
        <v>262</v>
      </c>
      <c r="C174" s="972" t="s">
        <v>233</v>
      </c>
      <c r="D174" s="972" t="s">
        <v>233</v>
      </c>
      <c r="E174" s="972"/>
      <c r="F174" s="972"/>
      <c r="G174" s="972" t="s">
        <v>233</v>
      </c>
      <c r="H174" s="972" t="s">
        <v>233</v>
      </c>
      <c r="I174" s="972" t="s">
        <v>233</v>
      </c>
      <c r="J174" s="972" t="s">
        <v>233</v>
      </c>
      <c r="K174" s="972" t="s">
        <v>233</v>
      </c>
      <c r="L174" s="972"/>
      <c r="M174" s="972"/>
      <c r="N174" s="972" t="s">
        <v>233</v>
      </c>
      <c r="O174" s="972" t="s">
        <v>233</v>
      </c>
      <c r="P174" s="972" t="s">
        <v>233</v>
      </c>
      <c r="Q174" s="972" t="s">
        <v>233</v>
      </c>
      <c r="R174" s="972" t="s">
        <v>233</v>
      </c>
      <c r="S174" s="972"/>
      <c r="T174" s="972"/>
      <c r="U174" s="972" t="s">
        <v>233</v>
      </c>
      <c r="V174" s="972" t="s">
        <v>233</v>
      </c>
      <c r="W174" s="972" t="s">
        <v>233</v>
      </c>
      <c r="X174" s="972" t="s">
        <v>233</v>
      </c>
      <c r="Y174" s="972" t="s">
        <v>233</v>
      </c>
      <c r="Z174" s="972"/>
      <c r="AA174" s="972"/>
      <c r="AB174" s="972" t="s">
        <v>233</v>
      </c>
      <c r="AC174" s="972" t="s">
        <v>233</v>
      </c>
      <c r="AD174" s="972" t="s">
        <v>233</v>
      </c>
      <c r="AE174" s="1648" t="s">
        <v>233</v>
      </c>
      <c r="AF174" s="1648" t="s">
        <v>233</v>
      </c>
      <c r="AG174" s="1649"/>
      <c r="AH174" s="25"/>
      <c r="AI174" s="25"/>
    </row>
    <row r="175" spans="1:35" ht="18" customHeight="1">
      <c r="A175" s="36"/>
      <c r="B175" s="1650" t="s">
        <v>263</v>
      </c>
      <c r="C175" s="1651" t="s">
        <v>233</v>
      </c>
      <c r="D175" s="1651" t="s">
        <v>233</v>
      </c>
      <c r="E175" s="1651"/>
      <c r="F175" s="1651"/>
      <c r="G175" s="1651" t="s">
        <v>233</v>
      </c>
      <c r="H175" s="1651" t="s">
        <v>233</v>
      </c>
      <c r="I175" s="1651" t="s">
        <v>233</v>
      </c>
      <c r="J175" s="1651" t="s">
        <v>233</v>
      </c>
      <c r="K175" s="1651" t="s">
        <v>233</v>
      </c>
      <c r="L175" s="1651"/>
      <c r="M175" s="1651"/>
      <c r="N175" s="1483" t="s">
        <v>233</v>
      </c>
      <c r="O175" s="1483" t="s">
        <v>233</v>
      </c>
      <c r="P175" s="1483" t="s">
        <v>233</v>
      </c>
      <c r="Q175" s="1483" t="s">
        <v>233</v>
      </c>
      <c r="R175" s="1483" t="s">
        <v>233</v>
      </c>
      <c r="S175" s="1483"/>
      <c r="T175" s="1483"/>
      <c r="U175" s="1483" t="s">
        <v>233</v>
      </c>
      <c r="V175" s="1483" t="s">
        <v>233</v>
      </c>
      <c r="W175" s="1483" t="s">
        <v>233</v>
      </c>
      <c r="X175" s="1483" t="s">
        <v>233</v>
      </c>
      <c r="Y175" s="1483" t="s">
        <v>233</v>
      </c>
      <c r="Z175" s="1483"/>
      <c r="AA175" s="1483"/>
      <c r="AB175" s="1483" t="s">
        <v>233</v>
      </c>
      <c r="AC175" s="1483" t="s">
        <v>233</v>
      </c>
      <c r="AD175" s="1483" t="s">
        <v>233</v>
      </c>
      <c r="AE175" s="1483" t="s">
        <v>233</v>
      </c>
      <c r="AF175" s="1483" t="s">
        <v>233</v>
      </c>
      <c r="AG175" s="1615"/>
      <c r="AH175" s="25"/>
      <c r="AI175" s="25"/>
    </row>
    <row r="176" spans="1:35" ht="18" customHeight="1">
      <c r="A176" s="36"/>
      <c r="B176" s="1650" t="s">
        <v>409</v>
      </c>
      <c r="C176" s="1651" t="s">
        <v>237</v>
      </c>
      <c r="D176" s="1651" t="s">
        <v>237</v>
      </c>
      <c r="E176" s="1651"/>
      <c r="F176" s="1651"/>
      <c r="G176" s="1651" t="s">
        <v>237</v>
      </c>
      <c r="H176" s="1651" t="s">
        <v>237</v>
      </c>
      <c r="I176" s="1651" t="s">
        <v>237</v>
      </c>
      <c r="J176" s="1651" t="s">
        <v>237</v>
      </c>
      <c r="K176" s="1651" t="s">
        <v>237</v>
      </c>
      <c r="L176" s="1651"/>
      <c r="M176" s="1651"/>
      <c r="N176" s="1483" t="s">
        <v>237</v>
      </c>
      <c r="O176" s="1483" t="s">
        <v>237</v>
      </c>
      <c r="P176" s="1483" t="s">
        <v>237</v>
      </c>
      <c r="Q176" s="1652" t="s">
        <v>237</v>
      </c>
      <c r="R176" s="1652" t="s">
        <v>237</v>
      </c>
      <c r="S176" s="1652"/>
      <c r="T176" s="1652"/>
      <c r="U176" s="1652" t="s">
        <v>396</v>
      </c>
      <c r="V176" s="1483" t="s">
        <v>237</v>
      </c>
      <c r="W176" s="1483" t="s">
        <v>237</v>
      </c>
      <c r="X176" s="1483" t="s">
        <v>237</v>
      </c>
      <c r="Y176" s="1483" t="s">
        <v>237</v>
      </c>
      <c r="Z176" s="1483"/>
      <c r="AA176" s="1483"/>
      <c r="AB176" s="1653" t="s">
        <v>237</v>
      </c>
      <c r="AC176" s="1483" t="s">
        <v>237</v>
      </c>
      <c r="AD176" s="1483" t="s">
        <v>237</v>
      </c>
      <c r="AE176" s="1483" t="s">
        <v>237</v>
      </c>
      <c r="AF176" s="1483" t="s">
        <v>237</v>
      </c>
      <c r="AG176" s="1615"/>
      <c r="AH176" s="25"/>
      <c r="AI176" s="25"/>
    </row>
    <row r="177" spans="1:35" ht="18" customHeight="1">
      <c r="A177" s="36"/>
      <c r="B177" s="1650" t="s">
        <v>266</v>
      </c>
      <c r="C177" s="1483" t="s">
        <v>201</v>
      </c>
      <c r="D177" s="1513" t="s">
        <v>201</v>
      </c>
      <c r="E177" s="1513" t="s">
        <v>0</v>
      </c>
      <c r="F177" s="1513"/>
      <c r="G177" s="1513" t="s">
        <v>201</v>
      </c>
      <c r="H177" s="1513" t="s">
        <v>201</v>
      </c>
      <c r="I177" s="1483" t="s">
        <v>201</v>
      </c>
      <c r="J177" s="1483" t="s">
        <v>201</v>
      </c>
      <c r="K177" s="1654" t="s">
        <v>201</v>
      </c>
      <c r="L177" s="1483"/>
      <c r="M177" s="1483"/>
      <c r="N177" s="1483" t="s">
        <v>201</v>
      </c>
      <c r="O177" s="1483" t="s">
        <v>201</v>
      </c>
      <c r="P177" s="1483" t="s">
        <v>201</v>
      </c>
      <c r="Q177" s="1483" t="s">
        <v>201</v>
      </c>
      <c r="R177" s="1483" t="s">
        <v>201</v>
      </c>
      <c r="S177" s="1483"/>
      <c r="T177" s="1483"/>
      <c r="U177" s="1483" t="s">
        <v>201</v>
      </c>
      <c r="V177" s="1483" t="s">
        <v>201</v>
      </c>
      <c r="W177" s="1483" t="s">
        <v>201</v>
      </c>
      <c r="X177" s="1483" t="s">
        <v>201</v>
      </c>
      <c r="Y177" s="1483" t="s">
        <v>201</v>
      </c>
      <c r="Z177" s="1483"/>
      <c r="AA177" s="1483"/>
      <c r="AB177" s="1483" t="s">
        <v>201</v>
      </c>
      <c r="AC177" s="1483" t="s">
        <v>201</v>
      </c>
      <c r="AD177" s="1483" t="s">
        <v>201</v>
      </c>
      <c r="AE177" s="1483" t="s">
        <v>201</v>
      </c>
      <c r="AF177" s="1483" t="s">
        <v>201</v>
      </c>
      <c r="AG177" s="1615"/>
      <c r="AH177" s="25"/>
      <c r="AI177" s="25"/>
    </row>
    <row r="178" spans="1:35" ht="18" customHeight="1">
      <c r="A178" s="36"/>
      <c r="B178" s="1655" t="s">
        <v>267</v>
      </c>
      <c r="C178" s="1483" t="s">
        <v>121</v>
      </c>
      <c r="D178" s="1483" t="s">
        <v>121</v>
      </c>
      <c r="E178" s="1483"/>
      <c r="F178" s="1656" t="s">
        <v>0</v>
      </c>
      <c r="G178" s="1651" t="s">
        <v>121</v>
      </c>
      <c r="H178" s="1483" t="s">
        <v>121</v>
      </c>
      <c r="I178" s="1483" t="s">
        <v>121</v>
      </c>
      <c r="J178" s="1483" t="s">
        <v>121</v>
      </c>
      <c r="K178" s="1651" t="s">
        <v>121</v>
      </c>
      <c r="L178" s="1656"/>
      <c r="M178" s="1656"/>
      <c r="N178" s="1483" t="s">
        <v>121</v>
      </c>
      <c r="O178" s="1483" t="s">
        <v>121</v>
      </c>
      <c r="P178" s="1483" t="s">
        <v>121</v>
      </c>
      <c r="Q178" s="1483" t="s">
        <v>121</v>
      </c>
      <c r="R178" s="1483" t="s">
        <v>121</v>
      </c>
      <c r="S178" s="1483"/>
      <c r="T178" s="1483"/>
      <c r="U178" s="1483" t="s">
        <v>121</v>
      </c>
      <c r="V178" s="1483" t="s">
        <v>121</v>
      </c>
      <c r="W178" s="1483" t="s">
        <v>121</v>
      </c>
      <c r="X178" s="1483" t="s">
        <v>121</v>
      </c>
      <c r="Y178" s="1483" t="s">
        <v>121</v>
      </c>
      <c r="Z178" s="1483"/>
      <c r="AA178" s="1483"/>
      <c r="AB178" s="1483" t="s">
        <v>121</v>
      </c>
      <c r="AC178" s="1483" t="s">
        <v>121</v>
      </c>
      <c r="AD178" s="1483" t="s">
        <v>121</v>
      </c>
      <c r="AE178" s="1483" t="s">
        <v>121</v>
      </c>
      <c r="AF178" s="1483" t="s">
        <v>121</v>
      </c>
      <c r="AG178" s="1615"/>
      <c r="AH178" s="25"/>
      <c r="AI178" s="25"/>
    </row>
    <row r="179" spans="1:35" ht="18" customHeight="1">
      <c r="A179" s="36"/>
      <c r="B179" s="1650" t="s">
        <v>374</v>
      </c>
      <c r="C179" s="1651" t="s">
        <v>244</v>
      </c>
      <c r="D179" s="1651" t="s">
        <v>244</v>
      </c>
      <c r="E179" s="1651" t="s">
        <v>0</v>
      </c>
      <c r="F179" s="1651"/>
      <c r="G179" s="1651" t="s">
        <v>244</v>
      </c>
      <c r="H179" s="1651" t="s">
        <v>244</v>
      </c>
      <c r="I179" s="1651" t="s">
        <v>244</v>
      </c>
      <c r="J179" s="1651" t="s">
        <v>244</v>
      </c>
      <c r="K179" s="1651" t="s">
        <v>244</v>
      </c>
      <c r="L179" s="1651"/>
      <c r="M179" s="1651"/>
      <c r="N179" s="1651" t="s">
        <v>244</v>
      </c>
      <c r="O179" s="1651" t="s">
        <v>244</v>
      </c>
      <c r="P179" s="1651" t="s">
        <v>244</v>
      </c>
      <c r="Q179" s="1651" t="s">
        <v>244</v>
      </c>
      <c r="R179" s="1651" t="s">
        <v>244</v>
      </c>
      <c r="S179" s="1651"/>
      <c r="T179" s="1651"/>
      <c r="U179" s="1483" t="s">
        <v>253</v>
      </c>
      <c r="V179" s="1483" t="s">
        <v>253</v>
      </c>
      <c r="W179" s="1483" t="s">
        <v>253</v>
      </c>
      <c r="X179" s="1483" t="s">
        <v>253</v>
      </c>
      <c r="Y179" s="1483" t="s">
        <v>253</v>
      </c>
      <c r="Z179" s="1483"/>
      <c r="AA179" s="1483"/>
      <c r="AB179" s="1483" t="s">
        <v>253</v>
      </c>
      <c r="AC179" s="1483" t="s">
        <v>253</v>
      </c>
      <c r="AD179" s="1483" t="s">
        <v>253</v>
      </c>
      <c r="AE179" s="1657" t="s">
        <v>253</v>
      </c>
      <c r="AF179" s="1483" t="s">
        <v>253</v>
      </c>
      <c r="AG179" s="1615"/>
      <c r="AH179" s="25"/>
      <c r="AI179" s="25"/>
    </row>
    <row r="180" spans="1:35" ht="18" customHeight="1">
      <c r="A180" s="36"/>
      <c r="B180" s="1650" t="s">
        <v>269</v>
      </c>
      <c r="C180" s="1651" t="s">
        <v>128</v>
      </c>
      <c r="D180" s="1651" t="s">
        <v>128</v>
      </c>
      <c r="E180" s="1651"/>
      <c r="F180" s="1651"/>
      <c r="G180" s="1651" t="s">
        <v>128</v>
      </c>
      <c r="H180" s="1651" t="s">
        <v>128</v>
      </c>
      <c r="I180" s="1651" t="s">
        <v>128</v>
      </c>
      <c r="J180" s="1651" t="s">
        <v>128</v>
      </c>
      <c r="K180" s="1651" t="s">
        <v>128</v>
      </c>
      <c r="L180" s="1651"/>
      <c r="M180" s="1651"/>
      <c r="N180" s="1651" t="s">
        <v>128</v>
      </c>
      <c r="O180" s="1651" t="s">
        <v>128</v>
      </c>
      <c r="P180" s="1651" t="s">
        <v>128</v>
      </c>
      <c r="Q180" s="1651" t="s">
        <v>128</v>
      </c>
      <c r="R180" s="1651" t="s">
        <v>128</v>
      </c>
      <c r="S180" s="1651"/>
      <c r="T180" s="1651"/>
      <c r="U180" s="1483" t="s">
        <v>128</v>
      </c>
      <c r="V180" s="1483" t="s">
        <v>128</v>
      </c>
      <c r="W180" s="1483" t="s">
        <v>128</v>
      </c>
      <c r="X180" s="1483" t="s">
        <v>128</v>
      </c>
      <c r="Y180" s="1483" t="s">
        <v>128</v>
      </c>
      <c r="Z180" s="1483"/>
      <c r="AA180" s="1483"/>
      <c r="AB180" s="1483" t="s">
        <v>128</v>
      </c>
      <c r="AC180" s="1483" t="s">
        <v>128</v>
      </c>
      <c r="AD180" s="1483" t="s">
        <v>128</v>
      </c>
      <c r="AE180" s="1483" t="s">
        <v>128</v>
      </c>
      <c r="AF180" s="1658" t="s">
        <v>128</v>
      </c>
      <c r="AG180" s="1615"/>
      <c r="AH180" s="25"/>
      <c r="AI180" s="25"/>
    </row>
    <row r="181" spans="1:35" ht="18" customHeight="1">
      <c r="A181" s="36"/>
      <c r="B181" s="1659" t="s">
        <v>271</v>
      </c>
      <c r="C181" s="1651" t="s">
        <v>250</v>
      </c>
      <c r="D181" s="1651" t="s">
        <v>250</v>
      </c>
      <c r="E181" s="1651"/>
      <c r="F181" s="1651"/>
      <c r="G181" s="1651" t="s">
        <v>250</v>
      </c>
      <c r="H181" s="1651" t="s">
        <v>250</v>
      </c>
      <c r="I181" s="1651" t="s">
        <v>250</v>
      </c>
      <c r="J181" s="1651" t="s">
        <v>250</v>
      </c>
      <c r="K181" s="1651" t="s">
        <v>250</v>
      </c>
      <c r="L181" s="1651"/>
      <c r="M181" s="1651"/>
      <c r="N181" s="1651" t="s">
        <v>250</v>
      </c>
      <c r="O181" s="58" t="s">
        <v>250</v>
      </c>
      <c r="P181" s="58" t="s">
        <v>250</v>
      </c>
      <c r="Q181" s="58" t="s">
        <v>250</v>
      </c>
      <c r="R181" s="58" t="s">
        <v>250</v>
      </c>
      <c r="S181" s="1483"/>
      <c r="T181" s="1483"/>
      <c r="U181" s="1483" t="s">
        <v>250</v>
      </c>
      <c r="V181" s="1483" t="s">
        <v>250</v>
      </c>
      <c r="W181" s="1483" t="s">
        <v>250</v>
      </c>
      <c r="X181" s="1483" t="s">
        <v>250</v>
      </c>
      <c r="Y181" s="1483" t="s">
        <v>250</v>
      </c>
      <c r="Z181" s="1483"/>
      <c r="AA181" s="1483"/>
      <c r="AB181" s="1483" t="s">
        <v>250</v>
      </c>
      <c r="AC181" s="1483" t="s">
        <v>250</v>
      </c>
      <c r="AD181" s="1483" t="s">
        <v>250</v>
      </c>
      <c r="AE181" s="1483" t="s">
        <v>250</v>
      </c>
      <c r="AF181" s="1483" t="s">
        <v>250</v>
      </c>
      <c r="AG181" s="1615"/>
      <c r="AH181" s="25"/>
      <c r="AI181" s="25"/>
    </row>
    <row r="182" spans="1:35" ht="18" customHeight="1">
      <c r="A182" s="36"/>
      <c r="B182" s="1650" t="s">
        <v>273</v>
      </c>
      <c r="C182" s="1483" t="s">
        <v>251</v>
      </c>
      <c r="D182" s="1483" t="s">
        <v>251</v>
      </c>
      <c r="E182" s="1483"/>
      <c r="F182" s="1483"/>
      <c r="G182" s="1483" t="s">
        <v>251</v>
      </c>
      <c r="H182" s="1483" t="s">
        <v>251</v>
      </c>
      <c r="I182" s="1483" t="s">
        <v>251</v>
      </c>
      <c r="J182" s="1483" t="s">
        <v>251</v>
      </c>
      <c r="K182" s="1483" t="s">
        <v>251</v>
      </c>
      <c r="L182" s="1483"/>
      <c r="M182" s="1483"/>
      <c r="N182" s="1660" t="s">
        <v>251</v>
      </c>
      <c r="O182" s="1483" t="s">
        <v>251</v>
      </c>
      <c r="P182" s="1483" t="s">
        <v>251</v>
      </c>
      <c r="Q182" s="1483" t="s">
        <v>251</v>
      </c>
      <c r="R182" s="1483" t="s">
        <v>251</v>
      </c>
      <c r="S182" s="1483"/>
      <c r="T182" s="1483"/>
      <c r="U182" s="1483" t="s">
        <v>251</v>
      </c>
      <c r="V182" s="1483" t="s">
        <v>251</v>
      </c>
      <c r="W182" s="1483" t="s">
        <v>251</v>
      </c>
      <c r="X182" s="1483" t="s">
        <v>251</v>
      </c>
      <c r="Y182" s="1483" t="s">
        <v>251</v>
      </c>
      <c r="Z182" s="1483"/>
      <c r="AA182" s="1483"/>
      <c r="AB182" s="1483" t="s">
        <v>251</v>
      </c>
      <c r="AC182" s="1483" t="s">
        <v>251</v>
      </c>
      <c r="AD182" s="1483" t="s">
        <v>251</v>
      </c>
      <c r="AE182" s="1483" t="s">
        <v>251</v>
      </c>
      <c r="AF182" s="1483" t="s">
        <v>251</v>
      </c>
      <c r="AG182" s="1615"/>
      <c r="AH182" s="25"/>
      <c r="AI182" s="25"/>
    </row>
    <row r="183" spans="1:35" ht="18" customHeight="1">
      <c r="A183" s="36"/>
      <c r="B183" s="1650" t="s">
        <v>274</v>
      </c>
      <c r="C183" s="1483" t="s">
        <v>253</v>
      </c>
      <c r="D183" s="1483" t="s">
        <v>253</v>
      </c>
      <c r="E183" s="1483"/>
      <c r="F183" s="1483"/>
      <c r="G183" s="1513" t="s">
        <v>253</v>
      </c>
      <c r="H183" s="1513" t="s">
        <v>253</v>
      </c>
      <c r="I183" s="1513" t="s">
        <v>253</v>
      </c>
      <c r="J183" s="1513" t="s">
        <v>253</v>
      </c>
      <c r="K183" s="1513" t="s">
        <v>410</v>
      </c>
      <c r="L183" s="1483"/>
      <c r="M183" s="1483"/>
      <c r="N183" s="1483" t="s">
        <v>253</v>
      </c>
      <c r="O183" s="1483" t="s">
        <v>253</v>
      </c>
      <c r="P183" s="1483" t="s">
        <v>253</v>
      </c>
      <c r="Q183" s="1483" t="s">
        <v>253</v>
      </c>
      <c r="R183" s="1483" t="s">
        <v>253</v>
      </c>
      <c r="S183" s="1483"/>
      <c r="T183" s="1483"/>
      <c r="U183" s="1651" t="s">
        <v>253</v>
      </c>
      <c r="V183" s="1651" t="s">
        <v>253</v>
      </c>
      <c r="W183" s="1651" t="s">
        <v>253</v>
      </c>
      <c r="X183" s="1651" t="s">
        <v>253</v>
      </c>
      <c r="Y183" s="1651" t="s">
        <v>253</v>
      </c>
      <c r="Z183" s="1651"/>
      <c r="AA183" s="1651"/>
      <c r="AB183" s="1651" t="s">
        <v>253</v>
      </c>
      <c r="AC183" s="1651" t="s">
        <v>253</v>
      </c>
      <c r="AD183" s="1651" t="s">
        <v>253</v>
      </c>
      <c r="AE183" s="1651" t="s">
        <v>253</v>
      </c>
      <c r="AF183" s="1651" t="s">
        <v>253</v>
      </c>
      <c r="AG183" s="1661"/>
      <c r="AH183" s="25"/>
      <c r="AI183" s="25"/>
    </row>
    <row r="184" spans="1:35" ht="18" customHeight="1">
      <c r="A184" s="36"/>
      <c r="B184" s="1659" t="s">
        <v>275</v>
      </c>
      <c r="C184" s="1483" t="s">
        <v>123</v>
      </c>
      <c r="D184" s="1483" t="s">
        <v>123</v>
      </c>
      <c r="E184" s="1483"/>
      <c r="F184" s="1483"/>
      <c r="G184" s="1483" t="s">
        <v>123</v>
      </c>
      <c r="H184" s="1483" t="s">
        <v>123</v>
      </c>
      <c r="I184" s="1483" t="s">
        <v>123</v>
      </c>
      <c r="J184" s="1483" t="s">
        <v>123</v>
      </c>
      <c r="K184" s="1483" t="s">
        <v>123</v>
      </c>
      <c r="L184" s="1483"/>
      <c r="M184" s="1483"/>
      <c r="N184" s="1483" t="s">
        <v>123</v>
      </c>
      <c r="O184" s="1483" t="s">
        <v>123</v>
      </c>
      <c r="P184" s="1483" t="s">
        <v>123</v>
      </c>
      <c r="Q184" s="1483" t="s">
        <v>123</v>
      </c>
      <c r="R184" s="1483" t="s">
        <v>123</v>
      </c>
      <c r="S184" s="1513"/>
      <c r="T184" s="1662"/>
      <c r="U184" s="1662" t="s">
        <v>123</v>
      </c>
      <c r="V184" s="1662" t="s">
        <v>123</v>
      </c>
      <c r="W184" s="1483" t="s">
        <v>123</v>
      </c>
      <c r="X184" s="1483" t="s">
        <v>123</v>
      </c>
      <c r="Y184" s="1483" t="s">
        <v>123</v>
      </c>
      <c r="Z184" s="1483"/>
      <c r="AA184" s="1483"/>
      <c r="AB184" s="1483" t="s">
        <v>123</v>
      </c>
      <c r="AC184" s="1483" t="s">
        <v>123</v>
      </c>
      <c r="AD184" s="1483" t="s">
        <v>123</v>
      </c>
      <c r="AE184" s="1663" t="s">
        <v>123</v>
      </c>
      <c r="AF184" s="1483" t="s">
        <v>123</v>
      </c>
      <c r="AG184" s="1615"/>
      <c r="AH184" s="25"/>
      <c r="AI184" s="25"/>
    </row>
    <row r="185" spans="1:35" ht="18" customHeight="1">
      <c r="A185" s="36"/>
      <c r="B185" s="1650" t="s">
        <v>276</v>
      </c>
      <c r="C185" s="1483" t="s">
        <v>146</v>
      </c>
      <c r="D185" s="1483" t="s">
        <v>146</v>
      </c>
      <c r="E185" s="1483"/>
      <c r="F185" s="1483"/>
      <c r="G185" s="1483" t="s">
        <v>146</v>
      </c>
      <c r="H185" s="1483" t="s">
        <v>146</v>
      </c>
      <c r="I185" s="1483" t="s">
        <v>146</v>
      </c>
      <c r="J185" s="1483" t="s">
        <v>146</v>
      </c>
      <c r="K185" s="1483" t="s">
        <v>146</v>
      </c>
      <c r="L185" s="1483"/>
      <c r="M185" s="1483"/>
      <c r="N185" s="1483" t="s">
        <v>146</v>
      </c>
      <c r="O185" s="1483" t="s">
        <v>146</v>
      </c>
      <c r="P185" s="1483" t="s">
        <v>146</v>
      </c>
      <c r="Q185" s="1483" t="s">
        <v>146</v>
      </c>
      <c r="R185" s="1483" t="s">
        <v>146</v>
      </c>
      <c r="S185" s="1483"/>
      <c r="T185" s="1483"/>
      <c r="U185" s="1651" t="s">
        <v>146</v>
      </c>
      <c r="V185" s="1651" t="s">
        <v>146</v>
      </c>
      <c r="W185" s="1651" t="s">
        <v>146</v>
      </c>
      <c r="X185" s="1651" t="s">
        <v>146</v>
      </c>
      <c r="Y185" s="1651" t="s">
        <v>146</v>
      </c>
      <c r="Z185" s="1651"/>
      <c r="AA185" s="1651"/>
      <c r="AB185" s="1651" t="s">
        <v>146</v>
      </c>
      <c r="AC185" s="1651" t="s">
        <v>146</v>
      </c>
      <c r="AD185" s="1651" t="s">
        <v>146</v>
      </c>
      <c r="AE185" s="1651" t="s">
        <v>146</v>
      </c>
      <c r="AF185" s="1651" t="s">
        <v>146</v>
      </c>
      <c r="AG185" s="1661"/>
      <c r="AH185" s="25"/>
      <c r="AI185" s="25"/>
    </row>
    <row r="186" spans="1:35" ht="18" customHeight="1" thickBot="1">
      <c r="A186" s="36"/>
      <c r="B186" s="402" t="s">
        <v>0</v>
      </c>
      <c r="C186" s="58" t="s">
        <v>136</v>
      </c>
      <c r="D186" s="58" t="s">
        <v>136</v>
      </c>
      <c r="E186" s="58"/>
      <c r="F186" s="58"/>
      <c r="G186" s="58" t="s">
        <v>136</v>
      </c>
      <c r="H186" s="58" t="s">
        <v>136</v>
      </c>
      <c r="I186" s="58" t="s">
        <v>136</v>
      </c>
      <c r="J186" s="58" t="s">
        <v>136</v>
      </c>
      <c r="K186" s="58" t="s">
        <v>136</v>
      </c>
      <c r="L186" s="58"/>
      <c r="M186" s="58"/>
      <c r="N186" s="408" t="s">
        <v>136</v>
      </c>
      <c r="O186" s="408" t="s">
        <v>136</v>
      </c>
      <c r="P186" s="408" t="s">
        <v>136</v>
      </c>
      <c r="Q186" s="408" t="s">
        <v>136</v>
      </c>
      <c r="R186" s="408" t="s">
        <v>136</v>
      </c>
      <c r="S186" s="408"/>
      <c r="T186" s="408"/>
      <c r="U186" s="408" t="s">
        <v>136</v>
      </c>
      <c r="V186" s="408" t="s">
        <v>136</v>
      </c>
      <c r="W186" s="408" t="s">
        <v>136</v>
      </c>
      <c r="X186" s="408" t="s">
        <v>136</v>
      </c>
      <c r="Y186" s="408" t="s">
        <v>136</v>
      </c>
      <c r="Z186" s="408"/>
      <c r="AA186" s="408"/>
      <c r="AB186" s="408" t="s">
        <v>136</v>
      </c>
      <c r="AC186" s="408" t="s">
        <v>136</v>
      </c>
      <c r="AD186" s="408" t="s">
        <v>136</v>
      </c>
      <c r="AE186" s="408" t="s">
        <v>136</v>
      </c>
      <c r="AF186" s="408" t="s">
        <v>136</v>
      </c>
      <c r="AG186" s="90"/>
      <c r="AH186" s="25"/>
      <c r="AI186" s="25"/>
    </row>
    <row r="187" spans="1:35" ht="18" customHeight="1" thickBot="1">
      <c r="A187" s="36"/>
      <c r="B187" s="402" t="s">
        <v>278</v>
      </c>
      <c r="C187" s="425" t="s">
        <v>112</v>
      </c>
      <c r="D187" s="425" t="s">
        <v>112</v>
      </c>
      <c r="E187" s="423"/>
      <c r="F187" s="423"/>
      <c r="G187" s="426" t="s">
        <v>112</v>
      </c>
      <c r="H187" s="426" t="s">
        <v>112</v>
      </c>
      <c r="I187" s="426" t="s">
        <v>112</v>
      </c>
      <c r="J187" s="426" t="s">
        <v>112</v>
      </c>
      <c r="K187" s="426" t="s">
        <v>112</v>
      </c>
      <c r="L187" s="426"/>
      <c r="M187" s="426"/>
      <c r="N187" s="426" t="s">
        <v>112</v>
      </c>
      <c r="O187" s="426" t="s">
        <v>112</v>
      </c>
      <c r="P187" s="426" t="s">
        <v>112</v>
      </c>
      <c r="Q187" s="426" t="s">
        <v>112</v>
      </c>
      <c r="R187" s="426" t="s">
        <v>112</v>
      </c>
      <c r="S187" s="408"/>
      <c r="T187" s="408"/>
      <c r="U187" s="425" t="s">
        <v>112</v>
      </c>
      <c r="V187" s="425" t="s">
        <v>112</v>
      </c>
      <c r="W187" s="425" t="s">
        <v>112</v>
      </c>
      <c r="X187" s="425" t="s">
        <v>112</v>
      </c>
      <c r="Y187" s="425" t="s">
        <v>112</v>
      </c>
      <c r="Z187" s="408"/>
      <c r="AA187" s="408"/>
      <c r="AB187" s="425" t="s">
        <v>112</v>
      </c>
      <c r="AC187" s="425" t="s">
        <v>112</v>
      </c>
      <c r="AD187" s="425" t="s">
        <v>112</v>
      </c>
      <c r="AE187" s="425" t="s">
        <v>112</v>
      </c>
      <c r="AF187" s="425" t="s">
        <v>112</v>
      </c>
      <c r="AG187" s="90"/>
      <c r="AH187" s="76"/>
      <c r="AI187" s="76"/>
    </row>
    <row r="188" spans="1:35" ht="18" customHeight="1">
      <c r="A188" s="96"/>
      <c r="B188" s="98"/>
      <c r="C188" s="91"/>
      <c r="D188" s="91"/>
      <c r="E188" s="91"/>
      <c r="F188" s="91"/>
      <c r="G188" s="91"/>
      <c r="H188" s="91"/>
      <c r="I188" s="91"/>
      <c r="J188" s="91"/>
      <c r="K188" s="91"/>
      <c r="L188" s="91"/>
      <c r="M188" s="91"/>
      <c r="N188" s="91"/>
      <c r="O188" s="91"/>
      <c r="P188" s="91"/>
      <c r="Q188" s="91"/>
      <c r="R188" s="91"/>
      <c r="S188" s="91"/>
      <c r="T188" s="91"/>
      <c r="U188" s="91"/>
      <c r="V188" s="91"/>
      <c r="W188" s="91"/>
      <c r="X188" s="91"/>
      <c r="Y188" s="91"/>
      <c r="Z188" s="91"/>
      <c r="AA188" s="91"/>
      <c r="AB188" s="91"/>
      <c r="AC188" s="91"/>
      <c r="AD188" s="91"/>
      <c r="AE188" s="91"/>
      <c r="AF188" s="91"/>
      <c r="AG188" s="91"/>
      <c r="AH188" s="99"/>
    </row>
    <row r="189" spans="1:35" ht="18" customHeight="1" thickBot="1">
      <c r="A189" s="1" t="s">
        <v>280</v>
      </c>
      <c r="B189" s="42"/>
      <c r="C189" s="100"/>
      <c r="D189" s="100"/>
      <c r="E189" s="100"/>
      <c r="F189" s="100"/>
      <c r="G189" s="100"/>
      <c r="H189" s="100"/>
      <c r="I189" s="100"/>
      <c r="J189" s="100"/>
      <c r="K189" s="100"/>
      <c r="L189" s="100"/>
      <c r="M189" s="100"/>
      <c r="N189" s="100"/>
      <c r="O189" s="100"/>
      <c r="P189" s="100"/>
      <c r="Q189" s="100"/>
      <c r="R189" s="100"/>
      <c r="S189" s="100"/>
      <c r="T189" s="100"/>
      <c r="U189" s="100"/>
      <c r="V189" s="100"/>
      <c r="W189" s="100"/>
      <c r="X189" s="100"/>
      <c r="Y189" s="100"/>
      <c r="Z189" s="100"/>
      <c r="AA189" s="100"/>
      <c r="AB189" s="100"/>
      <c r="AC189" s="100"/>
      <c r="AD189" s="100"/>
      <c r="AE189" s="100"/>
      <c r="AF189" s="100"/>
      <c r="AG189" s="100"/>
    </row>
    <row r="190" spans="1:35" ht="18" customHeight="1">
      <c r="A190" s="1"/>
      <c r="B190" s="1664" t="s">
        <v>281</v>
      </c>
      <c r="C190" s="1006" t="s">
        <v>87</v>
      </c>
      <c r="D190" s="1006"/>
      <c r="E190" s="1006"/>
      <c r="F190" s="1006"/>
      <c r="G190" s="1007" t="s">
        <v>88</v>
      </c>
      <c r="H190" s="1006"/>
      <c r="I190" s="1006"/>
      <c r="J190" s="1006"/>
      <c r="K190" s="1007" t="s">
        <v>89</v>
      </c>
      <c r="L190" s="1006"/>
      <c r="M190" s="1006"/>
      <c r="N190" s="1006"/>
      <c r="O190" s="1007" t="s">
        <v>90</v>
      </c>
      <c r="P190" s="1006"/>
      <c r="Q190" s="1006"/>
      <c r="R190" s="1006"/>
      <c r="S190" s="1007" t="s">
        <v>91</v>
      </c>
      <c r="T190" s="1006"/>
      <c r="U190" s="1006"/>
      <c r="V190" s="1006"/>
      <c r="W190" s="1008" t="s">
        <v>92</v>
      </c>
      <c r="X190" s="705"/>
      <c r="Y190" s="1006"/>
      <c r="Z190" s="1009"/>
      <c r="AA190" s="1008" t="s">
        <v>93</v>
      </c>
      <c r="AB190" s="705"/>
      <c r="AC190" s="1006"/>
      <c r="AD190" s="1009"/>
      <c r="AE190" s="1010" t="s">
        <v>94</v>
      </c>
      <c r="AF190" s="1006"/>
      <c r="AG190" s="1006"/>
      <c r="AH190" s="1006"/>
      <c r="AI190" s="706"/>
    </row>
    <row r="191" spans="1:35" ht="18" customHeight="1">
      <c r="A191" s="1"/>
      <c r="B191" s="1665">
        <v>3701</v>
      </c>
      <c r="C191" s="87" t="s">
        <v>282</v>
      </c>
      <c r="D191" s="87"/>
      <c r="E191" s="87"/>
      <c r="F191" s="87"/>
      <c r="G191" s="558" t="s">
        <v>283</v>
      </c>
      <c r="H191" s="87"/>
      <c r="I191" s="87"/>
      <c r="J191" s="87"/>
      <c r="K191" s="558" t="s">
        <v>283</v>
      </c>
      <c r="L191" s="87"/>
      <c r="M191" s="87"/>
      <c r="N191" s="87"/>
      <c r="O191" s="558" t="s">
        <v>283</v>
      </c>
      <c r="P191" s="87"/>
      <c r="Q191" s="87"/>
      <c r="R191" s="87"/>
      <c r="S191" s="558" t="s">
        <v>284</v>
      </c>
      <c r="T191" s="87"/>
      <c r="U191" s="87"/>
      <c r="V191" s="87"/>
      <c r="W191" s="1666"/>
      <c r="X191" s="1667"/>
      <c r="Y191" s="1668"/>
      <c r="Z191" s="1669"/>
      <c r="AA191" s="1666"/>
      <c r="AB191" s="1667"/>
      <c r="AC191" s="1668"/>
      <c r="AD191" s="1669"/>
      <c r="AE191" s="1574"/>
      <c r="AF191" s="1668"/>
      <c r="AG191" s="1668"/>
      <c r="AH191" s="1668"/>
      <c r="AI191" s="1670"/>
    </row>
    <row r="192" spans="1:35" ht="18" customHeight="1">
      <c r="A192" s="1671"/>
      <c r="B192" s="1664"/>
      <c r="C192" s="1672"/>
      <c r="D192" s="468"/>
      <c r="E192" s="468"/>
      <c r="F192" s="1673"/>
      <c r="G192" s="1672"/>
      <c r="H192" s="468"/>
      <c r="I192" s="468"/>
      <c r="J192" s="1673"/>
      <c r="K192" s="1672"/>
      <c r="L192" s="468"/>
      <c r="M192" s="468"/>
      <c r="N192" s="1673"/>
      <c r="O192" s="1672"/>
      <c r="P192" s="468"/>
      <c r="Q192" s="468"/>
      <c r="R192" s="1673"/>
      <c r="S192" s="1672"/>
      <c r="T192" s="468"/>
      <c r="U192" s="468"/>
      <c r="V192" s="468"/>
      <c r="W192" s="1666"/>
      <c r="X192" s="1667"/>
      <c r="Y192" s="1668"/>
      <c r="Z192" s="1669"/>
      <c r="AA192" s="1666"/>
      <c r="AB192" s="1667"/>
      <c r="AC192" s="1668"/>
      <c r="AD192" s="1669"/>
      <c r="AE192" s="1574"/>
      <c r="AF192" s="1668"/>
      <c r="AG192" s="1668"/>
      <c r="AH192" s="1668"/>
      <c r="AI192" s="1670"/>
    </row>
    <row r="193" spans="1:35" ht="18" customHeight="1">
      <c r="A193" s="1671"/>
      <c r="B193" s="1664"/>
      <c r="C193" s="1672"/>
      <c r="D193" s="468"/>
      <c r="E193" s="468"/>
      <c r="F193" s="1673"/>
      <c r="G193" s="1672"/>
      <c r="H193" s="468"/>
      <c r="I193" s="468"/>
      <c r="J193" s="1673"/>
      <c r="K193" s="1672"/>
      <c r="L193" s="468"/>
      <c r="M193" s="468"/>
      <c r="N193" s="1673"/>
      <c r="O193" s="1672"/>
      <c r="P193" s="468"/>
      <c r="Q193" s="468"/>
      <c r="R193" s="1673"/>
      <c r="S193" s="1672"/>
      <c r="T193" s="468"/>
      <c r="U193" s="468"/>
      <c r="V193" s="468"/>
      <c r="W193" s="1666"/>
      <c r="X193" s="1667"/>
      <c r="Y193" s="1668"/>
      <c r="Z193" s="1669"/>
      <c r="AA193" s="1666"/>
      <c r="AB193" s="1667"/>
      <c r="AC193" s="1668"/>
      <c r="AD193" s="1669"/>
      <c r="AE193" s="1574"/>
      <c r="AF193" s="1668"/>
      <c r="AG193" s="1668"/>
      <c r="AH193" s="1668"/>
      <c r="AI193" s="1670"/>
    </row>
    <row r="194" spans="1:35" ht="18" customHeight="1" thickBot="1">
      <c r="A194" s="411"/>
      <c r="B194" s="412"/>
      <c r="C194" s="1674"/>
      <c r="D194" s="1642"/>
      <c r="E194" s="1642"/>
      <c r="F194" s="1675"/>
      <c r="G194" s="1674"/>
      <c r="H194" s="1642"/>
      <c r="I194" s="1642"/>
      <c r="J194" s="1675"/>
      <c r="K194" s="1674"/>
      <c r="L194" s="1642"/>
      <c r="M194" s="1642"/>
      <c r="N194" s="1675"/>
      <c r="O194" s="1674"/>
      <c r="P194" s="1642"/>
      <c r="Q194" s="1642"/>
      <c r="R194" s="1675"/>
      <c r="S194" s="1674"/>
      <c r="T194" s="1642"/>
      <c r="U194" s="1642"/>
      <c r="V194" s="1642"/>
      <c r="W194" s="1676"/>
      <c r="X194" s="1677"/>
      <c r="Y194" s="1678"/>
      <c r="Z194" s="1679"/>
      <c r="AA194" s="1676"/>
      <c r="AB194" s="1677"/>
      <c r="AC194" s="1678"/>
      <c r="AD194" s="1679"/>
      <c r="AE194" s="1587"/>
      <c r="AF194" s="1680"/>
      <c r="AG194" s="1680"/>
      <c r="AH194" s="1680"/>
      <c r="AI194" s="1681"/>
    </row>
    <row r="195" spans="1:35" ht="18" customHeight="1">
      <c r="A195" s="1"/>
      <c r="B195" s="42"/>
      <c r="C195" s="87"/>
      <c r="D195" s="87"/>
      <c r="E195" s="87"/>
      <c r="F195" s="87"/>
      <c r="G195" s="87"/>
      <c r="H195" s="87"/>
      <c r="I195" s="87"/>
      <c r="J195" s="87"/>
      <c r="K195" s="87"/>
      <c r="L195" s="87"/>
      <c r="M195" s="87"/>
      <c r="N195" s="87"/>
      <c r="O195" s="87"/>
      <c r="P195" s="87"/>
      <c r="Q195" s="87"/>
      <c r="R195" s="87"/>
      <c r="S195" s="87"/>
      <c r="T195" s="87"/>
      <c r="U195" s="87"/>
      <c r="V195" s="87"/>
      <c r="W195" s="87"/>
      <c r="X195" s="37"/>
      <c r="Y195" s="87"/>
      <c r="Z195" s="87"/>
      <c r="AA195" s="87"/>
      <c r="AB195" s="37"/>
      <c r="AC195" s="87"/>
      <c r="AD195" s="87"/>
      <c r="AE195" s="37"/>
      <c r="AF195" s="87"/>
      <c r="AG195" s="87"/>
      <c r="AH195" s="87"/>
    </row>
    <row r="196" spans="1:35" ht="18" customHeight="1">
      <c r="AG196" s="87"/>
      <c r="AH196" s="87"/>
    </row>
    <row r="197" spans="1:35" ht="18" customHeight="1">
      <c r="B197" s="1664">
        <v>3700</v>
      </c>
      <c r="C197" s="1668" t="s">
        <v>181</v>
      </c>
      <c r="D197" s="1668"/>
      <c r="E197" s="1668"/>
      <c r="F197" s="1668"/>
      <c r="G197" s="1682" t="s">
        <v>181</v>
      </c>
      <c r="H197" s="1668"/>
      <c r="I197" s="1668"/>
      <c r="J197" s="1668"/>
      <c r="K197" s="1682" t="s">
        <v>181</v>
      </c>
      <c r="L197" s="1668"/>
      <c r="M197" s="1668"/>
      <c r="N197" s="1668"/>
      <c r="O197" s="1682" t="s">
        <v>181</v>
      </c>
      <c r="P197" s="1668"/>
      <c r="Q197" s="1668"/>
      <c r="R197" s="1668"/>
      <c r="S197" s="1682" t="s">
        <v>182</v>
      </c>
      <c r="T197" s="1668"/>
      <c r="U197" s="1668"/>
      <c r="V197" s="1668"/>
      <c r="W197" s="1668"/>
      <c r="X197" s="1682"/>
      <c r="Y197" s="1668"/>
      <c r="Z197" s="1576"/>
      <c r="AA197" s="1574"/>
      <c r="AB197" s="1668"/>
      <c r="AC197" s="1668"/>
      <c r="AD197" s="1683"/>
      <c r="AE197" s="1684"/>
      <c r="AF197" s="1668"/>
      <c r="AG197" s="1668"/>
      <c r="AH197" s="1683"/>
      <c r="AI197" s="1670"/>
    </row>
    <row r="198" spans="1:35" ht="18" customHeight="1">
      <c r="A198" s="1"/>
      <c r="B198" s="1664">
        <v>8514</v>
      </c>
      <c r="C198" s="1668" t="s">
        <v>283</v>
      </c>
      <c r="D198" s="1668"/>
      <c r="E198" s="1668"/>
      <c r="F198" s="1668"/>
      <c r="G198" s="1682" t="s">
        <v>283</v>
      </c>
      <c r="H198" s="1668"/>
      <c r="I198" s="1668"/>
      <c r="J198" s="1668"/>
      <c r="K198" s="1682" t="s">
        <v>283</v>
      </c>
      <c r="L198" s="1668"/>
      <c r="M198" s="1668"/>
      <c r="N198" s="1668"/>
      <c r="O198" s="1682" t="s">
        <v>283</v>
      </c>
      <c r="P198" s="1668"/>
      <c r="Q198" s="1668"/>
      <c r="R198" s="1668"/>
      <c r="S198" s="1682" t="s">
        <v>285</v>
      </c>
      <c r="T198" s="1668"/>
      <c r="U198" s="1668"/>
      <c r="V198" s="1668"/>
      <c r="W198" s="1668"/>
      <c r="X198" s="1682"/>
      <c r="Y198" s="1668"/>
      <c r="Z198" s="1576"/>
      <c r="AA198" s="1685"/>
      <c r="AB198" s="1668"/>
      <c r="AC198" s="1668"/>
      <c r="AD198" s="1683"/>
      <c r="AE198" s="1685"/>
      <c r="AF198" s="1668"/>
      <c r="AG198" s="1668"/>
      <c r="AH198" s="1683"/>
      <c r="AI198" s="1670"/>
    </row>
    <row r="199" spans="1:35" ht="18" customHeight="1">
      <c r="A199" s="1"/>
      <c r="B199" s="1664">
        <v>8500</v>
      </c>
      <c r="C199" s="101" t="s">
        <v>286</v>
      </c>
      <c r="D199" s="101"/>
      <c r="E199" s="101"/>
      <c r="F199" s="101"/>
      <c r="G199" s="102" t="s">
        <v>286</v>
      </c>
      <c r="H199" s="101"/>
      <c r="I199" s="101"/>
      <c r="J199" s="101"/>
      <c r="K199" s="102" t="s">
        <v>286</v>
      </c>
      <c r="L199" s="101"/>
      <c r="M199" s="101"/>
      <c r="N199" s="101"/>
      <c r="O199" s="102" t="s">
        <v>286</v>
      </c>
      <c r="P199" s="101"/>
      <c r="Q199" s="101"/>
      <c r="R199" s="101"/>
      <c r="S199" s="102" t="s">
        <v>287</v>
      </c>
      <c r="T199" s="101"/>
      <c r="U199" s="101"/>
      <c r="V199" s="101"/>
      <c r="W199" s="101"/>
      <c r="X199" s="102"/>
      <c r="Y199" s="101"/>
      <c r="Z199" s="103"/>
      <c r="AA199" s="104"/>
      <c r="AB199" s="101"/>
      <c r="AC199" s="101"/>
      <c r="AD199" s="103"/>
      <c r="AE199" s="104"/>
      <c r="AF199" s="101"/>
      <c r="AG199" s="101"/>
      <c r="AH199" s="41"/>
      <c r="AI199" s="105"/>
    </row>
    <row r="200" spans="1:35" ht="18" customHeight="1">
      <c r="A200" s="1"/>
      <c r="B200" s="1664">
        <v>8514</v>
      </c>
      <c r="C200" s="106" t="s">
        <v>283</v>
      </c>
      <c r="D200" s="106"/>
      <c r="E200" s="106"/>
      <c r="F200" s="106"/>
      <c r="G200" s="107" t="s">
        <v>283</v>
      </c>
      <c r="H200" s="106"/>
      <c r="I200" s="106"/>
      <c r="J200" s="106"/>
      <c r="K200" s="107" t="s">
        <v>283</v>
      </c>
      <c r="L200" s="106"/>
      <c r="M200" s="106"/>
      <c r="N200" s="106"/>
      <c r="O200" s="107" t="s">
        <v>283</v>
      </c>
      <c r="P200" s="106"/>
      <c r="Q200" s="106"/>
      <c r="R200" s="106"/>
      <c r="S200" s="107" t="s">
        <v>285</v>
      </c>
      <c r="T200" s="106"/>
      <c r="U200" s="106"/>
      <c r="V200" s="106"/>
      <c r="W200" s="106"/>
      <c r="X200" s="108"/>
      <c r="Y200" s="101"/>
      <c r="Z200" s="109"/>
      <c r="AA200" s="110"/>
      <c r="AB200" s="111"/>
      <c r="AC200" s="101"/>
      <c r="AD200" s="101"/>
      <c r="AE200" s="112"/>
      <c r="AF200" s="101"/>
      <c r="AG200" s="101"/>
      <c r="AH200" s="101"/>
      <c r="AI200" s="105"/>
    </row>
    <row r="201" spans="1:35" ht="18" customHeight="1" thickBot="1">
      <c r="A201" s="1"/>
      <c r="B201" s="1686" t="s">
        <v>288</v>
      </c>
      <c r="C201" s="1680" t="s">
        <v>289</v>
      </c>
      <c r="D201" s="1680"/>
      <c r="E201" s="1680"/>
      <c r="F201" s="1680"/>
      <c r="G201" s="1687" t="s">
        <v>289</v>
      </c>
      <c r="H201" s="1680"/>
      <c r="I201" s="1680"/>
      <c r="J201" s="1680"/>
      <c r="K201" s="1688" t="s">
        <v>289</v>
      </c>
      <c r="L201" s="1680"/>
      <c r="M201" s="1680"/>
      <c r="N201" s="1680"/>
      <c r="O201" s="1687" t="s">
        <v>289</v>
      </c>
      <c r="P201" s="1680"/>
      <c r="Q201" s="1680"/>
      <c r="R201" s="1680"/>
      <c r="S201" s="1687" t="s">
        <v>290</v>
      </c>
      <c r="T201" s="1680"/>
      <c r="U201" s="1680"/>
      <c r="V201" s="1680"/>
      <c r="W201" s="1680"/>
      <c r="X201" s="1687"/>
      <c r="Y201" s="1680"/>
      <c r="Z201" s="1610"/>
      <c r="AA201" s="1587"/>
      <c r="AB201" s="1680"/>
      <c r="AC201" s="1680"/>
      <c r="AD201" s="1594"/>
      <c r="AE201" s="1689"/>
      <c r="AF201" s="1680"/>
      <c r="AG201" s="1680"/>
      <c r="AH201" s="1594"/>
      <c r="AI201" s="1681"/>
    </row>
    <row r="202" spans="1:35" ht="18" customHeight="1">
      <c r="A202" s="1"/>
      <c r="B202" s="113"/>
      <c r="C202" s="37"/>
      <c r="D202" s="87"/>
      <c r="E202" s="87"/>
      <c r="F202" s="22"/>
      <c r="G202" s="37"/>
      <c r="H202" s="87"/>
      <c r="I202" s="87"/>
      <c r="J202" s="22"/>
      <c r="K202" s="37"/>
      <c r="L202" s="87"/>
      <c r="M202" s="87"/>
      <c r="N202" s="22"/>
      <c r="O202" s="37"/>
      <c r="P202" s="87"/>
      <c r="Q202" s="87"/>
      <c r="R202" s="22"/>
      <c r="S202" s="37"/>
      <c r="T202" s="87"/>
      <c r="U202" s="87"/>
      <c r="V202" s="22"/>
      <c r="W202" s="22"/>
      <c r="Z202" s="22"/>
      <c r="AA202" s="22"/>
      <c r="AD202" s="22"/>
      <c r="AE202" s="22"/>
      <c r="AH202" s="22"/>
    </row>
    <row r="203" spans="1:35" ht="18" customHeight="1">
      <c r="A203" s="1" t="s">
        <v>291</v>
      </c>
      <c r="B203" s="113"/>
      <c r="C203" s="37"/>
      <c r="D203" s="87"/>
      <c r="E203" s="87"/>
      <c r="F203" s="22"/>
      <c r="G203" s="37"/>
      <c r="H203" s="87"/>
      <c r="I203" s="87"/>
      <c r="J203" s="22"/>
      <c r="K203" s="37"/>
      <c r="L203" s="87"/>
      <c r="M203" s="87"/>
      <c r="N203" s="22"/>
      <c r="O203" s="37"/>
      <c r="P203" s="87"/>
      <c r="Q203" s="87"/>
      <c r="R203" s="22"/>
      <c r="S203" s="37"/>
      <c r="T203" s="87"/>
      <c r="U203" s="87"/>
      <c r="V203" s="22"/>
      <c r="W203" s="22"/>
      <c r="Z203" s="22"/>
      <c r="AA203" s="22"/>
      <c r="AD203" s="22"/>
      <c r="AE203" s="22"/>
      <c r="AH203" s="22"/>
    </row>
    <row r="204" spans="1:35" ht="18" customHeight="1" thickBot="1">
      <c r="A204" s="1690"/>
      <c r="B204" s="1691" t="s">
        <v>29</v>
      </c>
      <c r="C204" s="1501">
        <v>1</v>
      </c>
      <c r="D204" s="1501">
        <v>2</v>
      </c>
      <c r="E204" s="1502">
        <v>3</v>
      </c>
      <c r="F204" s="1502">
        <v>4</v>
      </c>
      <c r="G204" s="1501">
        <v>5</v>
      </c>
      <c r="H204" s="1501">
        <v>6</v>
      </c>
      <c r="I204" s="1501">
        <v>7</v>
      </c>
      <c r="J204" s="1501">
        <v>8</v>
      </c>
      <c r="K204" s="1501">
        <v>9</v>
      </c>
      <c r="L204" s="1502">
        <v>10</v>
      </c>
      <c r="M204" s="1502">
        <v>11</v>
      </c>
      <c r="N204" s="1501">
        <v>12</v>
      </c>
      <c r="O204" s="1501">
        <v>13</v>
      </c>
      <c r="P204" s="1501">
        <v>14</v>
      </c>
      <c r="Q204" s="1501">
        <v>15</v>
      </c>
      <c r="R204" s="1501">
        <v>16</v>
      </c>
      <c r="S204" s="1502">
        <v>17</v>
      </c>
      <c r="T204" s="1502">
        <v>18</v>
      </c>
      <c r="U204" s="1501">
        <v>19</v>
      </c>
      <c r="V204" s="1501">
        <v>20</v>
      </c>
      <c r="W204" s="1501">
        <v>21</v>
      </c>
      <c r="X204" s="1501">
        <v>22</v>
      </c>
      <c r="Y204" s="1501">
        <v>23</v>
      </c>
      <c r="Z204" s="1502">
        <v>24</v>
      </c>
      <c r="AA204" s="1502">
        <v>25</v>
      </c>
      <c r="AB204" s="1501">
        <v>26</v>
      </c>
      <c r="AC204" s="1501">
        <v>27</v>
      </c>
      <c r="AD204" s="1501">
        <v>28</v>
      </c>
      <c r="AE204" s="1501">
        <v>29</v>
      </c>
      <c r="AF204" s="1501">
        <v>30</v>
      </c>
      <c r="AG204" s="1503">
        <v>31</v>
      </c>
      <c r="AH204" s="23"/>
      <c r="AI204" s="24"/>
    </row>
    <row r="205" spans="1:35" ht="18" customHeight="1">
      <c r="A205" s="1029"/>
      <c r="B205" s="1030" t="s">
        <v>292</v>
      </c>
      <c r="C205" s="1053" t="s">
        <v>31</v>
      </c>
      <c r="D205" s="1031" t="s">
        <v>31</v>
      </c>
      <c r="E205" s="1053"/>
      <c r="F205" s="1053"/>
      <c r="G205" s="1648" t="s">
        <v>31</v>
      </c>
      <c r="H205" s="1648" t="s">
        <v>31</v>
      </c>
      <c r="I205" s="1648" t="s">
        <v>31</v>
      </c>
      <c r="J205" s="1648" t="s">
        <v>31</v>
      </c>
      <c r="K205" s="1648" t="s">
        <v>31</v>
      </c>
      <c r="L205" s="1648"/>
      <c r="M205" s="1648"/>
      <c r="N205" s="1648" t="s">
        <v>31</v>
      </c>
      <c r="O205" s="1648" t="s">
        <v>31</v>
      </c>
      <c r="P205" s="1648" t="s">
        <v>31</v>
      </c>
      <c r="Q205" s="1648" t="s">
        <v>31</v>
      </c>
      <c r="R205" s="1648" t="s">
        <v>31</v>
      </c>
      <c r="S205" s="1648"/>
      <c r="T205" s="1648"/>
      <c r="U205" s="1648" t="s">
        <v>31</v>
      </c>
      <c r="V205" s="1648" t="s">
        <v>31</v>
      </c>
      <c r="W205" s="1648" t="s">
        <v>31</v>
      </c>
      <c r="X205" s="1648" t="s">
        <v>31</v>
      </c>
      <c r="Y205" s="1648" t="s">
        <v>31</v>
      </c>
      <c r="Z205" s="1053"/>
      <c r="AA205" s="1053"/>
      <c r="AB205" s="1053" t="s">
        <v>31</v>
      </c>
      <c r="AC205" s="1053" t="s">
        <v>31</v>
      </c>
      <c r="AD205" s="1053" t="s">
        <v>31</v>
      </c>
      <c r="AE205" s="1053" t="s">
        <v>31</v>
      </c>
      <c r="AF205" s="1053" t="s">
        <v>31</v>
      </c>
      <c r="AG205" s="397"/>
      <c r="AH205" s="23"/>
      <c r="AI205" s="24"/>
    </row>
    <row r="206" spans="1:35" ht="18" customHeight="1">
      <c r="A206" s="1692"/>
      <c r="B206" s="1693" t="s">
        <v>293</v>
      </c>
      <c r="C206" s="1237" t="s">
        <v>31</v>
      </c>
      <c r="D206" s="1694" t="s">
        <v>31</v>
      </c>
      <c r="E206" s="1237"/>
      <c r="F206" s="1237"/>
      <c r="G206" s="1237" t="s">
        <v>31</v>
      </c>
      <c r="H206" s="1237" t="s">
        <v>31</v>
      </c>
      <c r="I206" s="1237" t="s">
        <v>31</v>
      </c>
      <c r="J206" s="1237" t="s">
        <v>31</v>
      </c>
      <c r="K206" s="1237" t="s">
        <v>31</v>
      </c>
      <c r="L206" s="1237"/>
      <c r="M206" s="1237"/>
      <c r="N206" s="1237" t="s">
        <v>31</v>
      </c>
      <c r="O206" s="1237" t="s">
        <v>31</v>
      </c>
      <c r="P206" s="1237" t="s">
        <v>31</v>
      </c>
      <c r="Q206" s="1237" t="s">
        <v>31</v>
      </c>
      <c r="R206" s="1237" t="s">
        <v>31</v>
      </c>
      <c r="S206" s="1237"/>
      <c r="T206" s="1237"/>
      <c r="U206" s="1237" t="s">
        <v>31</v>
      </c>
      <c r="V206" s="1237" t="s">
        <v>31</v>
      </c>
      <c r="W206" s="1237" t="s">
        <v>31</v>
      </c>
      <c r="X206" s="1237" t="s">
        <v>31</v>
      </c>
      <c r="Y206" s="1237" t="s">
        <v>31</v>
      </c>
      <c r="Z206" s="1237"/>
      <c r="AA206" s="1237"/>
      <c r="AB206" s="1237" t="s">
        <v>31</v>
      </c>
      <c r="AC206" s="1237" t="s">
        <v>31</v>
      </c>
      <c r="AD206" s="1237" t="s">
        <v>31</v>
      </c>
      <c r="AE206" s="1237" t="s">
        <v>31</v>
      </c>
      <c r="AF206" s="1237" t="s">
        <v>31</v>
      </c>
      <c r="AG206" s="1695"/>
      <c r="AH206" s="23"/>
      <c r="AI206" s="24"/>
    </row>
    <row r="207" spans="1:35" ht="18" customHeight="1">
      <c r="A207" s="1696">
        <v>8514</v>
      </c>
      <c r="B207" s="1655" t="s">
        <v>393</v>
      </c>
      <c r="C207" s="1651" t="s">
        <v>31</v>
      </c>
      <c r="D207" s="1651" t="s">
        <v>31</v>
      </c>
      <c r="E207" s="1237"/>
      <c r="F207" s="1237"/>
      <c r="G207" s="1237" t="s">
        <v>31</v>
      </c>
      <c r="H207" s="1237" t="s">
        <v>31</v>
      </c>
      <c r="I207" s="1237" t="s">
        <v>31</v>
      </c>
      <c r="J207" s="1697" t="s">
        <v>31</v>
      </c>
      <c r="K207" s="1237" t="s">
        <v>31</v>
      </c>
      <c r="L207" s="1237"/>
      <c r="M207" s="1237"/>
      <c r="N207" s="1237" t="s">
        <v>31</v>
      </c>
      <c r="O207" s="1237" t="s">
        <v>31</v>
      </c>
      <c r="P207" s="1237" t="s">
        <v>31</v>
      </c>
      <c r="Q207" s="1237" t="s">
        <v>31</v>
      </c>
      <c r="R207" s="1237" t="s">
        <v>31</v>
      </c>
      <c r="S207" s="1237"/>
      <c r="T207" s="1237"/>
      <c r="U207" s="1237" t="s">
        <v>31</v>
      </c>
      <c r="V207" s="1237" t="s">
        <v>31</v>
      </c>
      <c r="W207" s="1237" t="s">
        <v>31</v>
      </c>
      <c r="X207" s="1237" t="s">
        <v>31</v>
      </c>
      <c r="Y207" s="1237" t="s">
        <v>31</v>
      </c>
      <c r="Z207" s="1237"/>
      <c r="AA207" s="1237"/>
      <c r="AB207" s="1237" t="s">
        <v>31</v>
      </c>
      <c r="AC207" s="1237" t="s">
        <v>31</v>
      </c>
      <c r="AD207" s="1237" t="s">
        <v>31</v>
      </c>
      <c r="AE207" s="1237" t="s">
        <v>31</v>
      </c>
      <c r="AF207" s="1237" t="s">
        <v>31</v>
      </c>
      <c r="AG207" s="1695"/>
      <c r="AH207" s="34"/>
      <c r="AI207" s="25"/>
    </row>
    <row r="208" spans="1:35" ht="18" customHeight="1">
      <c r="A208" s="1696">
        <v>3701</v>
      </c>
      <c r="B208" s="1655" t="s">
        <v>295</v>
      </c>
      <c r="C208" s="1651" t="s">
        <v>31</v>
      </c>
      <c r="D208" s="1651" t="s">
        <v>31</v>
      </c>
      <c r="E208" s="1651"/>
      <c r="F208" s="1651"/>
      <c r="G208" s="1651" t="s">
        <v>31</v>
      </c>
      <c r="H208" s="1651" t="s">
        <v>31</v>
      </c>
      <c r="I208" s="1651" t="s">
        <v>31</v>
      </c>
      <c r="J208" s="1651" t="s">
        <v>31</v>
      </c>
      <c r="K208" s="1651" t="s">
        <v>31</v>
      </c>
      <c r="L208" s="1237"/>
      <c r="M208" s="1237"/>
      <c r="N208" s="1237" t="s">
        <v>31</v>
      </c>
      <c r="O208" s="1237" t="s">
        <v>31</v>
      </c>
      <c r="P208" s="1237" t="s">
        <v>31</v>
      </c>
      <c r="Q208" s="1237" t="s">
        <v>31</v>
      </c>
      <c r="R208" s="1237" t="s">
        <v>31</v>
      </c>
      <c r="S208" s="1237"/>
      <c r="T208" s="1237"/>
      <c r="U208" s="1237" t="s">
        <v>31</v>
      </c>
      <c r="V208" s="1237" t="s">
        <v>31</v>
      </c>
      <c r="W208" s="1237" t="s">
        <v>31</v>
      </c>
      <c r="X208" s="1237" t="s">
        <v>31</v>
      </c>
      <c r="Y208" s="1237" t="s">
        <v>31</v>
      </c>
      <c r="Z208" s="1237"/>
      <c r="AA208" s="1237"/>
      <c r="AB208" s="1237" t="s">
        <v>31</v>
      </c>
      <c r="AC208" s="1237" t="s">
        <v>31</v>
      </c>
      <c r="AD208" s="1237" t="s">
        <v>31</v>
      </c>
      <c r="AE208" s="1237" t="s">
        <v>31</v>
      </c>
      <c r="AF208" s="1237" t="s">
        <v>31</v>
      </c>
      <c r="AG208" s="1695"/>
      <c r="AH208" s="34"/>
      <c r="AI208" s="25"/>
    </row>
    <row r="209" spans="1:35" ht="18" customHeight="1">
      <c r="A209" s="1696">
        <v>3701</v>
      </c>
      <c r="B209" s="1655" t="s">
        <v>296</v>
      </c>
      <c r="C209" s="1237">
        <v>19</v>
      </c>
      <c r="D209" s="1237">
        <v>19</v>
      </c>
      <c r="E209" s="1237"/>
      <c r="F209" s="1237"/>
      <c r="G209" s="1237" t="s">
        <v>31</v>
      </c>
      <c r="H209" s="1237" t="s">
        <v>31</v>
      </c>
      <c r="I209" s="1237" t="s">
        <v>31</v>
      </c>
      <c r="J209" s="1237" t="s">
        <v>31</v>
      </c>
      <c r="K209" s="1237" t="s">
        <v>31</v>
      </c>
      <c r="L209" s="1237"/>
      <c r="M209" s="1237"/>
      <c r="N209" s="1237" t="s">
        <v>31</v>
      </c>
      <c r="O209" s="1237" t="s">
        <v>31</v>
      </c>
      <c r="P209" s="1237" t="s">
        <v>31</v>
      </c>
      <c r="Q209" s="1237" t="s">
        <v>31</v>
      </c>
      <c r="R209" s="1237" t="s">
        <v>31</v>
      </c>
      <c r="S209" s="1237"/>
      <c r="T209" s="1237"/>
      <c r="U209" s="1237" t="s">
        <v>31</v>
      </c>
      <c r="V209" s="1237" t="s">
        <v>31</v>
      </c>
      <c r="W209" s="1237" t="s">
        <v>31</v>
      </c>
      <c r="X209" s="1237" t="s">
        <v>31</v>
      </c>
      <c r="Y209" s="1237" t="s">
        <v>31</v>
      </c>
      <c r="Z209" s="1237"/>
      <c r="AA209" s="1237"/>
      <c r="AB209" s="1237" t="s">
        <v>31</v>
      </c>
      <c r="AC209" s="1237" t="s">
        <v>31</v>
      </c>
      <c r="AD209" s="1237" t="s">
        <v>31</v>
      </c>
      <c r="AE209" s="1237" t="s">
        <v>31</v>
      </c>
      <c r="AF209" s="1237" t="s">
        <v>31</v>
      </c>
      <c r="AG209" s="1695"/>
      <c r="AH209" s="34"/>
      <c r="AI209" s="25"/>
    </row>
    <row r="210" spans="1:35" ht="18" customHeight="1">
      <c r="A210" s="1696">
        <v>3701</v>
      </c>
      <c r="B210" s="1655" t="s">
        <v>297</v>
      </c>
      <c r="C210" s="1698" t="s">
        <v>31</v>
      </c>
      <c r="D210" s="1698" t="s">
        <v>31</v>
      </c>
      <c r="E210" s="1698"/>
      <c r="F210" s="1698"/>
      <c r="G210" s="1698" t="s">
        <v>31</v>
      </c>
      <c r="H210" s="1698" t="s">
        <v>31</v>
      </c>
      <c r="I210" s="1698" t="s">
        <v>31</v>
      </c>
      <c r="J210" s="1698" t="s">
        <v>31</v>
      </c>
      <c r="K210" s="1698" t="s">
        <v>31</v>
      </c>
      <c r="L210" s="1237"/>
      <c r="M210" s="1237"/>
      <c r="N210" s="1237" t="s">
        <v>31</v>
      </c>
      <c r="O210" s="1237" t="s">
        <v>31</v>
      </c>
      <c r="P210" s="1237" t="s">
        <v>31</v>
      </c>
      <c r="Q210" s="1237" t="s">
        <v>31</v>
      </c>
      <c r="R210" s="1237" t="s">
        <v>31</v>
      </c>
      <c r="S210" s="1237"/>
      <c r="T210" s="1237"/>
      <c r="U210" s="1237">
        <v>19</v>
      </c>
      <c r="V210" s="1237">
        <v>19</v>
      </c>
      <c r="W210" s="1237">
        <v>19</v>
      </c>
      <c r="X210" s="1237">
        <v>19</v>
      </c>
      <c r="Y210" s="1237">
        <v>19</v>
      </c>
      <c r="Z210" s="1237"/>
      <c r="AA210" s="1237"/>
      <c r="AB210" s="1237" t="s">
        <v>31</v>
      </c>
      <c r="AC210" s="1663" t="s">
        <v>31</v>
      </c>
      <c r="AD210" s="1237" t="s">
        <v>31</v>
      </c>
      <c r="AE210" s="1237" t="s">
        <v>31</v>
      </c>
      <c r="AF210" s="1237" t="s">
        <v>31</v>
      </c>
      <c r="AG210" s="1695"/>
      <c r="AH210" s="34"/>
      <c r="AI210" s="25"/>
    </row>
    <row r="211" spans="1:35" ht="18" customHeight="1">
      <c r="A211" s="1696">
        <v>3701</v>
      </c>
      <c r="B211" s="1655" t="s">
        <v>298</v>
      </c>
      <c r="C211" s="1237" t="s">
        <v>31</v>
      </c>
      <c r="D211" s="1237" t="s">
        <v>31</v>
      </c>
      <c r="E211" s="1237"/>
      <c r="F211" s="1237"/>
      <c r="G211" s="1237" t="s">
        <v>31</v>
      </c>
      <c r="H211" s="1237" t="s">
        <v>31</v>
      </c>
      <c r="I211" s="1237" t="s">
        <v>31</v>
      </c>
      <c r="J211" s="1237" t="s">
        <v>31</v>
      </c>
      <c r="K211" s="1237" t="s">
        <v>31</v>
      </c>
      <c r="L211" s="1237"/>
      <c r="M211" s="1237"/>
      <c r="N211" s="1237" t="s">
        <v>31</v>
      </c>
      <c r="O211" s="1237" t="s">
        <v>31</v>
      </c>
      <c r="P211" s="1237" t="s">
        <v>31</v>
      </c>
      <c r="Q211" s="1697" t="s">
        <v>31</v>
      </c>
      <c r="R211" s="1237" t="s">
        <v>31</v>
      </c>
      <c r="S211" s="1237"/>
      <c r="T211" s="1237"/>
      <c r="U211" s="1699" t="s">
        <v>31</v>
      </c>
      <c r="V211" s="1699" t="s">
        <v>31</v>
      </c>
      <c r="W211" s="1237" t="s">
        <v>31</v>
      </c>
      <c r="X211" s="1237" t="s">
        <v>31</v>
      </c>
      <c r="Y211" s="1237" t="s">
        <v>31</v>
      </c>
      <c r="Z211" s="1237"/>
      <c r="AA211" s="1237"/>
      <c r="AB211" s="1237" t="s">
        <v>31</v>
      </c>
      <c r="AC211" s="1237" t="s">
        <v>31</v>
      </c>
      <c r="AD211" s="1237" t="s">
        <v>31</v>
      </c>
      <c r="AE211" s="1237" t="s">
        <v>31</v>
      </c>
      <c r="AF211" s="1237" t="s">
        <v>31</v>
      </c>
      <c r="AG211" s="1695"/>
      <c r="AH211" s="34"/>
      <c r="AI211" s="25"/>
    </row>
    <row r="212" spans="1:35" ht="18" customHeight="1">
      <c r="A212" s="1696">
        <v>3701</v>
      </c>
      <c r="B212" s="1655" t="s">
        <v>299</v>
      </c>
      <c r="C212" s="1698" t="s">
        <v>31</v>
      </c>
      <c r="D212" s="1698" t="s">
        <v>31</v>
      </c>
      <c r="E212" s="1237"/>
      <c r="F212" s="1237"/>
      <c r="G212" s="1237" t="s">
        <v>31</v>
      </c>
      <c r="H212" s="1237" t="s">
        <v>31</v>
      </c>
      <c r="I212" s="1237" t="s">
        <v>31</v>
      </c>
      <c r="J212" s="1237" t="s">
        <v>31</v>
      </c>
      <c r="K212" s="1237" t="s">
        <v>31</v>
      </c>
      <c r="L212" s="1237"/>
      <c r="M212" s="1237"/>
      <c r="N212" s="1237" t="s">
        <v>31</v>
      </c>
      <c r="O212" s="1237" t="s">
        <v>31</v>
      </c>
      <c r="P212" s="1237" t="s">
        <v>31</v>
      </c>
      <c r="Q212" s="1237" t="s">
        <v>31</v>
      </c>
      <c r="R212" s="1663" t="s">
        <v>31</v>
      </c>
      <c r="S212" s="1663"/>
      <c r="T212" s="1663"/>
      <c r="U212" s="1237" t="s">
        <v>31</v>
      </c>
      <c r="V212" s="1237" t="s">
        <v>31</v>
      </c>
      <c r="W212" s="1237" t="s">
        <v>31</v>
      </c>
      <c r="X212" s="1237" t="s">
        <v>31</v>
      </c>
      <c r="Y212" s="1237" t="s">
        <v>31</v>
      </c>
      <c r="Z212" s="1237"/>
      <c r="AA212" s="1237"/>
      <c r="AB212" s="1237">
        <v>19</v>
      </c>
      <c r="AC212" s="1237">
        <v>19</v>
      </c>
      <c r="AD212" s="1237">
        <v>19</v>
      </c>
      <c r="AE212" s="1237">
        <v>19</v>
      </c>
      <c r="AF212" s="1237">
        <v>19</v>
      </c>
      <c r="AG212" s="1695"/>
      <c r="AH212" s="34"/>
      <c r="AI212" s="25"/>
    </row>
    <row r="213" spans="1:35" ht="18" customHeight="1">
      <c r="A213" s="1696">
        <v>3701</v>
      </c>
      <c r="B213" s="1655" t="s">
        <v>300</v>
      </c>
      <c r="C213" s="1651" t="s">
        <v>31</v>
      </c>
      <c r="D213" s="1651" t="s">
        <v>31</v>
      </c>
      <c r="E213" s="1651"/>
      <c r="F213" s="1651"/>
      <c r="G213" s="1237">
        <v>19</v>
      </c>
      <c r="H213" s="1237">
        <v>19</v>
      </c>
      <c r="I213" s="1237">
        <v>19</v>
      </c>
      <c r="J213" s="1237">
        <v>19</v>
      </c>
      <c r="K213" s="1237">
        <v>19</v>
      </c>
      <c r="L213" s="1237"/>
      <c r="M213" s="1237"/>
      <c r="N213" s="1237" t="s">
        <v>31</v>
      </c>
      <c r="O213" s="1237" t="s">
        <v>31</v>
      </c>
      <c r="P213" s="1237" t="s">
        <v>31</v>
      </c>
      <c r="Q213" s="1237" t="s">
        <v>31</v>
      </c>
      <c r="R213" s="1699" t="s">
        <v>31</v>
      </c>
      <c r="S213" s="1699"/>
      <c r="T213" s="1699"/>
      <c r="U213" s="1237" t="s">
        <v>31</v>
      </c>
      <c r="V213" s="1237" t="s">
        <v>31</v>
      </c>
      <c r="W213" s="1237" t="s">
        <v>31</v>
      </c>
      <c r="X213" s="1237" t="s">
        <v>31</v>
      </c>
      <c r="Y213" s="1237" t="s">
        <v>31</v>
      </c>
      <c r="Z213" s="1237"/>
      <c r="AA213" s="1237"/>
      <c r="AB213" s="1237" t="s">
        <v>31</v>
      </c>
      <c r="AC213" s="1237" t="s">
        <v>31</v>
      </c>
      <c r="AD213" s="1237" t="s">
        <v>31</v>
      </c>
      <c r="AE213" s="1237" t="s">
        <v>31</v>
      </c>
      <c r="AF213" s="1237" t="s">
        <v>31</v>
      </c>
      <c r="AG213" s="1695"/>
      <c r="AH213" s="34"/>
      <c r="AI213" s="25"/>
    </row>
    <row r="214" spans="1:35" ht="18" customHeight="1">
      <c r="A214" s="1696">
        <v>3701</v>
      </c>
      <c r="B214" s="1655" t="s">
        <v>301</v>
      </c>
      <c r="C214" s="1698" t="s">
        <v>31</v>
      </c>
      <c r="D214" s="1698" t="s">
        <v>31</v>
      </c>
      <c r="E214" s="1698"/>
      <c r="F214" s="1698"/>
      <c r="G214" s="1698" t="s">
        <v>31</v>
      </c>
      <c r="H214" s="1698" t="s">
        <v>31</v>
      </c>
      <c r="I214" s="1698" t="s">
        <v>31</v>
      </c>
      <c r="J214" s="1698" t="s">
        <v>31</v>
      </c>
      <c r="K214" s="1698" t="s">
        <v>31</v>
      </c>
      <c r="L214" s="1237"/>
      <c r="M214" s="1237"/>
      <c r="N214" s="1237">
        <v>19</v>
      </c>
      <c r="O214" s="1237">
        <v>19</v>
      </c>
      <c r="P214" s="1237">
        <v>19</v>
      </c>
      <c r="Q214" s="1237">
        <v>19</v>
      </c>
      <c r="R214" s="1237">
        <v>19</v>
      </c>
      <c r="S214" s="1237"/>
      <c r="T214" s="1237"/>
      <c r="U214" s="1237" t="s">
        <v>31</v>
      </c>
      <c r="V214" s="1237" t="s">
        <v>31</v>
      </c>
      <c r="W214" s="1237" t="s">
        <v>31</v>
      </c>
      <c r="X214" s="1237" t="s">
        <v>31</v>
      </c>
      <c r="Y214" s="1237" t="s">
        <v>31</v>
      </c>
      <c r="Z214" s="1237"/>
      <c r="AA214" s="1237"/>
      <c r="AB214" s="1237" t="s">
        <v>31</v>
      </c>
      <c r="AC214" s="1237" t="s">
        <v>31</v>
      </c>
      <c r="AD214" s="1237" t="s">
        <v>31</v>
      </c>
      <c r="AE214" s="1237" t="s">
        <v>31</v>
      </c>
      <c r="AF214" s="1237" t="s">
        <v>31</v>
      </c>
      <c r="AG214" s="1695"/>
      <c r="AH214" s="34"/>
      <c r="AI214" s="25"/>
    </row>
    <row r="215" spans="1:35" ht="18" customHeight="1">
      <c r="A215" s="1700">
        <v>3701</v>
      </c>
      <c r="B215" s="1655" t="s">
        <v>302</v>
      </c>
      <c r="C215" s="1237" t="s">
        <v>31</v>
      </c>
      <c r="D215" s="1237" t="s">
        <v>31</v>
      </c>
      <c r="E215" s="1237"/>
      <c r="F215" s="1237"/>
      <c r="G215" s="1237" t="s">
        <v>31</v>
      </c>
      <c r="H215" s="1237" t="s">
        <v>31</v>
      </c>
      <c r="I215" s="1237" t="s">
        <v>31</v>
      </c>
      <c r="J215" s="1237" t="s">
        <v>31</v>
      </c>
      <c r="K215" s="1237" t="s">
        <v>31</v>
      </c>
      <c r="L215" s="1237"/>
      <c r="M215" s="1237"/>
      <c r="N215" s="1237" t="s">
        <v>31</v>
      </c>
      <c r="O215" s="1237" t="s">
        <v>31</v>
      </c>
      <c r="P215" s="1237" t="s">
        <v>31</v>
      </c>
      <c r="Q215" s="1237" t="s">
        <v>31</v>
      </c>
      <c r="R215" s="1237" t="s">
        <v>31</v>
      </c>
      <c r="S215" s="1663"/>
      <c r="T215" s="1663"/>
      <c r="U215" s="1514" t="s">
        <v>31</v>
      </c>
      <c r="V215" s="1514" t="s">
        <v>31</v>
      </c>
      <c r="W215" s="1652" t="s">
        <v>31</v>
      </c>
      <c r="X215" s="1652" t="s">
        <v>31</v>
      </c>
      <c r="Y215" s="1701" t="s">
        <v>336</v>
      </c>
      <c r="Z215" s="1237"/>
      <c r="AA215" s="1237"/>
      <c r="AB215" s="1237" t="s">
        <v>31</v>
      </c>
      <c r="AC215" s="1237" t="s">
        <v>31</v>
      </c>
      <c r="AD215" s="1237" t="s">
        <v>31</v>
      </c>
      <c r="AE215" s="1237" t="s">
        <v>31</v>
      </c>
      <c r="AF215" s="1237" t="s">
        <v>31</v>
      </c>
      <c r="AG215" s="1695"/>
      <c r="AH215" s="34"/>
      <c r="AI215" s="25"/>
    </row>
    <row r="216" spans="1:35" ht="18" customHeight="1">
      <c r="A216" s="1696">
        <v>3701</v>
      </c>
      <c r="B216" s="1655" t="s">
        <v>303</v>
      </c>
      <c r="C216" s="1237" t="s">
        <v>31</v>
      </c>
      <c r="D216" s="1237" t="s">
        <v>31</v>
      </c>
      <c r="E216" s="1237"/>
      <c r="F216" s="1237"/>
      <c r="G216" s="1237" t="s">
        <v>31</v>
      </c>
      <c r="H216" s="1237" t="s">
        <v>31</v>
      </c>
      <c r="I216" s="1651" t="s">
        <v>31</v>
      </c>
      <c r="J216" s="1237" t="s">
        <v>31</v>
      </c>
      <c r="K216" s="1237" t="s">
        <v>31</v>
      </c>
      <c r="L216" s="1237"/>
      <c r="M216" s="1237"/>
      <c r="N216" s="1237" t="s">
        <v>31</v>
      </c>
      <c r="O216" s="1237" t="s">
        <v>31</v>
      </c>
      <c r="P216" s="1237" t="s">
        <v>31</v>
      </c>
      <c r="Q216" s="1237" t="s">
        <v>31</v>
      </c>
      <c r="R216" s="1702" t="s">
        <v>31</v>
      </c>
      <c r="S216" s="1702"/>
      <c r="T216" s="1702"/>
      <c r="U216" s="1702" t="s">
        <v>31</v>
      </c>
      <c r="V216" s="1702" t="s">
        <v>31</v>
      </c>
      <c r="W216" s="1699" t="s">
        <v>31</v>
      </c>
      <c r="X216" s="1699" t="s">
        <v>31</v>
      </c>
      <c r="Y216" s="1237" t="s">
        <v>31</v>
      </c>
      <c r="Z216" s="1237"/>
      <c r="AA216" s="1237"/>
      <c r="AB216" s="1237" t="s">
        <v>31</v>
      </c>
      <c r="AC216" s="1237" t="s">
        <v>31</v>
      </c>
      <c r="AD216" s="1699" t="s">
        <v>31</v>
      </c>
      <c r="AE216" s="1699" t="s">
        <v>31</v>
      </c>
      <c r="AF216" s="1699" t="s">
        <v>31</v>
      </c>
      <c r="AG216" s="1703"/>
      <c r="AH216" s="34"/>
      <c r="AI216" s="25"/>
    </row>
    <row r="217" spans="1:35" ht="18" customHeight="1">
      <c r="A217" s="1696">
        <v>3701</v>
      </c>
      <c r="B217" s="1655" t="s">
        <v>305</v>
      </c>
      <c r="C217" s="1704" t="s">
        <v>31</v>
      </c>
      <c r="D217" s="1704" t="s">
        <v>31</v>
      </c>
      <c r="E217" s="1704"/>
      <c r="F217" s="1704"/>
      <c r="G217" s="1651" t="s">
        <v>31</v>
      </c>
      <c r="H217" s="1704" t="s">
        <v>31</v>
      </c>
      <c r="I217" s="1704" t="s">
        <v>31</v>
      </c>
      <c r="J217" s="1704" t="s">
        <v>31</v>
      </c>
      <c r="K217" s="1704" t="s">
        <v>31</v>
      </c>
      <c r="L217" s="1704"/>
      <c r="M217" s="1704"/>
      <c r="N217" s="1704" t="s">
        <v>31</v>
      </c>
      <c r="O217" s="1704" t="s">
        <v>31</v>
      </c>
      <c r="P217" s="1704" t="s">
        <v>31</v>
      </c>
      <c r="Q217" s="1704" t="s">
        <v>31</v>
      </c>
      <c r="R217" s="1704" t="s">
        <v>31</v>
      </c>
      <c r="S217" s="1704"/>
      <c r="T217" s="1704"/>
      <c r="U217" s="1704" t="s">
        <v>31</v>
      </c>
      <c r="V217" s="1704" t="s">
        <v>31</v>
      </c>
      <c r="W217" s="1704" t="s">
        <v>31</v>
      </c>
      <c r="X217" s="1704" t="s">
        <v>31</v>
      </c>
      <c r="Y217" s="1704" t="s">
        <v>31</v>
      </c>
      <c r="Z217" s="1704"/>
      <c r="AA217" s="1704"/>
      <c r="AB217" s="1237" t="s">
        <v>31</v>
      </c>
      <c r="AC217" s="1237" t="s">
        <v>31</v>
      </c>
      <c r="AD217" s="1237" t="s">
        <v>31</v>
      </c>
      <c r="AE217" s="1237" t="s">
        <v>31</v>
      </c>
      <c r="AF217" s="1237" t="s">
        <v>31</v>
      </c>
      <c r="AG217" s="1705"/>
      <c r="AH217" s="34"/>
      <c r="AI217" s="25"/>
    </row>
    <row r="218" spans="1:35" ht="18" customHeight="1">
      <c r="A218" s="1696"/>
      <c r="B218" s="1706" t="s">
        <v>277</v>
      </c>
      <c r="C218" s="1237"/>
      <c r="D218" s="1237"/>
      <c r="E218" s="1237"/>
      <c r="F218" s="1237"/>
      <c r="G218" s="1237"/>
      <c r="H218" s="1237"/>
      <c r="I218" s="1237"/>
      <c r="J218" s="1237"/>
      <c r="K218" s="1237"/>
      <c r="L218" s="1237"/>
      <c r="M218" s="1237"/>
      <c r="N218" s="1237"/>
      <c r="O218" s="1237"/>
      <c r="P218" s="1237"/>
      <c r="Q218" s="1237"/>
      <c r="R218" s="1237"/>
      <c r="S218" s="1237"/>
      <c r="T218" s="1237"/>
      <c r="U218" s="1237"/>
      <c r="V218" s="1237"/>
      <c r="W218" s="1237"/>
      <c r="X218" s="1237"/>
      <c r="Y218" s="1237"/>
      <c r="Z218" s="1237"/>
      <c r="AA218" s="1237"/>
      <c r="AB218" s="1237"/>
      <c r="AC218" s="1237"/>
      <c r="AD218" s="1237"/>
      <c r="AE218" s="1237"/>
      <c r="AF218" s="1237"/>
      <c r="AG218" s="1695"/>
      <c r="AH218" s="34"/>
      <c r="AI218" s="25"/>
    </row>
    <row r="219" spans="1:35" ht="18" customHeight="1">
      <c r="A219" s="1696"/>
      <c r="B219" s="1655" t="s">
        <v>306</v>
      </c>
      <c r="C219" s="1652" t="s">
        <v>31</v>
      </c>
      <c r="D219" s="1652" t="s">
        <v>31</v>
      </c>
      <c r="E219" s="1652"/>
      <c r="F219" s="1652"/>
      <c r="G219" s="1652" t="s">
        <v>31</v>
      </c>
      <c r="H219" s="1652" t="s">
        <v>31</v>
      </c>
      <c r="I219" s="1701" t="s">
        <v>304</v>
      </c>
      <c r="J219" s="1341" t="s">
        <v>31</v>
      </c>
      <c r="K219" s="1704" t="s">
        <v>31</v>
      </c>
      <c r="L219" s="1704"/>
      <c r="M219" s="1704"/>
      <c r="N219" s="1704" t="s">
        <v>31</v>
      </c>
      <c r="O219" s="1704" t="s">
        <v>31</v>
      </c>
      <c r="P219" s="1704" t="s">
        <v>31</v>
      </c>
      <c r="Q219" s="1704" t="s">
        <v>31</v>
      </c>
      <c r="R219" s="1704" t="s">
        <v>31</v>
      </c>
      <c r="S219" s="1704"/>
      <c r="T219" s="1704"/>
      <c r="U219" s="1704" t="s">
        <v>31</v>
      </c>
      <c r="V219" s="1704" t="s">
        <v>31</v>
      </c>
      <c r="W219" s="1704" t="s">
        <v>31</v>
      </c>
      <c r="X219" s="1704" t="s">
        <v>31</v>
      </c>
      <c r="Y219" s="1704" t="s">
        <v>31</v>
      </c>
      <c r="Z219" s="1704"/>
      <c r="AA219" s="1704"/>
      <c r="AB219" s="1704" t="s">
        <v>31</v>
      </c>
      <c r="AC219" s="1704" t="s">
        <v>31</v>
      </c>
      <c r="AD219" s="1704" t="s">
        <v>31</v>
      </c>
      <c r="AE219" s="1704" t="s">
        <v>31</v>
      </c>
      <c r="AF219" s="1237" t="s">
        <v>31</v>
      </c>
      <c r="AG219" s="1695"/>
      <c r="AH219" s="34"/>
      <c r="AI219" s="25"/>
    </row>
    <row r="220" spans="1:35" ht="18" customHeight="1">
      <c r="A220" s="1696"/>
      <c r="B220" s="1655" t="s">
        <v>307</v>
      </c>
      <c r="C220" s="1237" t="s">
        <v>31</v>
      </c>
      <c r="D220" s="1513" t="s">
        <v>31</v>
      </c>
      <c r="E220" s="1513"/>
      <c r="F220" s="1513"/>
      <c r="G220" s="1513" t="s">
        <v>31</v>
      </c>
      <c r="H220" s="1513" t="s">
        <v>31</v>
      </c>
      <c r="I220" s="1237" t="s">
        <v>31</v>
      </c>
      <c r="J220" s="1237" t="s">
        <v>31</v>
      </c>
      <c r="K220" s="1237" t="s">
        <v>31</v>
      </c>
      <c r="L220" s="1237"/>
      <c r="M220" s="1237"/>
      <c r="N220" s="1237" t="s">
        <v>31</v>
      </c>
      <c r="O220" s="1237" t="s">
        <v>31</v>
      </c>
      <c r="P220" s="1652" t="s">
        <v>31</v>
      </c>
      <c r="Q220" s="1652" t="s">
        <v>31</v>
      </c>
      <c r="R220" s="1701" t="s">
        <v>336</v>
      </c>
      <c r="S220" s="64"/>
      <c r="T220" s="64"/>
      <c r="U220" s="64" t="s">
        <v>31</v>
      </c>
      <c r="V220" s="64" t="s">
        <v>31</v>
      </c>
      <c r="W220" s="64" t="s">
        <v>31</v>
      </c>
      <c r="X220" s="64" t="s">
        <v>31</v>
      </c>
      <c r="Y220" s="64" t="s">
        <v>31</v>
      </c>
      <c r="Z220" s="1237"/>
      <c r="AA220" s="1237"/>
      <c r="AB220" s="1237" t="s">
        <v>31</v>
      </c>
      <c r="AC220" s="1237" t="s">
        <v>31</v>
      </c>
      <c r="AD220" s="1237" t="s">
        <v>31</v>
      </c>
      <c r="AE220" s="1237" t="s">
        <v>31</v>
      </c>
      <c r="AF220" s="1237" t="s">
        <v>31</v>
      </c>
      <c r="AG220" s="1695"/>
      <c r="AH220" s="34"/>
      <c r="AI220" s="25"/>
    </row>
    <row r="221" spans="1:35" ht="18" customHeight="1">
      <c r="A221" s="1696"/>
      <c r="B221" s="1707" t="s">
        <v>308</v>
      </c>
      <c r="C221" s="1708" t="s">
        <v>31</v>
      </c>
      <c r="D221" s="1708" t="s">
        <v>31</v>
      </c>
      <c r="E221" s="1708"/>
      <c r="F221" s="1708"/>
      <c r="G221" s="1708" t="s">
        <v>31</v>
      </c>
      <c r="H221" s="1708" t="s">
        <v>31</v>
      </c>
      <c r="I221" s="1708" t="s">
        <v>31</v>
      </c>
      <c r="J221" s="1708" t="s">
        <v>31</v>
      </c>
      <c r="K221" s="1708" t="s">
        <v>31</v>
      </c>
      <c r="L221" s="1708"/>
      <c r="M221" s="1708"/>
      <c r="N221" s="1513" t="s">
        <v>31</v>
      </c>
      <c r="O221" s="1513" t="s">
        <v>31</v>
      </c>
      <c r="P221" s="1237" t="s">
        <v>31</v>
      </c>
      <c r="Q221" s="1237" t="s">
        <v>31</v>
      </c>
      <c r="R221" s="1237" t="s">
        <v>31</v>
      </c>
      <c r="S221" s="1237"/>
      <c r="T221" s="1699"/>
      <c r="U221" s="1237" t="s">
        <v>31</v>
      </c>
      <c r="V221" s="114" t="s">
        <v>31</v>
      </c>
      <c r="W221" s="1237" t="s">
        <v>31</v>
      </c>
      <c r="X221" s="1237" t="s">
        <v>31</v>
      </c>
      <c r="Y221" s="1237" t="s">
        <v>31</v>
      </c>
      <c r="Z221" s="1237"/>
      <c r="AA221" s="1237"/>
      <c r="AB221" s="1237" t="s">
        <v>31</v>
      </c>
      <c r="AC221" s="1237" t="s">
        <v>31</v>
      </c>
      <c r="AD221" s="1237" t="s">
        <v>31</v>
      </c>
      <c r="AE221" s="1237" t="s">
        <v>31</v>
      </c>
      <c r="AF221" s="1237" t="s">
        <v>31</v>
      </c>
      <c r="AG221" s="1695"/>
      <c r="AH221" s="34"/>
      <c r="AI221" s="25"/>
    </row>
    <row r="222" spans="1:35" ht="18" customHeight="1">
      <c r="A222" s="1696"/>
      <c r="B222" s="1655" t="s">
        <v>309</v>
      </c>
      <c r="C222" s="1652" t="s">
        <v>31</v>
      </c>
      <c r="D222" s="1652" t="s">
        <v>31</v>
      </c>
      <c r="E222" s="1652"/>
      <c r="F222" s="1652"/>
      <c r="G222" s="1652" t="s">
        <v>31</v>
      </c>
      <c r="H222" s="1652" t="s">
        <v>31</v>
      </c>
      <c r="I222" s="1652" t="s">
        <v>31</v>
      </c>
      <c r="J222" s="1652" t="s">
        <v>31</v>
      </c>
      <c r="K222" s="1652" t="s">
        <v>31</v>
      </c>
      <c r="L222" s="1652"/>
      <c r="M222" s="1652"/>
      <c r="N222" s="1652" t="s">
        <v>31</v>
      </c>
      <c r="O222" s="1652" t="s">
        <v>31</v>
      </c>
      <c r="P222" s="1652" t="s">
        <v>31</v>
      </c>
      <c r="Q222" s="1652" t="s">
        <v>31</v>
      </c>
      <c r="R222" s="1652" t="s">
        <v>31</v>
      </c>
      <c r="S222" s="1652"/>
      <c r="T222" s="1652"/>
      <c r="U222" s="1652" t="s">
        <v>31</v>
      </c>
      <c r="V222" s="1652" t="s">
        <v>31</v>
      </c>
      <c r="W222" s="1652" t="s">
        <v>31</v>
      </c>
      <c r="X222" s="1701" t="s">
        <v>336</v>
      </c>
      <c r="Y222" s="1651" t="s">
        <v>31</v>
      </c>
      <c r="Z222" s="1651"/>
      <c r="AA222" s="1651"/>
      <c r="AB222" s="1651" t="s">
        <v>31</v>
      </c>
      <c r="AC222" s="1651" t="s">
        <v>31</v>
      </c>
      <c r="AD222" s="1651" t="s">
        <v>31</v>
      </c>
      <c r="AE222" s="1651" t="s">
        <v>31</v>
      </c>
      <c r="AF222" s="1651" t="s">
        <v>31</v>
      </c>
      <c r="AG222" s="1709"/>
      <c r="AH222" s="34"/>
      <c r="AI222" s="25"/>
    </row>
    <row r="223" spans="1:35" ht="18" customHeight="1">
      <c r="A223" s="1696"/>
      <c r="B223" s="1710" t="s">
        <v>310</v>
      </c>
      <c r="C223" s="1237"/>
      <c r="D223" s="1237"/>
      <c r="E223" s="1237"/>
      <c r="F223" s="1237"/>
      <c r="G223" s="1237"/>
      <c r="H223" s="1237"/>
      <c r="I223" s="1237"/>
      <c r="J223" s="1237"/>
      <c r="K223" s="1237"/>
      <c r="L223" s="1237"/>
      <c r="M223" s="1237"/>
      <c r="N223" s="1237"/>
      <c r="O223" s="1237"/>
      <c r="P223" s="1237"/>
      <c r="Q223" s="1237"/>
      <c r="R223" s="1237"/>
      <c r="S223" s="1237"/>
      <c r="T223" s="1237"/>
      <c r="U223" s="1237"/>
      <c r="V223" s="1237"/>
      <c r="W223" s="1237"/>
      <c r="X223" s="1237"/>
      <c r="Y223" s="1237"/>
      <c r="Z223" s="1237"/>
      <c r="AA223" s="1237"/>
      <c r="AB223" s="1237"/>
      <c r="AC223" s="1237"/>
      <c r="AD223" s="1237"/>
      <c r="AE223" s="1237"/>
      <c r="AF223" s="1237"/>
      <c r="AG223" s="1695"/>
      <c r="AH223" s="93"/>
      <c r="AI223" s="76"/>
    </row>
    <row r="224" spans="1:35" ht="18" customHeight="1">
      <c r="A224" s="1696"/>
      <c r="B224" s="1655"/>
      <c r="C224" s="1237"/>
      <c r="D224" s="1237"/>
      <c r="E224" s="1237"/>
      <c r="F224" s="1237"/>
      <c r="G224" s="1237"/>
      <c r="H224" s="1237"/>
      <c r="I224" s="1237"/>
      <c r="J224" s="1237"/>
      <c r="K224" s="1237"/>
      <c r="L224" s="1237"/>
      <c r="M224" s="1237"/>
      <c r="N224" s="1237"/>
      <c r="O224" s="1237"/>
      <c r="P224" s="1237"/>
      <c r="Q224" s="1237"/>
      <c r="R224" s="1237"/>
      <c r="S224" s="1237"/>
      <c r="T224" s="1237"/>
      <c r="U224" s="1237"/>
      <c r="V224" s="1237"/>
      <c r="W224" s="1237"/>
      <c r="X224" s="1237"/>
      <c r="Y224" s="1237"/>
      <c r="Z224" s="1237"/>
      <c r="AA224" s="1237"/>
      <c r="AB224" s="1237"/>
      <c r="AC224" s="1237"/>
      <c r="AD224" s="1237"/>
      <c r="AE224" s="1237"/>
      <c r="AF224" s="1237"/>
      <c r="AG224" s="1711"/>
      <c r="AH224" s="93"/>
      <c r="AI224" s="76"/>
    </row>
    <row r="225" spans="1:35" ht="18" customHeight="1">
      <c r="A225" s="1712"/>
      <c r="B225" s="1712"/>
      <c r="C225" s="1237"/>
      <c r="D225" s="1237"/>
      <c r="E225" s="1237"/>
      <c r="F225" s="1237"/>
      <c r="G225" s="1237"/>
      <c r="H225" s="1237"/>
      <c r="I225" s="1237"/>
      <c r="J225" s="1237"/>
      <c r="K225" s="1237"/>
      <c r="L225" s="1237"/>
      <c r="M225" s="1237"/>
      <c r="N225" s="1237"/>
      <c r="O225" s="1237"/>
      <c r="P225" s="1237"/>
      <c r="Q225" s="1237"/>
      <c r="R225" s="1237"/>
      <c r="S225" s="1237"/>
      <c r="T225" s="1237"/>
      <c r="U225" s="1237"/>
      <c r="V225" s="1237"/>
      <c r="W225" s="1237"/>
      <c r="X225" s="1237"/>
      <c r="Y225" s="1237"/>
      <c r="Z225" s="1237"/>
      <c r="AA225" s="1237"/>
      <c r="AB225" s="1237"/>
      <c r="AC225" s="1237"/>
      <c r="AD225" s="1237"/>
      <c r="AE225" s="1237"/>
      <c r="AF225" s="1237"/>
      <c r="AG225" s="1695"/>
      <c r="AH225" s="93"/>
      <c r="AI225" s="76"/>
    </row>
    <row r="226" spans="1:35" ht="18" customHeight="1">
      <c r="A226" s="1712"/>
      <c r="B226" s="1712"/>
      <c r="C226" s="1237"/>
      <c r="D226" s="1237"/>
      <c r="E226" s="1237"/>
      <c r="F226" s="1237"/>
      <c r="G226" s="1237"/>
      <c r="H226" s="1654"/>
      <c r="I226" s="1237"/>
      <c r="J226" s="1237"/>
      <c r="K226" s="1237"/>
      <c r="L226" s="1237"/>
      <c r="M226" s="1237"/>
      <c r="N226" s="1237"/>
      <c r="O226" s="1237"/>
      <c r="P226" s="1237"/>
      <c r="Q226" s="1237"/>
      <c r="R226" s="1237"/>
      <c r="S226" s="1237"/>
      <c r="T226" s="1237"/>
      <c r="U226" s="1237"/>
      <c r="V226" s="1237"/>
      <c r="W226" s="1237"/>
      <c r="X226" s="1237"/>
      <c r="Y226" s="1237"/>
      <c r="Z226" s="1237"/>
      <c r="AA226" s="1237"/>
      <c r="AB226" s="1237"/>
      <c r="AC226" s="1237"/>
      <c r="AD226" s="1237"/>
      <c r="AE226" s="1237"/>
      <c r="AF226" s="1237"/>
      <c r="AG226" s="1711"/>
      <c r="AH226" s="93"/>
      <c r="AI226" s="76"/>
    </row>
    <row r="227" spans="1:35" ht="18" customHeight="1">
      <c r="A227" s="1712"/>
      <c r="B227" s="1712"/>
      <c r="C227" s="1237"/>
      <c r="D227" s="1237"/>
      <c r="E227" s="1237"/>
      <c r="F227" s="1237"/>
      <c r="G227" s="1237"/>
      <c r="H227" s="1237"/>
      <c r="I227" s="1237"/>
      <c r="J227" s="1237"/>
      <c r="K227" s="1237"/>
      <c r="L227" s="1237"/>
      <c r="M227" s="1237"/>
      <c r="N227" s="1237"/>
      <c r="O227" s="1237"/>
      <c r="P227" s="1237"/>
      <c r="Q227" s="1237"/>
      <c r="R227" s="1237"/>
      <c r="S227" s="1237"/>
      <c r="T227" s="1237"/>
      <c r="U227" s="1237"/>
      <c r="V227" s="1237"/>
      <c r="W227" s="1237"/>
      <c r="X227" s="1237"/>
      <c r="Y227" s="1237"/>
      <c r="Z227" s="1237"/>
      <c r="AA227" s="1237"/>
      <c r="AB227" s="1237"/>
      <c r="AC227" s="1237"/>
      <c r="AD227" s="1237"/>
      <c r="AE227" s="1237"/>
      <c r="AF227" s="1237"/>
      <c r="AG227" s="1695"/>
      <c r="AH227" s="93"/>
      <c r="AI227" s="76"/>
    </row>
    <row r="228" spans="1:35" ht="18" customHeight="1">
      <c r="A228" s="1712"/>
      <c r="B228" s="1712"/>
      <c r="C228" s="1237"/>
      <c r="D228" s="1237"/>
      <c r="E228" s="1237"/>
      <c r="F228" s="1237"/>
      <c r="G228" s="1237"/>
      <c r="H228" s="1654"/>
      <c r="I228" s="1237"/>
      <c r="J228" s="1237"/>
      <c r="K228" s="1237"/>
      <c r="L228" s="1237"/>
      <c r="M228" s="1237"/>
      <c r="N228" s="1237"/>
      <c r="O228" s="1237"/>
      <c r="P228" s="1237"/>
      <c r="Q228" s="1237"/>
      <c r="R228" s="1237"/>
      <c r="S228" s="1237"/>
      <c r="T228" s="1237"/>
      <c r="U228" s="1237"/>
      <c r="V228" s="1237"/>
      <c r="W228" s="1237"/>
      <c r="X228" s="1237"/>
      <c r="Y228" s="1237"/>
      <c r="Z228" s="1237"/>
      <c r="AA228" s="1237"/>
      <c r="AB228" s="1237"/>
      <c r="AC228" s="1237"/>
      <c r="AD228" s="1237"/>
      <c r="AE228" s="1237"/>
      <c r="AF228" s="1237"/>
      <c r="AG228" s="1711"/>
      <c r="AH228" s="93"/>
      <c r="AI228" s="76"/>
    </row>
    <row r="229" spans="1:35" ht="18" customHeight="1">
      <c r="A229" s="1696"/>
      <c r="B229" s="1706"/>
      <c r="C229" s="1237"/>
      <c r="D229" s="1237"/>
      <c r="E229" s="1237"/>
      <c r="F229" s="1237"/>
      <c r="G229" s="1237"/>
      <c r="H229" s="1237"/>
      <c r="I229" s="1237"/>
      <c r="J229" s="1237"/>
      <c r="K229" s="1237"/>
      <c r="L229" s="1237"/>
      <c r="M229" s="1237"/>
      <c r="N229" s="1237"/>
      <c r="O229" s="1237"/>
      <c r="P229" s="1237"/>
      <c r="Q229" s="1237"/>
      <c r="R229" s="1237"/>
      <c r="S229" s="1237"/>
      <c r="T229" s="1237"/>
      <c r="U229" s="1237"/>
      <c r="V229" s="1237"/>
      <c r="W229" s="1237"/>
      <c r="X229" s="1237"/>
      <c r="Y229" s="1237"/>
      <c r="Z229" s="1237"/>
      <c r="AA229" s="1237"/>
      <c r="AB229" s="1237"/>
      <c r="AC229" s="1237"/>
      <c r="AD229" s="1237"/>
      <c r="AE229" s="1237"/>
      <c r="AF229" s="1237"/>
      <c r="AG229" s="1711"/>
      <c r="AH229" s="93"/>
      <c r="AI229" s="76"/>
    </row>
    <row r="230" spans="1:35" ht="18" customHeight="1">
      <c r="A230" s="1696"/>
      <c r="B230" s="1713"/>
      <c r="C230" s="1237"/>
      <c r="D230" s="1237"/>
      <c r="E230" s="1237"/>
      <c r="F230" s="1237"/>
      <c r="G230" s="1237"/>
      <c r="H230" s="1237"/>
      <c r="I230" s="1237"/>
      <c r="J230" s="1237"/>
      <c r="K230" s="1237"/>
      <c r="L230" s="1237"/>
      <c r="M230" s="1237"/>
      <c r="N230" s="1237"/>
      <c r="O230" s="1237"/>
      <c r="P230" s="1237"/>
      <c r="Q230" s="1237"/>
      <c r="R230" s="1237"/>
      <c r="S230" s="1237"/>
      <c r="T230" s="1237"/>
      <c r="U230" s="1237"/>
      <c r="V230" s="1237"/>
      <c r="W230" s="1237"/>
      <c r="X230" s="1237"/>
      <c r="Y230" s="1237"/>
      <c r="Z230" s="1237"/>
      <c r="AA230" s="1237"/>
      <c r="AB230" s="1237"/>
      <c r="AC230" s="1237"/>
      <c r="AD230" s="1237"/>
      <c r="AE230" s="1237"/>
      <c r="AF230" s="1237"/>
      <c r="AG230" s="1711"/>
      <c r="AH230" s="93"/>
      <c r="AI230" s="76"/>
    </row>
    <row r="231" spans="1:35" ht="18" customHeight="1">
      <c r="A231" s="82"/>
      <c r="B231" s="115"/>
      <c r="C231" s="38"/>
      <c r="D231" s="38"/>
      <c r="E231" s="38"/>
      <c r="F231" s="38"/>
      <c r="G231" s="38"/>
      <c r="H231" s="38"/>
      <c r="I231" s="38"/>
      <c r="J231" s="38"/>
      <c r="L231" s="38"/>
      <c r="M231" s="38"/>
      <c r="N231" s="38"/>
      <c r="O231" s="38"/>
      <c r="P231" s="17"/>
      <c r="Q231" s="17"/>
      <c r="R231" s="17"/>
      <c r="S231" s="38"/>
      <c r="T231" s="38"/>
      <c r="U231" s="38"/>
      <c r="V231" s="38"/>
      <c r="W231" s="38"/>
      <c r="X231" s="38"/>
      <c r="Y231" s="38"/>
      <c r="Z231" s="38"/>
      <c r="AA231" s="38"/>
      <c r="AB231" s="38"/>
      <c r="AC231" s="38"/>
      <c r="AD231" s="38"/>
      <c r="AE231" s="38"/>
      <c r="AF231" s="38"/>
      <c r="AG231" s="38"/>
      <c r="AH231" s="76"/>
      <c r="AI231" s="76"/>
    </row>
    <row r="232" spans="1:35" ht="18" customHeight="1"/>
    <row r="233" spans="1:35" ht="18" customHeight="1"/>
    <row r="234" spans="1:35" ht="18" customHeight="1"/>
    <row r="235" spans="1:35" ht="18" customHeight="1" thickBot="1">
      <c r="A235" s="14" t="s">
        <v>311</v>
      </c>
    </row>
    <row r="236" spans="1:35" ht="18" customHeight="1">
      <c r="B236" s="1714" t="s">
        <v>281</v>
      </c>
      <c r="C236" s="901"/>
      <c r="D236" s="925" t="s">
        <v>87</v>
      </c>
      <c r="E236" s="705"/>
      <c r="F236" s="905"/>
      <c r="G236" s="901"/>
      <c r="H236" s="925" t="s">
        <v>88</v>
      </c>
      <c r="I236" s="705"/>
      <c r="J236" s="905"/>
      <c r="K236" s="901"/>
      <c r="L236" s="925" t="s">
        <v>89</v>
      </c>
      <c r="M236" s="705"/>
      <c r="N236" s="905"/>
      <c r="O236" s="901"/>
      <c r="P236" s="925" t="s">
        <v>90</v>
      </c>
      <c r="Q236" s="705"/>
      <c r="R236" s="905"/>
      <c r="S236" s="901"/>
      <c r="T236" s="925" t="s">
        <v>91</v>
      </c>
      <c r="U236" s="705"/>
      <c r="V236" s="905"/>
      <c r="W236" s="901"/>
      <c r="X236" s="925" t="s">
        <v>92</v>
      </c>
      <c r="Y236" s="705"/>
      <c r="Z236" s="905"/>
      <c r="AA236" s="901"/>
      <c r="AB236" s="925" t="s">
        <v>93</v>
      </c>
      <c r="AC236" s="705"/>
      <c r="AD236" s="705"/>
      <c r="AE236" s="928" t="s">
        <v>94</v>
      </c>
      <c r="AF236" s="705"/>
      <c r="AG236" s="705"/>
      <c r="AH236" s="705"/>
      <c r="AI236" s="706"/>
    </row>
    <row r="237" spans="1:35" ht="18" customHeight="1">
      <c r="B237" s="116"/>
      <c r="C237" s="110"/>
      <c r="D237" s="111"/>
      <c r="E237" s="101"/>
      <c r="F237" s="109"/>
      <c r="G237" s="110"/>
      <c r="H237" s="111"/>
      <c r="I237" s="101"/>
      <c r="J237" s="109"/>
      <c r="K237" s="110"/>
      <c r="L237" s="111"/>
      <c r="M237" s="101"/>
      <c r="N237" s="109"/>
      <c r="O237" s="110"/>
      <c r="P237" s="111"/>
      <c r="Q237" s="101"/>
      <c r="R237" s="109"/>
      <c r="S237" s="110"/>
      <c r="T237" s="111"/>
      <c r="U237" s="101"/>
      <c r="V237" s="109"/>
      <c r="W237" s="110"/>
      <c r="X237" s="111"/>
      <c r="Y237" s="101"/>
      <c r="Z237" s="109"/>
      <c r="AA237" s="110"/>
      <c r="AB237" s="111"/>
      <c r="AC237" s="101"/>
      <c r="AD237" s="101"/>
      <c r="AE237" s="112"/>
      <c r="AF237" s="101"/>
      <c r="AG237" s="8"/>
      <c r="AH237" s="8"/>
      <c r="AI237" s="105"/>
    </row>
    <row r="238" spans="1:35" ht="18" customHeight="1">
      <c r="A238" s="87"/>
      <c r="B238" s="1715">
        <v>3701</v>
      </c>
      <c r="C238" s="1685" t="s">
        <v>286</v>
      </c>
      <c r="D238" s="1683"/>
      <c r="E238" s="101"/>
      <c r="F238" s="109"/>
      <c r="G238" s="1685" t="s">
        <v>286</v>
      </c>
      <c r="H238" s="111"/>
      <c r="I238" s="101"/>
      <c r="J238" s="109"/>
      <c r="K238" s="1685" t="s">
        <v>286</v>
      </c>
      <c r="L238" s="111"/>
      <c r="M238" s="101"/>
      <c r="N238" s="109"/>
      <c r="O238" s="1685" t="s">
        <v>286</v>
      </c>
      <c r="P238" s="111"/>
      <c r="Q238" s="101"/>
      <c r="R238" s="109"/>
      <c r="S238" s="110" t="s">
        <v>287</v>
      </c>
      <c r="T238" s="111"/>
      <c r="U238" s="101"/>
      <c r="V238" s="109"/>
      <c r="W238" s="110"/>
      <c r="X238" s="111"/>
      <c r="Y238" s="101"/>
      <c r="Z238" s="109"/>
      <c r="AA238" s="110"/>
      <c r="AB238" s="111"/>
      <c r="AC238" s="101"/>
      <c r="AD238" s="101"/>
      <c r="AE238" s="112"/>
      <c r="AF238" s="101"/>
      <c r="AG238" s="8"/>
      <c r="AH238" s="8"/>
      <c r="AI238" s="105"/>
    </row>
    <row r="239" spans="1:35" ht="18" customHeight="1">
      <c r="B239" s="1715"/>
      <c r="C239" s="1685"/>
      <c r="D239" s="1683"/>
      <c r="E239" s="101"/>
      <c r="F239" s="109"/>
      <c r="G239" s="1685"/>
      <c r="H239" s="111"/>
      <c r="I239" s="101"/>
      <c r="J239" s="109"/>
      <c r="K239" s="1685"/>
      <c r="L239" s="111"/>
      <c r="M239" s="101"/>
      <c r="N239" s="109"/>
      <c r="O239" s="1685"/>
      <c r="P239" s="111"/>
      <c r="Q239" s="101"/>
      <c r="R239" s="109"/>
      <c r="S239" s="1685"/>
      <c r="T239" s="111"/>
      <c r="U239" s="101"/>
      <c r="V239" s="109"/>
      <c r="W239" s="110"/>
      <c r="X239" s="111"/>
      <c r="Y239" s="101"/>
      <c r="Z239" s="109"/>
      <c r="AA239" s="110"/>
      <c r="AB239" s="111"/>
      <c r="AC239" s="101"/>
      <c r="AD239" s="101"/>
      <c r="AE239" s="112"/>
      <c r="AF239" s="101"/>
      <c r="AG239" s="8"/>
      <c r="AH239" s="8"/>
      <c r="AI239" s="105"/>
    </row>
    <row r="240" spans="1:35" ht="18" customHeight="1">
      <c r="B240" s="1715">
        <v>3702</v>
      </c>
      <c r="C240" s="1685" t="s">
        <v>312</v>
      </c>
      <c r="D240" s="1683"/>
      <c r="E240" s="101"/>
      <c r="F240" s="109"/>
      <c r="G240" s="1685" t="s">
        <v>312</v>
      </c>
      <c r="H240" s="1683"/>
      <c r="I240" s="101"/>
      <c r="J240" s="109"/>
      <c r="K240" s="1685" t="s">
        <v>312</v>
      </c>
      <c r="L240" s="1683"/>
      <c r="M240" s="101"/>
      <c r="N240" s="109"/>
      <c r="O240" s="1685" t="s">
        <v>312</v>
      </c>
      <c r="P240" s="1683"/>
      <c r="Q240" s="101"/>
      <c r="R240" s="109"/>
      <c r="S240" s="1685" t="s">
        <v>313</v>
      </c>
      <c r="T240" s="1683"/>
      <c r="U240" s="101"/>
      <c r="V240" s="109"/>
      <c r="W240" s="110"/>
      <c r="X240" s="111"/>
      <c r="Y240" s="101"/>
      <c r="Z240" s="109"/>
      <c r="AA240" s="110"/>
      <c r="AB240" s="111"/>
      <c r="AC240" s="101"/>
      <c r="AD240" s="101"/>
      <c r="AE240" s="112"/>
      <c r="AF240" s="101"/>
      <c r="AG240" s="8"/>
      <c r="AH240" s="8"/>
      <c r="AI240" s="105"/>
    </row>
    <row r="241" spans="1:35" ht="18" customHeight="1">
      <c r="B241" s="1715"/>
      <c r="C241" s="1574"/>
      <c r="D241" s="1683"/>
      <c r="E241" s="101"/>
      <c r="F241" s="109"/>
      <c r="G241" s="111"/>
      <c r="H241" s="111"/>
      <c r="I241" s="101"/>
      <c r="J241" s="109"/>
      <c r="K241" s="111"/>
      <c r="L241" s="111"/>
      <c r="M241" s="101"/>
      <c r="N241" s="109"/>
      <c r="O241" s="111"/>
      <c r="P241" s="111"/>
      <c r="Q241" s="101"/>
      <c r="R241" s="109"/>
      <c r="S241" s="111"/>
      <c r="T241" s="111"/>
      <c r="U241" s="101"/>
      <c r="V241" s="109"/>
      <c r="W241" s="110"/>
      <c r="X241" s="111"/>
      <c r="Y241" s="101"/>
      <c r="Z241" s="109"/>
      <c r="AA241" s="110"/>
      <c r="AB241" s="111"/>
      <c r="AC241" s="101"/>
      <c r="AD241" s="101"/>
      <c r="AE241" s="112"/>
      <c r="AF241" s="101"/>
      <c r="AG241" s="8"/>
      <c r="AH241" s="8"/>
      <c r="AI241" s="105"/>
    </row>
    <row r="242" spans="1:35" ht="18" customHeight="1">
      <c r="B242" s="1715" t="s">
        <v>159</v>
      </c>
      <c r="C242" s="1574" t="s">
        <v>314</v>
      </c>
      <c r="D242" s="1683"/>
      <c r="E242" s="101"/>
      <c r="F242" s="109"/>
      <c r="G242" s="1574" t="s">
        <v>314</v>
      </c>
      <c r="H242" s="1683"/>
      <c r="I242" s="101"/>
      <c r="J242" s="109"/>
      <c r="K242" s="1574" t="s">
        <v>314</v>
      </c>
      <c r="L242" s="1683"/>
      <c r="M242" s="101"/>
      <c r="N242" s="109"/>
      <c r="O242" s="1574" t="s">
        <v>314</v>
      </c>
      <c r="P242" s="1683"/>
      <c r="Q242" s="101"/>
      <c r="R242" s="109"/>
      <c r="S242" s="111" t="s">
        <v>315</v>
      </c>
      <c r="T242" s="111"/>
      <c r="U242" s="101"/>
      <c r="V242" s="109"/>
      <c r="W242" s="110"/>
      <c r="X242" s="111"/>
      <c r="Y242" s="101"/>
      <c r="Z242" s="109"/>
      <c r="AA242" s="110"/>
      <c r="AB242" s="111"/>
      <c r="AC242" s="101"/>
      <c r="AD242" s="101"/>
      <c r="AE242" s="112"/>
      <c r="AF242" s="101"/>
      <c r="AG242" s="8"/>
      <c r="AH242" s="8"/>
      <c r="AI242" s="105"/>
    </row>
    <row r="243" spans="1:35" ht="18" customHeight="1">
      <c r="B243" s="1715" t="s">
        <v>163</v>
      </c>
      <c r="C243" s="1574" t="s">
        <v>316</v>
      </c>
      <c r="D243" s="1683"/>
      <c r="E243" s="101"/>
      <c r="F243" s="109"/>
      <c r="G243" s="1574" t="s">
        <v>316</v>
      </c>
      <c r="H243" s="1683"/>
      <c r="I243" s="101"/>
      <c r="J243" s="109"/>
      <c r="K243" s="1574" t="s">
        <v>316</v>
      </c>
      <c r="L243" s="1683"/>
      <c r="M243" s="101"/>
      <c r="N243" s="109"/>
      <c r="O243" s="1574" t="s">
        <v>316</v>
      </c>
      <c r="P243" s="1683"/>
      <c r="Q243" s="101"/>
      <c r="R243" s="109"/>
      <c r="S243" s="111" t="s">
        <v>317</v>
      </c>
      <c r="T243" s="111"/>
      <c r="U243" s="101"/>
      <c r="V243" s="109"/>
      <c r="W243" s="110"/>
      <c r="X243" s="111"/>
      <c r="Y243" s="101"/>
      <c r="Z243" s="109"/>
      <c r="AA243" s="110"/>
      <c r="AB243" s="111"/>
      <c r="AC243" s="101"/>
      <c r="AD243" s="101"/>
      <c r="AE243" s="112"/>
      <c r="AF243" s="101"/>
      <c r="AG243" s="8"/>
      <c r="AH243" s="8"/>
      <c r="AI243" s="105"/>
    </row>
    <row r="244" spans="1:35" ht="18" customHeight="1" thickBot="1">
      <c r="B244" s="1716" t="s">
        <v>171</v>
      </c>
      <c r="C244" s="1587" t="s">
        <v>318</v>
      </c>
      <c r="D244" s="1717"/>
      <c r="E244" s="1037"/>
      <c r="F244" s="1038"/>
      <c r="G244" s="1587" t="s">
        <v>318</v>
      </c>
      <c r="H244" s="1717"/>
      <c r="I244" s="1037"/>
      <c r="J244" s="1038"/>
      <c r="K244" s="1587" t="s">
        <v>318</v>
      </c>
      <c r="L244" s="1717"/>
      <c r="M244" s="1037"/>
      <c r="N244" s="1038"/>
      <c r="O244" s="1587" t="s">
        <v>318</v>
      </c>
      <c r="P244" s="1717"/>
      <c r="Q244" s="1037"/>
      <c r="R244" s="1038"/>
      <c r="S244" s="1039" t="s">
        <v>319</v>
      </c>
      <c r="T244" s="1039"/>
      <c r="U244" s="1037"/>
      <c r="V244" s="1038"/>
      <c r="W244" s="1040"/>
      <c r="X244" s="1039"/>
      <c r="Y244" s="1041"/>
      <c r="Z244" s="1042"/>
      <c r="AA244" s="1043"/>
      <c r="AB244" s="1039"/>
      <c r="AC244" s="1041"/>
      <c r="AD244" s="1041"/>
      <c r="AE244" s="1044"/>
      <c r="AF244" s="1041"/>
      <c r="AG244" s="1037"/>
      <c r="AH244" s="1037"/>
      <c r="AI244" s="1045"/>
    </row>
    <row r="245" spans="1:35" ht="18" customHeight="1">
      <c r="B245" s="42"/>
      <c r="C245" s="37"/>
      <c r="D245" s="113"/>
      <c r="G245" s="37"/>
      <c r="H245" s="113"/>
      <c r="K245" s="37"/>
      <c r="L245" s="113"/>
      <c r="O245" s="37"/>
      <c r="P245" s="113"/>
      <c r="S245" s="37"/>
      <c r="T245" s="37"/>
      <c r="X245" s="37"/>
      <c r="AB245" s="37"/>
      <c r="AE245" s="37"/>
    </row>
    <row r="246" spans="1:35" ht="18" customHeight="1">
      <c r="A246" s="117" t="s">
        <v>320</v>
      </c>
    </row>
    <row r="247" spans="1:35" ht="18" customHeight="1" thickBot="1">
      <c r="A247" s="1718"/>
      <c r="B247" s="1719" t="s">
        <v>29</v>
      </c>
      <c r="C247" s="1645">
        <v>1</v>
      </c>
      <c r="D247" s="1645">
        <v>2</v>
      </c>
      <c r="E247" s="1646">
        <v>3</v>
      </c>
      <c r="F247" s="1646">
        <v>4</v>
      </c>
      <c r="G247" s="1645">
        <v>5</v>
      </c>
      <c r="H247" s="1645">
        <v>6</v>
      </c>
      <c r="I247" s="1645">
        <v>7</v>
      </c>
      <c r="J247" s="1645">
        <v>8</v>
      </c>
      <c r="K247" s="1645">
        <v>9</v>
      </c>
      <c r="L247" s="1646">
        <v>10</v>
      </c>
      <c r="M247" s="1646">
        <v>11</v>
      </c>
      <c r="N247" s="1645">
        <v>12</v>
      </c>
      <c r="O247" s="1645">
        <v>13</v>
      </c>
      <c r="P247" s="1645">
        <v>14</v>
      </c>
      <c r="Q247" s="1645">
        <v>15</v>
      </c>
      <c r="R247" s="1645">
        <v>16</v>
      </c>
      <c r="S247" s="1646">
        <v>17</v>
      </c>
      <c r="T247" s="1646">
        <v>18</v>
      </c>
      <c r="U247" s="1645">
        <v>19</v>
      </c>
      <c r="V247" s="1645">
        <v>20</v>
      </c>
      <c r="W247" s="1645">
        <v>21</v>
      </c>
      <c r="X247" s="1645">
        <v>22</v>
      </c>
      <c r="Y247" s="1645">
        <v>23</v>
      </c>
      <c r="Z247" s="1646">
        <v>24</v>
      </c>
      <c r="AA247" s="1646">
        <v>25</v>
      </c>
      <c r="AB247" s="1645">
        <v>26</v>
      </c>
      <c r="AC247" s="1645">
        <v>27</v>
      </c>
      <c r="AD247" s="1645">
        <v>28</v>
      </c>
      <c r="AE247" s="1645">
        <v>29</v>
      </c>
      <c r="AF247" s="1645">
        <v>30</v>
      </c>
      <c r="AG247" s="1647">
        <v>31</v>
      </c>
      <c r="AH247" s="23"/>
      <c r="AI247" s="24"/>
    </row>
    <row r="248" spans="1:35" ht="18" customHeight="1">
      <c r="A248" s="1720">
        <v>3701</v>
      </c>
      <c r="B248" s="1721" t="s">
        <v>394</v>
      </c>
      <c r="C248" s="1722" t="s">
        <v>31</v>
      </c>
      <c r="D248" s="1722" t="s">
        <v>31</v>
      </c>
      <c r="E248" s="1722"/>
      <c r="F248" s="1722"/>
      <c r="G248" s="1652" t="s">
        <v>31</v>
      </c>
      <c r="H248" s="1722" t="s">
        <v>31</v>
      </c>
      <c r="I248" s="1722" t="s">
        <v>31</v>
      </c>
      <c r="J248" s="1723" t="s">
        <v>304</v>
      </c>
      <c r="K248" s="1724" t="s">
        <v>31</v>
      </c>
      <c r="L248" s="1725"/>
      <c r="M248" s="1725"/>
      <c r="N248" s="1726" t="s">
        <v>31</v>
      </c>
      <c r="O248" s="1726" t="s">
        <v>31</v>
      </c>
      <c r="P248" s="1726" t="s">
        <v>31</v>
      </c>
      <c r="Q248" s="1726" t="s">
        <v>31</v>
      </c>
      <c r="R248" s="1726" t="s">
        <v>31</v>
      </c>
      <c r="S248" s="1726"/>
      <c r="T248" s="1726"/>
      <c r="U248" s="1726" t="s">
        <v>31</v>
      </c>
      <c r="V248" s="1726" t="s">
        <v>31</v>
      </c>
      <c r="W248" s="1726" t="s">
        <v>31</v>
      </c>
      <c r="X248" s="1726" t="s">
        <v>31</v>
      </c>
      <c r="Y248" s="1726" t="s">
        <v>31</v>
      </c>
      <c r="Z248" s="1726"/>
      <c r="AA248" s="1726"/>
      <c r="AB248" s="1726" t="s">
        <v>31</v>
      </c>
      <c r="AC248" s="1726" t="s">
        <v>31</v>
      </c>
      <c r="AD248" s="1726" t="s">
        <v>31</v>
      </c>
      <c r="AE248" s="1726" t="s">
        <v>31</v>
      </c>
      <c r="AF248" s="1726" t="s">
        <v>31</v>
      </c>
      <c r="AG248" s="1727"/>
      <c r="AH248" s="34"/>
      <c r="AI248" s="25"/>
    </row>
    <row r="249" spans="1:35" ht="18" customHeight="1">
      <c r="A249" s="1720">
        <v>3702</v>
      </c>
      <c r="B249" s="1721" t="s">
        <v>321</v>
      </c>
      <c r="C249" s="1728" t="s">
        <v>31</v>
      </c>
      <c r="D249" s="1728" t="s">
        <v>31</v>
      </c>
      <c r="E249" s="1728"/>
      <c r="F249" s="1728"/>
      <c r="G249" s="1728" t="s">
        <v>31</v>
      </c>
      <c r="H249" s="1728" t="s">
        <v>31</v>
      </c>
      <c r="I249" s="1728" t="s">
        <v>31</v>
      </c>
      <c r="J249" s="1728" t="s">
        <v>31</v>
      </c>
      <c r="K249" s="1728" t="s">
        <v>31</v>
      </c>
      <c r="L249" s="1728"/>
      <c r="M249" s="1728"/>
      <c r="N249" s="1726" t="s">
        <v>31</v>
      </c>
      <c r="O249" s="1726" t="s">
        <v>31</v>
      </c>
      <c r="P249" s="1726" t="s">
        <v>31</v>
      </c>
      <c r="Q249" s="1726" t="s">
        <v>31</v>
      </c>
      <c r="R249" s="1726" t="s">
        <v>31</v>
      </c>
      <c r="S249" s="1726"/>
      <c r="T249" s="1726"/>
      <c r="U249" s="1726" t="s">
        <v>31</v>
      </c>
      <c r="V249" s="1726" t="s">
        <v>31</v>
      </c>
      <c r="W249" s="1726" t="s">
        <v>31</v>
      </c>
      <c r="X249" s="1726" t="s">
        <v>31</v>
      </c>
      <c r="Y249" s="1726" t="s">
        <v>31</v>
      </c>
      <c r="Z249" s="1726"/>
      <c r="AA249" s="1726"/>
      <c r="AB249" s="1728" t="s">
        <v>31</v>
      </c>
      <c r="AC249" s="1728" t="s">
        <v>31</v>
      </c>
      <c r="AD249" s="1728" t="s">
        <v>31</v>
      </c>
      <c r="AE249" s="1728" t="s">
        <v>31</v>
      </c>
      <c r="AF249" s="1728" t="s">
        <v>31</v>
      </c>
      <c r="AG249" s="1727"/>
      <c r="AH249" s="34"/>
      <c r="AI249" s="25"/>
    </row>
    <row r="250" spans="1:35" ht="18" customHeight="1">
      <c r="A250" s="1720"/>
      <c r="B250" s="1721"/>
      <c r="C250" s="1564"/>
      <c r="D250" s="1564"/>
      <c r="E250" s="1564"/>
      <c r="F250" s="1564"/>
      <c r="G250" s="1564"/>
      <c r="H250" s="1564"/>
      <c r="I250" s="1564"/>
      <c r="J250" s="1564"/>
      <c r="K250" s="1564"/>
      <c r="L250" s="1564"/>
      <c r="M250" s="1729"/>
      <c r="N250" s="1564"/>
      <c r="O250" s="1564"/>
      <c r="P250" s="1564"/>
      <c r="Q250" s="1564"/>
      <c r="R250" s="1564"/>
      <c r="S250" s="1564"/>
      <c r="T250" s="1564"/>
      <c r="U250" s="1564"/>
      <c r="V250" s="1564"/>
      <c r="W250" s="1564"/>
      <c r="X250" s="1564"/>
      <c r="Y250" s="1564"/>
      <c r="Z250" s="1564"/>
      <c r="AA250" s="1564"/>
      <c r="AB250" s="1564"/>
      <c r="AC250" s="1564"/>
      <c r="AD250" s="1564"/>
      <c r="AE250" s="1564"/>
      <c r="AF250" s="1564"/>
      <c r="AG250" s="1727"/>
      <c r="AH250" s="34"/>
      <c r="AI250" s="25"/>
    </row>
    <row r="251" spans="1:35" ht="18" customHeight="1">
      <c r="A251" s="1730"/>
      <c r="B251" s="118"/>
      <c r="C251" s="1523"/>
      <c r="D251" s="1523"/>
      <c r="E251" s="1523"/>
      <c r="F251" s="1523"/>
      <c r="G251" s="1523"/>
      <c r="H251" s="1523"/>
      <c r="I251" s="1523"/>
      <c r="J251" s="1523"/>
      <c r="K251" s="1523"/>
      <c r="L251" s="1523"/>
      <c r="M251" s="1523"/>
      <c r="N251" s="1523"/>
      <c r="O251" s="1523"/>
      <c r="P251" s="1523"/>
      <c r="Q251" s="1523"/>
      <c r="R251" s="1523"/>
      <c r="S251" s="1523"/>
      <c r="T251" s="1523"/>
      <c r="U251" s="1523"/>
      <c r="V251" s="1523"/>
      <c r="W251" s="1523"/>
      <c r="X251" s="1523"/>
      <c r="Y251" s="1523"/>
      <c r="Z251" s="1523"/>
      <c r="AA251" s="1523"/>
      <c r="AB251" s="1523"/>
      <c r="AC251" s="1523"/>
      <c r="AD251" s="1523"/>
      <c r="AE251" s="1523"/>
      <c r="AF251" s="1523"/>
      <c r="AG251" s="1731"/>
      <c r="AH251" s="34"/>
      <c r="AI251" s="25"/>
    </row>
    <row r="252" spans="1:35" ht="18" customHeight="1">
      <c r="A252" s="1732"/>
      <c r="B252" s="1413" t="s">
        <v>322</v>
      </c>
      <c r="C252" s="1733"/>
      <c r="D252" s="1733"/>
      <c r="E252" s="1733"/>
      <c r="F252" s="1733"/>
      <c r="G252" s="1733"/>
      <c r="H252" s="1733"/>
      <c r="I252" s="1733"/>
      <c r="J252" s="1733"/>
      <c r="K252" s="1733"/>
      <c r="L252" s="1733"/>
      <c r="M252" s="1733"/>
      <c r="N252" s="1733"/>
      <c r="O252" s="1733"/>
      <c r="P252" s="1733"/>
      <c r="Q252" s="1733"/>
      <c r="R252" s="1733"/>
      <c r="S252" s="1733"/>
      <c r="T252" s="1733"/>
      <c r="U252" s="1733"/>
      <c r="V252" s="1733"/>
      <c r="W252" s="1733"/>
      <c r="X252" s="1733"/>
      <c r="Y252" s="1733"/>
      <c r="Z252" s="1733"/>
      <c r="AA252" s="1733"/>
      <c r="AB252" s="1733"/>
      <c r="AC252" s="1733"/>
      <c r="AD252" s="1733"/>
      <c r="AE252" s="1733"/>
      <c r="AF252" s="1733"/>
      <c r="AG252" s="1734"/>
      <c r="AH252" s="119"/>
      <c r="AI252" s="26"/>
    </row>
    <row r="253" spans="1:35" ht="18" customHeight="1">
      <c r="A253" s="1720">
        <v>3702</v>
      </c>
      <c r="B253" s="1672" t="s">
        <v>323</v>
      </c>
      <c r="C253" s="1564" t="s">
        <v>152</v>
      </c>
      <c r="D253" s="1564" t="s">
        <v>152</v>
      </c>
      <c r="E253" s="1564"/>
      <c r="F253" s="1564"/>
      <c r="G253" s="1726" t="s">
        <v>152</v>
      </c>
      <c r="H253" s="1735" t="s">
        <v>152</v>
      </c>
      <c r="I253" s="1564" t="s">
        <v>152</v>
      </c>
      <c r="J253" s="1564" t="s">
        <v>152</v>
      </c>
      <c r="K253" s="1735" t="s">
        <v>152</v>
      </c>
      <c r="L253" s="1564"/>
      <c r="M253" s="1564"/>
      <c r="N253" s="1564" t="s">
        <v>152</v>
      </c>
      <c r="O253" s="1564" t="s">
        <v>152</v>
      </c>
      <c r="P253" s="1564" t="s">
        <v>152</v>
      </c>
      <c r="Q253" s="1564" t="s">
        <v>152</v>
      </c>
      <c r="R253" s="1564" t="s">
        <v>152</v>
      </c>
      <c r="S253" s="1564"/>
      <c r="T253" s="1564"/>
      <c r="U253" s="1694" t="s">
        <v>152</v>
      </c>
      <c r="V253" s="1564" t="s">
        <v>152</v>
      </c>
      <c r="W253" s="1564" t="s">
        <v>152</v>
      </c>
      <c r="X253" s="1564" t="s">
        <v>152</v>
      </c>
      <c r="Y253" s="1564" t="s">
        <v>152</v>
      </c>
      <c r="Z253" s="1564"/>
      <c r="AA253" s="1564"/>
      <c r="AB253" s="1564" t="s">
        <v>152</v>
      </c>
      <c r="AC253" s="1564" t="s">
        <v>152</v>
      </c>
      <c r="AD253" s="1564" t="s">
        <v>152</v>
      </c>
      <c r="AE253" s="1564" t="s">
        <v>152</v>
      </c>
      <c r="AF253" s="1564" t="s">
        <v>152</v>
      </c>
      <c r="AG253" s="1727"/>
      <c r="AH253" s="34"/>
      <c r="AI253" s="25"/>
    </row>
    <row r="254" spans="1:35" ht="18" customHeight="1">
      <c r="A254" s="1720"/>
      <c r="B254" s="1666" t="s">
        <v>325</v>
      </c>
      <c r="C254" s="1726" t="s">
        <v>326</v>
      </c>
      <c r="D254" s="1726" t="s">
        <v>326</v>
      </c>
      <c r="E254" s="1726"/>
      <c r="F254" s="1726"/>
      <c r="G254" s="1726" t="s">
        <v>326</v>
      </c>
      <c r="H254" s="1726" t="s">
        <v>326</v>
      </c>
      <c r="I254" s="1726" t="s">
        <v>326</v>
      </c>
      <c r="J254" s="1726" t="s">
        <v>326</v>
      </c>
      <c r="K254" s="1726" t="s">
        <v>326</v>
      </c>
      <c r="L254" s="1726"/>
      <c r="M254" s="1726"/>
      <c r="N254" s="1564" t="s">
        <v>326</v>
      </c>
      <c r="O254" s="1564" t="s">
        <v>326</v>
      </c>
      <c r="P254" s="1564" t="s">
        <v>326</v>
      </c>
      <c r="Q254" s="1564" t="s">
        <v>326</v>
      </c>
      <c r="R254" s="1725" t="s">
        <v>326</v>
      </c>
      <c r="S254" s="1725"/>
      <c r="T254" s="1725"/>
      <c r="U254" s="1725" t="s">
        <v>326</v>
      </c>
      <c r="V254" s="1319" t="s">
        <v>326</v>
      </c>
      <c r="W254" s="1694" t="s">
        <v>326</v>
      </c>
      <c r="X254" s="1564" t="s">
        <v>326</v>
      </c>
      <c r="Y254" s="1564" t="s">
        <v>326</v>
      </c>
      <c r="Z254" s="1564"/>
      <c r="AA254" s="1564"/>
      <c r="AB254" s="1564" t="s">
        <v>326</v>
      </c>
      <c r="AC254" s="1564" t="s">
        <v>326</v>
      </c>
      <c r="AD254" s="1564" t="s">
        <v>326</v>
      </c>
      <c r="AE254" s="1564" t="s">
        <v>326</v>
      </c>
      <c r="AF254" s="1564" t="s">
        <v>326</v>
      </c>
      <c r="AG254" s="1727"/>
      <c r="AH254" s="34"/>
      <c r="AI254" s="25"/>
    </row>
    <row r="255" spans="1:35" ht="18" customHeight="1" thickBot="1">
      <c r="A255" s="1736"/>
      <c r="B255" s="1676" t="s">
        <v>327</v>
      </c>
      <c r="C255" s="1737" t="s">
        <v>328</v>
      </c>
      <c r="D255" s="1737" t="s">
        <v>328</v>
      </c>
      <c r="E255" s="1737"/>
      <c r="F255" s="1737"/>
      <c r="G255" s="1737" t="s">
        <v>328</v>
      </c>
      <c r="H255" s="1738" t="s">
        <v>328</v>
      </c>
      <c r="I255" s="1737" t="s">
        <v>328</v>
      </c>
      <c r="J255" s="1737" t="s">
        <v>328</v>
      </c>
      <c r="K255" s="1737" t="s">
        <v>328</v>
      </c>
      <c r="L255" s="1737"/>
      <c r="M255" s="1737"/>
      <c r="N255" s="1737" t="s">
        <v>328</v>
      </c>
      <c r="O255" s="1737" t="s">
        <v>328</v>
      </c>
      <c r="P255" s="1737" t="s">
        <v>328</v>
      </c>
      <c r="Q255" s="1737" t="s">
        <v>328</v>
      </c>
      <c r="R255" s="1737" t="s">
        <v>328</v>
      </c>
      <c r="S255" s="1737"/>
      <c r="T255" s="1737"/>
      <c r="U255" s="1737" t="s">
        <v>328</v>
      </c>
      <c r="V255" s="1737" t="s">
        <v>328</v>
      </c>
      <c r="W255" s="1737" t="s">
        <v>328</v>
      </c>
      <c r="X255" s="1737" t="s">
        <v>328</v>
      </c>
      <c r="Y255" s="1737" t="s">
        <v>328</v>
      </c>
      <c r="Z255" s="1737"/>
      <c r="AA255" s="1737"/>
      <c r="AB255" s="1737" t="s">
        <v>328</v>
      </c>
      <c r="AC255" s="1737" t="s">
        <v>328</v>
      </c>
      <c r="AD255" s="1739" t="s">
        <v>328</v>
      </c>
      <c r="AE255" s="1740" t="s">
        <v>411</v>
      </c>
      <c r="AF255" s="1737" t="s">
        <v>328</v>
      </c>
      <c r="AG255" s="1741"/>
      <c r="AH255" s="34"/>
      <c r="AI255" s="25"/>
    </row>
    <row r="256" spans="1:35" ht="18" customHeight="1"/>
    <row r="257" spans="1:35" ht="18" customHeight="1"/>
    <row r="258" spans="1:35" ht="18" customHeight="1" thickBot="1">
      <c r="A258" s="14" t="s">
        <v>329</v>
      </c>
    </row>
    <row r="259" spans="1:35" ht="18" customHeight="1">
      <c r="B259" s="1714" t="s">
        <v>281</v>
      </c>
      <c r="C259" s="901"/>
      <c r="D259" s="925" t="s">
        <v>87</v>
      </c>
      <c r="E259" s="705"/>
      <c r="F259" s="905"/>
      <c r="G259" s="901"/>
      <c r="H259" s="925" t="s">
        <v>88</v>
      </c>
      <c r="I259" s="705"/>
      <c r="J259" s="905"/>
      <c r="K259" s="901"/>
      <c r="L259" s="925" t="s">
        <v>89</v>
      </c>
      <c r="M259" s="705"/>
      <c r="N259" s="905"/>
      <c r="O259" s="901"/>
      <c r="P259" s="925" t="s">
        <v>90</v>
      </c>
      <c r="Q259" s="705"/>
      <c r="R259" s="905"/>
      <c r="S259" s="901"/>
      <c r="T259" s="925" t="s">
        <v>91</v>
      </c>
      <c r="U259" s="705"/>
      <c r="V259" s="905"/>
      <c r="W259" s="901"/>
      <c r="X259" s="925" t="s">
        <v>92</v>
      </c>
      <c r="Y259" s="705"/>
      <c r="Z259" s="905"/>
      <c r="AA259" s="901"/>
      <c r="AB259" s="925" t="s">
        <v>93</v>
      </c>
      <c r="AC259" s="705"/>
      <c r="AD259" s="705"/>
      <c r="AE259" s="928" t="s">
        <v>94</v>
      </c>
      <c r="AF259" s="705"/>
      <c r="AG259" s="705"/>
      <c r="AH259" s="705"/>
      <c r="AI259" s="706"/>
    </row>
    <row r="260" spans="1:35" ht="18" customHeight="1">
      <c r="B260" s="116">
        <v>8500</v>
      </c>
      <c r="C260" s="1685" t="s">
        <v>330</v>
      </c>
      <c r="D260" s="111"/>
      <c r="E260" s="8"/>
      <c r="F260" s="120"/>
      <c r="G260" s="1685" t="s">
        <v>330</v>
      </c>
      <c r="H260" s="111"/>
      <c r="I260" s="8"/>
      <c r="J260" s="120"/>
      <c r="K260" s="1685" t="s">
        <v>330</v>
      </c>
      <c r="L260" s="111"/>
      <c r="M260" s="8"/>
      <c r="N260" s="120"/>
      <c r="O260" s="1685" t="s">
        <v>330</v>
      </c>
      <c r="P260" s="111"/>
      <c r="Q260" s="8"/>
      <c r="R260" s="120"/>
      <c r="S260" s="1685" t="s">
        <v>331</v>
      </c>
      <c r="T260" s="111"/>
      <c r="U260" s="8"/>
      <c r="V260" s="120"/>
      <c r="W260" s="121"/>
      <c r="X260" s="111"/>
      <c r="Y260" s="8"/>
      <c r="Z260" s="120"/>
      <c r="AA260" s="121"/>
      <c r="AB260" s="111"/>
      <c r="AC260" s="8"/>
      <c r="AD260" s="8"/>
      <c r="AE260" s="112"/>
      <c r="AF260" s="8"/>
      <c r="AG260" s="8"/>
      <c r="AH260" s="8"/>
      <c r="AI260" s="105"/>
    </row>
    <row r="261" spans="1:35" ht="18" customHeight="1" thickBot="1">
      <c r="A261" s="87"/>
      <c r="B261" s="1742"/>
      <c r="C261" s="1051"/>
      <c r="D261" s="1052"/>
      <c r="E261" s="1037"/>
      <c r="F261" s="1038"/>
      <c r="G261" s="1051"/>
      <c r="H261" s="1039"/>
      <c r="I261" s="1037"/>
      <c r="J261" s="1038"/>
      <c r="K261" s="1051"/>
      <c r="L261" s="1039"/>
      <c r="M261" s="1037"/>
      <c r="N261" s="1038"/>
      <c r="O261" s="1051"/>
      <c r="P261" s="1039"/>
      <c r="Q261" s="1037"/>
      <c r="R261" s="1038"/>
      <c r="S261" s="1051"/>
      <c r="T261" s="1039"/>
      <c r="U261" s="1037"/>
      <c r="V261" s="1038"/>
      <c r="W261" s="1040"/>
      <c r="X261" s="1039"/>
      <c r="Y261" s="1037"/>
      <c r="Z261" s="1038"/>
      <c r="AA261" s="1040"/>
      <c r="AB261" s="1039"/>
      <c r="AC261" s="1037"/>
      <c r="AD261" s="1037"/>
      <c r="AE261" s="1044"/>
      <c r="AF261" s="1037"/>
      <c r="AG261" s="1037"/>
      <c r="AH261" s="1037"/>
      <c r="AI261" s="1045"/>
    </row>
    <row r="262" spans="1:35" ht="18" customHeight="1">
      <c r="A262" s="122" t="s">
        <v>332</v>
      </c>
    </row>
    <row r="263" spans="1:35" ht="18" customHeight="1" thickBot="1">
      <c r="A263" s="1743"/>
      <c r="B263" s="1719" t="s">
        <v>29</v>
      </c>
      <c r="C263" s="1645">
        <v>1</v>
      </c>
      <c r="D263" s="1645">
        <v>2</v>
      </c>
      <c r="E263" s="1646">
        <v>3</v>
      </c>
      <c r="F263" s="1646">
        <v>4</v>
      </c>
      <c r="G263" s="1645">
        <v>5</v>
      </c>
      <c r="H263" s="1645">
        <v>6</v>
      </c>
      <c r="I263" s="1645">
        <v>7</v>
      </c>
      <c r="J263" s="1645">
        <v>8</v>
      </c>
      <c r="K263" s="1645">
        <v>9</v>
      </c>
      <c r="L263" s="1646">
        <v>10</v>
      </c>
      <c r="M263" s="1646">
        <v>11</v>
      </c>
      <c r="N263" s="1645">
        <v>12</v>
      </c>
      <c r="O263" s="1645">
        <v>13</v>
      </c>
      <c r="P263" s="1645">
        <v>14</v>
      </c>
      <c r="Q263" s="1645">
        <v>15</v>
      </c>
      <c r="R263" s="1645">
        <v>16</v>
      </c>
      <c r="S263" s="1646">
        <v>17</v>
      </c>
      <c r="T263" s="1646">
        <v>18</v>
      </c>
      <c r="U263" s="1645">
        <v>19</v>
      </c>
      <c r="V263" s="1645">
        <v>20</v>
      </c>
      <c r="W263" s="1645">
        <v>21</v>
      </c>
      <c r="X263" s="1645">
        <v>22</v>
      </c>
      <c r="Y263" s="1645">
        <v>23</v>
      </c>
      <c r="Z263" s="1646">
        <v>24</v>
      </c>
      <c r="AA263" s="1646">
        <v>25</v>
      </c>
      <c r="AB263" s="1645">
        <v>26</v>
      </c>
      <c r="AC263" s="1645">
        <v>27</v>
      </c>
      <c r="AD263" s="1645">
        <v>28</v>
      </c>
      <c r="AE263" s="1645">
        <v>29</v>
      </c>
      <c r="AF263" s="1645">
        <v>30</v>
      </c>
      <c r="AG263" s="1647">
        <v>31</v>
      </c>
      <c r="AH263" s="23"/>
      <c r="AI263" s="24"/>
    </row>
    <row r="264" spans="1:35" ht="18" customHeight="1">
      <c r="A264" s="121">
        <v>8500</v>
      </c>
      <c r="B264" s="123" t="s">
        <v>333</v>
      </c>
      <c r="C264" s="1053" t="s">
        <v>31</v>
      </c>
      <c r="D264" s="1031" t="s">
        <v>31</v>
      </c>
      <c r="E264" s="1053"/>
      <c r="F264" s="1053"/>
      <c r="G264" s="1053" t="s">
        <v>31</v>
      </c>
      <c r="H264" s="1053" t="s">
        <v>31</v>
      </c>
      <c r="I264" s="1053" t="s">
        <v>31</v>
      </c>
      <c r="J264" s="1053" t="s">
        <v>31</v>
      </c>
      <c r="K264" s="1053" t="s">
        <v>31</v>
      </c>
      <c r="L264" s="1053"/>
      <c r="M264" s="1053"/>
      <c r="N264" s="1053" t="s">
        <v>31</v>
      </c>
      <c r="O264" s="1053" t="s">
        <v>31</v>
      </c>
      <c r="P264" s="1053" t="s">
        <v>31</v>
      </c>
      <c r="Q264" s="1053" t="s">
        <v>31</v>
      </c>
      <c r="R264" s="1053" t="s">
        <v>31</v>
      </c>
      <c r="S264" s="1053"/>
      <c r="T264" s="1053"/>
      <c r="U264" s="1053" t="s">
        <v>31</v>
      </c>
      <c r="V264" s="1053" t="s">
        <v>31</v>
      </c>
      <c r="W264" s="1053" t="s">
        <v>31</v>
      </c>
      <c r="X264" s="1053" t="s">
        <v>31</v>
      </c>
      <c r="Y264" s="1053" t="s">
        <v>31</v>
      </c>
      <c r="Z264" s="1053"/>
      <c r="AA264" s="1053"/>
      <c r="AB264" s="1053" t="s">
        <v>31</v>
      </c>
      <c r="AC264" s="1053" t="s">
        <v>31</v>
      </c>
      <c r="AD264" s="1053" t="s">
        <v>31</v>
      </c>
      <c r="AE264" s="1053" t="s">
        <v>31</v>
      </c>
      <c r="AF264" s="1053" t="s">
        <v>31</v>
      </c>
      <c r="AG264" s="1744"/>
      <c r="AH264" s="124"/>
      <c r="AI264" s="125"/>
    </row>
    <row r="265" spans="1:35" ht="18" customHeight="1">
      <c r="A265" s="1745"/>
      <c r="B265" s="1746" t="s">
        <v>334</v>
      </c>
      <c r="C265" s="1744" t="s">
        <v>31</v>
      </c>
      <c r="D265" s="1744" t="s">
        <v>31</v>
      </c>
      <c r="E265" s="1744"/>
      <c r="F265" s="1744"/>
      <c r="G265" s="1744" t="s">
        <v>31</v>
      </c>
      <c r="H265" s="1744" t="s">
        <v>31</v>
      </c>
      <c r="I265" s="1744" t="s">
        <v>31</v>
      </c>
      <c r="J265" s="1744" t="s">
        <v>31</v>
      </c>
      <c r="K265" s="1744" t="s">
        <v>31</v>
      </c>
      <c r="L265" s="1744"/>
      <c r="M265" s="1744"/>
      <c r="N265" s="1744" t="s">
        <v>31</v>
      </c>
      <c r="O265" s="1744" t="s">
        <v>31</v>
      </c>
      <c r="P265" s="1744" t="s">
        <v>31</v>
      </c>
      <c r="Q265" s="1744" t="s">
        <v>31</v>
      </c>
      <c r="R265" s="1744" t="s">
        <v>31</v>
      </c>
      <c r="S265" s="1744"/>
      <c r="T265" s="1744"/>
      <c r="U265" s="1744" t="s">
        <v>31</v>
      </c>
      <c r="V265" s="1744" t="s">
        <v>31</v>
      </c>
      <c r="W265" s="1744" t="s">
        <v>31</v>
      </c>
      <c r="X265" s="1744" t="s">
        <v>31</v>
      </c>
      <c r="Y265" s="1744" t="s">
        <v>31</v>
      </c>
      <c r="Z265" s="1744"/>
      <c r="AA265" s="1744"/>
      <c r="AB265" s="1744" t="s">
        <v>31</v>
      </c>
      <c r="AC265" s="1744" t="s">
        <v>31</v>
      </c>
      <c r="AD265" s="1744" t="s">
        <v>31</v>
      </c>
      <c r="AE265" s="1744" t="s">
        <v>31</v>
      </c>
      <c r="AF265" s="1744" t="s">
        <v>31</v>
      </c>
      <c r="AG265" s="1744"/>
      <c r="AH265" s="124"/>
      <c r="AI265" s="125"/>
    </row>
    <row r="266" spans="1:35" ht="18" customHeight="1">
      <c r="A266" s="1747"/>
      <c r="B266" s="1746" t="s">
        <v>335</v>
      </c>
      <c r="C266" s="1744" t="s">
        <v>31</v>
      </c>
      <c r="D266" s="1744" t="s">
        <v>31</v>
      </c>
      <c r="E266" s="1744"/>
      <c r="F266" s="1744"/>
      <c r="G266" s="1744" t="s">
        <v>31</v>
      </c>
      <c r="H266" s="1744" t="s">
        <v>31</v>
      </c>
      <c r="I266" s="1744" t="s">
        <v>31</v>
      </c>
      <c r="J266" s="1744" t="s">
        <v>31</v>
      </c>
      <c r="K266" s="1744" t="s">
        <v>31</v>
      </c>
      <c r="L266" s="1744"/>
      <c r="M266" s="1744"/>
      <c r="N266" s="1744" t="s">
        <v>31</v>
      </c>
      <c r="O266" s="1744" t="s">
        <v>31</v>
      </c>
      <c r="P266" s="1744" t="s">
        <v>31</v>
      </c>
      <c r="Q266" s="1744" t="s">
        <v>31</v>
      </c>
      <c r="R266" s="1744" t="s">
        <v>31</v>
      </c>
      <c r="S266" s="1744"/>
      <c r="T266" s="1744"/>
      <c r="U266" s="1744" t="s">
        <v>31</v>
      </c>
      <c r="V266" s="1701" t="s">
        <v>304</v>
      </c>
      <c r="W266" s="1744" t="s">
        <v>31</v>
      </c>
      <c r="X266" s="1744" t="s">
        <v>31</v>
      </c>
      <c r="Y266" s="1744" t="s">
        <v>31</v>
      </c>
      <c r="Z266" s="1744"/>
      <c r="AA266" s="1744"/>
      <c r="AB266" s="1652" t="s">
        <v>336</v>
      </c>
      <c r="AC266" s="1712" t="s">
        <v>31</v>
      </c>
      <c r="AD266" s="1712" t="s">
        <v>31</v>
      </c>
      <c r="AE266" s="1712" t="s">
        <v>31</v>
      </c>
      <c r="AF266" s="1712" t="s">
        <v>31</v>
      </c>
      <c r="AG266" s="1744"/>
      <c r="AH266" s="124"/>
      <c r="AI266" s="125"/>
    </row>
    <row r="267" spans="1:35" ht="18" customHeight="1">
      <c r="A267" s="29"/>
      <c r="B267" s="1748"/>
      <c r="C267" s="1744"/>
      <c r="D267" s="1744"/>
      <c r="E267" s="1744"/>
      <c r="F267" s="1744"/>
      <c r="G267" s="1744"/>
      <c r="H267" s="1744"/>
      <c r="I267" s="1744"/>
      <c r="J267" s="1744"/>
      <c r="K267" s="1744"/>
      <c r="L267" s="1744"/>
      <c r="M267" s="1744"/>
      <c r="N267" s="1744"/>
      <c r="O267" s="1744"/>
      <c r="P267" s="1744"/>
      <c r="Q267" s="1744"/>
      <c r="R267" s="1744"/>
      <c r="S267" s="1744"/>
      <c r="T267" s="1744"/>
      <c r="U267" s="1744"/>
      <c r="V267" s="1744"/>
      <c r="W267" s="1744"/>
      <c r="X267" s="1744"/>
      <c r="Y267" s="1744"/>
      <c r="Z267" s="1744"/>
      <c r="AA267" s="1744"/>
      <c r="AB267" s="1744"/>
      <c r="AC267" s="1744"/>
      <c r="AD267" s="1744"/>
      <c r="AE267" s="1744"/>
      <c r="AF267" s="1744"/>
      <c r="AG267" s="1749"/>
      <c r="AH267" s="124"/>
      <c r="AI267" s="125"/>
    </row>
    <row r="268" spans="1:35" ht="18" customHeight="1">
      <c r="A268" s="1750"/>
      <c r="B268" s="1748"/>
      <c r="C268" s="1564"/>
      <c r="D268" s="1564"/>
      <c r="E268" s="1564"/>
      <c r="F268" s="1564"/>
      <c r="G268" s="1564"/>
      <c r="H268" s="1564"/>
      <c r="I268" s="1564"/>
      <c r="J268" s="1564"/>
      <c r="K268" s="1564"/>
      <c r="L268" s="1564"/>
      <c r="M268" s="1564"/>
      <c r="N268" s="1523"/>
      <c r="O268" s="1523"/>
      <c r="P268" s="1564"/>
      <c r="Q268" s="1564"/>
      <c r="R268" s="1564"/>
      <c r="S268" s="1564"/>
      <c r="T268" s="1564"/>
      <c r="U268" s="1564"/>
      <c r="V268" s="1564"/>
      <c r="W268" s="1564"/>
      <c r="X268" s="1564"/>
      <c r="Y268" s="1564"/>
      <c r="Z268" s="1564"/>
      <c r="AA268" s="1564"/>
      <c r="AB268" s="1523"/>
      <c r="AC268" s="1523"/>
      <c r="AD268" s="1564"/>
      <c r="AE268" s="1564"/>
      <c r="AF268" s="1564"/>
      <c r="AG268" s="1564"/>
      <c r="AH268" s="126"/>
      <c r="AI268" s="127"/>
    </row>
    <row r="269" spans="1:35" ht="18" customHeight="1">
      <c r="A269" s="1751"/>
      <c r="B269" s="1752"/>
      <c r="C269" s="1564"/>
      <c r="D269" s="1564"/>
      <c r="E269" s="1564"/>
      <c r="F269" s="1564"/>
      <c r="G269" s="1564"/>
      <c r="H269" s="1564"/>
      <c r="I269" s="1564"/>
      <c r="J269" s="1564"/>
      <c r="K269" s="1564"/>
      <c r="L269" s="1564"/>
      <c r="M269" s="1564"/>
      <c r="N269" s="1523"/>
      <c r="O269" s="1523"/>
      <c r="P269" s="1564"/>
      <c r="Q269" s="1564"/>
      <c r="R269" s="1564"/>
      <c r="S269" s="1564"/>
      <c r="T269" s="1564"/>
      <c r="U269" s="1564"/>
      <c r="V269" s="1564"/>
      <c r="W269" s="1564"/>
      <c r="X269" s="1564"/>
      <c r="Y269" s="1564"/>
      <c r="Z269" s="1564"/>
      <c r="AA269" s="1564"/>
      <c r="AB269" s="1523"/>
      <c r="AC269" s="1523"/>
      <c r="AD269" s="1564"/>
      <c r="AE269" s="1564"/>
      <c r="AF269" s="1564"/>
      <c r="AG269" s="1564"/>
      <c r="AH269" s="126"/>
      <c r="AI269" s="127"/>
    </row>
    <row r="270" spans="1:35" ht="18" customHeight="1" thickBot="1">
      <c r="A270" s="416"/>
      <c r="B270" s="413"/>
      <c r="C270" s="1753"/>
      <c r="D270" s="1754"/>
      <c r="E270" s="1754"/>
      <c r="F270" s="1754"/>
      <c r="G270" s="1754"/>
      <c r="H270" s="1754"/>
      <c r="I270" s="1754"/>
      <c r="J270" s="1754"/>
      <c r="K270" s="1754"/>
      <c r="L270" s="1754"/>
      <c r="M270" s="1754"/>
      <c r="N270" s="1755"/>
      <c r="O270" s="1755"/>
      <c r="P270" s="1754"/>
      <c r="Q270" s="1754"/>
      <c r="R270" s="1754"/>
      <c r="S270" s="1754"/>
      <c r="T270" s="1754"/>
      <c r="U270" s="1754"/>
      <c r="V270" s="1754"/>
      <c r="W270" s="1754"/>
      <c r="X270" s="1754"/>
      <c r="Y270" s="1754"/>
      <c r="Z270" s="1754"/>
      <c r="AA270" s="1754"/>
      <c r="AB270" s="1755"/>
      <c r="AC270" s="1755"/>
      <c r="AD270" s="1754"/>
      <c r="AE270" s="1754"/>
      <c r="AF270" s="1754"/>
      <c r="AG270" s="1756"/>
      <c r="AH270" s="126"/>
      <c r="AI270" s="127"/>
    </row>
    <row r="271" spans="1:35" ht="18" customHeight="1"/>
    <row r="272" spans="1:35" ht="18" customHeight="1" thickBot="1">
      <c r="A272" s="14" t="s">
        <v>337</v>
      </c>
    </row>
    <row r="273" spans="1:35" ht="18" customHeight="1">
      <c r="A273" s="1"/>
      <c r="B273" s="1714" t="s">
        <v>281</v>
      </c>
      <c r="C273" s="901"/>
      <c r="D273" s="925" t="s">
        <v>87</v>
      </c>
      <c r="E273" s="705"/>
      <c r="F273" s="905"/>
      <c r="G273" s="901"/>
      <c r="H273" s="925" t="s">
        <v>88</v>
      </c>
      <c r="I273" s="705"/>
      <c r="J273" s="905"/>
      <c r="K273" s="901"/>
      <c r="L273" s="925" t="s">
        <v>89</v>
      </c>
      <c r="M273" s="705"/>
      <c r="N273" s="905"/>
      <c r="O273" s="901"/>
      <c r="P273" s="925" t="s">
        <v>90</v>
      </c>
      <c r="Q273" s="705"/>
      <c r="R273" s="905"/>
      <c r="S273" s="901"/>
      <c r="T273" s="925" t="s">
        <v>91</v>
      </c>
      <c r="U273" s="705"/>
      <c r="V273" s="905"/>
      <c r="W273" s="901"/>
      <c r="X273" s="925" t="s">
        <v>92</v>
      </c>
      <c r="Y273" s="705"/>
      <c r="Z273" s="905"/>
      <c r="AA273" s="901"/>
      <c r="AB273" s="925" t="s">
        <v>93</v>
      </c>
      <c r="AC273" s="705"/>
      <c r="AD273" s="705"/>
      <c r="AE273" s="928" t="s">
        <v>94</v>
      </c>
      <c r="AF273" s="705"/>
      <c r="AG273" s="705"/>
      <c r="AH273" s="705"/>
      <c r="AI273" s="706"/>
    </row>
    <row r="274" spans="1:35" ht="18" customHeight="1">
      <c r="A274" s="1"/>
      <c r="B274" s="116"/>
      <c r="C274" s="121"/>
      <c r="D274" s="111"/>
      <c r="E274" s="8"/>
      <c r="F274" s="120"/>
      <c r="G274" s="121"/>
      <c r="H274" s="111"/>
      <c r="I274" s="8"/>
      <c r="J274" s="120"/>
      <c r="K274" s="121"/>
      <c r="L274" s="111"/>
      <c r="M274" s="8"/>
      <c r="N274" s="120"/>
      <c r="O274" s="121"/>
      <c r="P274" s="111"/>
      <c r="Q274" s="8"/>
      <c r="R274" s="120"/>
      <c r="S274" s="121"/>
      <c r="T274" s="111"/>
      <c r="U274" s="8"/>
      <c r="V274" s="120"/>
      <c r="W274" s="121"/>
      <c r="X274" s="111"/>
      <c r="Y274" s="8"/>
      <c r="Z274" s="120"/>
      <c r="AA274" s="121"/>
      <c r="AB274" s="111"/>
      <c r="AC274" s="8"/>
      <c r="AD274" s="8"/>
      <c r="AE274" s="112"/>
      <c r="AF274" s="8"/>
      <c r="AG274" s="8"/>
      <c r="AH274" s="8"/>
      <c r="AI274" s="105"/>
    </row>
    <row r="275" spans="1:35" ht="18" customHeight="1">
      <c r="A275" s="87"/>
      <c r="B275" s="1715"/>
      <c r="C275" s="1685"/>
      <c r="D275" s="1757"/>
      <c r="E275" s="1757"/>
      <c r="F275" s="1576"/>
      <c r="G275" s="1685"/>
      <c r="H275" s="1757"/>
      <c r="I275" s="1757"/>
      <c r="J275" s="1576"/>
      <c r="K275" s="1685"/>
      <c r="L275" s="1757"/>
      <c r="M275" s="1757"/>
      <c r="N275" s="1576"/>
      <c r="O275" s="1685"/>
      <c r="P275" s="1757"/>
      <c r="Q275" s="1757"/>
      <c r="R275" s="1576"/>
      <c r="S275" s="1685"/>
      <c r="T275" s="1757"/>
      <c r="U275" s="1757"/>
      <c r="V275" s="1576"/>
      <c r="W275" s="1685"/>
      <c r="X275" s="1757"/>
      <c r="Y275" s="1757"/>
      <c r="Z275" s="1576"/>
      <c r="AA275" s="1574"/>
      <c r="AB275" s="1757"/>
      <c r="AC275" s="1757"/>
      <c r="AD275" s="1683"/>
      <c r="AE275" s="1758"/>
      <c r="AF275" s="1757"/>
      <c r="AG275" s="1757"/>
      <c r="AH275" s="1683"/>
      <c r="AI275" s="1670"/>
    </row>
    <row r="276" spans="1:35" ht="18" customHeight="1" thickBot="1">
      <c r="A276" s="1"/>
      <c r="B276" s="1586"/>
      <c r="C276" s="1587"/>
      <c r="D276" s="1759"/>
      <c r="E276" s="1759"/>
      <c r="F276" s="1610"/>
      <c r="G276" s="1587"/>
      <c r="H276" s="1759"/>
      <c r="I276" s="1759"/>
      <c r="J276" s="1610"/>
      <c r="K276" s="1587"/>
      <c r="L276" s="1759"/>
      <c r="M276" s="1759"/>
      <c r="N276" s="1610"/>
      <c r="O276" s="1587"/>
      <c r="P276" s="1759"/>
      <c r="Q276" s="1759"/>
      <c r="R276" s="1610"/>
      <c r="S276" s="1587"/>
      <c r="T276" s="1759"/>
      <c r="U276" s="1759"/>
      <c r="V276" s="1610"/>
      <c r="W276" s="1608"/>
      <c r="X276" s="1759"/>
      <c r="Y276" s="1759"/>
      <c r="Z276" s="1610"/>
      <c r="AA276" s="1608"/>
      <c r="AB276" s="1759"/>
      <c r="AC276" s="1759"/>
      <c r="AD276" s="1594"/>
      <c r="AE276" s="1608"/>
      <c r="AF276" s="1759"/>
      <c r="AG276" s="1759"/>
      <c r="AH276" s="1594"/>
      <c r="AI276" s="1681"/>
    </row>
    <row r="277" spans="1:35" ht="18" customHeight="1">
      <c r="A277" s="1"/>
      <c r="B277" s="113"/>
      <c r="C277" s="37"/>
      <c r="F277" s="22"/>
      <c r="G277" s="37"/>
      <c r="J277" s="22"/>
      <c r="K277" s="37"/>
      <c r="N277" s="22"/>
      <c r="O277" s="37"/>
      <c r="R277" s="22"/>
      <c r="S277" s="37"/>
      <c r="V277" s="22"/>
      <c r="W277" s="22"/>
      <c r="Z277" s="22"/>
      <c r="AA277" s="22"/>
      <c r="AD277" s="22"/>
      <c r="AE277" s="22"/>
      <c r="AH277" s="22"/>
    </row>
    <row r="278" spans="1:35" ht="18" customHeight="1">
      <c r="A278" s="14" t="s">
        <v>338</v>
      </c>
      <c r="B278" s="113"/>
      <c r="C278" s="37"/>
      <c r="F278" s="22"/>
      <c r="G278" s="37"/>
      <c r="J278" s="22"/>
      <c r="K278" s="37"/>
      <c r="N278" s="22"/>
      <c r="O278" s="37"/>
      <c r="R278" s="22"/>
      <c r="S278" s="37"/>
      <c r="V278" s="22"/>
      <c r="W278" s="22"/>
      <c r="Z278" s="22"/>
      <c r="AA278" s="22"/>
      <c r="AD278" s="22"/>
      <c r="AE278" s="22"/>
      <c r="AH278" s="22"/>
    </row>
    <row r="279" spans="1:35" ht="18" customHeight="1" thickBot="1">
      <c r="A279" s="1718" t="s">
        <v>28</v>
      </c>
      <c r="B279" s="1719" t="s">
        <v>29</v>
      </c>
      <c r="C279" s="1645">
        <v>1</v>
      </c>
      <c r="D279" s="1645">
        <v>2</v>
      </c>
      <c r="E279" s="1646">
        <v>3</v>
      </c>
      <c r="F279" s="1646">
        <v>4</v>
      </c>
      <c r="G279" s="1645">
        <v>5</v>
      </c>
      <c r="H279" s="1645">
        <v>6</v>
      </c>
      <c r="I279" s="1645">
        <v>7</v>
      </c>
      <c r="J279" s="1645">
        <v>8</v>
      </c>
      <c r="K279" s="1645">
        <v>9</v>
      </c>
      <c r="L279" s="1646">
        <v>10</v>
      </c>
      <c r="M279" s="1646">
        <v>11</v>
      </c>
      <c r="N279" s="1645">
        <v>12</v>
      </c>
      <c r="O279" s="1645">
        <v>13</v>
      </c>
      <c r="P279" s="1645">
        <v>14</v>
      </c>
      <c r="Q279" s="1645">
        <v>15</v>
      </c>
      <c r="R279" s="1645">
        <v>16</v>
      </c>
      <c r="S279" s="1646">
        <v>17</v>
      </c>
      <c r="T279" s="1646">
        <v>18</v>
      </c>
      <c r="U279" s="1645">
        <v>19</v>
      </c>
      <c r="V279" s="1645">
        <v>20</v>
      </c>
      <c r="W279" s="1645">
        <v>21</v>
      </c>
      <c r="X279" s="1645">
        <v>22</v>
      </c>
      <c r="Y279" s="1645">
        <v>23</v>
      </c>
      <c r="Z279" s="1646">
        <v>24</v>
      </c>
      <c r="AA279" s="1646">
        <v>25</v>
      </c>
      <c r="AB279" s="1645">
        <v>26</v>
      </c>
      <c r="AC279" s="1645">
        <v>27</v>
      </c>
      <c r="AD279" s="1645">
        <v>28</v>
      </c>
      <c r="AE279" s="1645">
        <v>29</v>
      </c>
      <c r="AF279" s="1645">
        <v>30</v>
      </c>
      <c r="AG279" s="1647">
        <v>31</v>
      </c>
      <c r="AH279" s="128"/>
      <c r="AI279" s="24"/>
    </row>
    <row r="280" spans="1:35" ht="18" customHeight="1">
      <c r="A280" s="129"/>
      <c r="B280" s="130" t="s">
        <v>339</v>
      </c>
      <c r="C280" s="1652" t="s">
        <v>31</v>
      </c>
      <c r="D280" s="1652" t="s">
        <v>31</v>
      </c>
      <c r="E280" s="1652"/>
      <c r="F280" s="1652"/>
      <c r="G280" s="1652" t="s">
        <v>31</v>
      </c>
      <c r="H280" s="1652" t="s">
        <v>31</v>
      </c>
      <c r="I280" s="1652" t="s">
        <v>31</v>
      </c>
      <c r="J280" s="1652" t="s">
        <v>31</v>
      </c>
      <c r="K280" s="1652" t="s">
        <v>31</v>
      </c>
      <c r="L280" s="1652"/>
      <c r="M280" s="1652"/>
      <c r="N280" s="1652" t="s">
        <v>31</v>
      </c>
      <c r="O280" s="1652" t="s">
        <v>31</v>
      </c>
      <c r="P280" s="1652" t="s">
        <v>31</v>
      </c>
      <c r="Q280" s="1652" t="s">
        <v>31</v>
      </c>
      <c r="R280" s="1652" t="s">
        <v>31</v>
      </c>
      <c r="S280" s="1652"/>
      <c r="T280" s="1652"/>
      <c r="U280" s="1652" t="s">
        <v>31</v>
      </c>
      <c r="V280" s="1652" t="s">
        <v>31</v>
      </c>
      <c r="W280" s="1652" t="s">
        <v>31</v>
      </c>
      <c r="X280" s="1652" t="s">
        <v>31</v>
      </c>
      <c r="Y280" s="1652" t="s">
        <v>31</v>
      </c>
      <c r="Z280" s="1652"/>
      <c r="AA280" s="1652"/>
      <c r="AB280" s="1652" t="s">
        <v>31</v>
      </c>
      <c r="AC280" s="1652" t="s">
        <v>31</v>
      </c>
      <c r="AD280" s="1652" t="s">
        <v>31</v>
      </c>
      <c r="AE280" s="1652" t="s">
        <v>31</v>
      </c>
      <c r="AF280" s="1652" t="s">
        <v>31</v>
      </c>
      <c r="AG280" s="1652"/>
      <c r="AH280" s="131"/>
      <c r="AI280" s="125"/>
    </row>
    <row r="281" spans="1:35" ht="18" customHeight="1">
      <c r="A281" s="1760"/>
      <c r="B281" s="1761" t="s">
        <v>340</v>
      </c>
      <c r="C281" s="1651" t="s">
        <v>31</v>
      </c>
      <c r="D281" s="1651" t="s">
        <v>31</v>
      </c>
      <c r="E281" s="1699"/>
      <c r="F281" s="1699"/>
      <c r="G281" s="1319" t="s">
        <v>31</v>
      </c>
      <c r="H281" s="1319" t="s">
        <v>31</v>
      </c>
      <c r="I281" s="1744" t="s">
        <v>31</v>
      </c>
      <c r="J281" s="1744" t="s">
        <v>31</v>
      </c>
      <c r="K281" s="1744" t="s">
        <v>31</v>
      </c>
      <c r="L281" s="1744"/>
      <c r="M281" s="1744"/>
      <c r="N281" s="1744" t="s">
        <v>31</v>
      </c>
      <c r="O281" s="1744" t="s">
        <v>31</v>
      </c>
      <c r="P281" s="1744" t="s">
        <v>31</v>
      </c>
      <c r="Q281" s="1744" t="s">
        <v>31</v>
      </c>
      <c r="R281" s="1744" t="s">
        <v>31</v>
      </c>
      <c r="S281" s="1744"/>
      <c r="T281" s="1744"/>
      <c r="U281" s="1744" t="s">
        <v>31</v>
      </c>
      <c r="V281" s="1744" t="s">
        <v>31</v>
      </c>
      <c r="W281" s="1744" t="s">
        <v>31</v>
      </c>
      <c r="X281" s="1744" t="s">
        <v>31</v>
      </c>
      <c r="Y281" s="1744" t="s">
        <v>31</v>
      </c>
      <c r="Z281" s="1744"/>
      <c r="AA281" s="1744"/>
      <c r="AB281" s="1744" t="s">
        <v>31</v>
      </c>
      <c r="AC281" s="1744" t="s">
        <v>31</v>
      </c>
      <c r="AD281" s="1744" t="s">
        <v>31</v>
      </c>
      <c r="AE281" s="1744" t="s">
        <v>31</v>
      </c>
      <c r="AF281" s="1744" t="s">
        <v>31</v>
      </c>
      <c r="AG281" s="1744"/>
      <c r="AH281" s="131"/>
      <c r="AI281" s="125"/>
    </row>
    <row r="282" spans="1:35" ht="18" customHeight="1">
      <c r="A282" s="1720"/>
      <c r="B282" s="1761" t="s">
        <v>341</v>
      </c>
      <c r="C282" s="1744" t="s">
        <v>31</v>
      </c>
      <c r="D282" s="1694" t="s">
        <v>31</v>
      </c>
      <c r="E282" s="1744"/>
      <c r="F282" s="1744"/>
      <c r="G282" s="1744" t="s">
        <v>31</v>
      </c>
      <c r="H282" s="1744" t="s">
        <v>31</v>
      </c>
      <c r="I282" s="1744" t="s">
        <v>31</v>
      </c>
      <c r="J282" s="1744" t="s">
        <v>31</v>
      </c>
      <c r="K282" s="1744" t="s">
        <v>31</v>
      </c>
      <c r="L282" s="1744"/>
      <c r="M282" s="1744"/>
      <c r="N282" s="1744" t="s">
        <v>31</v>
      </c>
      <c r="O282" s="1744" t="s">
        <v>31</v>
      </c>
      <c r="P282" s="1744" t="s">
        <v>31</v>
      </c>
      <c r="Q282" s="1744" t="s">
        <v>31</v>
      </c>
      <c r="R282" s="1744" t="s">
        <v>31</v>
      </c>
      <c r="S282" s="1744"/>
      <c r="T282" s="1744"/>
      <c r="U282" s="1744" t="s">
        <v>31</v>
      </c>
      <c r="V282" s="1744" t="s">
        <v>31</v>
      </c>
      <c r="W282" s="1744" t="s">
        <v>31</v>
      </c>
      <c r="X282" s="1744" t="s">
        <v>31</v>
      </c>
      <c r="Y282" s="1744" t="s">
        <v>31</v>
      </c>
      <c r="Z282" s="1744"/>
      <c r="AA282" s="1744"/>
      <c r="AB282" s="1744" t="s">
        <v>31</v>
      </c>
      <c r="AC282" s="1744" t="s">
        <v>31</v>
      </c>
      <c r="AD282" s="1744" t="s">
        <v>31</v>
      </c>
      <c r="AE282" s="1744" t="s">
        <v>31</v>
      </c>
      <c r="AF282" s="1744" t="s">
        <v>31</v>
      </c>
      <c r="AG282" s="1744"/>
      <c r="AH282" s="131"/>
      <c r="AI282" s="125"/>
    </row>
    <row r="283" spans="1:35" ht="18" customHeight="1">
      <c r="A283" s="1720"/>
      <c r="B283" s="1761" t="s">
        <v>342</v>
      </c>
      <c r="C283" s="1744" t="s">
        <v>31</v>
      </c>
      <c r="D283" s="1694" t="s">
        <v>31</v>
      </c>
      <c r="E283" s="1744"/>
      <c r="F283" s="1744"/>
      <c r="G283" s="1744" t="s">
        <v>31</v>
      </c>
      <c r="H283" s="1744" t="s">
        <v>31</v>
      </c>
      <c r="I283" s="1744" t="s">
        <v>31</v>
      </c>
      <c r="J283" s="1744" t="s">
        <v>31</v>
      </c>
      <c r="K283" s="1744" t="s">
        <v>31</v>
      </c>
      <c r="L283" s="1744"/>
      <c r="M283" s="1744"/>
      <c r="N283" s="1744" t="s">
        <v>31</v>
      </c>
      <c r="O283" s="1744" t="s">
        <v>31</v>
      </c>
      <c r="P283" s="1744" t="s">
        <v>31</v>
      </c>
      <c r="Q283" s="1744" t="s">
        <v>31</v>
      </c>
      <c r="R283" s="1744" t="s">
        <v>31</v>
      </c>
      <c r="S283" s="1744"/>
      <c r="T283" s="1744"/>
      <c r="U283" s="1744" t="s">
        <v>31</v>
      </c>
      <c r="V283" s="1744" t="s">
        <v>31</v>
      </c>
      <c r="W283" s="1744" t="s">
        <v>31</v>
      </c>
      <c r="X283" s="1744" t="s">
        <v>31</v>
      </c>
      <c r="Y283" s="1744" t="s">
        <v>31</v>
      </c>
      <c r="Z283" s="1744"/>
      <c r="AA283" s="1744"/>
      <c r="AB283" s="1744" t="s">
        <v>31</v>
      </c>
      <c r="AC283" s="1744" t="s">
        <v>31</v>
      </c>
      <c r="AD283" s="1744" t="s">
        <v>31</v>
      </c>
      <c r="AE283" s="1744" t="s">
        <v>31</v>
      </c>
      <c r="AF283" s="1744" t="s">
        <v>31</v>
      </c>
      <c r="AG283" s="1744"/>
      <c r="AH283" s="131"/>
      <c r="AI283" s="125"/>
    </row>
    <row r="284" spans="1:35" ht="18" customHeight="1">
      <c r="A284" s="1720"/>
      <c r="B284" s="1761" t="s">
        <v>343</v>
      </c>
      <c r="C284" s="1744" t="s">
        <v>31</v>
      </c>
      <c r="D284" s="1694" t="s">
        <v>31</v>
      </c>
      <c r="E284" s="1744"/>
      <c r="F284" s="1744"/>
      <c r="G284" s="1697" t="s">
        <v>31</v>
      </c>
      <c r="H284" s="1744" t="s">
        <v>31</v>
      </c>
      <c r="I284" s="1744" t="s">
        <v>31</v>
      </c>
      <c r="J284" s="1697" t="s">
        <v>31</v>
      </c>
      <c r="K284" s="1697" t="s">
        <v>31</v>
      </c>
      <c r="L284" s="1744"/>
      <c r="M284" s="1744"/>
      <c r="N284" s="1744" t="s">
        <v>31</v>
      </c>
      <c r="O284" s="1744" t="s">
        <v>31</v>
      </c>
      <c r="P284" s="1651" t="s">
        <v>31</v>
      </c>
      <c r="Q284" s="1744" t="s">
        <v>31</v>
      </c>
      <c r="R284" s="1744" t="s">
        <v>31</v>
      </c>
      <c r="S284" s="1744"/>
      <c r="T284" s="1744"/>
      <c r="U284" s="1744" t="s">
        <v>31</v>
      </c>
      <c r="V284" s="1651" t="s">
        <v>31</v>
      </c>
      <c r="W284" s="1744" t="s">
        <v>31</v>
      </c>
      <c r="X284" s="1744" t="s">
        <v>31</v>
      </c>
      <c r="Y284" s="1744" t="s">
        <v>31</v>
      </c>
      <c r="Z284" s="1744"/>
      <c r="AA284" s="1744"/>
      <c r="AB284" s="1744" t="s">
        <v>31</v>
      </c>
      <c r="AC284" s="1744" t="s">
        <v>31</v>
      </c>
      <c r="AD284" s="1744" t="s">
        <v>31</v>
      </c>
      <c r="AE284" s="1744" t="s">
        <v>31</v>
      </c>
      <c r="AF284" s="1744" t="s">
        <v>31</v>
      </c>
      <c r="AG284" s="1564"/>
      <c r="AH284" s="131"/>
      <c r="AI284" s="125"/>
    </row>
    <row r="285" spans="1:35" ht="18" customHeight="1">
      <c r="A285" s="1720"/>
      <c r="B285" s="1761" t="s">
        <v>344</v>
      </c>
      <c r="C285" s="1744" t="s">
        <v>31</v>
      </c>
      <c r="D285" s="1699" t="s">
        <v>31</v>
      </c>
      <c r="E285" s="1699"/>
      <c r="F285" s="1699"/>
      <c r="G285" s="1708" t="s">
        <v>31</v>
      </c>
      <c r="H285" s="1708" t="s">
        <v>31</v>
      </c>
      <c r="I285" s="1708" t="s">
        <v>31</v>
      </c>
      <c r="J285" s="1708" t="s">
        <v>31</v>
      </c>
      <c r="K285" s="1708" t="s">
        <v>31</v>
      </c>
      <c r="L285" s="1708"/>
      <c r="M285" s="1708"/>
      <c r="N285" s="1708" t="s">
        <v>31</v>
      </c>
      <c r="O285" s="1708" t="s">
        <v>31</v>
      </c>
      <c r="P285" s="1708" t="s">
        <v>31</v>
      </c>
      <c r="Q285" s="1708" t="s">
        <v>31</v>
      </c>
      <c r="R285" s="1708" t="s">
        <v>31</v>
      </c>
      <c r="S285" s="1708"/>
      <c r="T285" s="1708"/>
      <c r="U285" s="1708" t="s">
        <v>31</v>
      </c>
      <c r="V285" s="1708" t="s">
        <v>31</v>
      </c>
      <c r="W285" s="1708" t="s">
        <v>31</v>
      </c>
      <c r="X285" s="1708" t="s">
        <v>31</v>
      </c>
      <c r="Y285" s="1708" t="s">
        <v>31</v>
      </c>
      <c r="Z285" s="1708"/>
      <c r="AA285" s="1708"/>
      <c r="AB285" s="1744" t="s">
        <v>31</v>
      </c>
      <c r="AC285" s="1744" t="s">
        <v>31</v>
      </c>
      <c r="AD285" s="1744" t="s">
        <v>31</v>
      </c>
      <c r="AE285" s="1744" t="s">
        <v>31</v>
      </c>
      <c r="AF285" s="1744" t="s">
        <v>31</v>
      </c>
      <c r="AG285" s="1564"/>
      <c r="AH285" s="131"/>
      <c r="AI285" s="125"/>
    </row>
    <row r="286" spans="1:35" ht="18" customHeight="1">
      <c r="A286" s="1720"/>
      <c r="B286" s="1761" t="s">
        <v>345</v>
      </c>
      <c r="C286" s="1744" t="s">
        <v>31</v>
      </c>
      <c r="D286" s="1694" t="s">
        <v>31</v>
      </c>
      <c r="E286" s="1744"/>
      <c r="F286" s="1744"/>
      <c r="G286" s="1744" t="s">
        <v>31</v>
      </c>
      <c r="H286" s="1744" t="s">
        <v>31</v>
      </c>
      <c r="I286" s="1744" t="s">
        <v>31</v>
      </c>
      <c r="J286" s="1744" t="s">
        <v>31</v>
      </c>
      <c r="K286" s="1744" t="s">
        <v>31</v>
      </c>
      <c r="L286" s="1744"/>
      <c r="M286" s="1744"/>
      <c r="N286" s="1744" t="s">
        <v>31</v>
      </c>
      <c r="O286" s="1744" t="s">
        <v>31</v>
      </c>
      <c r="P286" s="1651" t="s">
        <v>31</v>
      </c>
      <c r="Q286" s="1744" t="s">
        <v>31</v>
      </c>
      <c r="R286" s="1744" t="s">
        <v>31</v>
      </c>
      <c r="S286" s="1744"/>
      <c r="T286" s="1744"/>
      <c r="U286" s="1744" t="s">
        <v>31</v>
      </c>
      <c r="V286" s="1744" t="s">
        <v>31</v>
      </c>
      <c r="W286" s="1744" t="s">
        <v>31</v>
      </c>
      <c r="X286" s="1744" t="s">
        <v>31</v>
      </c>
      <c r="Y286" s="1744" t="s">
        <v>31</v>
      </c>
      <c r="Z286" s="1744"/>
      <c r="AA286" s="1744"/>
      <c r="AB286" s="1744" t="s">
        <v>31</v>
      </c>
      <c r="AC286" s="1744" t="s">
        <v>31</v>
      </c>
      <c r="AD286" s="1744" t="s">
        <v>31</v>
      </c>
      <c r="AE286" s="1744" t="s">
        <v>31</v>
      </c>
      <c r="AF286" s="1744" t="s">
        <v>31</v>
      </c>
      <c r="AG286" s="1564"/>
      <c r="AH286" s="131"/>
      <c r="AI286" s="125"/>
    </row>
    <row r="287" spans="1:35" ht="18" customHeight="1">
      <c r="A287" s="1720"/>
      <c r="B287" s="1761" t="s">
        <v>346</v>
      </c>
      <c r="C287" s="1744" t="s">
        <v>31</v>
      </c>
      <c r="D287" s="1694" t="s">
        <v>31</v>
      </c>
      <c r="E287" s="1744"/>
      <c r="F287" s="1744"/>
      <c r="G287" s="1744" t="s">
        <v>31</v>
      </c>
      <c r="H287" s="1744" t="s">
        <v>31</v>
      </c>
      <c r="I287" s="1744" t="s">
        <v>31</v>
      </c>
      <c r="J287" s="1744" t="s">
        <v>31</v>
      </c>
      <c r="K287" s="1744" t="s">
        <v>31</v>
      </c>
      <c r="L287" s="1744"/>
      <c r="M287" s="1744"/>
      <c r="N287" s="1651" t="s">
        <v>31</v>
      </c>
      <c r="O287" s="1744" t="s">
        <v>31</v>
      </c>
      <c r="P287" s="1744" t="s">
        <v>31</v>
      </c>
      <c r="Q287" s="1762" t="s">
        <v>31</v>
      </c>
      <c r="R287" s="1744" t="s">
        <v>31</v>
      </c>
      <c r="S287" s="1744"/>
      <c r="T287" s="1744"/>
      <c r="U287" s="1744" t="s">
        <v>31</v>
      </c>
      <c r="V287" s="1744" t="s">
        <v>31</v>
      </c>
      <c r="W287" s="1744" t="s">
        <v>31</v>
      </c>
      <c r="X287" s="1744" t="s">
        <v>31</v>
      </c>
      <c r="Y287" s="1744" t="s">
        <v>31</v>
      </c>
      <c r="Z287" s="1744"/>
      <c r="AA287" s="1744"/>
      <c r="AB287" s="1744" t="s">
        <v>31</v>
      </c>
      <c r="AC287" s="1744" t="s">
        <v>31</v>
      </c>
      <c r="AD287" s="1744" t="s">
        <v>31</v>
      </c>
      <c r="AE287" s="1744" t="s">
        <v>31</v>
      </c>
      <c r="AF287" s="1744" t="s">
        <v>31</v>
      </c>
      <c r="AG287" s="1564"/>
      <c r="AH287" s="131"/>
      <c r="AI287" s="125"/>
    </row>
    <row r="288" spans="1:35" ht="18" customHeight="1">
      <c r="A288" s="1720"/>
      <c r="B288" s="1746" t="s">
        <v>347</v>
      </c>
      <c r="C288" s="1513" t="s">
        <v>31</v>
      </c>
      <c r="D288" s="1513" t="s">
        <v>31</v>
      </c>
      <c r="E288" s="1237"/>
      <c r="F288" s="1237"/>
      <c r="G288" s="1744" t="s">
        <v>31</v>
      </c>
      <c r="H288" s="1744" t="s">
        <v>31</v>
      </c>
      <c r="I288" s="1744" t="s">
        <v>31</v>
      </c>
      <c r="J288" s="1744" t="s">
        <v>31</v>
      </c>
      <c r="K288" s="1744" t="s">
        <v>31</v>
      </c>
      <c r="L288" s="1744"/>
      <c r="M288" s="1744"/>
      <c r="N288" s="1744" t="s">
        <v>31</v>
      </c>
      <c r="O288" s="1744" t="s">
        <v>31</v>
      </c>
      <c r="P288" s="1744" t="s">
        <v>31</v>
      </c>
      <c r="Q288" s="1744" t="s">
        <v>31</v>
      </c>
      <c r="R288" s="1744" t="s">
        <v>31</v>
      </c>
      <c r="S288" s="1744"/>
      <c r="T288" s="1744"/>
      <c r="U288" s="1744" t="s">
        <v>31</v>
      </c>
      <c r="V288" s="1744" t="s">
        <v>31</v>
      </c>
      <c r="W288" s="1744" t="s">
        <v>31</v>
      </c>
      <c r="X288" s="1744" t="s">
        <v>31</v>
      </c>
      <c r="Y288" s="1744" t="s">
        <v>31</v>
      </c>
      <c r="Z288" s="1744"/>
      <c r="AA288" s="1744"/>
      <c r="AB288" s="1744" t="s">
        <v>31</v>
      </c>
      <c r="AC288" s="1744" t="s">
        <v>31</v>
      </c>
      <c r="AD288" s="1744" t="s">
        <v>31</v>
      </c>
      <c r="AE288" s="1744" t="s">
        <v>31</v>
      </c>
      <c r="AF288" s="1744" t="s">
        <v>31</v>
      </c>
      <c r="AG288" s="1564"/>
      <c r="AH288" s="131"/>
      <c r="AI288" s="125"/>
    </row>
    <row r="289" spans="1:35">
      <c r="A289" s="1720"/>
      <c r="B289" s="1763" t="s">
        <v>348</v>
      </c>
      <c r="C289" s="1651" t="s">
        <v>31</v>
      </c>
      <c r="D289" s="1651" t="s">
        <v>31</v>
      </c>
      <c r="E289" s="1651"/>
      <c r="F289" s="1651"/>
      <c r="G289" s="1651" t="s">
        <v>31</v>
      </c>
      <c r="H289" s="1651" t="s">
        <v>31</v>
      </c>
      <c r="I289" s="1651" t="s">
        <v>31</v>
      </c>
      <c r="J289" s="1651" t="s">
        <v>31</v>
      </c>
      <c r="K289" s="1651" t="s">
        <v>31</v>
      </c>
      <c r="L289" s="1651"/>
      <c r="M289" s="1651"/>
      <c r="N289" s="1651" t="s">
        <v>31</v>
      </c>
      <c r="O289" s="1651" t="s">
        <v>31</v>
      </c>
      <c r="P289" s="1651" t="s">
        <v>31</v>
      </c>
      <c r="Q289" s="1651" t="s">
        <v>31</v>
      </c>
      <c r="R289" s="1651" t="s">
        <v>31</v>
      </c>
      <c r="S289" s="1744"/>
      <c r="T289" s="1744"/>
      <c r="U289" s="1744" t="s">
        <v>31</v>
      </c>
      <c r="V289" s="1744" t="s">
        <v>31</v>
      </c>
      <c r="W289" s="1744" t="s">
        <v>31</v>
      </c>
      <c r="X289" s="1744" t="s">
        <v>31</v>
      </c>
      <c r="Y289" s="1744" t="s">
        <v>31</v>
      </c>
      <c r="Z289" s="1744"/>
      <c r="AA289" s="1744"/>
      <c r="AB289" s="1744" t="s">
        <v>31</v>
      </c>
      <c r="AC289" s="1744" t="s">
        <v>31</v>
      </c>
      <c r="AD289" s="1744" t="s">
        <v>31</v>
      </c>
      <c r="AE289" s="1744" t="s">
        <v>31</v>
      </c>
      <c r="AF289" s="1744" t="s">
        <v>31</v>
      </c>
      <c r="AG289" s="1564"/>
      <c r="AH289" s="131"/>
      <c r="AI289" s="125"/>
    </row>
    <row r="290" spans="1:35">
      <c r="A290" s="1720"/>
      <c r="B290" s="1655" t="s">
        <v>349</v>
      </c>
      <c r="C290" s="1651" t="s">
        <v>31</v>
      </c>
      <c r="D290" s="1651" t="s">
        <v>31</v>
      </c>
      <c r="E290" s="1651"/>
      <c r="F290" s="1651"/>
      <c r="G290" s="1651" t="s">
        <v>31</v>
      </c>
      <c r="H290" s="1744" t="s">
        <v>31</v>
      </c>
      <c r="I290" s="1744" t="s">
        <v>31</v>
      </c>
      <c r="J290" s="1744" t="s">
        <v>31</v>
      </c>
      <c r="K290" s="1744" t="s">
        <v>31</v>
      </c>
      <c r="L290" s="1744"/>
      <c r="M290" s="1744"/>
      <c r="N290" s="1744" t="s">
        <v>31</v>
      </c>
      <c r="O290" s="1744" t="s">
        <v>31</v>
      </c>
      <c r="P290" s="1744" t="s">
        <v>31</v>
      </c>
      <c r="Q290" s="1744" t="s">
        <v>31</v>
      </c>
      <c r="R290" s="1744" t="s">
        <v>31</v>
      </c>
      <c r="S290" s="1744"/>
      <c r="T290" s="1744"/>
      <c r="U290" s="1744" t="s">
        <v>31</v>
      </c>
      <c r="V290" s="1744" t="s">
        <v>31</v>
      </c>
      <c r="W290" s="1744" t="s">
        <v>31</v>
      </c>
      <c r="X290" s="1744" t="s">
        <v>31</v>
      </c>
      <c r="Y290" s="1744" t="s">
        <v>31</v>
      </c>
      <c r="Z290" s="1744"/>
      <c r="AA290" s="1744"/>
      <c r="AB290" s="1744" t="s">
        <v>31</v>
      </c>
      <c r="AC290" s="1744" t="s">
        <v>31</v>
      </c>
      <c r="AD290" s="1744" t="s">
        <v>31</v>
      </c>
      <c r="AE290" s="1744" t="s">
        <v>31</v>
      </c>
      <c r="AF290" s="1744" t="s">
        <v>31</v>
      </c>
      <c r="AG290" s="1564"/>
      <c r="AH290" s="131"/>
      <c r="AI290" s="125"/>
    </row>
    <row r="291" spans="1:35">
      <c r="A291" s="1720"/>
      <c r="B291" s="1763"/>
      <c r="C291" s="1744"/>
      <c r="D291" s="1694"/>
      <c r="E291" s="1744"/>
      <c r="F291" s="1744"/>
      <c r="G291" s="1744"/>
      <c r="H291" s="1744"/>
      <c r="I291" s="1744"/>
      <c r="J291" s="1744"/>
      <c r="K291" s="1744"/>
      <c r="L291" s="1744"/>
      <c r="M291" s="1744"/>
      <c r="N291" s="1744"/>
      <c r="O291" s="1744"/>
      <c r="P291" s="1744"/>
      <c r="Q291" s="1744"/>
      <c r="R291" s="1744"/>
      <c r="S291" s="1744"/>
      <c r="T291" s="1744"/>
      <c r="U291" s="1744"/>
      <c r="V291" s="1744"/>
      <c r="W291" s="1744"/>
      <c r="X291" s="1744"/>
      <c r="Y291" s="1744"/>
      <c r="Z291" s="1744"/>
      <c r="AA291" s="1744"/>
      <c r="AB291" s="1744"/>
      <c r="AC291" s="1744"/>
      <c r="AD291" s="1744"/>
      <c r="AE291" s="1744"/>
      <c r="AF291" s="1744"/>
      <c r="AG291" s="1564"/>
      <c r="AH291" s="131"/>
      <c r="AI291" s="125"/>
    </row>
    <row r="292" spans="1:35">
      <c r="A292" s="1219"/>
      <c r="B292" s="1763"/>
      <c r="C292" s="1728"/>
      <c r="D292" s="1728"/>
      <c r="E292" s="1728"/>
      <c r="F292" s="1728"/>
      <c r="G292" s="1564"/>
      <c r="H292" s="1564"/>
      <c r="I292" s="1564"/>
      <c r="J292" s="1564"/>
      <c r="K292" s="1564"/>
      <c r="L292" s="1564"/>
      <c r="M292" s="1564"/>
      <c r="N292" s="1523"/>
      <c r="O292" s="1523"/>
      <c r="P292" s="1564"/>
      <c r="Q292" s="1564"/>
      <c r="R292" s="1564"/>
      <c r="S292" s="1564"/>
      <c r="T292" s="1564"/>
      <c r="U292" s="1564"/>
      <c r="V292" s="1564"/>
      <c r="W292" s="1564"/>
      <c r="X292" s="1564"/>
      <c r="Y292" s="1564"/>
      <c r="Z292" s="1564"/>
      <c r="AA292" s="1564"/>
      <c r="AB292" s="1523"/>
      <c r="AC292" s="1523"/>
      <c r="AD292" s="1564"/>
      <c r="AE292" s="1564"/>
      <c r="AF292" s="1564"/>
      <c r="AG292" s="1564"/>
      <c r="AH292" s="131"/>
      <c r="AI292" s="127"/>
    </row>
    <row r="293" spans="1:35" ht="15.75" thickBot="1">
      <c r="A293" s="414"/>
      <c r="B293" s="415"/>
      <c r="C293" s="1753"/>
      <c r="D293" s="1754"/>
      <c r="E293" s="1754"/>
      <c r="F293" s="1754"/>
      <c r="G293" s="1754"/>
      <c r="H293" s="1754"/>
      <c r="I293" s="1754"/>
      <c r="J293" s="1754"/>
      <c r="K293" s="1754"/>
      <c r="L293" s="1754"/>
      <c r="M293" s="1754"/>
      <c r="N293" s="1755"/>
      <c r="O293" s="1755"/>
      <c r="P293" s="1754"/>
      <c r="Q293" s="1754"/>
      <c r="R293" s="1754"/>
      <c r="S293" s="1754"/>
      <c r="T293" s="1754"/>
      <c r="U293" s="1754"/>
      <c r="V293" s="1754"/>
      <c r="W293" s="1754"/>
      <c r="X293" s="1754"/>
      <c r="Y293" s="1754"/>
      <c r="Z293" s="1754"/>
      <c r="AA293" s="1754"/>
      <c r="AB293" s="1755"/>
      <c r="AC293" s="1755"/>
      <c r="AD293" s="1754"/>
      <c r="AE293" s="1754"/>
      <c r="AF293" s="1754"/>
      <c r="AG293" s="1754"/>
      <c r="AH293" s="131"/>
      <c r="AI293" s="127"/>
    </row>
  </sheetData>
  <sheetProtection algorithmName="SHA-512" hashValue="06IXnwXEQ2YodjwymxNdqC9Ltz7DSuORiViur0132vgtp7HYToWIu3MPoTZRKCt5kCDFZR82uhKka8coSz+v2w==" saltValue="6cKeACoAf2r2kkZO69TZOQ==" spinCount="100000" sheet="1" objects="1" scenarios="1"/>
  <protectedRanges>
    <protectedRange sqref="B219" name="Område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19:B120" name="Område1_3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22:B123" name="Område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</protectedRanges>
  <mergeCells count="1">
    <mergeCell ref="T31:Z31"/>
  </mergeCells>
  <pageMargins left="0.7" right="0.7" top="0.75" bottom="0.75" header="0.3" footer="0.3"/>
  <pageSetup paperSize="9" scale="10" orientation="landscape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AB7EFB-1AEF-4AC9-B75A-96F1C8597ADA}">
  <sheetPr codeName="Ark5">
    <pageSetUpPr fitToPage="1"/>
  </sheetPr>
  <dimension ref="A1:AI293"/>
  <sheetViews>
    <sheetView topLeftCell="A223" zoomScale="70" zoomScaleNormal="70" workbookViewId="0">
      <selection activeCell="AL245" sqref="AL245"/>
    </sheetView>
  </sheetViews>
  <sheetFormatPr defaultRowHeight="15"/>
  <cols>
    <col min="2" max="2" width="27.28515625" customWidth="1"/>
    <col min="3" max="35" width="5.28515625" customWidth="1"/>
  </cols>
  <sheetData>
    <row r="1" spans="1:35" ht="18" customHeight="1">
      <c r="A1" t="s">
        <v>0</v>
      </c>
      <c r="B1" s="1" t="s">
        <v>1</v>
      </c>
    </row>
    <row r="2" spans="1:35" ht="18" customHeight="1">
      <c r="B2" s="1764" t="s">
        <v>2</v>
      </c>
      <c r="C2" s="1765" t="s">
        <v>3</v>
      </c>
      <c r="D2" s="1766"/>
      <c r="E2" s="1767" t="s">
        <v>4</v>
      </c>
      <c r="F2" s="1768"/>
      <c r="G2" s="1769"/>
      <c r="H2" s="1769"/>
      <c r="I2" s="1769"/>
      <c r="J2" s="1769"/>
      <c r="K2" s="1770"/>
      <c r="L2" s="1771" t="s">
        <v>5</v>
      </c>
      <c r="M2" s="1772"/>
      <c r="N2" s="1773"/>
      <c r="O2" s="1774" t="s">
        <v>6</v>
      </c>
      <c r="P2" s="1775"/>
      <c r="Q2" s="1776"/>
      <c r="R2" s="1777"/>
      <c r="S2" s="1778" t="s">
        <v>7</v>
      </c>
      <c r="T2" s="1779"/>
      <c r="U2" s="1780"/>
      <c r="V2" s="1779"/>
      <c r="W2" s="1781" t="s">
        <v>8</v>
      </c>
      <c r="X2" s="1782"/>
      <c r="Y2" s="1783"/>
      <c r="Z2" s="2" t="s">
        <v>9</v>
      </c>
      <c r="AA2" s="1784"/>
      <c r="AB2" s="1785"/>
      <c r="AC2" s="1786"/>
      <c r="AD2" s="1787" t="s">
        <v>10</v>
      </c>
      <c r="AE2" s="1788"/>
      <c r="AF2" s="1788"/>
      <c r="AG2" s="1789"/>
    </row>
    <row r="3" spans="1:35" ht="18" customHeight="1">
      <c r="A3" s="1"/>
      <c r="B3" s="1790" t="s">
        <v>11</v>
      </c>
      <c r="C3" s="1791" t="s">
        <v>12</v>
      </c>
      <c r="D3" s="1792"/>
      <c r="E3" s="3"/>
      <c r="F3" s="4"/>
      <c r="G3" s="4"/>
      <c r="H3" s="5" t="s">
        <v>13</v>
      </c>
      <c r="I3" s="6"/>
      <c r="J3" s="6"/>
      <c r="K3" s="7"/>
      <c r="L3" s="1793" t="s">
        <v>14</v>
      </c>
      <c r="M3" s="1757"/>
      <c r="N3" s="1794"/>
      <c r="O3" s="6"/>
      <c r="P3" s="6"/>
      <c r="Q3" s="6"/>
      <c r="R3" s="6"/>
      <c r="S3" s="8"/>
      <c r="T3" s="9" t="s">
        <v>15</v>
      </c>
      <c r="U3" s="10"/>
      <c r="V3" s="11"/>
      <c r="W3" s="12"/>
      <c r="X3" s="13"/>
      <c r="Y3" s="5" t="s">
        <v>16</v>
      </c>
      <c r="Z3" s="1757"/>
      <c r="AA3" s="1757"/>
      <c r="AB3" s="1795"/>
      <c r="AC3" s="1796"/>
      <c r="AD3" s="1797" t="s">
        <v>17</v>
      </c>
      <c r="AE3" s="1798"/>
      <c r="AF3" s="1798"/>
      <c r="AG3" s="1799"/>
    </row>
    <row r="4" spans="1:35" ht="18" customHeight="1">
      <c r="A4" s="14" t="s">
        <v>18</v>
      </c>
      <c r="B4" s="15"/>
      <c r="C4" s="16"/>
      <c r="D4" s="17"/>
      <c r="E4" s="17"/>
      <c r="F4" s="17"/>
      <c r="G4" s="17"/>
      <c r="H4" s="16"/>
      <c r="I4" s="17"/>
      <c r="J4" s="17"/>
      <c r="K4" s="18"/>
      <c r="L4" s="17"/>
      <c r="M4" s="18"/>
      <c r="N4" s="18"/>
      <c r="O4" s="17"/>
      <c r="P4" s="17"/>
      <c r="Q4" s="17"/>
      <c r="R4" s="17"/>
      <c r="T4" s="18"/>
      <c r="U4" s="16"/>
      <c r="W4" s="17"/>
      <c r="X4" s="17"/>
      <c r="Y4" s="16"/>
      <c r="Z4" s="17"/>
      <c r="AB4" s="17"/>
      <c r="AC4" s="17"/>
      <c r="AD4" s="17"/>
      <c r="AE4" s="17"/>
      <c r="AF4" s="17"/>
      <c r="AG4" s="17"/>
    </row>
    <row r="5" spans="1:35" ht="18" customHeight="1">
      <c r="A5" s="14" t="s">
        <v>19</v>
      </c>
      <c r="B5" s="1"/>
    </row>
    <row r="6" spans="1:35" ht="18" customHeight="1">
      <c r="A6" s="1800" t="s">
        <v>20</v>
      </c>
      <c r="B6" s="1757"/>
      <c r="C6" s="1801"/>
      <c r="D6" s="1800" t="s">
        <v>21</v>
      </c>
      <c r="E6" s="1757"/>
      <c r="F6" s="1757"/>
      <c r="G6" s="1757"/>
      <c r="H6" s="1802"/>
      <c r="I6" s="1757"/>
      <c r="J6" s="1757"/>
      <c r="K6" s="1757"/>
      <c r="L6" s="1803" t="s">
        <v>22</v>
      </c>
      <c r="M6" s="1757"/>
      <c r="N6" s="1757"/>
      <c r="O6" s="1757"/>
      <c r="P6" s="1757"/>
      <c r="Q6" s="1757"/>
      <c r="R6" s="1757"/>
      <c r="S6" s="1801"/>
      <c r="T6" s="1804"/>
      <c r="U6" s="1757"/>
      <c r="V6" s="1757"/>
      <c r="W6" s="1757"/>
      <c r="X6" s="1757"/>
      <c r="Y6" s="1757"/>
      <c r="Z6" s="1757"/>
      <c r="AA6" s="1801"/>
      <c r="AB6" s="1805"/>
      <c r="AC6" s="1806"/>
      <c r="AD6" s="1806"/>
      <c r="AE6" s="1806"/>
      <c r="AF6" s="1806"/>
      <c r="AG6" s="1807"/>
    </row>
    <row r="7" spans="1:35" ht="18" customHeight="1">
      <c r="A7" s="1800" t="s">
        <v>23</v>
      </c>
      <c r="B7" s="1757"/>
      <c r="C7" s="1757"/>
      <c r="D7" s="1757"/>
      <c r="E7" s="1757"/>
      <c r="F7" s="1757"/>
      <c r="G7" s="1757"/>
      <c r="H7" s="1757"/>
      <c r="I7" s="1757"/>
      <c r="J7" s="1757"/>
      <c r="K7" s="1801"/>
      <c r="L7" s="19" t="s">
        <v>24</v>
      </c>
      <c r="M7" s="8"/>
      <c r="N7" s="8"/>
      <c r="O7" s="8"/>
      <c r="P7" s="8"/>
      <c r="Q7" s="8"/>
      <c r="R7" s="8"/>
      <c r="S7" s="8"/>
      <c r="T7" s="8"/>
      <c r="U7" s="1757"/>
      <c r="V7" s="1757"/>
      <c r="W7" s="1757"/>
      <c r="X7" s="1757"/>
      <c r="Y7" s="1757"/>
      <c r="Z7" s="1757"/>
      <c r="AA7" s="1757"/>
      <c r="AB7" s="1808"/>
      <c r="AC7" s="1757"/>
      <c r="AD7" s="1757"/>
      <c r="AE7" s="1757"/>
      <c r="AF7" s="1757"/>
      <c r="AG7" s="1801"/>
    </row>
    <row r="8" spans="1:35" ht="18" customHeight="1">
      <c r="A8" s="14" t="s">
        <v>25</v>
      </c>
      <c r="L8" s="20"/>
      <c r="AB8" s="1"/>
    </row>
    <row r="9" spans="1:35" ht="18" customHeight="1">
      <c r="A9" s="14" t="s">
        <v>26</v>
      </c>
      <c r="L9" s="20"/>
      <c r="AB9" s="1"/>
    </row>
    <row r="10" spans="1:35" ht="18" customHeight="1">
      <c r="B10" s="21" t="s">
        <v>27</v>
      </c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</row>
    <row r="11" spans="1:35" ht="18" customHeight="1" thickBot="1">
      <c r="A11" s="1809" t="s">
        <v>28</v>
      </c>
      <c r="B11" s="1810" t="s">
        <v>29</v>
      </c>
      <c r="C11" s="1811">
        <v>1</v>
      </c>
      <c r="D11" s="1812">
        <v>2</v>
      </c>
      <c r="E11" s="1812">
        <v>3</v>
      </c>
      <c r="F11" s="1812">
        <v>4</v>
      </c>
      <c r="G11" s="1812">
        <v>5</v>
      </c>
      <c r="H11" s="1812">
        <v>6</v>
      </c>
      <c r="I11" s="1811">
        <v>7</v>
      </c>
      <c r="J11" s="1811">
        <v>8</v>
      </c>
      <c r="K11" s="1812">
        <v>9</v>
      </c>
      <c r="L11" s="1812">
        <v>10</v>
      </c>
      <c r="M11" s="1812">
        <v>11</v>
      </c>
      <c r="N11" s="1812">
        <v>12</v>
      </c>
      <c r="O11" s="1812">
        <v>13</v>
      </c>
      <c r="P11" s="1811">
        <v>14</v>
      </c>
      <c r="Q11" s="1811">
        <v>15</v>
      </c>
      <c r="R11" s="1812">
        <v>16</v>
      </c>
      <c r="S11" s="1812">
        <v>17</v>
      </c>
      <c r="T11" s="1812">
        <v>18</v>
      </c>
      <c r="U11" s="1812">
        <v>19</v>
      </c>
      <c r="V11" s="1812">
        <v>20</v>
      </c>
      <c r="W11" s="1811">
        <v>21</v>
      </c>
      <c r="X11" s="1811">
        <v>22</v>
      </c>
      <c r="Y11" s="1812">
        <v>23</v>
      </c>
      <c r="Z11" s="1812">
        <v>24</v>
      </c>
      <c r="AA11" s="1812">
        <v>25</v>
      </c>
      <c r="AB11" s="1812">
        <v>26</v>
      </c>
      <c r="AC11" s="1812">
        <v>27</v>
      </c>
      <c r="AD11" s="1811">
        <v>28</v>
      </c>
      <c r="AE11" s="1811">
        <v>29</v>
      </c>
      <c r="AF11" s="1812">
        <v>30</v>
      </c>
      <c r="AG11" s="1813"/>
      <c r="AH11" s="23"/>
      <c r="AI11" s="24"/>
    </row>
    <row r="12" spans="1:35" ht="18" customHeight="1">
      <c r="A12" s="1814">
        <v>8500</v>
      </c>
      <c r="B12" s="1815" t="s">
        <v>30</v>
      </c>
      <c r="C12" s="1816"/>
      <c r="D12" s="1816" t="s">
        <v>31</v>
      </c>
      <c r="E12" s="1816" t="s">
        <v>31</v>
      </c>
      <c r="F12" s="1816" t="s">
        <v>31</v>
      </c>
      <c r="G12" s="1816" t="s">
        <v>31</v>
      </c>
      <c r="H12" s="1816" t="s">
        <v>31</v>
      </c>
      <c r="I12" s="1816"/>
      <c r="J12" s="1816"/>
      <c r="K12" s="1816" t="s">
        <v>31</v>
      </c>
      <c r="L12" s="1816" t="s">
        <v>31</v>
      </c>
      <c r="M12" s="1816">
        <v>4</v>
      </c>
      <c r="N12" s="1816" t="s">
        <v>31</v>
      </c>
      <c r="O12" s="1816" t="s">
        <v>31</v>
      </c>
      <c r="P12" s="1816"/>
      <c r="Q12" s="1816"/>
      <c r="R12" s="1816" t="s">
        <v>31</v>
      </c>
      <c r="S12" s="1816" t="s">
        <v>31</v>
      </c>
      <c r="T12" s="1816" t="s">
        <v>31</v>
      </c>
      <c r="U12" s="1816">
        <v>1</v>
      </c>
      <c r="V12" s="1816">
        <v>1</v>
      </c>
      <c r="W12" s="1816"/>
      <c r="X12" s="1816"/>
      <c r="Y12" s="1816" t="s">
        <v>31</v>
      </c>
      <c r="Z12" s="1816" t="s">
        <v>31</v>
      </c>
      <c r="AA12" s="1744">
        <v>4</v>
      </c>
      <c r="AB12" s="1817" t="s">
        <v>31</v>
      </c>
      <c r="AC12" s="1818" t="s">
        <v>31</v>
      </c>
      <c r="AD12" s="1816"/>
      <c r="AE12" s="1816"/>
      <c r="AF12" s="1744" t="s">
        <v>107</v>
      </c>
      <c r="AG12" s="1819"/>
      <c r="AH12" s="25"/>
      <c r="AI12" s="25"/>
    </row>
    <row r="13" spans="1:35" ht="18" customHeight="1">
      <c r="A13" s="1820" t="s">
        <v>32</v>
      </c>
      <c r="B13" s="1821"/>
      <c r="C13" s="1821"/>
      <c r="D13" s="1821"/>
      <c r="E13" s="1821"/>
      <c r="F13" s="1821"/>
      <c r="G13" s="1821"/>
      <c r="H13" s="1821"/>
      <c r="I13" s="1821"/>
      <c r="J13" s="1821"/>
      <c r="K13" s="1821"/>
      <c r="L13" s="1821"/>
      <c r="M13" s="1821"/>
      <c r="N13" s="1821"/>
      <c r="O13" s="1821"/>
      <c r="P13" s="1821"/>
      <c r="Q13" s="1821"/>
      <c r="R13" s="1821"/>
      <c r="S13" s="1821"/>
      <c r="T13" s="1821"/>
      <c r="U13" s="1821"/>
      <c r="V13" s="1821"/>
      <c r="W13" s="1821"/>
      <c r="X13" s="1821"/>
      <c r="Y13" s="1821"/>
      <c r="Z13" s="1821"/>
      <c r="AA13" s="1821"/>
      <c r="AB13" s="1821"/>
      <c r="AC13" s="1821"/>
      <c r="AD13" s="1821"/>
      <c r="AE13" s="1821"/>
      <c r="AF13" s="1821"/>
      <c r="AG13" s="1822"/>
      <c r="AH13" s="26"/>
      <c r="AI13" s="26"/>
    </row>
    <row r="14" spans="1:35" ht="18" customHeight="1">
      <c r="A14" s="27">
        <v>8546</v>
      </c>
      <c r="B14" s="1823" t="s">
        <v>33</v>
      </c>
      <c r="C14" s="1824"/>
      <c r="D14" s="1735">
        <v>1</v>
      </c>
      <c r="E14" s="1825">
        <v>1</v>
      </c>
      <c r="F14" s="1826">
        <v>1</v>
      </c>
      <c r="G14" s="1825">
        <v>1</v>
      </c>
      <c r="H14" s="1825">
        <v>1</v>
      </c>
      <c r="I14" s="1825"/>
      <c r="J14" s="1825"/>
      <c r="K14" s="1824">
        <v>2</v>
      </c>
      <c r="L14" s="1825">
        <v>2</v>
      </c>
      <c r="M14" s="1825">
        <v>2</v>
      </c>
      <c r="N14" s="1825">
        <v>2</v>
      </c>
      <c r="O14" s="1825">
        <v>2</v>
      </c>
      <c r="P14" s="1825" t="s">
        <v>34</v>
      </c>
      <c r="Q14" s="1825" t="s">
        <v>34</v>
      </c>
      <c r="R14" s="1825" t="s">
        <v>35</v>
      </c>
      <c r="S14" s="1826" t="s">
        <v>35</v>
      </c>
      <c r="T14" s="1826" t="s">
        <v>35</v>
      </c>
      <c r="U14" s="1825" t="s">
        <v>35</v>
      </c>
      <c r="V14" s="1825" t="s">
        <v>35</v>
      </c>
      <c r="W14" s="1825"/>
      <c r="X14" s="1825"/>
      <c r="Y14" s="1825">
        <v>4</v>
      </c>
      <c r="Z14" s="1825">
        <v>4</v>
      </c>
      <c r="AA14" s="1825">
        <v>4</v>
      </c>
      <c r="AB14" s="1825">
        <v>4</v>
      </c>
      <c r="AC14" s="1825">
        <v>4</v>
      </c>
      <c r="AD14" s="1735" t="s">
        <v>36</v>
      </c>
      <c r="AE14" s="1825" t="s">
        <v>36</v>
      </c>
      <c r="AF14" s="1825" t="s">
        <v>35</v>
      </c>
      <c r="AG14" s="1827"/>
      <c r="AH14" s="25"/>
      <c r="AI14" s="25"/>
    </row>
    <row r="15" spans="1:35" ht="18" customHeight="1">
      <c r="A15" s="1828">
        <v>8546</v>
      </c>
      <c r="B15" s="1823" t="s">
        <v>350</v>
      </c>
      <c r="C15" s="1829" t="s">
        <v>36</v>
      </c>
      <c r="D15" s="1825" t="s">
        <v>35</v>
      </c>
      <c r="E15" s="1825" t="s">
        <v>35</v>
      </c>
      <c r="F15" s="1735" t="s">
        <v>35</v>
      </c>
      <c r="G15" s="1735" t="s">
        <v>35</v>
      </c>
      <c r="H15" s="1735" t="s">
        <v>35</v>
      </c>
      <c r="I15" s="1825"/>
      <c r="J15" s="1824"/>
      <c r="K15" s="1830">
        <v>1</v>
      </c>
      <c r="L15" s="1830">
        <v>1</v>
      </c>
      <c r="M15" s="1830">
        <v>1</v>
      </c>
      <c r="N15" s="1830">
        <v>1</v>
      </c>
      <c r="O15" s="1830">
        <v>1</v>
      </c>
      <c r="P15" s="1825"/>
      <c r="Q15" s="1825"/>
      <c r="R15" s="1830">
        <v>2</v>
      </c>
      <c r="S15" s="1830">
        <v>2</v>
      </c>
      <c r="T15" s="1830">
        <v>2</v>
      </c>
      <c r="U15" s="1830">
        <v>2</v>
      </c>
      <c r="V15" s="1830">
        <v>2</v>
      </c>
      <c r="W15" s="1726" t="s">
        <v>34</v>
      </c>
      <c r="X15" s="1726" t="s">
        <v>34</v>
      </c>
      <c r="Y15" s="1825" t="s">
        <v>35</v>
      </c>
      <c r="Z15" s="1825" t="s">
        <v>35</v>
      </c>
      <c r="AA15" s="1825" t="s">
        <v>35</v>
      </c>
      <c r="AB15" s="1825" t="s">
        <v>35</v>
      </c>
      <c r="AC15" s="1825" t="s">
        <v>35</v>
      </c>
      <c r="AD15" s="1825"/>
      <c r="AE15" s="1825"/>
      <c r="AF15" s="1830" t="s">
        <v>412</v>
      </c>
      <c r="AG15" s="1827"/>
      <c r="AH15" s="25"/>
      <c r="AI15" s="25"/>
    </row>
    <row r="16" spans="1:35" ht="18" customHeight="1">
      <c r="A16" s="1828">
        <v>8546</v>
      </c>
      <c r="B16" s="1823" t="s">
        <v>38</v>
      </c>
      <c r="C16" s="1825" t="s">
        <v>34</v>
      </c>
      <c r="D16" s="1825" t="s">
        <v>35</v>
      </c>
      <c r="E16" s="1825" t="s">
        <v>35</v>
      </c>
      <c r="F16" s="1825" t="s">
        <v>35</v>
      </c>
      <c r="G16" s="1825" t="s">
        <v>35</v>
      </c>
      <c r="H16" s="1825" t="s">
        <v>35</v>
      </c>
      <c r="I16" s="1825"/>
      <c r="J16" s="1825"/>
      <c r="K16" s="1726">
        <v>4</v>
      </c>
      <c r="L16" s="1726">
        <v>4</v>
      </c>
      <c r="M16" s="1726">
        <v>4</v>
      </c>
      <c r="N16" s="1726">
        <v>4</v>
      </c>
      <c r="O16" s="1726">
        <v>4</v>
      </c>
      <c r="P16" s="1726" t="s">
        <v>36</v>
      </c>
      <c r="Q16" s="1726" t="s">
        <v>36</v>
      </c>
      <c r="R16" s="1726" t="s">
        <v>35</v>
      </c>
      <c r="S16" s="1726" t="s">
        <v>35</v>
      </c>
      <c r="T16" s="1726" t="s">
        <v>35</v>
      </c>
      <c r="U16" s="1726" t="s">
        <v>35</v>
      </c>
      <c r="V16" s="1726" t="s">
        <v>35</v>
      </c>
      <c r="W16" s="1726"/>
      <c r="X16" s="1726"/>
      <c r="Y16" s="1726">
        <v>1</v>
      </c>
      <c r="Z16" s="1726">
        <v>1</v>
      </c>
      <c r="AA16" s="1726">
        <v>1</v>
      </c>
      <c r="AB16" s="1726">
        <v>1</v>
      </c>
      <c r="AC16" s="1726">
        <v>1</v>
      </c>
      <c r="AD16" s="1726"/>
      <c r="AE16" s="1726"/>
      <c r="AF16" s="1825">
        <v>2</v>
      </c>
      <c r="AG16" s="1827"/>
      <c r="AH16" s="25"/>
      <c r="AI16" s="25"/>
    </row>
    <row r="17" spans="1:35" ht="18" customHeight="1">
      <c r="A17" s="1828">
        <v>8546</v>
      </c>
      <c r="B17" s="1721" t="s">
        <v>39</v>
      </c>
      <c r="C17" s="1825"/>
      <c r="D17" s="1824">
        <v>2</v>
      </c>
      <c r="E17" s="1825">
        <v>2</v>
      </c>
      <c r="F17" s="1735">
        <v>2</v>
      </c>
      <c r="G17" s="1825">
        <v>2</v>
      </c>
      <c r="H17" s="1825">
        <v>2</v>
      </c>
      <c r="I17" s="1825" t="s">
        <v>34</v>
      </c>
      <c r="J17" s="1825" t="s">
        <v>34</v>
      </c>
      <c r="K17" s="1825" t="s">
        <v>35</v>
      </c>
      <c r="L17" s="1825" t="s">
        <v>35</v>
      </c>
      <c r="M17" s="1825" t="s">
        <v>35</v>
      </c>
      <c r="N17" s="1825" t="s">
        <v>35</v>
      </c>
      <c r="O17" s="1825" t="s">
        <v>35</v>
      </c>
      <c r="P17" s="1825"/>
      <c r="Q17" s="1831"/>
      <c r="R17" s="1825">
        <v>4</v>
      </c>
      <c r="S17" s="1825">
        <v>4</v>
      </c>
      <c r="T17" s="1825">
        <v>4</v>
      </c>
      <c r="U17" s="1825">
        <v>4</v>
      </c>
      <c r="V17" s="1825">
        <v>4</v>
      </c>
      <c r="W17" s="1825" t="s">
        <v>36</v>
      </c>
      <c r="X17" s="1824" t="s">
        <v>36</v>
      </c>
      <c r="Y17" s="1825" t="s">
        <v>35</v>
      </c>
      <c r="Z17" s="1825" t="s">
        <v>35</v>
      </c>
      <c r="AA17" s="1825" t="s">
        <v>35</v>
      </c>
      <c r="AB17" s="1825" t="s">
        <v>35</v>
      </c>
      <c r="AC17" s="1825" t="s">
        <v>35</v>
      </c>
      <c r="AD17" s="1825"/>
      <c r="AE17" s="1825"/>
      <c r="AF17" s="1825">
        <v>1</v>
      </c>
      <c r="AG17" s="1827"/>
      <c r="AH17" s="25"/>
      <c r="AI17" s="25"/>
    </row>
    <row r="18" spans="1:35" ht="18" customHeight="1">
      <c r="A18" s="1828">
        <v>8546</v>
      </c>
      <c r="B18" s="1823" t="s">
        <v>40</v>
      </c>
      <c r="C18" s="1825"/>
      <c r="D18" s="1824">
        <v>4</v>
      </c>
      <c r="E18" s="1825">
        <v>4</v>
      </c>
      <c r="F18" s="1825">
        <v>4</v>
      </c>
      <c r="G18" s="1825">
        <v>4</v>
      </c>
      <c r="H18" s="1825">
        <v>4</v>
      </c>
      <c r="I18" s="1825" t="s">
        <v>36</v>
      </c>
      <c r="J18" s="1735" t="s">
        <v>36</v>
      </c>
      <c r="K18" s="1735" t="s">
        <v>35</v>
      </c>
      <c r="L18" s="1825" t="s">
        <v>35</v>
      </c>
      <c r="M18" s="1735" t="s">
        <v>35</v>
      </c>
      <c r="N18" s="1735" t="s">
        <v>35</v>
      </c>
      <c r="O18" s="1825" t="s">
        <v>35</v>
      </c>
      <c r="P18" s="1825"/>
      <c r="Q18" s="1825"/>
      <c r="R18" s="1825">
        <v>1</v>
      </c>
      <c r="S18" s="1825">
        <v>1</v>
      </c>
      <c r="T18" s="1825">
        <v>1</v>
      </c>
      <c r="U18" s="1830">
        <v>1</v>
      </c>
      <c r="V18" s="1830">
        <v>1</v>
      </c>
      <c r="W18" s="1825"/>
      <c r="X18" s="1825"/>
      <c r="Y18" s="1825">
        <v>2</v>
      </c>
      <c r="Z18" s="1825">
        <v>2</v>
      </c>
      <c r="AA18" s="1825">
        <v>2</v>
      </c>
      <c r="AB18" s="1825">
        <v>2</v>
      </c>
      <c r="AC18" s="1832">
        <v>2</v>
      </c>
      <c r="AD18" s="1825" t="s">
        <v>34</v>
      </c>
      <c r="AE18" s="1825" t="s">
        <v>34</v>
      </c>
      <c r="AF18" s="1825" t="s">
        <v>35</v>
      </c>
      <c r="AG18" s="1827"/>
      <c r="AH18" s="25"/>
      <c r="AI18" s="25"/>
    </row>
    <row r="19" spans="1:35" ht="18" customHeight="1" thickBot="1">
      <c r="A19" s="1833" t="s">
        <v>41</v>
      </c>
      <c r="B19" s="1834"/>
      <c r="C19" s="1835"/>
      <c r="D19" s="1835"/>
      <c r="E19" s="1835"/>
      <c r="F19" s="1835"/>
      <c r="G19" s="1835"/>
      <c r="H19" s="1835"/>
      <c r="I19" s="1835"/>
      <c r="J19" s="1835"/>
      <c r="K19" s="1835"/>
      <c r="L19" s="1835"/>
      <c r="M19" s="1835"/>
      <c r="N19" s="1835"/>
      <c r="O19" s="1835"/>
      <c r="P19" s="1835"/>
      <c r="Q19" s="1835"/>
      <c r="R19" s="1835"/>
      <c r="S19" s="1835"/>
      <c r="T19" s="1835"/>
      <c r="U19" s="1835"/>
      <c r="V19" s="1835"/>
      <c r="W19" s="1835"/>
      <c r="X19" s="1835"/>
      <c r="Y19" s="1835"/>
      <c r="Z19" s="1835"/>
      <c r="AA19" s="1835"/>
      <c r="AB19" s="1835"/>
      <c r="AC19" s="1835"/>
      <c r="AD19" s="1835"/>
      <c r="AE19" s="1835"/>
      <c r="AF19" s="1835"/>
      <c r="AG19" s="1836"/>
      <c r="AH19" s="26"/>
      <c r="AI19" s="26"/>
    </row>
    <row r="20" spans="1:35" ht="18" customHeight="1">
      <c r="A20" s="1837">
        <v>8500</v>
      </c>
      <c r="B20" s="1838" t="s">
        <v>37</v>
      </c>
      <c r="C20" s="1839" t="s">
        <v>36</v>
      </c>
      <c r="D20" s="1839" t="s">
        <v>35</v>
      </c>
      <c r="E20" s="1839" t="s">
        <v>35</v>
      </c>
      <c r="F20" s="1839" t="s">
        <v>35</v>
      </c>
      <c r="G20" s="1839" t="s">
        <v>35</v>
      </c>
      <c r="H20" s="1839" t="s">
        <v>35</v>
      </c>
      <c r="I20" s="1840"/>
      <c r="J20" s="1839"/>
      <c r="K20" s="1839">
        <v>1</v>
      </c>
      <c r="L20" s="1839">
        <v>1</v>
      </c>
      <c r="M20" s="1839">
        <v>1</v>
      </c>
      <c r="N20" s="1839">
        <v>1</v>
      </c>
      <c r="O20" s="1839">
        <v>1</v>
      </c>
      <c r="P20" s="1839"/>
      <c r="Q20" s="1839"/>
      <c r="R20" s="1839">
        <v>2</v>
      </c>
      <c r="S20" s="1839">
        <v>2</v>
      </c>
      <c r="T20" s="1839">
        <v>2</v>
      </c>
      <c r="U20" s="1840">
        <v>2</v>
      </c>
      <c r="V20" s="1840">
        <v>2</v>
      </c>
      <c r="W20" s="1839" t="s">
        <v>34</v>
      </c>
      <c r="X20" s="1839" t="s">
        <v>34</v>
      </c>
      <c r="Y20" s="1839" t="s">
        <v>35</v>
      </c>
      <c r="Z20" s="1841" t="s">
        <v>35</v>
      </c>
      <c r="AA20" s="1841" t="s">
        <v>35</v>
      </c>
      <c r="AB20" s="1842" t="s">
        <v>35</v>
      </c>
      <c r="AC20" s="1842" t="s">
        <v>35</v>
      </c>
      <c r="AD20" s="1840"/>
      <c r="AE20" s="1840"/>
      <c r="AF20" s="1840">
        <v>4</v>
      </c>
      <c r="AG20" s="1843"/>
      <c r="AH20" s="25"/>
      <c r="AI20" s="25"/>
    </row>
    <row r="21" spans="1:35" ht="18" customHeight="1">
      <c r="A21" s="1844">
        <v>8500</v>
      </c>
      <c r="B21" s="1845" t="s">
        <v>42</v>
      </c>
      <c r="C21" s="1846"/>
      <c r="D21" s="1846" t="s">
        <v>31</v>
      </c>
      <c r="E21" s="1846" t="s">
        <v>31</v>
      </c>
      <c r="F21" s="1846" t="s">
        <v>31</v>
      </c>
      <c r="G21" s="1846" t="s">
        <v>31</v>
      </c>
      <c r="H21" s="1846" t="s">
        <v>31</v>
      </c>
      <c r="I21" s="1846"/>
      <c r="J21" s="1846"/>
      <c r="K21" s="1846" t="s">
        <v>31</v>
      </c>
      <c r="L21" s="1846" t="s">
        <v>31</v>
      </c>
      <c r="M21" s="1846" t="s">
        <v>31</v>
      </c>
      <c r="N21" s="1846" t="s">
        <v>31</v>
      </c>
      <c r="O21" s="1846" t="s">
        <v>31</v>
      </c>
      <c r="P21" s="1846"/>
      <c r="Q21" s="1846"/>
      <c r="R21" s="1846" t="s">
        <v>31</v>
      </c>
      <c r="S21" s="1846" t="s">
        <v>31</v>
      </c>
      <c r="T21" s="1846" t="s">
        <v>31</v>
      </c>
      <c r="U21" s="1846" t="s">
        <v>31</v>
      </c>
      <c r="V21" s="1846" t="s">
        <v>31</v>
      </c>
      <c r="W21" s="1846"/>
      <c r="X21" s="1846"/>
      <c r="Y21" s="1846" t="s">
        <v>31</v>
      </c>
      <c r="Z21" s="1846" t="s">
        <v>31</v>
      </c>
      <c r="AA21" s="1846" t="s">
        <v>31</v>
      </c>
      <c r="AB21" s="1846" t="s">
        <v>31</v>
      </c>
      <c r="AC21" s="1846" t="s">
        <v>31</v>
      </c>
      <c r="AD21" s="1846"/>
      <c r="AE21" s="1846"/>
      <c r="AF21" s="1697" t="s">
        <v>31</v>
      </c>
      <c r="AG21" s="1847"/>
      <c r="AH21" s="25"/>
      <c r="AI21" s="25"/>
    </row>
    <row r="22" spans="1:35" ht="18" customHeight="1">
      <c r="A22" s="1844">
        <v>8500</v>
      </c>
      <c r="B22" s="1848" t="s">
        <v>43</v>
      </c>
      <c r="C22" s="1849"/>
      <c r="D22" s="1849" t="s">
        <v>244</v>
      </c>
      <c r="E22" s="1849" t="s">
        <v>244</v>
      </c>
      <c r="F22" s="1849" t="s">
        <v>244</v>
      </c>
      <c r="G22" s="1849" t="s">
        <v>244</v>
      </c>
      <c r="H22" s="1849" t="s">
        <v>31</v>
      </c>
      <c r="I22" s="1849"/>
      <c r="J22" s="1849"/>
      <c r="K22" s="1824">
        <v>4</v>
      </c>
      <c r="L22" s="1825">
        <v>4</v>
      </c>
      <c r="M22" s="1825">
        <v>4</v>
      </c>
      <c r="N22" s="1825">
        <v>4</v>
      </c>
      <c r="O22" s="1825">
        <v>4</v>
      </c>
      <c r="P22" s="1825" t="s">
        <v>36</v>
      </c>
      <c r="Q22" s="1735" t="s">
        <v>36</v>
      </c>
      <c r="R22" s="1735" t="s">
        <v>35</v>
      </c>
      <c r="S22" s="1825" t="s">
        <v>35</v>
      </c>
      <c r="T22" s="1850" t="s">
        <v>35</v>
      </c>
      <c r="U22" s="1851" t="s">
        <v>35</v>
      </c>
      <c r="V22" s="1852" t="s">
        <v>35</v>
      </c>
      <c r="W22" s="1699"/>
      <c r="X22" s="1699"/>
      <c r="Y22" s="1699">
        <v>1</v>
      </c>
      <c r="Z22" s="1849">
        <v>1</v>
      </c>
      <c r="AA22" s="1849">
        <v>1</v>
      </c>
      <c r="AB22" s="1849">
        <v>1</v>
      </c>
      <c r="AC22" s="1849">
        <v>1</v>
      </c>
      <c r="AD22" s="1744"/>
      <c r="AE22" s="1849"/>
      <c r="AF22" s="1744" t="s">
        <v>107</v>
      </c>
      <c r="AG22" s="1614"/>
      <c r="AH22" s="25"/>
      <c r="AI22" s="25"/>
    </row>
    <row r="23" spans="1:35" ht="18" customHeight="1">
      <c r="A23" s="1844"/>
      <c r="B23" s="1853" t="s">
        <v>353</v>
      </c>
      <c r="C23" s="1744"/>
      <c r="D23" s="1854" t="s">
        <v>31</v>
      </c>
      <c r="E23" s="1849" t="s">
        <v>31</v>
      </c>
      <c r="F23" s="1849" t="s">
        <v>31</v>
      </c>
      <c r="G23" s="1849" t="s">
        <v>31</v>
      </c>
      <c r="H23" s="1849" t="s">
        <v>31</v>
      </c>
      <c r="I23" s="1744"/>
      <c r="J23" s="1744"/>
      <c r="K23" s="1744" t="s">
        <v>31</v>
      </c>
      <c r="L23" s="1744" t="s">
        <v>31</v>
      </c>
      <c r="M23" s="1744" t="s">
        <v>31</v>
      </c>
      <c r="N23" s="1744" t="s">
        <v>31</v>
      </c>
      <c r="O23" s="1749" t="s">
        <v>31</v>
      </c>
      <c r="P23" s="1744"/>
      <c r="Q23" s="1744"/>
      <c r="R23" s="1855" t="s">
        <v>31</v>
      </c>
      <c r="S23" s="1855" t="s">
        <v>31</v>
      </c>
      <c r="T23" s="1744" t="s">
        <v>31</v>
      </c>
      <c r="U23" s="1744" t="s">
        <v>31</v>
      </c>
      <c r="V23" s="1744" t="s">
        <v>31</v>
      </c>
      <c r="W23" s="1744"/>
      <c r="X23" s="1744"/>
      <c r="Y23" s="1744" t="s">
        <v>31</v>
      </c>
      <c r="Z23" s="1744" t="s">
        <v>31</v>
      </c>
      <c r="AA23" s="1744" t="s">
        <v>31</v>
      </c>
      <c r="AB23" s="1744" t="s">
        <v>31</v>
      </c>
      <c r="AC23" s="1699" t="s">
        <v>31</v>
      </c>
      <c r="AD23" s="1699"/>
      <c r="AE23" s="1699"/>
      <c r="AF23" s="1699" t="s">
        <v>31</v>
      </c>
      <c r="AG23" s="1614"/>
    </row>
    <row r="24" spans="1:35" ht="18" customHeight="1" thickBot="1">
      <c r="A24" s="416"/>
      <c r="B24" s="417"/>
      <c r="C24" s="418"/>
      <c r="D24" s="418"/>
      <c r="E24" s="418"/>
      <c r="F24" s="418"/>
      <c r="G24" s="418" t="s">
        <v>0</v>
      </c>
      <c r="H24" s="418"/>
      <c r="I24" s="418"/>
      <c r="J24" s="418"/>
      <c r="K24" s="418"/>
      <c r="L24" s="418" t="s">
        <v>0</v>
      </c>
      <c r="M24" s="418"/>
      <c r="N24" s="418" t="s">
        <v>0</v>
      </c>
      <c r="O24" s="418" t="s">
        <v>0</v>
      </c>
      <c r="P24" s="418"/>
      <c r="Q24" s="418"/>
      <c r="R24" s="418"/>
      <c r="S24" s="418"/>
      <c r="T24" s="418"/>
      <c r="U24" s="418" t="s">
        <v>0</v>
      </c>
      <c r="V24" s="418"/>
      <c r="W24" s="418"/>
      <c r="X24" s="418"/>
      <c r="Y24" s="418"/>
      <c r="Z24" s="418"/>
      <c r="AA24" s="418"/>
      <c r="AB24" s="418"/>
      <c r="AC24" s="418"/>
      <c r="AD24" s="418"/>
      <c r="AE24" s="418"/>
      <c r="AF24" s="418"/>
      <c r="AG24" s="28"/>
    </row>
    <row r="25" spans="1:35" ht="18" customHeight="1">
      <c r="A25" s="29"/>
      <c r="B25" s="1856" t="s">
        <v>397</v>
      </c>
    </row>
    <row r="26" spans="1:35" ht="18" customHeight="1">
      <c r="A26" s="29"/>
    </row>
    <row r="27" spans="1:35" ht="18" customHeight="1">
      <c r="A27" s="29"/>
    </row>
    <row r="28" spans="1:35" ht="18" customHeight="1">
      <c r="A28" s="29"/>
    </row>
    <row r="29" spans="1:35" ht="18" customHeight="1">
      <c r="A29" s="29"/>
    </row>
    <row r="30" spans="1:35" ht="18" customHeight="1" thickBot="1">
      <c r="A30" s="14" t="s">
        <v>49</v>
      </c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</row>
    <row r="31" spans="1:35" ht="18" customHeight="1">
      <c r="A31" s="695" t="s">
        <v>50</v>
      </c>
      <c r="B31" s="696"/>
      <c r="C31" s="696"/>
      <c r="D31" s="697" t="s">
        <v>51</v>
      </c>
      <c r="E31" s="698"/>
      <c r="F31" s="698"/>
      <c r="G31" s="698"/>
      <c r="H31" s="698"/>
      <c r="I31" s="698"/>
      <c r="J31" s="698"/>
      <c r="K31" s="698"/>
      <c r="L31" s="698"/>
      <c r="M31" s="699" t="s">
        <v>52</v>
      </c>
      <c r="N31" s="698"/>
      <c r="O31" s="698"/>
      <c r="P31" s="698"/>
      <c r="Q31" s="698"/>
      <c r="R31" s="698"/>
      <c r="S31" s="700"/>
      <c r="T31" s="701" t="s">
        <v>53</v>
      </c>
      <c r="U31" s="702"/>
      <c r="V31" s="702"/>
      <c r="W31" s="702"/>
      <c r="X31" s="702"/>
      <c r="Y31" s="702"/>
      <c r="Z31" s="703"/>
      <c r="AA31" s="704" t="s">
        <v>54</v>
      </c>
      <c r="AB31" s="705"/>
      <c r="AC31" s="705"/>
      <c r="AD31" s="705"/>
      <c r="AE31" s="705"/>
      <c r="AF31" s="705"/>
      <c r="AG31" s="706"/>
    </row>
    <row r="32" spans="1:35" ht="18" customHeight="1">
      <c r="A32" s="1857" t="s">
        <v>55</v>
      </c>
      <c r="B32" s="1806"/>
      <c r="C32" s="1806"/>
      <c r="D32" s="1858" t="s">
        <v>56</v>
      </c>
      <c r="E32" s="1859"/>
      <c r="F32" s="1757"/>
      <c r="G32" s="1757"/>
      <c r="H32" s="1757"/>
      <c r="I32" s="1757"/>
      <c r="J32" s="1757"/>
      <c r="K32" s="1757"/>
      <c r="L32" s="1801"/>
      <c r="M32" s="1860" t="s">
        <v>57</v>
      </c>
      <c r="N32" s="1806"/>
      <c r="O32" s="1861"/>
      <c r="P32" s="1806"/>
      <c r="Q32" s="1806"/>
      <c r="R32" s="1806"/>
      <c r="S32" s="1862"/>
      <c r="T32" s="1858" t="s">
        <v>58</v>
      </c>
      <c r="U32" s="1757"/>
      <c r="V32" s="1859"/>
      <c r="W32" s="1757"/>
      <c r="X32" s="1757"/>
      <c r="Y32" s="1757"/>
      <c r="Z32" s="1801"/>
      <c r="AA32" s="31" t="s">
        <v>59</v>
      </c>
      <c r="AD32" s="20"/>
      <c r="AG32" s="32"/>
    </row>
    <row r="33" spans="1:35" ht="18" customHeight="1">
      <c r="A33" s="1863" t="s">
        <v>60</v>
      </c>
      <c r="B33" s="1757"/>
      <c r="C33" s="1757"/>
      <c r="D33" s="1864"/>
      <c r="E33" s="1757"/>
      <c r="F33" s="1757"/>
      <c r="G33" s="1801"/>
      <c r="H33" s="1808" t="s">
        <v>61</v>
      </c>
      <c r="I33" s="1757"/>
      <c r="J33" s="1757"/>
      <c r="K33" s="1757"/>
      <c r="L33" s="1757"/>
      <c r="M33" s="1865"/>
      <c r="N33" s="1757"/>
      <c r="O33" s="1757"/>
      <c r="P33" s="1757"/>
      <c r="Q33" s="1757"/>
      <c r="R33" s="1757"/>
      <c r="S33" s="1757"/>
      <c r="T33" s="1864"/>
      <c r="U33" s="14" t="s">
        <v>62</v>
      </c>
      <c r="AA33" s="1861"/>
      <c r="AB33" s="1806"/>
      <c r="AC33" s="1806"/>
      <c r="AD33" s="1806"/>
      <c r="AE33" s="1806"/>
      <c r="AF33" s="1806"/>
      <c r="AG33" s="1866"/>
    </row>
    <row r="34" spans="1:35" ht="18" customHeight="1" thickBot="1">
      <c r="A34" s="1867" t="s">
        <v>63</v>
      </c>
      <c r="B34" s="1759"/>
      <c r="C34" s="1759"/>
      <c r="D34" s="1868"/>
      <c r="E34" s="1759"/>
      <c r="F34" s="1759"/>
      <c r="G34" s="1869"/>
      <c r="H34" s="1870" t="s">
        <v>64</v>
      </c>
      <c r="I34" s="1869"/>
      <c r="J34" s="1759"/>
      <c r="K34" s="1759"/>
      <c r="L34" s="1759"/>
      <c r="M34" s="1871"/>
      <c r="N34" s="1759"/>
      <c r="O34" s="1759"/>
      <c r="P34" s="1759"/>
      <c r="Q34" s="1872"/>
      <c r="R34" s="1872"/>
      <c r="S34" s="1872"/>
      <c r="T34" s="1868"/>
      <c r="U34" s="1873" t="s">
        <v>65</v>
      </c>
      <c r="V34" s="1759"/>
      <c r="W34" s="1759"/>
      <c r="X34" s="1759"/>
      <c r="Y34" s="1759"/>
      <c r="Z34" s="1759"/>
      <c r="AA34" s="1759"/>
      <c r="AB34" s="1759"/>
      <c r="AC34" s="1759"/>
      <c r="AD34" s="1759"/>
      <c r="AE34" s="1759"/>
      <c r="AF34" s="1759"/>
      <c r="AG34" s="1874"/>
    </row>
    <row r="35" spans="1:35" ht="18" customHeight="1">
      <c r="B35" s="33" t="s">
        <v>27</v>
      </c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"/>
    </row>
    <row r="36" spans="1:35" ht="18" customHeight="1" thickBot="1">
      <c r="A36" s="1875" t="s">
        <v>28</v>
      </c>
      <c r="B36" s="1691" t="s">
        <v>29</v>
      </c>
      <c r="C36" s="1811">
        <v>1</v>
      </c>
      <c r="D36" s="1812">
        <v>2</v>
      </c>
      <c r="E36" s="1812">
        <v>3</v>
      </c>
      <c r="F36" s="1812">
        <v>4</v>
      </c>
      <c r="G36" s="1812">
        <v>5</v>
      </c>
      <c r="H36" s="1812">
        <v>6</v>
      </c>
      <c r="I36" s="1811">
        <v>7</v>
      </c>
      <c r="J36" s="1811">
        <v>8</v>
      </c>
      <c r="K36" s="1812">
        <v>9</v>
      </c>
      <c r="L36" s="1812">
        <v>10</v>
      </c>
      <c r="M36" s="1812">
        <v>11</v>
      </c>
      <c r="N36" s="1812">
        <v>12</v>
      </c>
      <c r="O36" s="1812">
        <v>13</v>
      </c>
      <c r="P36" s="1811">
        <v>14</v>
      </c>
      <c r="Q36" s="1811">
        <v>15</v>
      </c>
      <c r="R36" s="1812">
        <v>16</v>
      </c>
      <c r="S36" s="1812">
        <v>17</v>
      </c>
      <c r="T36" s="1812">
        <v>18</v>
      </c>
      <c r="U36" s="1812">
        <v>19</v>
      </c>
      <c r="V36" s="1812">
        <v>20</v>
      </c>
      <c r="W36" s="1811">
        <v>21</v>
      </c>
      <c r="X36" s="1811">
        <v>22</v>
      </c>
      <c r="Y36" s="1812">
        <v>23</v>
      </c>
      <c r="Z36" s="1812">
        <v>24</v>
      </c>
      <c r="AA36" s="1812">
        <v>25</v>
      </c>
      <c r="AB36" s="1812">
        <v>26</v>
      </c>
      <c r="AC36" s="1812">
        <v>27</v>
      </c>
      <c r="AD36" s="1811">
        <v>28</v>
      </c>
      <c r="AE36" s="1811">
        <v>29</v>
      </c>
      <c r="AF36" s="1812">
        <v>30</v>
      </c>
      <c r="AG36" s="1813"/>
      <c r="AH36" s="23"/>
      <c r="AI36" s="24"/>
    </row>
    <row r="37" spans="1:35" ht="18" customHeight="1">
      <c r="A37" s="728">
        <v>1</v>
      </c>
      <c r="B37" s="689" t="s">
        <v>66</v>
      </c>
      <c r="C37" s="472" t="s">
        <v>68</v>
      </c>
      <c r="D37" s="1816" t="s">
        <v>35</v>
      </c>
      <c r="E37" s="472" t="s">
        <v>35</v>
      </c>
      <c r="F37" s="472" t="s">
        <v>35</v>
      </c>
      <c r="G37" s="472" t="s">
        <v>35</v>
      </c>
      <c r="H37" s="472" t="s">
        <v>35</v>
      </c>
      <c r="I37" s="472" t="s">
        <v>69</v>
      </c>
      <c r="J37" s="1816" t="s">
        <v>69</v>
      </c>
      <c r="K37" s="472">
        <v>8</v>
      </c>
      <c r="L37" s="472">
        <v>8</v>
      </c>
      <c r="M37" s="472">
        <v>8</v>
      </c>
      <c r="N37" s="472">
        <v>8</v>
      </c>
      <c r="O37" s="1816">
        <v>8</v>
      </c>
      <c r="P37" s="472"/>
      <c r="Q37" s="471"/>
      <c r="R37" s="1816" t="s">
        <v>35</v>
      </c>
      <c r="S37" s="472" t="s">
        <v>35</v>
      </c>
      <c r="T37" s="472" t="s">
        <v>35</v>
      </c>
      <c r="U37" s="472" t="s">
        <v>35</v>
      </c>
      <c r="V37" s="472" t="s">
        <v>35</v>
      </c>
      <c r="W37" s="472"/>
      <c r="X37" s="471"/>
      <c r="Y37" s="471">
        <v>23</v>
      </c>
      <c r="Z37" s="472" t="s">
        <v>35</v>
      </c>
      <c r="AA37" s="1876" t="s">
        <v>35</v>
      </c>
      <c r="AB37" s="471">
        <v>23</v>
      </c>
      <c r="AC37" s="471" t="s">
        <v>35</v>
      </c>
      <c r="AD37" s="471"/>
      <c r="AE37" s="472"/>
      <c r="AF37" s="472">
        <v>9</v>
      </c>
      <c r="AG37" s="734"/>
      <c r="AH37" s="34"/>
      <c r="AI37" s="25"/>
    </row>
    <row r="38" spans="1:35" ht="18" customHeight="1">
      <c r="A38" s="1877">
        <v>6</v>
      </c>
      <c r="B38" s="1878" t="s">
        <v>355</v>
      </c>
      <c r="C38" s="1724" t="s">
        <v>72</v>
      </c>
      <c r="D38" s="1724" t="s">
        <v>35</v>
      </c>
      <c r="E38" s="1724" t="s">
        <v>35</v>
      </c>
      <c r="F38" s="1724" t="s">
        <v>35</v>
      </c>
      <c r="G38" s="1724" t="s">
        <v>35</v>
      </c>
      <c r="H38" s="1724" t="s">
        <v>35</v>
      </c>
      <c r="I38" s="1724" t="s">
        <v>75</v>
      </c>
      <c r="J38" s="1724" t="s">
        <v>69</v>
      </c>
      <c r="K38" s="1879">
        <v>6</v>
      </c>
      <c r="L38" s="1879">
        <v>6</v>
      </c>
      <c r="M38" s="1879">
        <v>6</v>
      </c>
      <c r="N38" s="1879">
        <v>6</v>
      </c>
      <c r="O38" s="1879">
        <v>6</v>
      </c>
      <c r="P38" s="1879"/>
      <c r="Q38" s="1879"/>
      <c r="R38" s="1879" t="s">
        <v>35</v>
      </c>
      <c r="S38" s="1879" t="s">
        <v>35</v>
      </c>
      <c r="T38" s="1879" t="s">
        <v>35</v>
      </c>
      <c r="U38" s="1879" t="s">
        <v>35</v>
      </c>
      <c r="V38" s="1879" t="s">
        <v>35</v>
      </c>
      <c r="W38" s="1879"/>
      <c r="X38" s="1879"/>
      <c r="Y38" s="1722">
        <v>5</v>
      </c>
      <c r="Z38" s="1722">
        <v>5</v>
      </c>
      <c r="AA38" s="1722">
        <v>5</v>
      </c>
      <c r="AB38" s="1722">
        <v>5</v>
      </c>
      <c r="AC38" s="1723" t="s">
        <v>400</v>
      </c>
      <c r="AD38" s="1879"/>
      <c r="AE38" s="1879"/>
      <c r="AF38" s="1879">
        <v>10</v>
      </c>
      <c r="AG38" s="1880"/>
      <c r="AH38" s="34"/>
      <c r="AI38" s="25"/>
    </row>
    <row r="39" spans="1:35" ht="18" customHeight="1" thickBot="1">
      <c r="A39" s="1881">
        <v>11</v>
      </c>
      <c r="B39" s="1882" t="s">
        <v>71</v>
      </c>
      <c r="C39" s="1883" t="s">
        <v>72</v>
      </c>
      <c r="D39" s="1883" t="s">
        <v>35</v>
      </c>
      <c r="E39" s="1883" t="s">
        <v>35</v>
      </c>
      <c r="F39" s="1883" t="s">
        <v>35</v>
      </c>
      <c r="G39" s="1883" t="s">
        <v>35</v>
      </c>
      <c r="H39" s="1883" t="s">
        <v>35</v>
      </c>
      <c r="I39" s="1883" t="s">
        <v>67</v>
      </c>
      <c r="J39" s="1883" t="s">
        <v>67</v>
      </c>
      <c r="K39" s="1884">
        <v>7</v>
      </c>
      <c r="L39" s="1884">
        <v>7</v>
      </c>
      <c r="M39" s="1884">
        <v>7</v>
      </c>
      <c r="N39" s="1884">
        <v>7</v>
      </c>
      <c r="O39" s="1884">
        <v>7</v>
      </c>
      <c r="P39" s="1737"/>
      <c r="Q39" s="1812"/>
      <c r="R39" s="1812">
        <v>4</v>
      </c>
      <c r="S39" s="1737">
        <v>4</v>
      </c>
      <c r="T39" s="1737">
        <v>4</v>
      </c>
      <c r="U39" s="1737">
        <v>4</v>
      </c>
      <c r="V39" s="1737">
        <v>4</v>
      </c>
      <c r="W39" s="1737"/>
      <c r="X39" s="1812"/>
      <c r="Y39" s="1737">
        <v>3</v>
      </c>
      <c r="Z39" s="1737">
        <v>3</v>
      </c>
      <c r="AA39" s="1737">
        <v>3</v>
      </c>
      <c r="AB39" s="1885">
        <v>3</v>
      </c>
      <c r="AC39" s="1885">
        <v>3</v>
      </c>
      <c r="AD39" s="1885"/>
      <c r="AE39" s="1737"/>
      <c r="AF39" s="1737">
        <v>11</v>
      </c>
      <c r="AG39" s="1886"/>
      <c r="AH39" s="34"/>
      <c r="AI39" s="25"/>
    </row>
    <row r="40" spans="1:35" ht="18" customHeight="1">
      <c r="A40" s="728">
        <v>2</v>
      </c>
      <c r="B40" s="35" t="s">
        <v>73</v>
      </c>
      <c r="C40" s="1816" t="s">
        <v>69</v>
      </c>
      <c r="D40" s="1816">
        <v>8</v>
      </c>
      <c r="E40" s="1816">
        <v>8</v>
      </c>
      <c r="F40" s="1816">
        <v>8</v>
      </c>
      <c r="G40" s="1816">
        <v>8</v>
      </c>
      <c r="H40" s="472">
        <v>8</v>
      </c>
      <c r="I40" s="472"/>
      <c r="J40" s="1816"/>
      <c r="K40" s="1816" t="s">
        <v>35</v>
      </c>
      <c r="L40" s="472" t="s">
        <v>35</v>
      </c>
      <c r="M40" s="472" t="s">
        <v>35</v>
      </c>
      <c r="N40" s="472" t="s">
        <v>35</v>
      </c>
      <c r="O40" s="471" t="s">
        <v>35</v>
      </c>
      <c r="P40" s="472"/>
      <c r="Q40" s="471"/>
      <c r="R40" s="471">
        <v>1</v>
      </c>
      <c r="S40" s="1816">
        <v>1</v>
      </c>
      <c r="T40" s="1816">
        <v>1</v>
      </c>
      <c r="U40" s="471">
        <v>1</v>
      </c>
      <c r="V40" s="471">
        <v>1</v>
      </c>
      <c r="W40" s="471"/>
      <c r="X40" s="472"/>
      <c r="Y40" s="472">
        <v>9</v>
      </c>
      <c r="Z40" s="472">
        <v>9</v>
      </c>
      <c r="AA40" s="472">
        <v>9</v>
      </c>
      <c r="AB40" s="472">
        <v>9</v>
      </c>
      <c r="AC40" s="471">
        <v>9</v>
      </c>
      <c r="AD40" s="471" t="s">
        <v>70</v>
      </c>
      <c r="AE40" s="472" t="s">
        <v>72</v>
      </c>
      <c r="AF40" s="472" t="s">
        <v>35</v>
      </c>
      <c r="AG40" s="734"/>
      <c r="AH40" s="34"/>
      <c r="AI40" s="25"/>
    </row>
    <row r="41" spans="1:35" ht="18" customHeight="1">
      <c r="A41" s="1877">
        <v>7</v>
      </c>
      <c r="B41" s="1721" t="s">
        <v>74</v>
      </c>
      <c r="C41" s="1728" t="s">
        <v>69</v>
      </c>
      <c r="D41" s="1887">
        <v>6</v>
      </c>
      <c r="E41" s="1728">
        <v>6</v>
      </c>
      <c r="F41" s="1728">
        <v>6</v>
      </c>
      <c r="G41" s="1728">
        <v>6</v>
      </c>
      <c r="H41" s="1728">
        <v>6</v>
      </c>
      <c r="I41" s="1728"/>
      <c r="J41" s="1887"/>
      <c r="K41" s="1888" t="s">
        <v>35</v>
      </c>
      <c r="L41" s="1888" t="s">
        <v>35</v>
      </c>
      <c r="M41" s="1888" t="s">
        <v>35</v>
      </c>
      <c r="N41" s="1728" t="s">
        <v>35</v>
      </c>
      <c r="O41" s="1728" t="s">
        <v>35</v>
      </c>
      <c r="P41" s="1728"/>
      <c r="Q41" s="1887"/>
      <c r="R41" s="1728">
        <v>5</v>
      </c>
      <c r="S41" s="1728">
        <v>5</v>
      </c>
      <c r="T41" s="1728">
        <v>5</v>
      </c>
      <c r="U41" s="1728">
        <v>5</v>
      </c>
      <c r="V41" s="1728">
        <v>5</v>
      </c>
      <c r="W41" s="1728"/>
      <c r="X41" s="1728"/>
      <c r="Y41" s="1728">
        <v>10</v>
      </c>
      <c r="Z41" s="1728">
        <v>10</v>
      </c>
      <c r="AA41" s="1728">
        <v>10</v>
      </c>
      <c r="AB41" s="1728">
        <v>10</v>
      </c>
      <c r="AC41" s="1728">
        <v>10</v>
      </c>
      <c r="AD41" s="1728" t="s">
        <v>72</v>
      </c>
      <c r="AE41" s="1728" t="s">
        <v>72</v>
      </c>
      <c r="AF41" s="1728" t="s">
        <v>35</v>
      </c>
      <c r="AG41" s="1889"/>
      <c r="AH41" s="34"/>
      <c r="AI41" s="25"/>
    </row>
    <row r="42" spans="1:35" ht="18" customHeight="1" thickBot="1">
      <c r="A42" s="1881">
        <v>12</v>
      </c>
      <c r="B42" s="1890" t="s">
        <v>76</v>
      </c>
      <c r="C42" s="1737" t="s">
        <v>67</v>
      </c>
      <c r="D42" s="1891">
        <v>7</v>
      </c>
      <c r="E42" s="1892">
        <v>7</v>
      </c>
      <c r="F42" s="1892">
        <v>7</v>
      </c>
      <c r="G42" s="1892">
        <v>7</v>
      </c>
      <c r="H42" s="1892">
        <v>7</v>
      </c>
      <c r="I42" s="1737"/>
      <c r="J42" s="1737"/>
      <c r="K42" s="1883">
        <v>4</v>
      </c>
      <c r="L42" s="1883">
        <v>4</v>
      </c>
      <c r="M42" s="1883">
        <v>4</v>
      </c>
      <c r="N42" s="1883">
        <v>4</v>
      </c>
      <c r="O42" s="1883">
        <v>4</v>
      </c>
      <c r="P42" s="1883"/>
      <c r="Q42" s="1883"/>
      <c r="R42" s="1883">
        <v>3</v>
      </c>
      <c r="S42" s="1883">
        <v>3</v>
      </c>
      <c r="T42" s="1883">
        <v>3</v>
      </c>
      <c r="U42" s="1883">
        <v>3</v>
      </c>
      <c r="V42" s="1883">
        <v>3</v>
      </c>
      <c r="W42" s="1883"/>
      <c r="X42" s="1883"/>
      <c r="Y42" s="1883">
        <v>11</v>
      </c>
      <c r="Z42" s="1883">
        <v>11</v>
      </c>
      <c r="AA42" s="1883">
        <v>11</v>
      </c>
      <c r="AB42" s="1883">
        <v>11</v>
      </c>
      <c r="AC42" s="1883">
        <v>11</v>
      </c>
      <c r="AD42" s="1883" t="s">
        <v>68</v>
      </c>
      <c r="AE42" s="1883" t="s">
        <v>68</v>
      </c>
      <c r="AF42" s="1812" t="s">
        <v>35</v>
      </c>
      <c r="AG42" s="1813"/>
      <c r="AH42" s="34"/>
      <c r="AI42" s="25"/>
    </row>
    <row r="43" spans="1:35" ht="18" customHeight="1">
      <c r="A43" s="728">
        <v>3</v>
      </c>
      <c r="B43" s="1154" t="s">
        <v>77</v>
      </c>
      <c r="C43" s="471"/>
      <c r="D43" s="471" t="s">
        <v>35</v>
      </c>
      <c r="E43" s="472" t="s">
        <v>35</v>
      </c>
      <c r="F43" s="472" t="s">
        <v>35</v>
      </c>
      <c r="G43" s="472" t="s">
        <v>35</v>
      </c>
      <c r="H43" s="472" t="s">
        <v>35</v>
      </c>
      <c r="I43" s="472"/>
      <c r="J43" s="471"/>
      <c r="K43" s="1818">
        <v>1</v>
      </c>
      <c r="L43" s="1818">
        <v>1</v>
      </c>
      <c r="M43" s="1818">
        <v>1</v>
      </c>
      <c r="N43" s="1818">
        <v>1</v>
      </c>
      <c r="O43" s="1818">
        <v>1</v>
      </c>
      <c r="P43" s="471"/>
      <c r="Q43" s="472"/>
      <c r="R43" s="472">
        <v>9</v>
      </c>
      <c r="S43" s="472">
        <v>9</v>
      </c>
      <c r="T43" s="472">
        <v>9</v>
      </c>
      <c r="U43" s="472">
        <v>9</v>
      </c>
      <c r="V43" s="471">
        <v>9</v>
      </c>
      <c r="W43" s="471" t="s">
        <v>70</v>
      </c>
      <c r="X43" s="1816" t="s">
        <v>72</v>
      </c>
      <c r="Y43" s="472" t="s">
        <v>35</v>
      </c>
      <c r="Z43" s="472" t="s">
        <v>35</v>
      </c>
      <c r="AA43" s="472" t="s">
        <v>35</v>
      </c>
      <c r="AB43" s="472" t="s">
        <v>35</v>
      </c>
      <c r="AC43" s="750" t="s">
        <v>35</v>
      </c>
      <c r="AD43" s="472" t="s">
        <v>75</v>
      </c>
      <c r="AE43" s="472" t="s">
        <v>69</v>
      </c>
      <c r="AF43" s="472">
        <v>6</v>
      </c>
      <c r="AG43" s="734"/>
      <c r="AH43" s="34"/>
      <c r="AI43" s="25"/>
    </row>
    <row r="44" spans="1:35" ht="18" customHeight="1">
      <c r="A44" s="1877">
        <v>8</v>
      </c>
      <c r="B44" s="1721" t="s">
        <v>358</v>
      </c>
      <c r="C44" s="1735"/>
      <c r="D44" s="1735" t="s">
        <v>35</v>
      </c>
      <c r="E44" s="1735" t="s">
        <v>35</v>
      </c>
      <c r="F44" s="1735" t="s">
        <v>35</v>
      </c>
      <c r="G44" s="1735" t="s">
        <v>35</v>
      </c>
      <c r="H44" s="1735" t="s">
        <v>35</v>
      </c>
      <c r="I44" s="1728"/>
      <c r="J44" s="1887"/>
      <c r="K44" s="1726">
        <v>5</v>
      </c>
      <c r="L44" s="1726">
        <v>5</v>
      </c>
      <c r="M44" s="1726">
        <v>5</v>
      </c>
      <c r="N44" s="1726">
        <v>5</v>
      </c>
      <c r="O44" s="1726">
        <v>5</v>
      </c>
      <c r="P44" s="1726"/>
      <c r="Q44" s="1726"/>
      <c r="R44" s="1726">
        <v>10</v>
      </c>
      <c r="S44" s="1726">
        <v>10</v>
      </c>
      <c r="T44" s="1726">
        <v>10</v>
      </c>
      <c r="U44" s="1726">
        <v>10</v>
      </c>
      <c r="V44" s="1726">
        <v>10</v>
      </c>
      <c r="W44" s="1726" t="s">
        <v>72</v>
      </c>
      <c r="X44" s="1726" t="s">
        <v>72</v>
      </c>
      <c r="Y44" s="1726" t="s">
        <v>35</v>
      </c>
      <c r="Z44" s="1726" t="s">
        <v>35</v>
      </c>
      <c r="AA44" s="1726" t="s">
        <v>35</v>
      </c>
      <c r="AB44" s="1726" t="s">
        <v>35</v>
      </c>
      <c r="AC44" s="1726" t="s">
        <v>35</v>
      </c>
      <c r="AD44" s="1726" t="s">
        <v>67</v>
      </c>
      <c r="AE44" s="1726" t="s">
        <v>67</v>
      </c>
      <c r="AF44" s="1728">
        <v>7</v>
      </c>
      <c r="AG44" s="1889"/>
      <c r="AH44" s="34"/>
      <c r="AI44" s="25"/>
    </row>
    <row r="45" spans="1:35" ht="18" customHeight="1" thickBot="1">
      <c r="A45" s="1881">
        <v>13</v>
      </c>
      <c r="B45" s="1882" t="s">
        <v>79</v>
      </c>
      <c r="C45" s="1883"/>
      <c r="D45" s="1883">
        <v>4</v>
      </c>
      <c r="E45" s="1883">
        <v>4</v>
      </c>
      <c r="F45" s="1883">
        <v>4</v>
      </c>
      <c r="G45" s="1883">
        <v>4</v>
      </c>
      <c r="H45" s="1883">
        <v>4</v>
      </c>
      <c r="I45" s="1883"/>
      <c r="J45" s="1883"/>
      <c r="K45" s="1737">
        <v>3</v>
      </c>
      <c r="L45" s="1885">
        <v>3</v>
      </c>
      <c r="M45" s="1737">
        <v>3</v>
      </c>
      <c r="N45" s="1885">
        <v>3</v>
      </c>
      <c r="O45" s="1885">
        <v>3</v>
      </c>
      <c r="P45" s="1885"/>
      <c r="Q45" s="1737"/>
      <c r="R45" s="1737">
        <v>11</v>
      </c>
      <c r="S45" s="1737">
        <v>11</v>
      </c>
      <c r="T45" s="1737">
        <v>11</v>
      </c>
      <c r="U45" s="1737">
        <v>11</v>
      </c>
      <c r="V45" s="1737">
        <v>11</v>
      </c>
      <c r="W45" s="1737" t="s">
        <v>68</v>
      </c>
      <c r="X45" s="1737" t="s">
        <v>68</v>
      </c>
      <c r="Y45" s="1812" t="s">
        <v>35</v>
      </c>
      <c r="Z45" s="1737" t="s">
        <v>35</v>
      </c>
      <c r="AA45" s="1737" t="s">
        <v>35</v>
      </c>
      <c r="AB45" s="1737" t="s">
        <v>35</v>
      </c>
      <c r="AC45" s="1737" t="s">
        <v>35</v>
      </c>
      <c r="AD45" s="1737" t="s">
        <v>69</v>
      </c>
      <c r="AE45" s="1812" t="s">
        <v>69</v>
      </c>
      <c r="AF45" s="1737">
        <v>8</v>
      </c>
      <c r="AG45" s="1886"/>
      <c r="AH45" s="34"/>
      <c r="AI45" s="25"/>
    </row>
    <row r="46" spans="1:35" ht="18" customHeight="1">
      <c r="A46" s="728">
        <v>4</v>
      </c>
      <c r="B46" s="689" t="s">
        <v>80</v>
      </c>
      <c r="C46" s="471"/>
      <c r="D46" s="471">
        <v>1</v>
      </c>
      <c r="E46" s="472">
        <v>1</v>
      </c>
      <c r="F46" s="472">
        <v>1</v>
      </c>
      <c r="G46" s="471">
        <v>1</v>
      </c>
      <c r="H46" s="471">
        <v>1</v>
      </c>
      <c r="I46" s="471"/>
      <c r="J46" s="472"/>
      <c r="K46" s="472">
        <v>9</v>
      </c>
      <c r="L46" s="471">
        <v>9</v>
      </c>
      <c r="M46" s="471">
        <v>9</v>
      </c>
      <c r="N46" s="472">
        <v>9</v>
      </c>
      <c r="O46" s="471">
        <v>9</v>
      </c>
      <c r="P46" s="471" t="s">
        <v>70</v>
      </c>
      <c r="Q46" s="1816" t="s">
        <v>72</v>
      </c>
      <c r="R46" s="472" t="s">
        <v>35</v>
      </c>
      <c r="S46" s="472" t="s">
        <v>35</v>
      </c>
      <c r="T46" s="472" t="s">
        <v>35</v>
      </c>
      <c r="U46" s="472" t="s">
        <v>35</v>
      </c>
      <c r="V46" s="750" t="s">
        <v>35</v>
      </c>
      <c r="W46" s="472" t="s">
        <v>75</v>
      </c>
      <c r="X46" s="472" t="s">
        <v>69</v>
      </c>
      <c r="Y46" s="1816">
        <v>6</v>
      </c>
      <c r="Z46" s="472">
        <v>6</v>
      </c>
      <c r="AA46" s="472">
        <v>6</v>
      </c>
      <c r="AB46" s="472">
        <v>6</v>
      </c>
      <c r="AC46" s="472">
        <v>6</v>
      </c>
      <c r="AD46" s="472"/>
      <c r="AE46" s="471"/>
      <c r="AF46" s="472" t="s">
        <v>35</v>
      </c>
      <c r="AG46" s="734"/>
      <c r="AH46" s="34"/>
      <c r="AI46" s="25"/>
    </row>
    <row r="47" spans="1:35" ht="18" customHeight="1">
      <c r="A47" s="1877">
        <v>9</v>
      </c>
      <c r="B47" s="1721" t="s">
        <v>81</v>
      </c>
      <c r="C47" s="1887"/>
      <c r="D47" s="1728">
        <v>5</v>
      </c>
      <c r="E47" s="1728">
        <v>5</v>
      </c>
      <c r="F47" s="1728">
        <v>5</v>
      </c>
      <c r="G47" s="1728">
        <v>5</v>
      </c>
      <c r="H47" s="1728">
        <v>5</v>
      </c>
      <c r="I47" s="1728"/>
      <c r="J47" s="1728"/>
      <c r="K47" s="1728">
        <v>10</v>
      </c>
      <c r="L47" s="1728">
        <v>10</v>
      </c>
      <c r="M47" s="1728">
        <v>10</v>
      </c>
      <c r="N47" s="1728">
        <v>10</v>
      </c>
      <c r="O47" s="1728">
        <v>10</v>
      </c>
      <c r="P47" s="1728" t="s">
        <v>72</v>
      </c>
      <c r="Q47" s="1887" t="s">
        <v>72</v>
      </c>
      <c r="R47" s="1728" t="s">
        <v>35</v>
      </c>
      <c r="S47" s="1728" t="s">
        <v>35</v>
      </c>
      <c r="T47" s="1728" t="s">
        <v>35</v>
      </c>
      <c r="U47" s="1728" t="s">
        <v>35</v>
      </c>
      <c r="V47" s="1728" t="s">
        <v>35</v>
      </c>
      <c r="W47" s="1728" t="s">
        <v>67</v>
      </c>
      <c r="X47" s="1728" t="s">
        <v>67</v>
      </c>
      <c r="Y47" s="1728">
        <v>7</v>
      </c>
      <c r="Z47" s="1728">
        <v>7</v>
      </c>
      <c r="AA47" s="1728">
        <v>7</v>
      </c>
      <c r="AB47" s="1728">
        <v>7</v>
      </c>
      <c r="AC47" s="1728">
        <v>7</v>
      </c>
      <c r="AD47" s="1728"/>
      <c r="AE47" s="1728"/>
      <c r="AF47" s="1830">
        <v>4</v>
      </c>
      <c r="AG47" s="1889"/>
      <c r="AH47" s="34"/>
      <c r="AI47" s="25"/>
    </row>
    <row r="48" spans="1:35" ht="18" customHeight="1" thickBot="1">
      <c r="A48" s="1881">
        <v>14</v>
      </c>
      <c r="B48" s="1882" t="s">
        <v>82</v>
      </c>
      <c r="C48" s="1812"/>
      <c r="D48" s="1884">
        <v>3</v>
      </c>
      <c r="E48" s="1884">
        <v>3</v>
      </c>
      <c r="F48" s="1884">
        <v>3</v>
      </c>
      <c r="G48" s="1884">
        <v>3</v>
      </c>
      <c r="H48" s="1884">
        <v>3</v>
      </c>
      <c r="I48" s="1885"/>
      <c r="J48" s="1737"/>
      <c r="K48" s="1737">
        <v>11</v>
      </c>
      <c r="L48" s="1737">
        <v>11</v>
      </c>
      <c r="M48" s="1737">
        <v>11</v>
      </c>
      <c r="N48" s="1737">
        <v>11</v>
      </c>
      <c r="O48" s="1812">
        <v>11</v>
      </c>
      <c r="P48" s="1737" t="s">
        <v>68</v>
      </c>
      <c r="Q48" s="1737" t="s">
        <v>68</v>
      </c>
      <c r="R48" s="1812" t="s">
        <v>35</v>
      </c>
      <c r="S48" s="1737" t="s">
        <v>35</v>
      </c>
      <c r="T48" s="1737" t="s">
        <v>35</v>
      </c>
      <c r="U48" s="1737" t="s">
        <v>35</v>
      </c>
      <c r="V48" s="1737" t="s">
        <v>35</v>
      </c>
      <c r="W48" s="1737" t="s">
        <v>69</v>
      </c>
      <c r="X48" s="1812" t="s">
        <v>69</v>
      </c>
      <c r="Y48" s="1884">
        <v>8</v>
      </c>
      <c r="Z48" s="1884">
        <v>8</v>
      </c>
      <c r="AA48" s="1884">
        <v>8</v>
      </c>
      <c r="AB48" s="1884">
        <v>8</v>
      </c>
      <c r="AC48" s="1884">
        <v>8</v>
      </c>
      <c r="AD48" s="1737"/>
      <c r="AE48" s="1737"/>
      <c r="AF48" s="1812" t="s">
        <v>35</v>
      </c>
      <c r="AG48" s="1813"/>
      <c r="AH48" s="34"/>
      <c r="AI48" s="25"/>
    </row>
    <row r="49" spans="1:35" ht="18" customHeight="1">
      <c r="A49" s="728">
        <v>5</v>
      </c>
      <c r="B49" s="1721" t="s">
        <v>83</v>
      </c>
      <c r="C49" s="472"/>
      <c r="D49" s="472">
        <v>9</v>
      </c>
      <c r="E49" s="472">
        <v>9</v>
      </c>
      <c r="F49" s="472">
        <v>9</v>
      </c>
      <c r="G49" s="472">
        <v>9</v>
      </c>
      <c r="H49" s="471">
        <v>9</v>
      </c>
      <c r="I49" s="471" t="s">
        <v>70</v>
      </c>
      <c r="J49" s="1816" t="s">
        <v>72</v>
      </c>
      <c r="K49" s="1147" t="s">
        <v>35</v>
      </c>
      <c r="L49" s="1147" t="s">
        <v>35</v>
      </c>
      <c r="M49" s="1147" t="s">
        <v>35</v>
      </c>
      <c r="N49" s="1147" t="s">
        <v>35</v>
      </c>
      <c r="O49" s="1147" t="s">
        <v>35</v>
      </c>
      <c r="P49" s="1147" t="s">
        <v>75</v>
      </c>
      <c r="Q49" s="1147" t="s">
        <v>69</v>
      </c>
      <c r="R49" s="1147">
        <v>6</v>
      </c>
      <c r="S49" s="1147">
        <v>6</v>
      </c>
      <c r="T49" s="1147">
        <v>6</v>
      </c>
      <c r="U49" s="1147">
        <v>6</v>
      </c>
      <c r="V49" s="1147">
        <v>6</v>
      </c>
      <c r="W49" s="1147"/>
      <c r="X49" s="1147"/>
      <c r="Y49" s="1147" t="s">
        <v>35</v>
      </c>
      <c r="Z49" s="1147" t="s">
        <v>35</v>
      </c>
      <c r="AA49" s="1147" t="s">
        <v>35</v>
      </c>
      <c r="AB49" s="1147" t="s">
        <v>35</v>
      </c>
      <c r="AC49" s="1147" t="s">
        <v>35</v>
      </c>
      <c r="AD49" s="1147"/>
      <c r="AE49" s="1147"/>
      <c r="AF49" s="1147">
        <v>5</v>
      </c>
      <c r="AG49" s="760"/>
      <c r="AH49" s="34"/>
      <c r="AI49" s="25"/>
    </row>
    <row r="50" spans="1:35" ht="18" customHeight="1">
      <c r="A50" s="1877">
        <v>10</v>
      </c>
      <c r="B50" s="1721" t="s">
        <v>84</v>
      </c>
      <c r="C50" s="1728"/>
      <c r="D50" s="1728">
        <v>10</v>
      </c>
      <c r="E50" s="1728">
        <v>10</v>
      </c>
      <c r="F50" s="1735">
        <v>10</v>
      </c>
      <c r="G50" s="1879">
        <v>10</v>
      </c>
      <c r="H50" s="1879">
        <v>10</v>
      </c>
      <c r="I50" s="1879" t="s">
        <v>72</v>
      </c>
      <c r="J50" s="1879" t="s">
        <v>72</v>
      </c>
      <c r="K50" s="1879" t="s">
        <v>35</v>
      </c>
      <c r="L50" s="1879" t="s">
        <v>35</v>
      </c>
      <c r="M50" s="1879" t="s">
        <v>35</v>
      </c>
      <c r="N50" s="1879" t="s">
        <v>35</v>
      </c>
      <c r="O50" s="1879" t="s">
        <v>35</v>
      </c>
      <c r="P50" s="1879" t="s">
        <v>67</v>
      </c>
      <c r="Q50" s="1879" t="s">
        <v>67</v>
      </c>
      <c r="R50" s="1879">
        <v>7</v>
      </c>
      <c r="S50" s="1879">
        <v>7</v>
      </c>
      <c r="T50" s="1879">
        <v>7</v>
      </c>
      <c r="U50" s="1879">
        <v>7</v>
      </c>
      <c r="V50" s="1879">
        <v>7</v>
      </c>
      <c r="W50" s="1735"/>
      <c r="X50" s="1728"/>
      <c r="Y50" s="1887">
        <v>4</v>
      </c>
      <c r="Z50" s="1728">
        <v>4</v>
      </c>
      <c r="AA50" s="1830">
        <v>4</v>
      </c>
      <c r="AB50" s="1728">
        <v>4</v>
      </c>
      <c r="AC50" s="1728">
        <v>4</v>
      </c>
      <c r="AD50" s="1728"/>
      <c r="AE50" s="1728"/>
      <c r="AF50" s="1830">
        <v>3</v>
      </c>
      <c r="AG50" s="1889"/>
      <c r="AH50" s="34"/>
      <c r="AI50" s="25"/>
    </row>
    <row r="51" spans="1:35" ht="18" customHeight="1" thickBot="1">
      <c r="A51" s="1881">
        <v>15</v>
      </c>
      <c r="B51" s="1882" t="s">
        <v>85</v>
      </c>
      <c r="C51" s="1883"/>
      <c r="D51" s="1883">
        <v>11</v>
      </c>
      <c r="E51" s="1883">
        <v>11</v>
      </c>
      <c r="F51" s="1883">
        <v>11</v>
      </c>
      <c r="G51" s="1883">
        <v>11</v>
      </c>
      <c r="H51" s="1883">
        <v>11</v>
      </c>
      <c r="I51" s="1883" t="s">
        <v>68</v>
      </c>
      <c r="J51" s="1883" t="s">
        <v>68</v>
      </c>
      <c r="K51" s="1812" t="s">
        <v>35</v>
      </c>
      <c r="L51" s="1737" t="s">
        <v>35</v>
      </c>
      <c r="M51" s="1737" t="s">
        <v>35</v>
      </c>
      <c r="N51" s="1737" t="s">
        <v>35</v>
      </c>
      <c r="O51" s="1737" t="s">
        <v>35</v>
      </c>
      <c r="P51" s="1737" t="s">
        <v>69</v>
      </c>
      <c r="Q51" s="1812" t="s">
        <v>69</v>
      </c>
      <c r="R51" s="1737">
        <v>8</v>
      </c>
      <c r="S51" s="1737">
        <v>8</v>
      </c>
      <c r="T51" s="1737">
        <v>8</v>
      </c>
      <c r="U51" s="1737">
        <v>8</v>
      </c>
      <c r="V51" s="1737">
        <v>8</v>
      </c>
      <c r="W51" s="1737"/>
      <c r="X51" s="1737"/>
      <c r="Y51" s="1812" t="s">
        <v>35</v>
      </c>
      <c r="Z51" s="1737" t="s">
        <v>35</v>
      </c>
      <c r="AA51" s="1737" t="s">
        <v>35</v>
      </c>
      <c r="AB51" s="1737" t="s">
        <v>35</v>
      </c>
      <c r="AC51" s="1737" t="s">
        <v>35</v>
      </c>
      <c r="AD51" s="1737"/>
      <c r="AE51" s="1812"/>
      <c r="AF51" s="1885">
        <v>1</v>
      </c>
      <c r="AG51" s="1893"/>
      <c r="AH51" s="34"/>
      <c r="AI51" s="25"/>
    </row>
    <row r="52" spans="1:35" ht="18" customHeight="1">
      <c r="A52" s="29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"/>
    </row>
    <row r="53" spans="1:35" ht="18" customHeight="1">
      <c r="A53" s="36"/>
      <c r="B53" s="37" t="s">
        <v>86</v>
      </c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1"/>
    </row>
    <row r="54" spans="1:35" ht="18" customHeight="1">
      <c r="A54" s="1894" t="s">
        <v>28</v>
      </c>
      <c r="B54" s="1894"/>
      <c r="C54" s="1895"/>
      <c r="D54" s="1894" t="s">
        <v>87</v>
      </c>
      <c r="E54" s="1896"/>
      <c r="F54" s="1895"/>
      <c r="G54" s="1894" t="s">
        <v>88</v>
      </c>
      <c r="H54" s="1896"/>
      <c r="I54" s="1895"/>
      <c r="J54" s="1894" t="s">
        <v>89</v>
      </c>
      <c r="K54" s="1896"/>
      <c r="L54" s="1895"/>
      <c r="M54" s="1894" t="s">
        <v>90</v>
      </c>
      <c r="N54" s="1896"/>
      <c r="O54" s="1895"/>
      <c r="P54" s="1894" t="s">
        <v>91</v>
      </c>
      <c r="Q54" s="1896"/>
      <c r="R54" s="1897"/>
      <c r="S54" s="1898" t="s">
        <v>92</v>
      </c>
      <c r="T54" s="1896"/>
      <c r="U54" s="1895"/>
      <c r="V54" s="1894" t="s">
        <v>93</v>
      </c>
      <c r="W54" s="1896"/>
      <c r="X54" s="1899" t="s">
        <v>94</v>
      </c>
      <c r="Y54" s="1896"/>
      <c r="Z54" s="1896"/>
      <c r="AA54" s="1900"/>
      <c r="AB54" s="1795"/>
      <c r="AC54" s="1795"/>
      <c r="AD54" s="1795"/>
      <c r="AE54" s="1795"/>
      <c r="AF54" s="1795"/>
      <c r="AG54" s="1796"/>
      <c r="AH54" s="1"/>
    </row>
    <row r="55" spans="1:35" ht="18" customHeight="1">
      <c r="A55" s="1901">
        <v>8517</v>
      </c>
      <c r="B55" s="1828" t="s">
        <v>95</v>
      </c>
      <c r="C55" s="1902" t="s">
        <v>96</v>
      </c>
      <c r="D55" s="1903"/>
      <c r="E55" s="1794"/>
      <c r="F55" s="1902" t="s">
        <v>96</v>
      </c>
      <c r="G55" s="1903"/>
      <c r="H55" s="1794"/>
      <c r="I55" s="1902" t="s">
        <v>96</v>
      </c>
      <c r="J55" s="1903"/>
      <c r="K55" s="1794"/>
      <c r="L55" s="1902" t="s">
        <v>96</v>
      </c>
      <c r="M55" s="1903"/>
      <c r="N55" s="1794"/>
      <c r="O55" s="1902" t="s">
        <v>97</v>
      </c>
      <c r="P55" s="1903"/>
      <c r="Q55" s="1794"/>
      <c r="R55" s="1902" t="s">
        <v>96</v>
      </c>
      <c r="S55" s="1903"/>
      <c r="T55" s="1794"/>
      <c r="U55" s="1902" t="s">
        <v>96</v>
      </c>
      <c r="V55" s="1903"/>
      <c r="W55" s="1794"/>
      <c r="X55" s="1793"/>
      <c r="Y55" s="1795"/>
      <c r="Z55" s="1795"/>
      <c r="AA55" s="1795"/>
      <c r="AB55" s="1795"/>
      <c r="AC55" s="1795"/>
      <c r="AD55" s="1795"/>
      <c r="AE55" s="1795"/>
      <c r="AF55" s="1795"/>
      <c r="AG55" s="1796"/>
      <c r="AH55" s="1"/>
    </row>
    <row r="56" spans="1:35" ht="18" customHeight="1">
      <c r="B56" s="1745" t="s">
        <v>98</v>
      </c>
      <c r="C56" s="1904" t="s">
        <v>99</v>
      </c>
      <c r="D56" s="1905"/>
      <c r="E56" s="1906"/>
      <c r="F56" s="1904" t="s">
        <v>99</v>
      </c>
      <c r="G56" s="1907"/>
      <c r="H56" s="1906"/>
      <c r="I56" s="1902" t="s">
        <v>99</v>
      </c>
      <c r="J56" s="1903"/>
      <c r="K56" s="1908"/>
      <c r="L56" s="1902" t="s">
        <v>99</v>
      </c>
      <c r="M56" s="1903"/>
      <c r="N56" s="1908"/>
      <c r="O56" s="1902" t="s">
        <v>100</v>
      </c>
      <c r="P56" s="1903"/>
      <c r="Q56" s="1794"/>
      <c r="R56" s="1909" t="s">
        <v>0</v>
      </c>
      <c r="S56" s="1903"/>
      <c r="T56" s="1908"/>
      <c r="U56" s="1903" t="s">
        <v>0</v>
      </c>
      <c r="V56" s="1903"/>
      <c r="W56" s="1794"/>
      <c r="X56" s="508" t="s">
        <v>0</v>
      </c>
      <c r="Y56" s="17"/>
      <c r="Z56" s="17"/>
      <c r="AA56" s="17"/>
      <c r="AB56" s="17"/>
      <c r="AC56" s="17"/>
      <c r="AD56" s="17"/>
      <c r="AE56" s="17"/>
      <c r="AF56" s="17"/>
      <c r="AG56" s="39"/>
      <c r="AH56" s="1"/>
    </row>
    <row r="57" spans="1:35" ht="18" customHeight="1">
      <c r="A57" s="1910"/>
      <c r="B57" s="1828" t="s">
        <v>101</v>
      </c>
      <c r="C57" s="1902" t="s">
        <v>102</v>
      </c>
      <c r="D57" s="1903"/>
      <c r="E57" s="1794"/>
      <c r="F57" s="1902" t="s">
        <v>102</v>
      </c>
      <c r="G57" s="1903"/>
      <c r="H57" s="1908"/>
      <c r="I57" s="1902" t="s">
        <v>102</v>
      </c>
      <c r="J57" s="1903"/>
      <c r="K57" s="1908"/>
      <c r="L57" s="1902" t="s">
        <v>102</v>
      </c>
      <c r="M57" s="1903"/>
      <c r="N57" s="1908"/>
      <c r="O57" s="1902" t="s">
        <v>103</v>
      </c>
      <c r="P57" s="1903"/>
      <c r="Q57" s="1794"/>
      <c r="R57" s="40"/>
      <c r="S57" s="41"/>
      <c r="T57" s="1908"/>
      <c r="U57" s="1903"/>
      <c r="V57" s="1903"/>
      <c r="W57" s="1794"/>
      <c r="X57" s="1793"/>
      <c r="Y57" s="1795"/>
      <c r="Z57" s="1795"/>
      <c r="AA57" s="1795"/>
      <c r="AB57" s="1795"/>
      <c r="AC57" s="1795"/>
      <c r="AD57" s="1795"/>
      <c r="AE57" s="1795"/>
      <c r="AF57" s="1795"/>
      <c r="AG57" s="1796"/>
      <c r="AH57" s="1"/>
    </row>
    <row r="58" spans="1:35" ht="18" customHeight="1">
      <c r="A58" s="1894"/>
      <c r="B58" s="1745" t="s">
        <v>104</v>
      </c>
      <c r="C58" s="1911" t="s">
        <v>105</v>
      </c>
      <c r="D58" s="1911"/>
      <c r="E58" s="1912"/>
      <c r="F58" s="1911" t="s">
        <v>105</v>
      </c>
      <c r="G58" s="1911"/>
      <c r="H58" s="1912"/>
      <c r="I58" s="1911" t="s">
        <v>105</v>
      </c>
      <c r="J58" s="1911"/>
      <c r="K58" s="1912"/>
      <c r="L58" s="1911" t="s">
        <v>105</v>
      </c>
      <c r="M58" s="1911"/>
      <c r="N58" s="1912"/>
      <c r="O58" s="1911" t="s">
        <v>105</v>
      </c>
      <c r="P58" s="1911"/>
      <c r="Q58" s="1912"/>
      <c r="R58" s="1911" t="s">
        <v>105</v>
      </c>
      <c r="S58" s="1911"/>
      <c r="T58" s="1912"/>
      <c r="U58" s="1911" t="s">
        <v>105</v>
      </c>
      <c r="V58" s="1911"/>
      <c r="W58" s="1912"/>
      <c r="X58" s="1793"/>
      <c r="Y58" s="1795"/>
      <c r="Z58" s="1795"/>
      <c r="AA58" s="1795"/>
      <c r="AB58" s="1795"/>
      <c r="AC58" s="1795"/>
      <c r="AD58" s="1795"/>
      <c r="AE58" s="1795"/>
      <c r="AF58" s="1795"/>
      <c r="AG58" s="1796"/>
      <c r="AH58" s="1"/>
    </row>
    <row r="59" spans="1:35" ht="18" customHeight="1">
      <c r="A59" s="42"/>
      <c r="B59" s="29"/>
      <c r="C59" s="22"/>
      <c r="D59" s="22"/>
      <c r="E59" s="18"/>
      <c r="F59" s="22"/>
      <c r="G59" s="22"/>
      <c r="H59" s="18"/>
      <c r="I59" s="22"/>
      <c r="J59" s="22"/>
      <c r="K59" s="18"/>
      <c r="L59" s="22"/>
      <c r="M59" s="22"/>
      <c r="N59" s="18"/>
      <c r="O59" s="22"/>
      <c r="P59" s="22"/>
      <c r="Q59" s="18"/>
      <c r="R59" s="22"/>
      <c r="S59" s="22"/>
      <c r="T59" s="18"/>
      <c r="U59" s="22"/>
      <c r="V59" s="22"/>
      <c r="W59" s="18"/>
      <c r="X59" s="18"/>
      <c r="Y59" s="17"/>
      <c r="Z59" s="17"/>
      <c r="AA59" s="17"/>
      <c r="AB59" s="17"/>
      <c r="AC59" s="17"/>
      <c r="AD59" s="17"/>
      <c r="AE59" s="17"/>
      <c r="AF59" s="17"/>
      <c r="AG59" s="17"/>
      <c r="AH59" s="1"/>
    </row>
    <row r="60" spans="1:35" ht="18" customHeight="1" thickBot="1">
      <c r="A60" s="1690"/>
      <c r="B60" s="1691" t="s">
        <v>29</v>
      </c>
      <c r="C60" s="1913">
        <v>1</v>
      </c>
      <c r="D60" s="1914">
        <v>2</v>
      </c>
      <c r="E60" s="1914">
        <v>3</v>
      </c>
      <c r="F60" s="1914">
        <v>4</v>
      </c>
      <c r="G60" s="1914">
        <v>5</v>
      </c>
      <c r="H60" s="1914">
        <v>6</v>
      </c>
      <c r="I60" s="1913">
        <v>7</v>
      </c>
      <c r="J60" s="1913">
        <v>8</v>
      </c>
      <c r="K60" s="1914">
        <v>9</v>
      </c>
      <c r="L60" s="1914">
        <v>10</v>
      </c>
      <c r="M60" s="1914">
        <v>11</v>
      </c>
      <c r="N60" s="1914">
        <v>12</v>
      </c>
      <c r="O60" s="1914">
        <v>13</v>
      </c>
      <c r="P60" s="1913">
        <v>14</v>
      </c>
      <c r="Q60" s="1913">
        <v>15</v>
      </c>
      <c r="R60" s="1914">
        <v>16</v>
      </c>
      <c r="S60" s="1914">
        <v>17</v>
      </c>
      <c r="T60" s="1914">
        <v>18</v>
      </c>
      <c r="U60" s="1914">
        <v>19</v>
      </c>
      <c r="V60" s="1914">
        <v>20</v>
      </c>
      <c r="W60" s="1913">
        <v>21</v>
      </c>
      <c r="X60" s="1913">
        <v>22</v>
      </c>
      <c r="Y60" s="1914">
        <v>23</v>
      </c>
      <c r="Z60" s="1914">
        <v>24</v>
      </c>
      <c r="AA60" s="1914">
        <v>25</v>
      </c>
      <c r="AB60" s="1914">
        <v>26</v>
      </c>
      <c r="AC60" s="1914">
        <v>27</v>
      </c>
      <c r="AD60" s="1913">
        <v>28</v>
      </c>
      <c r="AE60" s="1913">
        <v>29</v>
      </c>
      <c r="AF60" s="1914">
        <v>30</v>
      </c>
      <c r="AG60" s="1915"/>
      <c r="AH60" s="1"/>
    </row>
    <row r="61" spans="1:35" ht="18" customHeight="1">
      <c r="A61" s="789"/>
      <c r="B61" s="789" t="s">
        <v>177</v>
      </c>
      <c r="C61" s="790"/>
      <c r="D61" s="790" t="s">
        <v>136</v>
      </c>
      <c r="E61" s="790" t="s">
        <v>136</v>
      </c>
      <c r="F61" s="790" t="s">
        <v>136</v>
      </c>
      <c r="G61" s="790" t="s">
        <v>136</v>
      </c>
      <c r="H61" s="790" t="s">
        <v>136</v>
      </c>
      <c r="I61" s="817"/>
      <c r="J61" s="817"/>
      <c r="K61" s="790" t="s">
        <v>136</v>
      </c>
      <c r="L61" s="790" t="s">
        <v>136</v>
      </c>
      <c r="M61" s="790" t="s">
        <v>136</v>
      </c>
      <c r="N61" s="790" t="s">
        <v>136</v>
      </c>
      <c r="O61" s="790" t="s">
        <v>136</v>
      </c>
      <c r="P61" s="1839"/>
      <c r="Q61" s="1839"/>
      <c r="R61" s="790" t="s">
        <v>136</v>
      </c>
      <c r="S61" s="790" t="s">
        <v>136</v>
      </c>
      <c r="T61" s="790" t="s">
        <v>136</v>
      </c>
      <c r="U61" s="790" t="s">
        <v>136</v>
      </c>
      <c r="V61" s="790" t="s">
        <v>136</v>
      </c>
      <c r="W61" s="1839"/>
      <c r="X61" s="1839"/>
      <c r="Y61" s="790" t="s">
        <v>136</v>
      </c>
      <c r="Z61" s="790" t="s">
        <v>136</v>
      </c>
      <c r="AA61" s="790" t="s">
        <v>136</v>
      </c>
      <c r="AB61" s="790" t="s">
        <v>136</v>
      </c>
      <c r="AC61" s="790" t="s">
        <v>136</v>
      </c>
      <c r="AD61" s="817" t="s">
        <v>108</v>
      </c>
      <c r="AE61" s="817" t="s">
        <v>108</v>
      </c>
      <c r="AF61" s="817" t="s">
        <v>35</v>
      </c>
      <c r="AG61" s="795"/>
      <c r="AH61" s="1"/>
    </row>
    <row r="62" spans="1:35" ht="18" customHeight="1">
      <c r="A62" s="1916"/>
      <c r="B62" s="1916" t="s">
        <v>106</v>
      </c>
      <c r="C62" s="1744"/>
      <c r="D62" s="1917">
        <v>4</v>
      </c>
      <c r="E62" s="1917">
        <v>4</v>
      </c>
      <c r="F62" s="1917">
        <v>4</v>
      </c>
      <c r="G62" s="1917">
        <v>4</v>
      </c>
      <c r="H62" s="1917">
        <v>4</v>
      </c>
      <c r="I62" s="1918" t="s">
        <v>67</v>
      </c>
      <c r="J62" s="1918" t="s">
        <v>67</v>
      </c>
      <c r="K62" s="1919" t="s">
        <v>351</v>
      </c>
      <c r="L62" s="1849" t="s">
        <v>35</v>
      </c>
      <c r="M62" s="1849" t="s">
        <v>35</v>
      </c>
      <c r="N62" s="1849" t="s">
        <v>35</v>
      </c>
      <c r="O62" s="1849" t="s">
        <v>35</v>
      </c>
      <c r="P62" s="1920" t="s">
        <v>75</v>
      </c>
      <c r="Q62" s="1920" t="s">
        <v>69</v>
      </c>
      <c r="R62" s="1921">
        <v>3</v>
      </c>
      <c r="S62" s="1921">
        <v>3</v>
      </c>
      <c r="T62" s="1921">
        <v>3</v>
      </c>
      <c r="U62" s="1749">
        <v>3</v>
      </c>
      <c r="V62" s="1749">
        <v>26</v>
      </c>
      <c r="W62" s="1922"/>
      <c r="X62" s="1854"/>
      <c r="Y62" s="1921">
        <v>21</v>
      </c>
      <c r="Z62" s="1921">
        <v>21</v>
      </c>
      <c r="AA62" s="1921">
        <v>21</v>
      </c>
      <c r="AB62" s="1921">
        <v>21</v>
      </c>
      <c r="AC62" s="1921">
        <v>21</v>
      </c>
      <c r="AD62" s="1921">
        <v>21</v>
      </c>
      <c r="AE62" s="1921">
        <v>21</v>
      </c>
      <c r="AF62" s="1923" t="s">
        <v>35</v>
      </c>
      <c r="AG62" s="1614"/>
      <c r="AH62" s="1"/>
    </row>
    <row r="63" spans="1:35" ht="18" customHeight="1">
      <c r="A63" s="1845"/>
      <c r="B63" s="1878" t="s">
        <v>111</v>
      </c>
      <c r="C63" s="1744">
        <v>26</v>
      </c>
      <c r="D63" s="1849" t="s">
        <v>35</v>
      </c>
      <c r="E63" s="1849" t="s">
        <v>35</v>
      </c>
      <c r="F63" s="1849" t="s">
        <v>35</v>
      </c>
      <c r="G63" s="1849">
        <v>99</v>
      </c>
      <c r="H63" s="1849" t="s">
        <v>35</v>
      </c>
      <c r="I63" s="1849"/>
      <c r="J63" s="1849"/>
      <c r="K63" s="1849">
        <v>5</v>
      </c>
      <c r="L63" s="1744">
        <v>5</v>
      </c>
      <c r="M63" s="1744">
        <v>5</v>
      </c>
      <c r="N63" s="1849">
        <v>5</v>
      </c>
      <c r="O63" s="1849">
        <v>5</v>
      </c>
      <c r="P63" s="1849" t="s">
        <v>45</v>
      </c>
      <c r="Q63" s="1849" t="s">
        <v>45</v>
      </c>
      <c r="R63" s="1849">
        <v>26</v>
      </c>
      <c r="S63" s="1849">
        <v>26</v>
      </c>
      <c r="T63" s="1849">
        <v>26</v>
      </c>
      <c r="U63" s="1849">
        <v>26</v>
      </c>
      <c r="V63" s="1846" t="s">
        <v>31</v>
      </c>
      <c r="W63" s="1846"/>
      <c r="X63" s="1846"/>
      <c r="Y63" s="1846" t="s">
        <v>31</v>
      </c>
      <c r="Z63" s="1712" t="s">
        <v>31</v>
      </c>
      <c r="AA63" s="1924" t="s">
        <v>233</v>
      </c>
      <c r="AB63" s="1849" t="s">
        <v>128</v>
      </c>
      <c r="AC63" s="1712" t="s">
        <v>128</v>
      </c>
      <c r="AD63" s="1849" t="s">
        <v>67</v>
      </c>
      <c r="AE63" s="1849" t="s">
        <v>67</v>
      </c>
      <c r="AF63" s="1849" t="s">
        <v>35</v>
      </c>
      <c r="AG63" s="1614"/>
      <c r="AH63" s="1"/>
    </row>
    <row r="64" spans="1:35" ht="18" customHeight="1">
      <c r="A64" s="1878"/>
      <c r="B64" s="1925" t="s">
        <v>379</v>
      </c>
      <c r="C64" s="1744"/>
      <c r="D64" s="1922">
        <v>11</v>
      </c>
      <c r="E64" s="1922">
        <v>11</v>
      </c>
      <c r="F64" s="1922">
        <v>11</v>
      </c>
      <c r="G64" s="1922">
        <v>11</v>
      </c>
      <c r="H64" s="1744">
        <v>11</v>
      </c>
      <c r="I64" s="1922" t="s">
        <v>68</v>
      </c>
      <c r="J64" s="1922" t="s">
        <v>68</v>
      </c>
      <c r="K64" s="1849" t="s">
        <v>35</v>
      </c>
      <c r="L64" s="1849" t="s">
        <v>35</v>
      </c>
      <c r="M64" s="1926" t="s">
        <v>35</v>
      </c>
      <c r="N64" s="1849" t="s">
        <v>35</v>
      </c>
      <c r="O64" s="1927" t="s">
        <v>251</v>
      </c>
      <c r="P64" s="1923" t="s">
        <v>75</v>
      </c>
      <c r="Q64" s="1923" t="s">
        <v>69</v>
      </c>
      <c r="R64" s="1923" t="s">
        <v>35</v>
      </c>
      <c r="S64" s="1744" t="s">
        <v>35</v>
      </c>
      <c r="T64" s="1744" t="s">
        <v>35</v>
      </c>
      <c r="U64" s="1926" t="s">
        <v>35</v>
      </c>
      <c r="V64" s="1762" t="s">
        <v>35</v>
      </c>
      <c r="W64" s="1699"/>
      <c r="X64" s="1928"/>
      <c r="Y64" s="1712" t="s">
        <v>251</v>
      </c>
      <c r="Z64" s="1712" t="s">
        <v>251</v>
      </c>
      <c r="AA64" s="1712" t="s">
        <v>251</v>
      </c>
      <c r="AB64" s="1712" t="s">
        <v>251</v>
      </c>
      <c r="AC64" s="1712" t="s">
        <v>251</v>
      </c>
      <c r="AD64" s="1744"/>
      <c r="AE64" s="1744"/>
      <c r="AF64" s="1744" t="s">
        <v>127</v>
      </c>
      <c r="AG64" s="1614"/>
      <c r="AH64" s="1"/>
    </row>
    <row r="65" spans="1:34" ht="18" customHeight="1">
      <c r="A65" s="1878"/>
      <c r="B65" s="1878" t="s">
        <v>113</v>
      </c>
      <c r="C65" s="1744" t="s">
        <v>72</v>
      </c>
      <c r="D65" s="1849" t="s">
        <v>35</v>
      </c>
      <c r="E65" s="1849" t="s">
        <v>35</v>
      </c>
      <c r="F65" s="1849" t="s">
        <v>35</v>
      </c>
      <c r="G65" s="1849" t="s">
        <v>35</v>
      </c>
      <c r="H65" s="1849" t="s">
        <v>251</v>
      </c>
      <c r="I65" s="1744"/>
      <c r="J65" s="1854"/>
      <c r="K65" s="1744">
        <v>25</v>
      </c>
      <c r="L65" s="1744">
        <v>25</v>
      </c>
      <c r="M65" s="1744">
        <v>25</v>
      </c>
      <c r="N65" s="1744">
        <v>25</v>
      </c>
      <c r="O65" s="1744">
        <v>25</v>
      </c>
      <c r="P65" s="1927" t="s">
        <v>115</v>
      </c>
      <c r="Q65" s="1744"/>
      <c r="R65" s="1712" t="s">
        <v>31</v>
      </c>
      <c r="S65" s="1712" t="s">
        <v>31</v>
      </c>
      <c r="T65" s="1712" t="s">
        <v>31</v>
      </c>
      <c r="U65" s="1712" t="s">
        <v>31</v>
      </c>
      <c r="V65" s="1712" t="s">
        <v>31</v>
      </c>
      <c r="W65" s="1744" t="s">
        <v>0</v>
      </c>
      <c r="X65" s="1744" t="s">
        <v>0</v>
      </c>
      <c r="Y65" s="1923" t="s">
        <v>31</v>
      </c>
      <c r="Z65" s="1929">
        <v>7</v>
      </c>
      <c r="AA65" s="1929">
        <v>7</v>
      </c>
      <c r="AB65" s="1930">
        <v>7</v>
      </c>
      <c r="AC65" s="1744" t="s">
        <v>115</v>
      </c>
      <c r="AD65" s="1930" t="s">
        <v>75</v>
      </c>
      <c r="AE65" s="1930" t="s">
        <v>69</v>
      </c>
      <c r="AF65" s="1744" t="s">
        <v>35</v>
      </c>
      <c r="AG65" s="1614"/>
      <c r="AH65" s="1"/>
    </row>
    <row r="66" spans="1:34" ht="18" customHeight="1">
      <c r="A66" s="1878"/>
      <c r="B66" s="1925" t="s">
        <v>380</v>
      </c>
      <c r="C66" s="1744">
        <v>23</v>
      </c>
      <c r="D66" s="1744" t="s">
        <v>35</v>
      </c>
      <c r="E66" s="1849" t="s">
        <v>35</v>
      </c>
      <c r="F66" s="1849" t="s">
        <v>35</v>
      </c>
      <c r="G66" s="1849" t="s">
        <v>35</v>
      </c>
      <c r="H66" s="1849" t="s">
        <v>35</v>
      </c>
      <c r="I66" s="1699"/>
      <c r="J66" s="1928"/>
      <c r="K66" s="1744">
        <v>23</v>
      </c>
      <c r="L66" s="1744">
        <v>23</v>
      </c>
      <c r="M66" s="1744">
        <v>23</v>
      </c>
      <c r="N66" s="1744">
        <v>23</v>
      </c>
      <c r="O66" s="1744">
        <v>23</v>
      </c>
      <c r="P66" s="1922">
        <v>23</v>
      </c>
      <c r="Q66" s="1744">
        <v>23</v>
      </c>
      <c r="R66" s="1849" t="s">
        <v>35</v>
      </c>
      <c r="S66" s="1849" t="s">
        <v>35</v>
      </c>
      <c r="T66" s="1849" t="s">
        <v>35</v>
      </c>
      <c r="U66" s="1849" t="s">
        <v>35</v>
      </c>
      <c r="V66" s="1849" t="s">
        <v>35</v>
      </c>
      <c r="W66" s="1694"/>
      <c r="X66" s="1744"/>
      <c r="Y66" s="1744">
        <v>26</v>
      </c>
      <c r="Z66" s="1744">
        <v>26</v>
      </c>
      <c r="AA66" s="1744">
        <v>26</v>
      </c>
      <c r="AB66" s="1744">
        <v>26</v>
      </c>
      <c r="AC66" s="1744">
        <v>26</v>
      </c>
      <c r="AD66" s="1744">
        <v>26</v>
      </c>
      <c r="AE66" s="1744">
        <v>26</v>
      </c>
      <c r="AF66" s="1744" t="s">
        <v>35</v>
      </c>
      <c r="AG66" s="1614"/>
      <c r="AH66" s="1"/>
    </row>
    <row r="67" spans="1:34" ht="18" customHeight="1">
      <c r="A67" s="1878"/>
      <c r="B67" s="1925" t="s">
        <v>116</v>
      </c>
      <c r="C67" s="1849"/>
      <c r="D67" s="1931">
        <v>25</v>
      </c>
      <c r="E67" s="1927">
        <v>25</v>
      </c>
      <c r="F67" s="1849">
        <v>25</v>
      </c>
      <c r="G67" s="1849">
        <v>25</v>
      </c>
      <c r="H67" s="1849">
        <v>25</v>
      </c>
      <c r="I67" s="1744"/>
      <c r="J67" s="1932" t="s">
        <v>67</v>
      </c>
      <c r="K67" s="1923" t="s">
        <v>253</v>
      </c>
      <c r="L67" s="1923" t="s">
        <v>253</v>
      </c>
      <c r="M67" s="1923" t="s">
        <v>244</v>
      </c>
      <c r="N67" s="1923" t="s">
        <v>244</v>
      </c>
      <c r="O67" s="1923" t="s">
        <v>244</v>
      </c>
      <c r="P67" s="1744"/>
      <c r="Q67" s="1927"/>
      <c r="R67" s="1744">
        <v>25</v>
      </c>
      <c r="S67" s="1744">
        <v>25</v>
      </c>
      <c r="T67" s="1744">
        <v>25</v>
      </c>
      <c r="U67" s="1744">
        <v>25</v>
      </c>
      <c r="V67" s="1744">
        <v>25</v>
      </c>
      <c r="W67" s="1744">
        <v>26</v>
      </c>
      <c r="X67" s="1744">
        <v>26</v>
      </c>
      <c r="Y67" s="1927" t="s">
        <v>35</v>
      </c>
      <c r="Z67" s="1927" t="s">
        <v>35</v>
      </c>
      <c r="AA67" s="1927" t="s">
        <v>35</v>
      </c>
      <c r="AB67" s="1926" t="s">
        <v>35</v>
      </c>
      <c r="AC67" s="1926" t="s">
        <v>35</v>
      </c>
      <c r="AD67" s="1849"/>
      <c r="AE67" s="1849"/>
      <c r="AF67" s="1744">
        <v>25</v>
      </c>
      <c r="AG67" s="1614"/>
      <c r="AH67" s="1"/>
    </row>
    <row r="68" spans="1:34" ht="18" customHeight="1">
      <c r="A68" s="1878"/>
      <c r="B68" s="1925" t="s">
        <v>122</v>
      </c>
      <c r="C68" s="1762" t="s">
        <v>45</v>
      </c>
      <c r="D68" s="1762" t="s">
        <v>146</v>
      </c>
      <c r="E68" s="1921" t="s">
        <v>146</v>
      </c>
      <c r="F68" s="1921" t="s">
        <v>146</v>
      </c>
      <c r="G68" s="1921" t="s">
        <v>146</v>
      </c>
      <c r="H68" s="1921" t="s">
        <v>146</v>
      </c>
      <c r="I68" s="1762"/>
      <c r="J68" s="1762"/>
      <c r="K68" s="1933" t="s">
        <v>110</v>
      </c>
      <c r="L68" s="1933" t="s">
        <v>110</v>
      </c>
      <c r="M68" s="1933" t="s">
        <v>110</v>
      </c>
      <c r="N68" s="1933" t="s">
        <v>110</v>
      </c>
      <c r="O68" s="1933" t="s">
        <v>110</v>
      </c>
      <c r="P68" s="1933" t="s">
        <v>108</v>
      </c>
      <c r="Q68" s="1933" t="s">
        <v>108</v>
      </c>
      <c r="R68" s="1849" t="s">
        <v>35</v>
      </c>
      <c r="S68" s="1849" t="s">
        <v>35</v>
      </c>
      <c r="T68" s="1849" t="s">
        <v>35</v>
      </c>
      <c r="U68" s="1849" t="s">
        <v>35</v>
      </c>
      <c r="V68" s="1849" t="s">
        <v>35</v>
      </c>
      <c r="W68" s="1744"/>
      <c r="X68" s="1923"/>
      <c r="Y68" s="1704" t="s">
        <v>110</v>
      </c>
      <c r="Z68" s="1704" t="s">
        <v>110</v>
      </c>
      <c r="AA68" s="1704" t="s">
        <v>110</v>
      </c>
      <c r="AB68" s="1704" t="s">
        <v>110</v>
      </c>
      <c r="AC68" s="1704" t="s">
        <v>110</v>
      </c>
      <c r="AD68" s="1923" t="s">
        <v>0</v>
      </c>
      <c r="AE68" s="1923" t="s">
        <v>0</v>
      </c>
      <c r="AF68" s="1744">
        <v>26</v>
      </c>
      <c r="AG68" s="1509"/>
      <c r="AH68" s="1"/>
    </row>
    <row r="69" spans="1:34" ht="18" customHeight="1">
      <c r="A69" s="1925"/>
      <c r="B69" s="1878" t="s">
        <v>381</v>
      </c>
      <c r="C69" s="1744"/>
      <c r="D69" s="1744">
        <v>26</v>
      </c>
      <c r="E69" s="1744">
        <v>26</v>
      </c>
      <c r="F69" s="1744">
        <v>26</v>
      </c>
      <c r="G69" s="1744">
        <v>26</v>
      </c>
      <c r="H69" s="1744">
        <v>26</v>
      </c>
      <c r="I69" s="1744">
        <v>26</v>
      </c>
      <c r="J69" s="1744">
        <v>26</v>
      </c>
      <c r="K69" s="1849" t="s">
        <v>35</v>
      </c>
      <c r="L69" s="1849" t="s">
        <v>35</v>
      </c>
      <c r="M69" s="1849" t="s">
        <v>35</v>
      </c>
      <c r="N69" s="1849" t="s">
        <v>35</v>
      </c>
      <c r="O69" s="1849" t="s">
        <v>35</v>
      </c>
      <c r="P69" s="1744"/>
      <c r="Q69" s="1927"/>
      <c r="R69" s="1922">
        <v>10</v>
      </c>
      <c r="S69" s="1922">
        <v>10</v>
      </c>
      <c r="T69" s="1922">
        <v>10</v>
      </c>
      <c r="U69" s="1922">
        <v>10</v>
      </c>
      <c r="V69" s="1922">
        <v>10</v>
      </c>
      <c r="W69" s="1922" t="s">
        <v>72</v>
      </c>
      <c r="X69" s="1744" t="s">
        <v>72</v>
      </c>
      <c r="Y69" s="1849" t="s">
        <v>35</v>
      </c>
      <c r="Z69" s="1849" t="s">
        <v>35</v>
      </c>
      <c r="AA69" s="1926" t="s">
        <v>35</v>
      </c>
      <c r="AB69" s="1926" t="s">
        <v>35</v>
      </c>
      <c r="AC69" s="1926" t="s">
        <v>35</v>
      </c>
      <c r="AD69" s="1922" t="s">
        <v>0</v>
      </c>
      <c r="AE69" s="1744" t="s">
        <v>0</v>
      </c>
      <c r="AF69" s="1849">
        <v>5</v>
      </c>
      <c r="AG69" s="1615"/>
      <c r="AH69" s="1"/>
    </row>
    <row r="70" spans="1:34" ht="18" customHeight="1">
      <c r="A70" s="1925"/>
      <c r="B70" s="1845" t="s">
        <v>385</v>
      </c>
      <c r="C70" s="1712"/>
      <c r="D70" s="1704" t="s">
        <v>127</v>
      </c>
      <c r="E70" s="1704" t="s">
        <v>127</v>
      </c>
      <c r="F70" s="1704" t="s">
        <v>127</v>
      </c>
      <c r="G70" s="1704" t="s">
        <v>127</v>
      </c>
      <c r="H70" s="1704" t="s">
        <v>127</v>
      </c>
      <c r="I70" s="1712"/>
      <c r="J70" s="1712"/>
      <c r="K70" s="1712" t="s">
        <v>244</v>
      </c>
      <c r="L70" s="1712" t="s">
        <v>244</v>
      </c>
      <c r="M70" s="1712" t="s">
        <v>31</v>
      </c>
      <c r="N70" s="1712" t="s">
        <v>31</v>
      </c>
      <c r="O70" s="1712" t="s">
        <v>31</v>
      </c>
      <c r="P70" s="1712" t="s">
        <v>45</v>
      </c>
      <c r="Q70" s="1712" t="s">
        <v>45</v>
      </c>
      <c r="R70" s="1704" t="s">
        <v>127</v>
      </c>
      <c r="S70" s="1704" t="s">
        <v>127</v>
      </c>
      <c r="T70" s="1704" t="s">
        <v>127</v>
      </c>
      <c r="U70" s="1704" t="s">
        <v>127</v>
      </c>
      <c r="V70" s="1704" t="s">
        <v>127</v>
      </c>
      <c r="W70" s="1712"/>
      <c r="X70" s="1712"/>
      <c r="Y70" s="1922">
        <v>11</v>
      </c>
      <c r="Z70" s="1922">
        <v>11</v>
      </c>
      <c r="AA70" s="1922">
        <v>11</v>
      </c>
      <c r="AB70" s="1922">
        <v>11</v>
      </c>
      <c r="AC70" s="1922">
        <v>11</v>
      </c>
      <c r="AD70" s="1922" t="s">
        <v>68</v>
      </c>
      <c r="AE70" s="1922" t="s">
        <v>68</v>
      </c>
      <c r="AF70" s="1712" t="s">
        <v>35</v>
      </c>
      <c r="AG70" s="1934"/>
      <c r="AH70" s="1"/>
    </row>
    <row r="71" spans="1:34" ht="18" customHeight="1">
      <c r="A71" s="1762"/>
      <c r="B71" s="1935" t="s">
        <v>403</v>
      </c>
      <c r="C71" s="1762"/>
      <c r="D71" s="1762">
        <v>3</v>
      </c>
      <c r="E71" s="1762">
        <v>3</v>
      </c>
      <c r="F71" s="1762" t="s">
        <v>253</v>
      </c>
      <c r="G71" s="1762" t="s">
        <v>253</v>
      </c>
      <c r="H71" s="1762">
        <v>3</v>
      </c>
      <c r="I71" s="1762"/>
      <c r="J71" s="1762"/>
      <c r="K71" s="1744">
        <v>26</v>
      </c>
      <c r="L71" s="1744">
        <v>26</v>
      </c>
      <c r="M71" s="1744">
        <v>26</v>
      </c>
      <c r="N71" s="1744">
        <v>26</v>
      </c>
      <c r="O71" s="1744">
        <v>26</v>
      </c>
      <c r="P71" s="1744">
        <v>26</v>
      </c>
      <c r="Q71" s="1744">
        <v>26</v>
      </c>
      <c r="R71" s="1849" t="s">
        <v>35</v>
      </c>
      <c r="S71" s="1849" t="s">
        <v>35</v>
      </c>
      <c r="T71" s="1849" t="s">
        <v>35</v>
      </c>
      <c r="U71" s="1849" t="s">
        <v>35</v>
      </c>
      <c r="V71" s="1849" t="s">
        <v>35</v>
      </c>
      <c r="W71" s="1762"/>
      <c r="X71" s="1762"/>
      <c r="Y71" s="1919" t="s">
        <v>250</v>
      </c>
      <c r="Z71" s="1936" t="s">
        <v>250</v>
      </c>
      <c r="AA71" s="1936" t="s">
        <v>250</v>
      </c>
      <c r="AB71" s="1919" t="s">
        <v>272</v>
      </c>
      <c r="AC71" s="1937" t="s">
        <v>250</v>
      </c>
      <c r="AD71" s="1762"/>
      <c r="AE71" s="1762"/>
      <c r="AF71" s="1762">
        <v>3</v>
      </c>
      <c r="AG71" s="1938"/>
      <c r="AH71" s="1"/>
    </row>
    <row r="72" spans="1:34" ht="18" customHeight="1">
      <c r="A72" s="1762"/>
      <c r="B72" s="1939" t="s">
        <v>413</v>
      </c>
      <c r="C72" s="1762"/>
      <c r="D72" s="1762">
        <v>99</v>
      </c>
      <c r="E72" s="1762">
        <v>99</v>
      </c>
      <c r="F72" s="1762">
        <v>99</v>
      </c>
      <c r="G72" s="1921" t="s">
        <v>233</v>
      </c>
      <c r="H72" s="1921" t="s">
        <v>244</v>
      </c>
      <c r="I72" s="1762"/>
      <c r="J72" s="1762"/>
      <c r="K72" s="1762">
        <v>4</v>
      </c>
      <c r="L72" s="1762">
        <v>4</v>
      </c>
      <c r="M72" s="1762">
        <v>4</v>
      </c>
      <c r="N72" s="1762">
        <v>4</v>
      </c>
      <c r="O72" s="1762">
        <v>4</v>
      </c>
      <c r="P72" s="1762"/>
      <c r="Q72" s="1762"/>
      <c r="R72" s="1921" t="s">
        <v>31</v>
      </c>
      <c r="S72" s="1921" t="s">
        <v>107</v>
      </c>
      <c r="T72" s="1921" t="s">
        <v>107</v>
      </c>
      <c r="U72" s="1921" t="s">
        <v>107</v>
      </c>
      <c r="V72" s="1921" t="s">
        <v>107</v>
      </c>
      <c r="W72" s="1762"/>
      <c r="X72" s="1762"/>
      <c r="Y72" s="1930" t="s">
        <v>136</v>
      </c>
      <c r="Z72" s="1930" t="s">
        <v>136</v>
      </c>
      <c r="AA72" s="1930" t="s">
        <v>136</v>
      </c>
      <c r="AB72" s="1930" t="s">
        <v>136</v>
      </c>
      <c r="AC72" s="1930" t="s">
        <v>136</v>
      </c>
      <c r="AD72" s="1762"/>
      <c r="AE72" s="1762"/>
      <c r="AF72" s="1921" t="s">
        <v>136</v>
      </c>
      <c r="AG72" s="1938"/>
      <c r="AH72" s="1"/>
    </row>
    <row r="73" spans="1:34" ht="18" customHeight="1">
      <c r="A73" s="1762"/>
      <c r="B73" s="1762"/>
      <c r="C73" s="1762"/>
      <c r="D73" s="1762"/>
      <c r="E73" s="1762"/>
      <c r="F73" s="1762"/>
      <c r="G73" s="1762"/>
      <c r="H73" s="1762"/>
      <c r="I73" s="1762"/>
      <c r="J73" s="1762"/>
      <c r="K73" s="1762"/>
      <c r="L73" s="1762"/>
      <c r="M73" s="1762"/>
      <c r="N73" s="1762"/>
      <c r="O73" s="1762"/>
      <c r="P73" s="1762"/>
      <c r="Q73" s="1762"/>
      <c r="R73" s="1762"/>
      <c r="S73" s="1762"/>
      <c r="T73" s="1762"/>
      <c r="U73" s="1762"/>
      <c r="V73" s="1762"/>
      <c r="W73" s="1762"/>
      <c r="X73" s="1762"/>
      <c r="Y73" s="1762"/>
      <c r="Z73" s="1762"/>
      <c r="AA73" s="1762"/>
      <c r="AB73" s="1762"/>
      <c r="AC73" s="1762"/>
      <c r="AD73" s="1762"/>
      <c r="AE73" s="1762"/>
      <c r="AF73" s="1762"/>
      <c r="AG73" s="1938"/>
      <c r="AH73" s="1"/>
    </row>
    <row r="74" spans="1:34" ht="18" customHeight="1" thickBot="1">
      <c r="A74" s="423"/>
      <c r="B74" s="423"/>
      <c r="C74" s="423"/>
      <c r="D74" s="423"/>
      <c r="E74" s="423"/>
      <c r="F74" s="423"/>
      <c r="G74" s="423"/>
      <c r="H74" s="423"/>
      <c r="I74" s="423"/>
      <c r="J74" s="423"/>
      <c r="K74" s="423"/>
      <c r="L74" s="423"/>
      <c r="M74" s="423"/>
      <c r="N74" s="423"/>
      <c r="O74" s="423"/>
      <c r="P74" s="423"/>
      <c r="Q74" s="423"/>
      <c r="R74" s="423"/>
      <c r="S74" s="423"/>
      <c r="T74" s="423"/>
      <c r="U74" s="423"/>
      <c r="V74" s="423"/>
      <c r="W74" s="423"/>
      <c r="X74" s="423"/>
      <c r="Y74" s="423"/>
      <c r="Z74" s="423"/>
      <c r="AA74" s="423"/>
      <c r="AB74" s="423"/>
      <c r="AC74" s="423"/>
      <c r="AD74" s="423"/>
      <c r="AE74" s="423"/>
      <c r="AF74" s="423"/>
      <c r="AG74" s="43"/>
      <c r="AH74" s="1"/>
    </row>
    <row r="75" spans="1:34" ht="18" customHeight="1" thickBot="1">
      <c r="A75" s="1940"/>
      <c r="B75" s="1941"/>
      <c r="C75" s="1942"/>
      <c r="D75" s="1942"/>
      <c r="E75" s="1942"/>
      <c r="F75" s="1942"/>
      <c r="G75" s="1942"/>
      <c r="H75" s="1942"/>
      <c r="I75" s="1942"/>
      <c r="J75" s="1942"/>
      <c r="K75" s="1942"/>
      <c r="L75" s="1942"/>
      <c r="M75" s="1942"/>
      <c r="N75" s="1942"/>
      <c r="O75" s="1942"/>
      <c r="P75" s="1942"/>
      <c r="Q75" s="1942"/>
      <c r="R75" s="1942"/>
      <c r="S75" s="1942"/>
      <c r="T75" s="1942"/>
      <c r="U75" s="1942"/>
      <c r="V75" s="1942"/>
      <c r="W75" s="1942"/>
      <c r="X75" s="1942"/>
      <c r="Y75" s="1942"/>
      <c r="Z75" s="1942"/>
      <c r="AA75" s="1942"/>
      <c r="AB75" s="1942"/>
      <c r="AC75" s="1942"/>
      <c r="AD75" s="1942"/>
      <c r="AE75" s="1942"/>
      <c r="AF75" s="1942"/>
      <c r="AG75" s="1943"/>
      <c r="AH75" s="1"/>
    </row>
    <row r="76" spans="1:34" ht="18" customHeight="1" thickBot="1">
      <c r="A76" s="473"/>
      <c r="B76" s="474" t="s">
        <v>138</v>
      </c>
      <c r="C76" s="1811">
        <v>1</v>
      </c>
      <c r="D76" s="1812">
        <v>2</v>
      </c>
      <c r="E76" s="1812">
        <v>3</v>
      </c>
      <c r="F76" s="1812">
        <v>4</v>
      </c>
      <c r="G76" s="1812">
        <v>5</v>
      </c>
      <c r="H76" s="1812">
        <v>6</v>
      </c>
      <c r="I76" s="1811">
        <v>7</v>
      </c>
      <c r="J76" s="1811">
        <v>8</v>
      </c>
      <c r="K76" s="1812">
        <v>9</v>
      </c>
      <c r="L76" s="1812">
        <v>10</v>
      </c>
      <c r="M76" s="1812">
        <v>11</v>
      </c>
      <c r="N76" s="1812">
        <v>12</v>
      </c>
      <c r="O76" s="1812">
        <v>13</v>
      </c>
      <c r="P76" s="1811">
        <v>14</v>
      </c>
      <c r="Q76" s="1811">
        <v>15</v>
      </c>
      <c r="R76" s="1812">
        <v>16</v>
      </c>
      <c r="S76" s="1812">
        <v>17</v>
      </c>
      <c r="T76" s="1812">
        <v>18</v>
      </c>
      <c r="U76" s="1812">
        <v>19</v>
      </c>
      <c r="V76" s="1812">
        <v>20</v>
      </c>
      <c r="W76" s="1811">
        <v>21</v>
      </c>
      <c r="X76" s="1811">
        <v>22</v>
      </c>
      <c r="Y76" s="1812">
        <v>23</v>
      </c>
      <c r="Z76" s="1812">
        <v>24</v>
      </c>
      <c r="AA76" s="1812">
        <v>25</v>
      </c>
      <c r="AB76" s="1812">
        <v>26</v>
      </c>
      <c r="AC76" s="1812">
        <v>27</v>
      </c>
      <c r="AD76" s="1811">
        <v>28</v>
      </c>
      <c r="AE76" s="1811">
        <v>29</v>
      </c>
      <c r="AF76" s="1812">
        <v>30</v>
      </c>
      <c r="AG76" s="1813"/>
      <c r="AH76" s="1"/>
    </row>
    <row r="77" spans="1:34" ht="18" customHeight="1">
      <c r="A77" s="816"/>
      <c r="B77" s="816" t="s">
        <v>414</v>
      </c>
      <c r="C77" s="1839"/>
      <c r="D77" s="1744" t="s">
        <v>35</v>
      </c>
      <c r="E77" s="1744" t="s">
        <v>35</v>
      </c>
      <c r="F77" s="1744" t="s">
        <v>35</v>
      </c>
      <c r="G77" s="1840" t="s">
        <v>35</v>
      </c>
      <c r="H77" s="1840" t="s">
        <v>35</v>
      </c>
      <c r="I77" s="1840"/>
      <c r="J77" s="1840"/>
      <c r="K77" s="1840">
        <v>7</v>
      </c>
      <c r="L77" s="1840">
        <v>7</v>
      </c>
      <c r="M77" s="1840">
        <v>7</v>
      </c>
      <c r="N77" s="1840">
        <v>7</v>
      </c>
      <c r="O77" s="1840">
        <v>7</v>
      </c>
      <c r="P77" s="817"/>
      <c r="Q77" s="817"/>
      <c r="R77" s="1887">
        <v>6</v>
      </c>
      <c r="S77" s="1887">
        <v>6</v>
      </c>
      <c r="T77" s="1887">
        <v>6</v>
      </c>
      <c r="U77" s="1887">
        <v>6</v>
      </c>
      <c r="V77" s="1887">
        <v>6</v>
      </c>
      <c r="W77" s="1728" t="s">
        <v>0</v>
      </c>
      <c r="X77" s="1887" t="s">
        <v>0</v>
      </c>
      <c r="Y77" s="1849" t="s">
        <v>31</v>
      </c>
      <c r="Z77" s="1846">
        <v>8</v>
      </c>
      <c r="AA77" s="1846">
        <v>8</v>
      </c>
      <c r="AB77" s="1846">
        <v>8</v>
      </c>
      <c r="AC77" s="1697">
        <v>8</v>
      </c>
      <c r="AD77" s="1839" t="s">
        <v>0</v>
      </c>
      <c r="AE77" s="1839" t="s">
        <v>0</v>
      </c>
      <c r="AF77" s="1648" t="s">
        <v>31</v>
      </c>
      <c r="AG77" s="795"/>
      <c r="AH77" s="1"/>
    </row>
    <row r="78" spans="1:34" ht="18" customHeight="1" thickBot="1">
      <c r="A78" s="1925"/>
      <c r="B78" s="1925" t="s">
        <v>405</v>
      </c>
      <c r="C78" s="1744" t="s">
        <v>108</v>
      </c>
      <c r="D78" s="1744" t="s">
        <v>35</v>
      </c>
      <c r="E78" s="1932" t="s">
        <v>35</v>
      </c>
      <c r="F78" s="1932" t="s">
        <v>35</v>
      </c>
      <c r="G78" s="1744" t="s">
        <v>35</v>
      </c>
      <c r="H78" s="1744" t="s">
        <v>35</v>
      </c>
      <c r="I78" s="1744"/>
      <c r="J78" s="1744" t="s">
        <v>45</v>
      </c>
      <c r="K78" s="1749">
        <v>1</v>
      </c>
      <c r="L78" s="1749">
        <v>1</v>
      </c>
      <c r="M78" s="1749">
        <v>1</v>
      </c>
      <c r="N78" s="1749">
        <v>1</v>
      </c>
      <c r="O78" s="1749">
        <v>1</v>
      </c>
      <c r="P78" s="1749"/>
      <c r="Q78" s="1749"/>
      <c r="R78" s="1930">
        <v>25</v>
      </c>
      <c r="S78" s="1930">
        <v>25</v>
      </c>
      <c r="T78" s="1930">
        <v>25</v>
      </c>
      <c r="U78" s="1930">
        <v>25</v>
      </c>
      <c r="V78" s="1930">
        <v>25</v>
      </c>
      <c r="W78" s="1922" t="s">
        <v>45</v>
      </c>
      <c r="X78" s="1744" t="s">
        <v>45</v>
      </c>
      <c r="Y78" s="1927">
        <v>25</v>
      </c>
      <c r="Z78" s="1744">
        <v>25</v>
      </c>
      <c r="AA78" s="1744">
        <v>25</v>
      </c>
      <c r="AB78" s="1744">
        <v>25</v>
      </c>
      <c r="AC78" s="1932">
        <v>25</v>
      </c>
      <c r="AD78" s="1744" t="s">
        <v>45</v>
      </c>
      <c r="AE78" s="1744"/>
      <c r="AF78" s="1744" t="s">
        <v>31</v>
      </c>
      <c r="AG78" s="1509"/>
      <c r="AH78" s="1"/>
    </row>
    <row r="79" spans="1:34" ht="18" customHeight="1" thickBot="1">
      <c r="A79" s="1944"/>
      <c r="B79" s="1925" t="s">
        <v>415</v>
      </c>
      <c r="C79" s="1930" t="s">
        <v>72</v>
      </c>
      <c r="D79" s="1744" t="s">
        <v>35</v>
      </c>
      <c r="E79" s="1744" t="s">
        <v>35</v>
      </c>
      <c r="F79" s="1744" t="s">
        <v>35</v>
      </c>
      <c r="G79" s="1744" t="s">
        <v>35</v>
      </c>
      <c r="H79" s="1744" t="s">
        <v>35</v>
      </c>
      <c r="I79" s="1932" t="s">
        <v>67</v>
      </c>
      <c r="J79" s="1744"/>
      <c r="K79" s="1417" t="s">
        <v>31</v>
      </c>
      <c r="L79" s="1945" t="s">
        <v>112</v>
      </c>
      <c r="M79" s="1417" t="s">
        <v>112</v>
      </c>
      <c r="N79" s="1946"/>
      <c r="O79" s="1946"/>
      <c r="P79" s="1946"/>
      <c r="Q79" s="1946"/>
      <c r="R79" s="1946"/>
      <c r="S79" s="1946"/>
      <c r="T79" s="1946"/>
      <c r="U79" s="1946"/>
      <c r="V79" s="1946"/>
      <c r="W79" s="1762"/>
      <c r="X79" s="1762"/>
      <c r="Y79" s="1947">
        <v>8</v>
      </c>
      <c r="Z79" s="1947">
        <v>8</v>
      </c>
      <c r="AA79" s="1947">
        <v>8</v>
      </c>
      <c r="AB79" s="1947">
        <v>8</v>
      </c>
      <c r="AC79" s="1947">
        <v>8</v>
      </c>
      <c r="AD79" s="1948" t="s">
        <v>108</v>
      </c>
      <c r="AE79" s="1948" t="s">
        <v>108</v>
      </c>
      <c r="AF79" s="1744" t="s">
        <v>35</v>
      </c>
      <c r="AG79" s="1615"/>
      <c r="AH79" s="1"/>
    </row>
    <row r="80" spans="1:34" ht="18" customHeight="1" thickBot="1">
      <c r="A80" s="401"/>
      <c r="B80" s="402"/>
      <c r="C80" s="418"/>
      <c r="D80" s="424"/>
      <c r="E80" s="424"/>
      <c r="F80" s="424"/>
      <c r="G80" s="424"/>
      <c r="H80" s="424"/>
      <c r="I80" s="418"/>
      <c r="J80" s="418"/>
      <c r="K80" s="424"/>
      <c r="L80" s="424"/>
      <c r="M80" s="424"/>
      <c r="N80" s="424"/>
      <c r="O80" s="424"/>
      <c r="P80" s="408"/>
      <c r="Q80" s="408"/>
      <c r="R80" s="418"/>
      <c r="S80" s="408"/>
      <c r="T80" s="408"/>
      <c r="U80" s="408"/>
      <c r="V80" s="408"/>
      <c r="W80" s="408"/>
      <c r="X80" s="418"/>
      <c r="Y80" s="408"/>
      <c r="Z80" s="408"/>
      <c r="AA80" s="408"/>
      <c r="AB80" s="408"/>
      <c r="AC80" s="418"/>
      <c r="AD80" s="408"/>
      <c r="AE80" s="408"/>
      <c r="AF80" s="418"/>
      <c r="AG80" s="28"/>
      <c r="AH80" s="1"/>
    </row>
    <row r="81" spans="1:35" ht="18" customHeight="1" thickBot="1">
      <c r="A81" s="44"/>
      <c r="B81" s="45" t="s">
        <v>147</v>
      </c>
      <c r="C81" s="46"/>
      <c r="D81" s="47"/>
      <c r="E81" s="47"/>
      <c r="F81" s="47"/>
      <c r="G81" s="47"/>
      <c r="H81" s="47"/>
      <c r="I81" s="46"/>
      <c r="J81" s="46"/>
      <c r="K81" s="47"/>
      <c r="L81" s="47"/>
      <c r="M81" s="47"/>
      <c r="N81" s="47"/>
      <c r="O81" s="47"/>
      <c r="P81" s="46"/>
      <c r="Q81" s="46"/>
      <c r="R81" s="46"/>
      <c r="S81" s="48"/>
      <c r="T81" s="48"/>
      <c r="U81" s="48"/>
      <c r="V81" s="49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50"/>
      <c r="AH81" s="1"/>
    </row>
    <row r="82" spans="1:35" ht="18" customHeight="1" thickBot="1">
      <c r="A82" s="51"/>
      <c r="B82" s="52" t="s">
        <v>148</v>
      </c>
      <c r="C82" s="132"/>
      <c r="D82" s="132" t="s">
        <v>31</v>
      </c>
      <c r="E82" s="132" t="s">
        <v>31</v>
      </c>
      <c r="F82" s="132" t="s">
        <v>31</v>
      </c>
      <c r="G82" s="132" t="s">
        <v>31</v>
      </c>
      <c r="H82" s="132" t="s">
        <v>31</v>
      </c>
      <c r="I82" s="132"/>
      <c r="J82" s="132"/>
      <c r="K82" s="132" t="s">
        <v>31</v>
      </c>
      <c r="L82" s="132" t="s">
        <v>31</v>
      </c>
      <c r="M82" s="132" t="s">
        <v>31</v>
      </c>
      <c r="N82" s="132" t="s">
        <v>31</v>
      </c>
      <c r="O82" s="132" t="s">
        <v>31</v>
      </c>
      <c r="P82" s="132"/>
      <c r="Q82" s="132"/>
      <c r="R82" s="132" t="s">
        <v>31</v>
      </c>
      <c r="S82" s="132" t="s">
        <v>31</v>
      </c>
      <c r="T82" s="132" t="s">
        <v>31</v>
      </c>
      <c r="U82" s="132" t="s">
        <v>31</v>
      </c>
      <c r="V82" s="132">
        <v>3</v>
      </c>
      <c r="W82" s="132"/>
      <c r="X82" s="132"/>
      <c r="Y82" s="132">
        <v>1</v>
      </c>
      <c r="Z82" s="132">
        <v>1</v>
      </c>
      <c r="AA82" s="132">
        <v>1</v>
      </c>
      <c r="AB82" s="132">
        <v>1</v>
      </c>
      <c r="AC82" s="132">
        <v>1</v>
      </c>
      <c r="AD82" s="132"/>
      <c r="AE82" s="132"/>
      <c r="AF82" s="132" t="s">
        <v>107</v>
      </c>
      <c r="AG82" s="53"/>
      <c r="AH82" s="1"/>
    </row>
    <row r="83" spans="1:35" ht="18" customHeight="1">
      <c r="A83" s="37" t="s">
        <v>149</v>
      </c>
      <c r="AH83" s="1"/>
    </row>
    <row r="84" spans="1:35" ht="18" customHeight="1" thickBot="1">
      <c r="A84" s="1690"/>
      <c r="B84" s="1691" t="s">
        <v>29</v>
      </c>
      <c r="C84" s="1811">
        <v>1</v>
      </c>
      <c r="D84" s="1812">
        <v>2</v>
      </c>
      <c r="E84" s="1812">
        <v>3</v>
      </c>
      <c r="F84" s="1812">
        <v>4</v>
      </c>
      <c r="G84" s="1812">
        <v>5</v>
      </c>
      <c r="H84" s="1812">
        <v>6</v>
      </c>
      <c r="I84" s="1811">
        <v>7</v>
      </c>
      <c r="J84" s="1811">
        <v>8</v>
      </c>
      <c r="K84" s="1812">
        <v>9</v>
      </c>
      <c r="L84" s="1812">
        <v>10</v>
      </c>
      <c r="M84" s="1812">
        <v>11</v>
      </c>
      <c r="N84" s="1812">
        <v>12</v>
      </c>
      <c r="O84" s="1812">
        <v>13</v>
      </c>
      <c r="P84" s="1811">
        <v>14</v>
      </c>
      <c r="Q84" s="1811">
        <v>15</v>
      </c>
      <c r="R84" s="1812">
        <v>16</v>
      </c>
      <c r="S84" s="1812">
        <v>17</v>
      </c>
      <c r="T84" s="1812">
        <v>18</v>
      </c>
      <c r="U84" s="1812">
        <v>19</v>
      </c>
      <c r="V84" s="1812">
        <v>20</v>
      </c>
      <c r="W84" s="1811">
        <v>21</v>
      </c>
      <c r="X84" s="1811">
        <v>22</v>
      </c>
      <c r="Y84" s="1812">
        <v>23</v>
      </c>
      <c r="Z84" s="1812">
        <v>24</v>
      </c>
      <c r="AA84" s="1812">
        <v>25</v>
      </c>
      <c r="AB84" s="1812">
        <v>26</v>
      </c>
      <c r="AC84" s="1812">
        <v>27</v>
      </c>
      <c r="AD84" s="1811">
        <v>28</v>
      </c>
      <c r="AE84" s="1811">
        <v>29</v>
      </c>
      <c r="AF84" s="1812">
        <v>30</v>
      </c>
      <c r="AG84" s="1813"/>
      <c r="AH84" s="1"/>
    </row>
    <row r="85" spans="1:35" ht="18" customHeight="1" thickBot="1">
      <c r="A85" s="824"/>
      <c r="B85" s="825" t="s">
        <v>150</v>
      </c>
      <c r="C85" s="1816"/>
      <c r="D85" s="750"/>
      <c r="E85" s="1816"/>
      <c r="F85" s="1816"/>
      <c r="G85" s="1816"/>
      <c r="H85" s="1816"/>
      <c r="I85" s="1816"/>
      <c r="J85" s="1816"/>
      <c r="K85" s="1816"/>
      <c r="L85" s="1816"/>
      <c r="M85" s="1816"/>
      <c r="N85" s="1816"/>
      <c r="O85" s="1816"/>
      <c r="P85" s="1816"/>
      <c r="Q85" s="1816"/>
      <c r="R85" s="1816"/>
      <c r="S85" s="1816"/>
      <c r="T85" s="1816"/>
      <c r="U85" s="1816"/>
      <c r="V85" s="1816"/>
      <c r="W85" s="1816"/>
      <c r="X85" s="1816"/>
      <c r="Y85" s="1816"/>
      <c r="Z85" s="1816"/>
      <c r="AA85" s="1816"/>
      <c r="AB85" s="1816"/>
      <c r="AC85" s="1816"/>
      <c r="AD85" s="1816"/>
      <c r="AE85" s="1816"/>
      <c r="AF85" s="1816"/>
      <c r="AG85" s="1819"/>
      <c r="AH85" s="1"/>
    </row>
    <row r="86" spans="1:35" ht="18" customHeight="1">
      <c r="A86" s="1949">
        <v>1</v>
      </c>
      <c r="B86" s="954" t="s">
        <v>416</v>
      </c>
      <c r="C86" s="829"/>
      <c r="D86" s="1253">
        <v>3</v>
      </c>
      <c r="E86" s="1254">
        <v>3</v>
      </c>
      <c r="F86" s="1254">
        <v>3</v>
      </c>
      <c r="G86" s="1253">
        <v>3</v>
      </c>
      <c r="H86" s="1253">
        <v>3</v>
      </c>
      <c r="I86" s="1253"/>
      <c r="J86" s="1253"/>
      <c r="K86" s="1159">
        <v>8</v>
      </c>
      <c r="L86" s="1159">
        <v>8</v>
      </c>
      <c r="M86" s="1159">
        <v>8</v>
      </c>
      <c r="N86" s="1159">
        <v>8</v>
      </c>
      <c r="O86" s="1253">
        <v>8</v>
      </c>
      <c r="P86" s="1253"/>
      <c r="Q86" s="1253"/>
      <c r="R86" s="833">
        <v>10</v>
      </c>
      <c r="S86" s="833">
        <v>10</v>
      </c>
      <c r="T86" s="833">
        <v>10</v>
      </c>
      <c r="U86" s="833">
        <v>10</v>
      </c>
      <c r="V86" s="833">
        <v>10</v>
      </c>
      <c r="W86" s="833"/>
      <c r="X86" s="833"/>
      <c r="Y86" s="833" t="s">
        <v>417</v>
      </c>
      <c r="Z86" s="833" t="s">
        <v>417</v>
      </c>
      <c r="AA86" s="1253" t="s">
        <v>417</v>
      </c>
      <c r="AB86" s="1253" t="s">
        <v>417</v>
      </c>
      <c r="AC86" s="1253" t="s">
        <v>417</v>
      </c>
      <c r="AD86" s="1253"/>
      <c r="AE86" s="1253"/>
      <c r="AF86" s="1950"/>
      <c r="AG86" s="1518"/>
      <c r="AH86" s="1"/>
    </row>
    <row r="87" spans="1:35" ht="18" customHeight="1">
      <c r="A87" s="1949">
        <v>2</v>
      </c>
      <c r="B87" s="1951" t="s">
        <v>418</v>
      </c>
      <c r="C87" s="1887"/>
      <c r="D87" s="1950"/>
      <c r="E87" s="1950"/>
      <c r="F87" s="1950"/>
      <c r="G87" s="1950"/>
      <c r="H87" s="1950"/>
      <c r="I87" s="1950"/>
      <c r="J87" s="1950"/>
      <c r="K87" s="1950"/>
      <c r="L87" s="1950"/>
      <c r="M87" s="1950"/>
      <c r="N87" s="1950"/>
      <c r="O87" s="1950"/>
      <c r="P87" s="1950"/>
      <c r="Q87" s="1950"/>
      <c r="R87" s="1952">
        <v>89</v>
      </c>
      <c r="S87" s="1952">
        <v>89</v>
      </c>
      <c r="T87" s="1952">
        <v>89</v>
      </c>
      <c r="U87" s="1952">
        <v>89</v>
      </c>
      <c r="V87" s="1952">
        <v>89</v>
      </c>
      <c r="W87" s="1950"/>
      <c r="X87" s="1950"/>
      <c r="Y87" s="1952">
        <v>5</v>
      </c>
      <c r="Z87" s="1952">
        <v>5</v>
      </c>
      <c r="AA87" s="1952">
        <v>5</v>
      </c>
      <c r="AB87" s="1952">
        <v>5</v>
      </c>
      <c r="AC87" s="1952">
        <v>5</v>
      </c>
      <c r="AD87" s="1950"/>
      <c r="AE87" s="1950"/>
      <c r="AF87" s="1952" t="s">
        <v>417</v>
      </c>
      <c r="AG87" s="1953"/>
      <c r="AH87" s="1"/>
    </row>
    <row r="88" spans="1:35" ht="18" customHeight="1">
      <c r="A88" s="1949">
        <v>3</v>
      </c>
      <c r="B88" s="1951" t="s">
        <v>135</v>
      </c>
      <c r="C88" s="1887"/>
      <c r="D88" s="1950">
        <v>11</v>
      </c>
      <c r="E88" s="1950">
        <v>11</v>
      </c>
      <c r="F88" s="1950">
        <v>11</v>
      </c>
      <c r="G88" s="1950">
        <v>11</v>
      </c>
      <c r="H88" s="1950" t="s">
        <v>35</v>
      </c>
      <c r="I88" s="1950"/>
      <c r="J88" s="1950"/>
      <c r="K88" s="1950">
        <v>6</v>
      </c>
      <c r="L88" s="1950">
        <v>6</v>
      </c>
      <c r="M88" s="1950">
        <v>6</v>
      </c>
      <c r="N88" s="1950">
        <v>6</v>
      </c>
      <c r="O88" s="1950">
        <v>6</v>
      </c>
      <c r="P88" s="1950"/>
      <c r="Q88" s="1950"/>
      <c r="R88" s="1950" t="s">
        <v>119</v>
      </c>
      <c r="S88" s="1950" t="s">
        <v>119</v>
      </c>
      <c r="T88" s="1950" t="s">
        <v>119</v>
      </c>
      <c r="U88" s="1950" t="s">
        <v>119</v>
      </c>
      <c r="V88" s="1950" t="s">
        <v>119</v>
      </c>
      <c r="W88" s="1950"/>
      <c r="X88" s="1950"/>
      <c r="Y88" s="1950">
        <v>99</v>
      </c>
      <c r="Z88" s="1950">
        <v>99</v>
      </c>
      <c r="AA88" s="1950">
        <v>99</v>
      </c>
      <c r="AB88" s="1950">
        <v>99</v>
      </c>
      <c r="AC88" s="1950" t="s">
        <v>35</v>
      </c>
      <c r="AD88" s="1950"/>
      <c r="AE88" s="1950"/>
      <c r="AF88" s="1950">
        <v>5</v>
      </c>
      <c r="AG88" s="1880"/>
      <c r="AH88" s="1"/>
    </row>
    <row r="89" spans="1:35" ht="18" customHeight="1" thickBot="1">
      <c r="A89" s="1949">
        <v>4</v>
      </c>
      <c r="B89" s="1882"/>
      <c r="C89" s="1812"/>
      <c r="D89" s="1812"/>
      <c r="E89" s="1812"/>
      <c r="F89" s="1812"/>
      <c r="G89" s="1812"/>
      <c r="H89" s="1812"/>
      <c r="I89" s="1812"/>
      <c r="J89" s="1812"/>
      <c r="K89" s="1812"/>
      <c r="L89" s="1812"/>
      <c r="M89" s="1812"/>
      <c r="N89" s="1812"/>
      <c r="O89" s="1812"/>
      <c r="P89" s="1812"/>
      <c r="Q89" s="1812"/>
      <c r="R89" s="1954"/>
      <c r="S89" s="1954"/>
      <c r="T89" s="1954"/>
      <c r="U89" s="1812"/>
      <c r="V89" s="1812"/>
      <c r="W89" s="1812"/>
      <c r="X89" s="1812"/>
      <c r="Y89" s="1812"/>
      <c r="Z89" s="1812"/>
      <c r="AA89" s="1812"/>
      <c r="AB89" s="1812"/>
      <c r="AC89" s="1812"/>
      <c r="AD89" s="1812"/>
      <c r="AE89" s="1812"/>
      <c r="AF89" s="1812"/>
      <c r="AG89" s="1813"/>
      <c r="AH89" s="1"/>
    </row>
    <row r="90" spans="1:35" ht="18" customHeight="1">
      <c r="A90" s="54"/>
      <c r="B90" s="55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56"/>
      <c r="S90" s="56"/>
      <c r="T90" s="56"/>
      <c r="U90" s="30"/>
      <c r="V90" s="30"/>
      <c r="W90" s="30"/>
      <c r="X90" s="30"/>
      <c r="Y90" s="30"/>
      <c r="Z90" s="30"/>
      <c r="AA90" s="30"/>
      <c r="AB90" s="30"/>
      <c r="AC90" s="30"/>
      <c r="AD90" s="30"/>
      <c r="AE90" s="30"/>
      <c r="AF90" s="30"/>
      <c r="AG90" s="30"/>
      <c r="AH90" s="1"/>
    </row>
    <row r="91" spans="1:35" ht="18" customHeight="1" thickBot="1">
      <c r="A91" s="57" t="s">
        <v>154</v>
      </c>
      <c r="B91" s="58"/>
      <c r="C91" s="58"/>
      <c r="D91" s="58"/>
      <c r="E91" s="58"/>
      <c r="F91" s="58"/>
      <c r="G91" s="59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8"/>
      <c r="AI91" s="58"/>
    </row>
    <row r="92" spans="1:35" ht="18" customHeight="1" thickBot="1">
      <c r="A92" s="60"/>
      <c r="B92" s="836" t="s">
        <v>155</v>
      </c>
      <c r="C92" s="837"/>
      <c r="D92" s="838" t="s">
        <v>87</v>
      </c>
      <c r="E92" s="839"/>
      <c r="F92" s="840"/>
      <c r="G92" s="837"/>
      <c r="H92" s="838" t="s">
        <v>88</v>
      </c>
      <c r="I92" s="839"/>
      <c r="J92" s="840"/>
      <c r="K92" s="837"/>
      <c r="L92" s="838" t="s">
        <v>89</v>
      </c>
      <c r="M92" s="839"/>
      <c r="N92" s="840"/>
      <c r="O92" s="837"/>
      <c r="P92" s="838" t="s">
        <v>90</v>
      </c>
      <c r="Q92" s="839"/>
      <c r="R92" s="840"/>
      <c r="S92" s="841" t="s">
        <v>156</v>
      </c>
      <c r="T92" s="838"/>
      <c r="U92" s="839"/>
      <c r="V92" s="840"/>
      <c r="W92" s="837" t="s">
        <v>108</v>
      </c>
      <c r="X92" s="838" t="s">
        <v>157</v>
      </c>
      <c r="Y92" s="839"/>
      <c r="Z92" s="840"/>
      <c r="AA92" s="837" t="s">
        <v>108</v>
      </c>
      <c r="AB92" s="838" t="s">
        <v>93</v>
      </c>
      <c r="AC92" s="839"/>
      <c r="AD92" s="839"/>
      <c r="AE92" s="842" t="s">
        <v>158</v>
      </c>
      <c r="AF92" s="839"/>
      <c r="AG92" s="839"/>
      <c r="AH92" s="839"/>
      <c r="AI92" s="843"/>
    </row>
    <row r="93" spans="1:35" ht="18" customHeight="1">
      <c r="A93" s="60"/>
      <c r="B93" s="844" t="s">
        <v>159</v>
      </c>
      <c r="C93" s="845" t="s">
        <v>160</v>
      </c>
      <c r="D93" s="839"/>
      <c r="E93" s="846"/>
      <c r="F93" s="847"/>
      <c r="G93" s="845" t="s">
        <v>160</v>
      </c>
      <c r="H93" s="846"/>
      <c r="I93" s="846"/>
      <c r="J93" s="847"/>
      <c r="K93" s="848" t="s">
        <v>160</v>
      </c>
      <c r="L93" s="839"/>
      <c r="M93" s="839"/>
      <c r="N93" s="849"/>
      <c r="O93" s="848" t="s">
        <v>161</v>
      </c>
      <c r="P93" s="839"/>
      <c r="Q93" s="846"/>
      <c r="R93" s="847"/>
      <c r="S93" s="845" t="s">
        <v>162</v>
      </c>
      <c r="T93" s="846"/>
      <c r="U93" s="846"/>
      <c r="V93" s="850"/>
      <c r="W93" s="851"/>
      <c r="X93" s="852"/>
      <c r="Y93" s="852"/>
      <c r="Z93" s="853"/>
      <c r="AA93" s="850"/>
      <c r="AB93" s="846"/>
      <c r="AC93" s="846"/>
      <c r="AD93" s="850"/>
      <c r="AE93" s="854">
        <v>37</v>
      </c>
      <c r="AF93" s="839"/>
      <c r="AG93" s="846"/>
      <c r="AH93" s="850"/>
      <c r="AI93" s="855"/>
    </row>
    <row r="94" spans="1:35" ht="18" customHeight="1">
      <c r="A94" s="60"/>
      <c r="B94" s="1955" t="s">
        <v>163</v>
      </c>
      <c r="C94" s="1956" t="s">
        <v>156</v>
      </c>
      <c r="D94" s="1957"/>
      <c r="E94" s="1957"/>
      <c r="F94" s="1958"/>
      <c r="G94" s="1956" t="s">
        <v>164</v>
      </c>
      <c r="H94" s="1957"/>
      <c r="I94" s="1957"/>
      <c r="J94" s="1958"/>
      <c r="K94" s="1956" t="s">
        <v>165</v>
      </c>
      <c r="L94" s="1959" t="s">
        <v>166</v>
      </c>
      <c r="M94" s="1957"/>
      <c r="N94" s="1958"/>
      <c r="O94" s="1956" t="s">
        <v>165</v>
      </c>
      <c r="P94" s="1959" t="s">
        <v>166</v>
      </c>
      <c r="Q94" s="1957"/>
      <c r="R94" s="1958"/>
      <c r="S94" s="1956" t="s">
        <v>164</v>
      </c>
      <c r="T94" s="1959" t="s">
        <v>167</v>
      </c>
      <c r="U94" s="1957"/>
      <c r="V94" s="1958"/>
      <c r="W94" s="61" t="s">
        <v>168</v>
      </c>
      <c r="X94" s="62" t="s">
        <v>169</v>
      </c>
      <c r="Y94" s="63"/>
      <c r="Z94" s="63"/>
      <c r="AA94" s="1956" t="s">
        <v>170</v>
      </c>
      <c r="AB94" s="1960" t="s">
        <v>157</v>
      </c>
      <c r="AC94" s="1956"/>
      <c r="AD94" s="1956"/>
      <c r="AE94" s="1961">
        <v>68</v>
      </c>
      <c r="AF94" s="1957"/>
      <c r="AG94" s="1962"/>
      <c r="AH94" s="1963"/>
      <c r="AI94" s="1964"/>
    </row>
    <row r="95" spans="1:35" ht="18" customHeight="1">
      <c r="A95" s="60"/>
      <c r="B95" s="1955" t="s">
        <v>171</v>
      </c>
      <c r="C95" s="1965" t="s">
        <v>172</v>
      </c>
      <c r="D95" s="1957"/>
      <c r="E95" s="1957"/>
      <c r="F95" s="1958"/>
      <c r="G95" s="1957" t="s">
        <v>172</v>
      </c>
      <c r="H95" s="1957"/>
      <c r="I95" s="1957"/>
      <c r="J95" s="1958"/>
      <c r="K95" s="1957" t="s">
        <v>172</v>
      </c>
      <c r="L95" s="1957"/>
      <c r="M95" s="1957"/>
      <c r="N95" s="1958"/>
      <c r="O95" s="1957" t="s">
        <v>172</v>
      </c>
      <c r="P95" s="1957"/>
      <c r="Q95" s="1957"/>
      <c r="R95" s="1958"/>
      <c r="S95" s="1957" t="s">
        <v>172</v>
      </c>
      <c r="T95" s="1957"/>
      <c r="U95" s="1957"/>
      <c r="V95" s="1958"/>
      <c r="W95" s="1956"/>
      <c r="X95" s="1957"/>
      <c r="Y95" s="1957"/>
      <c r="Z95" s="1958"/>
      <c r="AA95" s="1956"/>
      <c r="AB95" s="1957"/>
      <c r="AC95" s="1957"/>
      <c r="AD95" s="1959"/>
      <c r="AE95" s="1961">
        <v>0</v>
      </c>
      <c r="AF95" s="1962"/>
      <c r="AG95" s="1957"/>
      <c r="AH95" s="1959"/>
      <c r="AI95" s="1966"/>
    </row>
    <row r="96" spans="1:35" ht="18" customHeight="1" thickBot="1">
      <c r="A96" s="60"/>
      <c r="B96" s="1967" t="s">
        <v>173</v>
      </c>
      <c r="C96" s="1968" t="s">
        <v>127</v>
      </c>
      <c r="D96" s="1969" t="s">
        <v>419</v>
      </c>
      <c r="E96" s="1970"/>
      <c r="F96" s="1971"/>
      <c r="G96" s="1968" t="s">
        <v>175</v>
      </c>
      <c r="H96" s="1972"/>
      <c r="I96" s="1970"/>
      <c r="J96" s="1971"/>
      <c r="K96" s="1968" t="s">
        <v>174</v>
      </c>
      <c r="L96" s="1972"/>
      <c r="M96" s="1970"/>
      <c r="N96" s="1971"/>
      <c r="O96" s="1968" t="s">
        <v>174</v>
      </c>
      <c r="P96" s="1972"/>
      <c r="Q96" s="1970"/>
      <c r="R96" s="1971"/>
      <c r="S96" s="1968" t="s">
        <v>174</v>
      </c>
      <c r="T96" s="1972"/>
      <c r="U96" s="1970"/>
      <c r="V96" s="1971"/>
      <c r="W96" s="1973"/>
      <c r="X96" s="1970"/>
      <c r="Y96" s="1970"/>
      <c r="Z96" s="1974"/>
      <c r="AA96" s="1975"/>
      <c r="AB96" s="1970"/>
      <c r="AC96" s="1970"/>
      <c r="AD96" s="1975"/>
      <c r="AE96" s="1976">
        <v>37</v>
      </c>
      <c r="AF96" s="1970"/>
      <c r="AG96" s="1970"/>
      <c r="AH96" s="1975"/>
      <c r="AI96" s="1977"/>
    </row>
    <row r="97" spans="1:35" ht="18" customHeight="1">
      <c r="A97" s="66"/>
      <c r="B97" s="60"/>
      <c r="C97" s="58"/>
      <c r="D97" s="63"/>
      <c r="E97" s="58"/>
      <c r="F97" s="58"/>
      <c r="G97" s="58"/>
      <c r="H97" s="58"/>
      <c r="I97" s="58"/>
      <c r="J97" s="58"/>
      <c r="K97" s="58"/>
      <c r="L97" s="58"/>
      <c r="M97" s="58"/>
      <c r="N97" s="58"/>
      <c r="O97" s="58"/>
      <c r="P97" s="58"/>
      <c r="Q97" s="58"/>
      <c r="R97" s="58"/>
      <c r="S97" s="58"/>
      <c r="T97" s="58"/>
      <c r="U97" s="58"/>
      <c r="V97" s="58"/>
      <c r="W97" s="58"/>
      <c r="X97" s="58"/>
      <c r="Y97" s="58"/>
      <c r="Z97" s="58"/>
      <c r="AA97" s="58"/>
      <c r="AB97" s="58"/>
      <c r="AC97" s="58"/>
      <c r="AD97" s="58"/>
      <c r="AE97" s="58"/>
      <c r="AF97" s="58"/>
      <c r="AG97" s="58"/>
      <c r="AH97" s="58"/>
      <c r="AI97" s="58"/>
    </row>
    <row r="98" spans="1:35" ht="18" customHeight="1" thickBot="1">
      <c r="A98" s="1978"/>
      <c r="B98" s="1979" t="s">
        <v>29</v>
      </c>
      <c r="C98" s="1811">
        <v>1</v>
      </c>
      <c r="D98" s="1812">
        <v>2</v>
      </c>
      <c r="E98" s="1812">
        <v>3</v>
      </c>
      <c r="F98" s="1812">
        <v>4</v>
      </c>
      <c r="G98" s="1812">
        <v>5</v>
      </c>
      <c r="H98" s="1812">
        <v>6</v>
      </c>
      <c r="I98" s="1811">
        <v>7</v>
      </c>
      <c r="J98" s="1811">
        <v>8</v>
      </c>
      <c r="K98" s="1812">
        <v>9</v>
      </c>
      <c r="L98" s="1812">
        <v>10</v>
      </c>
      <c r="M98" s="1812">
        <v>11</v>
      </c>
      <c r="N98" s="1812">
        <v>12</v>
      </c>
      <c r="O98" s="1812">
        <v>13</v>
      </c>
      <c r="P98" s="1811">
        <v>14</v>
      </c>
      <c r="Q98" s="1811">
        <v>15</v>
      </c>
      <c r="R98" s="1812">
        <v>16</v>
      </c>
      <c r="S98" s="1812">
        <v>17</v>
      </c>
      <c r="T98" s="1812">
        <v>18</v>
      </c>
      <c r="U98" s="1812">
        <v>19</v>
      </c>
      <c r="V98" s="1812">
        <v>20</v>
      </c>
      <c r="W98" s="1811">
        <v>21</v>
      </c>
      <c r="X98" s="1811">
        <v>22</v>
      </c>
      <c r="Y98" s="1812">
        <v>23</v>
      </c>
      <c r="Z98" s="1812">
        <v>24</v>
      </c>
      <c r="AA98" s="1812">
        <v>25</v>
      </c>
      <c r="AB98" s="1812">
        <v>26</v>
      </c>
      <c r="AC98" s="1812">
        <v>27</v>
      </c>
      <c r="AD98" s="1811">
        <v>28</v>
      </c>
      <c r="AE98" s="1811">
        <v>29</v>
      </c>
      <c r="AF98" s="1812">
        <v>30</v>
      </c>
      <c r="AG98" s="1813"/>
      <c r="AH98" s="67"/>
      <c r="AI98" s="68"/>
    </row>
    <row r="99" spans="1:35" ht="18" customHeight="1" thickBot="1">
      <c r="A99" s="880">
        <v>1</v>
      </c>
      <c r="B99" s="689" t="s">
        <v>46</v>
      </c>
      <c r="C99" s="1147"/>
      <c r="D99" s="1147" t="s">
        <v>176</v>
      </c>
      <c r="E99" s="1147" t="s">
        <v>176</v>
      </c>
      <c r="F99" s="1147" t="s">
        <v>176</v>
      </c>
      <c r="G99" s="1147" t="s">
        <v>176</v>
      </c>
      <c r="H99" s="1147" t="s">
        <v>176</v>
      </c>
      <c r="I99" s="1147"/>
      <c r="J99" s="1147"/>
      <c r="K99" s="1980" t="s">
        <v>127</v>
      </c>
      <c r="L99" s="1980" t="s">
        <v>127</v>
      </c>
      <c r="M99" s="1980" t="s">
        <v>127</v>
      </c>
      <c r="N99" s="1980" t="s">
        <v>127</v>
      </c>
      <c r="O99" s="1980" t="s">
        <v>127</v>
      </c>
      <c r="P99" s="881"/>
      <c r="Q99" s="881"/>
      <c r="R99" s="881" t="s">
        <v>110</v>
      </c>
      <c r="S99" s="881" t="s">
        <v>110</v>
      </c>
      <c r="T99" s="881" t="s">
        <v>110</v>
      </c>
      <c r="U99" s="883" t="s">
        <v>110</v>
      </c>
      <c r="V99" s="883" t="s">
        <v>110</v>
      </c>
      <c r="W99" s="883" t="s">
        <v>108</v>
      </c>
      <c r="X99" s="883" t="s">
        <v>108</v>
      </c>
      <c r="Y99" s="881" t="s">
        <v>35</v>
      </c>
      <c r="Z99" s="881" t="s">
        <v>35</v>
      </c>
      <c r="AA99" s="881" t="s">
        <v>35</v>
      </c>
      <c r="AB99" s="881" t="s">
        <v>35</v>
      </c>
      <c r="AC99" s="881" t="s">
        <v>35</v>
      </c>
      <c r="AD99" s="881"/>
      <c r="AE99" s="881"/>
      <c r="AF99" s="881" t="s">
        <v>176</v>
      </c>
      <c r="AG99" s="884"/>
      <c r="AH99" s="69"/>
      <c r="AI99" s="70"/>
    </row>
    <row r="100" spans="1:35" ht="18" customHeight="1" thickBot="1">
      <c r="A100" s="1981">
        <v>2</v>
      </c>
      <c r="B100" s="1895"/>
      <c r="C100" s="1982" t="s">
        <v>108</v>
      </c>
      <c r="D100" s="1982" t="s">
        <v>35</v>
      </c>
      <c r="E100" s="1982" t="s">
        <v>35</v>
      </c>
      <c r="F100" s="1982" t="s">
        <v>35</v>
      </c>
      <c r="G100" s="1983" t="s">
        <v>35</v>
      </c>
      <c r="H100" s="1984" t="s">
        <v>35</v>
      </c>
      <c r="I100" s="1983"/>
      <c r="J100" s="1983"/>
      <c r="K100" s="1983" t="s">
        <v>176</v>
      </c>
      <c r="L100" s="1983" t="s">
        <v>176</v>
      </c>
      <c r="M100" s="1982" t="s">
        <v>176</v>
      </c>
      <c r="N100" s="1983" t="s">
        <v>176</v>
      </c>
      <c r="O100" s="1983" t="s">
        <v>176</v>
      </c>
      <c r="P100" s="1983"/>
      <c r="Q100" s="1983"/>
      <c r="R100" s="1980" t="s">
        <v>127</v>
      </c>
      <c r="S100" s="1980" t="s">
        <v>127</v>
      </c>
      <c r="T100" s="1980" t="s">
        <v>127</v>
      </c>
      <c r="U100" s="1980" t="s">
        <v>127</v>
      </c>
      <c r="V100" s="1980" t="s">
        <v>127</v>
      </c>
      <c r="W100" s="1983"/>
      <c r="X100" s="1983"/>
      <c r="Y100" s="1983" t="s">
        <v>110</v>
      </c>
      <c r="Z100" s="1983" t="s">
        <v>110</v>
      </c>
      <c r="AA100" s="1983" t="s">
        <v>110</v>
      </c>
      <c r="AB100" s="1982" t="s">
        <v>110</v>
      </c>
      <c r="AC100" s="1982" t="s">
        <v>110</v>
      </c>
      <c r="AD100" s="1982" t="s">
        <v>108</v>
      </c>
      <c r="AE100" s="1982" t="s">
        <v>108</v>
      </c>
      <c r="AF100" s="1982" t="s">
        <v>35</v>
      </c>
      <c r="AG100" s="1985"/>
      <c r="AH100" s="69"/>
      <c r="AI100" s="70"/>
    </row>
    <row r="101" spans="1:35" ht="18" customHeight="1" thickBot="1">
      <c r="A101" s="1981">
        <v>3</v>
      </c>
      <c r="B101" s="1986" t="s">
        <v>178</v>
      </c>
      <c r="C101" s="1987"/>
      <c r="D101" s="1983" t="s">
        <v>110</v>
      </c>
      <c r="E101" s="1988" t="s">
        <v>110</v>
      </c>
      <c r="F101" s="1989" t="s">
        <v>110</v>
      </c>
      <c r="G101" s="1982" t="s">
        <v>110</v>
      </c>
      <c r="H101" s="1982" t="s">
        <v>110</v>
      </c>
      <c r="I101" s="1982" t="s">
        <v>108</v>
      </c>
      <c r="J101" s="1982" t="s">
        <v>108</v>
      </c>
      <c r="K101" s="1728" t="s">
        <v>35</v>
      </c>
      <c r="L101" s="1728" t="s">
        <v>35</v>
      </c>
      <c r="M101" s="1728" t="s">
        <v>35</v>
      </c>
      <c r="N101" s="1728" t="s">
        <v>35</v>
      </c>
      <c r="O101" s="1728" t="s">
        <v>35</v>
      </c>
      <c r="P101" s="1990"/>
      <c r="Q101" s="1991"/>
      <c r="R101" s="1983" t="s">
        <v>176</v>
      </c>
      <c r="S101" s="1983" t="s">
        <v>176</v>
      </c>
      <c r="T101" s="1983" t="s">
        <v>176</v>
      </c>
      <c r="U101" s="1983" t="s">
        <v>176</v>
      </c>
      <c r="V101" s="1983" t="s">
        <v>176</v>
      </c>
      <c r="W101" s="1990"/>
      <c r="X101" s="1990"/>
      <c r="Y101" s="1992" t="s">
        <v>127</v>
      </c>
      <c r="Z101" s="1980" t="s">
        <v>127</v>
      </c>
      <c r="AA101" s="1980" t="s">
        <v>127</v>
      </c>
      <c r="AB101" s="1980" t="s">
        <v>127</v>
      </c>
      <c r="AC101" s="1980" t="s">
        <v>127</v>
      </c>
      <c r="AD101" s="1983"/>
      <c r="AE101" s="1983"/>
      <c r="AF101" s="1983" t="s">
        <v>110</v>
      </c>
      <c r="AG101" s="1993"/>
      <c r="AH101" s="69"/>
      <c r="AI101" s="70"/>
    </row>
    <row r="102" spans="1:35" ht="18" customHeight="1" thickBot="1">
      <c r="A102" s="1994">
        <v>4</v>
      </c>
      <c r="B102" s="1995" t="s">
        <v>360</v>
      </c>
      <c r="C102" s="1996"/>
      <c r="D102" s="1980" t="s">
        <v>127</v>
      </c>
      <c r="E102" s="1980" t="s">
        <v>127</v>
      </c>
      <c r="F102" s="1980" t="s">
        <v>127</v>
      </c>
      <c r="G102" s="1980" t="s">
        <v>127</v>
      </c>
      <c r="H102" s="1980" t="s">
        <v>127</v>
      </c>
      <c r="I102" s="1996" t="s">
        <v>0</v>
      </c>
      <c r="J102" s="1996" t="s">
        <v>0</v>
      </c>
      <c r="K102" s="1996" t="s">
        <v>110</v>
      </c>
      <c r="L102" s="1996" t="s">
        <v>110</v>
      </c>
      <c r="M102" s="1996" t="s">
        <v>110</v>
      </c>
      <c r="N102" s="1996" t="s">
        <v>110</v>
      </c>
      <c r="O102" s="1996" t="s">
        <v>110</v>
      </c>
      <c r="P102" s="1996" t="s">
        <v>108</v>
      </c>
      <c r="Q102" s="1996" t="s">
        <v>108</v>
      </c>
      <c r="R102" s="1996" t="s">
        <v>35</v>
      </c>
      <c r="S102" s="1996" t="s">
        <v>35</v>
      </c>
      <c r="T102" s="1996" t="s">
        <v>35</v>
      </c>
      <c r="U102" s="1996" t="s">
        <v>35</v>
      </c>
      <c r="V102" s="1996" t="s">
        <v>35</v>
      </c>
      <c r="W102" s="1996"/>
      <c r="X102" s="1996"/>
      <c r="Y102" s="1996" t="s">
        <v>176</v>
      </c>
      <c r="Z102" s="1996" t="s">
        <v>176</v>
      </c>
      <c r="AA102" s="1996" t="s">
        <v>176</v>
      </c>
      <c r="AB102" s="1996" t="s">
        <v>176</v>
      </c>
      <c r="AC102" s="1996" t="s">
        <v>176</v>
      </c>
      <c r="AD102" s="1997"/>
      <c r="AE102" s="1996"/>
      <c r="AF102" s="1996" t="s">
        <v>176</v>
      </c>
      <c r="AG102" s="1998"/>
      <c r="AH102" s="69"/>
      <c r="AI102" s="70"/>
    </row>
    <row r="103" spans="1:35" ht="18" customHeight="1" thickBot="1">
      <c r="A103" s="71"/>
      <c r="B103" s="72"/>
      <c r="C103" s="73"/>
      <c r="D103" s="73"/>
      <c r="E103" s="73"/>
      <c r="F103" s="73"/>
      <c r="G103" s="73"/>
      <c r="H103" s="73"/>
      <c r="I103" s="73"/>
      <c r="J103" s="73"/>
      <c r="K103" s="73"/>
      <c r="L103" s="73"/>
      <c r="M103" s="73"/>
      <c r="N103" s="73"/>
      <c r="O103" s="73"/>
      <c r="P103" s="73"/>
      <c r="Q103" s="73"/>
      <c r="R103" s="73"/>
      <c r="S103" s="73"/>
      <c r="T103" s="73"/>
      <c r="U103" s="73"/>
      <c r="V103" s="73"/>
      <c r="W103" s="73"/>
      <c r="X103" s="73"/>
      <c r="Y103" s="73"/>
      <c r="Z103" s="73"/>
      <c r="AA103" s="73"/>
      <c r="AB103" s="73"/>
      <c r="AC103" s="73"/>
      <c r="AD103" s="74"/>
      <c r="AE103" s="73"/>
      <c r="AF103" s="73"/>
      <c r="AG103" s="74"/>
      <c r="AH103" s="75"/>
      <c r="AI103" s="70"/>
    </row>
    <row r="104" spans="1:35" ht="18" customHeight="1">
      <c r="A104" s="17"/>
      <c r="B104" s="900" t="s">
        <v>179</v>
      </c>
      <c r="C104" s="901"/>
      <c r="D104" s="902" t="s">
        <v>87</v>
      </c>
      <c r="E104" s="903"/>
      <c r="F104" s="901"/>
      <c r="G104" s="904" t="s">
        <v>88</v>
      </c>
      <c r="H104" s="905"/>
      <c r="I104" s="906"/>
      <c r="J104" s="904" t="s">
        <v>89</v>
      </c>
      <c r="K104" s="907"/>
      <c r="L104" s="906"/>
      <c r="M104" s="908" t="s">
        <v>90</v>
      </c>
      <c r="N104" s="907"/>
      <c r="O104" s="906"/>
      <c r="P104" s="904" t="s">
        <v>91</v>
      </c>
      <c r="Q104" s="909"/>
      <c r="R104" s="906"/>
      <c r="S104" s="904" t="s">
        <v>92</v>
      </c>
      <c r="T104" s="910"/>
      <c r="U104" s="906"/>
      <c r="V104" s="904" t="s">
        <v>93</v>
      </c>
      <c r="W104" s="909"/>
      <c r="X104" s="911" t="s">
        <v>158</v>
      </c>
      <c r="Y104" s="912"/>
      <c r="Z104" s="912"/>
      <c r="AA104" s="913"/>
      <c r="AB104" s="914" t="s">
        <v>94</v>
      </c>
      <c r="AC104" s="915"/>
      <c r="AD104" s="915"/>
      <c r="AE104" s="916"/>
      <c r="AF104" s="916"/>
      <c r="AG104" s="917"/>
      <c r="AH104" s="75"/>
      <c r="AI104" s="70"/>
    </row>
    <row r="105" spans="1:35" ht="18" customHeight="1">
      <c r="A105" s="17"/>
      <c r="B105" s="1999" t="s">
        <v>180</v>
      </c>
      <c r="C105" s="2000" t="s">
        <v>181</v>
      </c>
      <c r="D105" s="1795"/>
      <c r="E105" s="1796"/>
      <c r="F105" s="2000" t="s">
        <v>181</v>
      </c>
      <c r="G105" s="1795"/>
      <c r="H105" s="1796"/>
      <c r="I105" s="2000" t="s">
        <v>181</v>
      </c>
      <c r="J105" s="1795"/>
      <c r="K105" s="1796"/>
      <c r="L105" s="2000" t="s">
        <v>181</v>
      </c>
      <c r="M105" s="1795"/>
      <c r="N105" s="1796"/>
      <c r="O105" s="2000" t="s">
        <v>182</v>
      </c>
      <c r="P105" s="1795"/>
      <c r="Q105" s="1796"/>
      <c r="R105" s="2000"/>
      <c r="S105" s="1795"/>
      <c r="T105" s="1796"/>
      <c r="U105" s="2000"/>
      <c r="V105" s="1795"/>
      <c r="W105" s="1796"/>
      <c r="X105" s="2000"/>
      <c r="Y105" s="2001"/>
      <c r="Z105" s="2001"/>
      <c r="AA105" s="2001"/>
      <c r="AB105" s="1793"/>
      <c r="AC105" s="2001"/>
      <c r="AD105" s="2001"/>
      <c r="AE105" s="2001"/>
      <c r="AF105" s="2001"/>
      <c r="AG105" s="2002"/>
      <c r="AH105" s="75"/>
      <c r="AI105" s="70"/>
    </row>
    <row r="106" spans="1:35" ht="18" customHeight="1">
      <c r="A106" s="17"/>
      <c r="B106" s="16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75"/>
      <c r="AI106" s="70"/>
    </row>
    <row r="107" spans="1:35" ht="18" customHeight="1" thickBot="1">
      <c r="A107" s="1690" t="s">
        <v>28</v>
      </c>
      <c r="B107" s="1691" t="s">
        <v>29</v>
      </c>
      <c r="C107" s="1811">
        <v>1</v>
      </c>
      <c r="D107" s="1812">
        <v>2</v>
      </c>
      <c r="E107" s="1812">
        <v>3</v>
      </c>
      <c r="F107" s="1812">
        <v>4</v>
      </c>
      <c r="G107" s="1812">
        <v>5</v>
      </c>
      <c r="H107" s="1812">
        <v>6</v>
      </c>
      <c r="I107" s="1811">
        <v>7</v>
      </c>
      <c r="J107" s="1811">
        <v>8</v>
      </c>
      <c r="K107" s="1812">
        <v>9</v>
      </c>
      <c r="L107" s="1812">
        <v>10</v>
      </c>
      <c r="M107" s="1812">
        <v>11</v>
      </c>
      <c r="N107" s="1812">
        <v>12</v>
      </c>
      <c r="O107" s="1812">
        <v>13</v>
      </c>
      <c r="P107" s="1811">
        <v>14</v>
      </c>
      <c r="Q107" s="1811">
        <v>15</v>
      </c>
      <c r="R107" s="1812">
        <v>16</v>
      </c>
      <c r="S107" s="1812">
        <v>17</v>
      </c>
      <c r="T107" s="1812">
        <v>18</v>
      </c>
      <c r="U107" s="1812">
        <v>19</v>
      </c>
      <c r="V107" s="1812">
        <v>20</v>
      </c>
      <c r="W107" s="1811">
        <v>21</v>
      </c>
      <c r="X107" s="1811">
        <v>22</v>
      </c>
      <c r="Y107" s="1812">
        <v>23</v>
      </c>
      <c r="Z107" s="1812">
        <v>24</v>
      </c>
      <c r="AA107" s="1812">
        <v>25</v>
      </c>
      <c r="AB107" s="1812">
        <v>26</v>
      </c>
      <c r="AC107" s="1812">
        <v>27</v>
      </c>
      <c r="AD107" s="1811">
        <v>28</v>
      </c>
      <c r="AE107" s="1811">
        <v>29</v>
      </c>
      <c r="AF107" s="1812">
        <v>30</v>
      </c>
      <c r="AG107" s="1813"/>
      <c r="AH107" s="75"/>
      <c r="AI107" s="70"/>
    </row>
    <row r="108" spans="1:35" ht="18" customHeight="1">
      <c r="A108" s="922">
        <v>8520</v>
      </c>
      <c r="B108" s="923" t="s">
        <v>183</v>
      </c>
      <c r="C108" s="1816"/>
      <c r="D108" s="1816" t="s">
        <v>118</v>
      </c>
      <c r="E108" s="1816" t="s">
        <v>118</v>
      </c>
      <c r="F108" s="1816" t="s">
        <v>118</v>
      </c>
      <c r="G108" s="1816" t="s">
        <v>118</v>
      </c>
      <c r="H108" s="1816" t="s">
        <v>118</v>
      </c>
      <c r="I108" s="1816"/>
      <c r="J108" s="1816"/>
      <c r="K108" s="1816" t="s">
        <v>118</v>
      </c>
      <c r="L108" s="1816" t="s">
        <v>118</v>
      </c>
      <c r="M108" s="1816" t="s">
        <v>118</v>
      </c>
      <c r="N108" s="1816" t="s">
        <v>118</v>
      </c>
      <c r="O108" s="1816" t="s">
        <v>118</v>
      </c>
      <c r="P108" s="1816"/>
      <c r="Q108" s="1816"/>
      <c r="R108" s="1816" t="s">
        <v>118</v>
      </c>
      <c r="S108" s="1816" t="s">
        <v>118</v>
      </c>
      <c r="T108" s="1816" t="s">
        <v>118</v>
      </c>
      <c r="U108" s="1816" t="s">
        <v>118</v>
      </c>
      <c r="V108" s="1816" t="s">
        <v>118</v>
      </c>
      <c r="W108" s="1816"/>
      <c r="X108" s="1816"/>
      <c r="Y108" s="1816" t="s">
        <v>118</v>
      </c>
      <c r="Z108" s="1816" t="s">
        <v>118</v>
      </c>
      <c r="AA108" s="1816" t="s">
        <v>118</v>
      </c>
      <c r="AB108" s="1816" t="s">
        <v>118</v>
      </c>
      <c r="AC108" s="1816" t="s">
        <v>118</v>
      </c>
      <c r="AD108" s="1816"/>
      <c r="AE108" s="1816"/>
      <c r="AF108" s="1816" t="s">
        <v>118</v>
      </c>
      <c r="AG108" s="1819"/>
      <c r="AH108" s="75"/>
      <c r="AI108" s="70"/>
    </row>
    <row r="109" spans="1:35" ht="18" customHeight="1">
      <c r="AH109" s="76"/>
      <c r="AI109" s="76"/>
    </row>
    <row r="110" spans="1:35" ht="18" customHeight="1" thickBot="1">
      <c r="A110" s="77" t="s">
        <v>185</v>
      </c>
      <c r="B110" s="78"/>
      <c r="C110" s="78"/>
      <c r="D110" s="79"/>
      <c r="E110" s="79"/>
      <c r="F110" s="79"/>
      <c r="G110" s="80"/>
      <c r="H110" s="79"/>
      <c r="I110" s="79"/>
      <c r="J110" s="79"/>
      <c r="K110" s="79"/>
      <c r="L110" s="79"/>
      <c r="M110" s="79"/>
      <c r="N110" s="79"/>
      <c r="O110" s="79"/>
      <c r="P110" s="79"/>
      <c r="Q110" s="79"/>
      <c r="R110" s="79"/>
      <c r="S110" s="79"/>
      <c r="T110" s="79"/>
      <c r="U110" s="79"/>
      <c r="V110" s="79"/>
      <c r="W110" s="79"/>
      <c r="X110" s="79"/>
      <c r="Y110" s="79"/>
      <c r="Z110" s="79"/>
      <c r="AA110" s="79"/>
      <c r="AB110" s="79"/>
      <c r="AC110" s="79"/>
      <c r="AD110" s="79"/>
      <c r="AE110" s="79"/>
      <c r="AF110" s="79"/>
      <c r="AG110" s="79"/>
      <c r="AH110" s="78"/>
      <c r="AI110" s="78"/>
    </row>
    <row r="111" spans="1:35" ht="18" customHeight="1">
      <c r="A111" s="77"/>
      <c r="B111" s="900" t="s">
        <v>186</v>
      </c>
      <c r="C111" s="924"/>
      <c r="D111" s="925" t="s">
        <v>87</v>
      </c>
      <c r="E111" s="926"/>
      <c r="F111" s="927"/>
      <c r="G111" s="924"/>
      <c r="H111" s="925" t="s">
        <v>88</v>
      </c>
      <c r="I111" s="926"/>
      <c r="J111" s="927"/>
      <c r="K111" s="924"/>
      <c r="L111" s="925" t="s">
        <v>89</v>
      </c>
      <c r="M111" s="926"/>
      <c r="N111" s="927"/>
      <c r="O111" s="924"/>
      <c r="P111" s="925" t="s">
        <v>90</v>
      </c>
      <c r="Q111" s="926"/>
      <c r="R111" s="927"/>
      <c r="S111" s="924"/>
      <c r="T111" s="925" t="s">
        <v>91</v>
      </c>
      <c r="U111" s="926"/>
      <c r="V111" s="927"/>
      <c r="W111" s="924"/>
      <c r="X111" s="925" t="s">
        <v>92</v>
      </c>
      <c r="Y111" s="926"/>
      <c r="Z111" s="927"/>
      <c r="AA111" s="924"/>
      <c r="AB111" s="925" t="s">
        <v>93</v>
      </c>
      <c r="AC111" s="926"/>
      <c r="AD111" s="926"/>
      <c r="AE111" s="928" t="s">
        <v>94</v>
      </c>
      <c r="AF111" s="926"/>
      <c r="AG111" s="926"/>
      <c r="AH111" s="926"/>
      <c r="AI111" s="929"/>
    </row>
    <row r="112" spans="1:35" ht="18" customHeight="1">
      <c r="A112" s="77"/>
      <c r="B112" s="2003" t="s">
        <v>159</v>
      </c>
      <c r="C112" s="2004">
        <v>69</v>
      </c>
      <c r="D112" s="2005" t="s">
        <v>187</v>
      </c>
      <c r="E112" s="2005"/>
      <c r="F112" s="2006"/>
      <c r="G112" s="2004">
        <v>69</v>
      </c>
      <c r="H112" s="2005" t="s">
        <v>187</v>
      </c>
      <c r="I112" s="2005"/>
      <c r="J112" s="2006"/>
      <c r="K112" s="2004">
        <v>69</v>
      </c>
      <c r="L112" s="2005" t="s">
        <v>187</v>
      </c>
      <c r="M112" s="2005"/>
      <c r="N112" s="2006"/>
      <c r="O112" s="2004">
        <v>69</v>
      </c>
      <c r="P112" s="2005" t="s">
        <v>187</v>
      </c>
      <c r="Q112" s="2005"/>
      <c r="R112" s="2006"/>
      <c r="S112" s="2004">
        <v>69</v>
      </c>
      <c r="T112" s="2005" t="s">
        <v>187</v>
      </c>
      <c r="U112" s="2005"/>
      <c r="V112" s="2006"/>
      <c r="W112" s="2004"/>
      <c r="X112" s="2007"/>
      <c r="Y112" s="2007"/>
      <c r="Z112" s="2008"/>
      <c r="AA112" s="2004"/>
      <c r="AB112" s="2005"/>
      <c r="AC112" s="2005"/>
      <c r="AD112" s="1903"/>
      <c r="AE112" s="2009">
        <v>35</v>
      </c>
      <c r="AF112" s="2005"/>
      <c r="AG112" s="2005"/>
      <c r="AH112" s="1903"/>
      <c r="AI112" s="2010"/>
    </row>
    <row r="113" spans="1:35" ht="18" customHeight="1">
      <c r="A113" s="77"/>
      <c r="B113" s="2003" t="s">
        <v>163</v>
      </c>
      <c r="C113" s="2004">
        <v>79</v>
      </c>
      <c r="D113" s="2005" t="s">
        <v>188</v>
      </c>
      <c r="E113" s="2005"/>
      <c r="F113" s="2006"/>
      <c r="G113" s="2004">
        <v>79</v>
      </c>
      <c r="H113" s="2005" t="s">
        <v>188</v>
      </c>
      <c r="I113" s="2005"/>
      <c r="J113" s="2006"/>
      <c r="K113" s="2004">
        <v>79</v>
      </c>
      <c r="L113" s="2005" t="s">
        <v>188</v>
      </c>
      <c r="M113" s="2005"/>
      <c r="N113" s="2006"/>
      <c r="O113" s="2004">
        <v>79</v>
      </c>
      <c r="P113" s="2005" t="s">
        <v>188</v>
      </c>
      <c r="Q113" s="2005"/>
      <c r="R113" s="2006"/>
      <c r="S113" s="2004">
        <v>79</v>
      </c>
      <c r="T113" s="2005" t="s">
        <v>188</v>
      </c>
      <c r="U113" s="2005"/>
      <c r="V113" s="2006"/>
      <c r="W113" s="2004"/>
      <c r="X113" s="2005"/>
      <c r="Y113" s="2005"/>
      <c r="Z113" s="2006"/>
      <c r="AA113" s="2005"/>
      <c r="AB113" s="2005"/>
      <c r="AC113" s="2005"/>
      <c r="AD113" s="1903"/>
      <c r="AE113" s="2009">
        <v>40</v>
      </c>
      <c r="AF113" s="2005"/>
      <c r="AG113" s="2005"/>
      <c r="AH113" s="1903"/>
      <c r="AI113" s="2010"/>
    </row>
    <row r="114" spans="1:35" ht="18" customHeight="1">
      <c r="A114" s="77"/>
      <c r="B114" s="2003" t="s">
        <v>171</v>
      </c>
      <c r="C114" s="2004">
        <v>89</v>
      </c>
      <c r="D114" s="2005" t="s">
        <v>189</v>
      </c>
      <c r="E114" s="2005"/>
      <c r="F114" s="2006"/>
      <c r="G114" s="2004">
        <v>89</v>
      </c>
      <c r="H114" s="2005" t="s">
        <v>189</v>
      </c>
      <c r="I114" s="2005"/>
      <c r="J114" s="2006"/>
      <c r="K114" s="2004">
        <v>89</v>
      </c>
      <c r="L114" s="2005" t="s">
        <v>189</v>
      </c>
      <c r="M114" s="2005"/>
      <c r="N114" s="2006"/>
      <c r="O114" s="2004">
        <v>89</v>
      </c>
      <c r="P114" s="2005" t="s">
        <v>189</v>
      </c>
      <c r="Q114" s="2005"/>
      <c r="R114" s="2006"/>
      <c r="S114" s="2004">
        <v>89</v>
      </c>
      <c r="T114" s="2005" t="s">
        <v>190</v>
      </c>
      <c r="U114" s="2005"/>
      <c r="V114" s="2006"/>
      <c r="W114" s="2011"/>
      <c r="X114" s="2012" t="s">
        <v>191</v>
      </c>
      <c r="Y114" s="2012"/>
      <c r="Z114" s="2013"/>
      <c r="AA114" s="2011"/>
      <c r="AB114" s="2012"/>
      <c r="AC114" s="2012"/>
      <c r="AD114" s="1905"/>
      <c r="AE114" s="2009">
        <v>44</v>
      </c>
      <c r="AF114" s="2005"/>
      <c r="AG114" s="2005"/>
      <c r="AH114" s="1903"/>
      <c r="AI114" s="2010"/>
    </row>
    <row r="115" spans="1:35" ht="18" customHeight="1">
      <c r="A115" s="77"/>
      <c r="B115" s="81" t="s">
        <v>173</v>
      </c>
      <c r="C115" s="2011">
        <v>99</v>
      </c>
      <c r="D115" s="2012" t="s">
        <v>192</v>
      </c>
      <c r="E115" s="2012"/>
      <c r="F115" s="2013"/>
      <c r="G115" s="2011">
        <v>99</v>
      </c>
      <c r="H115" s="2012" t="s">
        <v>192</v>
      </c>
      <c r="I115" s="2012"/>
      <c r="J115" s="2013"/>
      <c r="K115" s="2011">
        <v>99</v>
      </c>
      <c r="L115" s="2012" t="s">
        <v>192</v>
      </c>
      <c r="M115" s="2012"/>
      <c r="N115" s="2013"/>
      <c r="O115" s="2011">
        <v>99</v>
      </c>
      <c r="P115" s="2012" t="s">
        <v>192</v>
      </c>
      <c r="Q115" s="2012"/>
      <c r="R115" s="2013"/>
      <c r="S115" s="2011">
        <v>99</v>
      </c>
      <c r="T115" s="2012" t="s">
        <v>172</v>
      </c>
      <c r="U115" s="2012"/>
      <c r="V115" s="1905"/>
      <c r="W115" s="1904"/>
      <c r="X115" s="1905"/>
      <c r="Y115" s="2012"/>
      <c r="Z115" s="2013"/>
      <c r="AA115" s="1904"/>
      <c r="AB115" s="1905"/>
      <c r="AC115" s="2012"/>
      <c r="AD115" s="2013"/>
      <c r="AE115" s="2014">
        <v>28</v>
      </c>
      <c r="AF115" s="2012"/>
      <c r="AG115" s="2012"/>
      <c r="AH115" s="1905"/>
      <c r="AI115" s="2015"/>
    </row>
    <row r="116" spans="1:35" ht="18" customHeight="1" thickBot="1">
      <c r="A116" s="77"/>
      <c r="B116" s="2016" t="s">
        <v>193</v>
      </c>
      <c r="C116" s="2017" t="s">
        <v>47</v>
      </c>
      <c r="D116" s="2018" t="s">
        <v>194</v>
      </c>
      <c r="E116" s="2019"/>
      <c r="F116" s="1869"/>
      <c r="G116" s="2017" t="s">
        <v>47</v>
      </c>
      <c r="H116" s="2018" t="s">
        <v>194</v>
      </c>
      <c r="I116" s="1759"/>
      <c r="J116" s="2019"/>
      <c r="K116" s="2017" t="s">
        <v>47</v>
      </c>
      <c r="L116" s="2018" t="s">
        <v>194</v>
      </c>
      <c r="M116" s="2019"/>
      <c r="N116" s="2020"/>
      <c r="O116" s="2017" t="s">
        <v>47</v>
      </c>
      <c r="P116" s="2018" t="s">
        <v>194</v>
      </c>
      <c r="Q116" s="2019"/>
      <c r="R116" s="2018"/>
      <c r="S116" s="2017" t="s">
        <v>47</v>
      </c>
      <c r="T116" s="1871" t="s">
        <v>195</v>
      </c>
      <c r="U116" s="2018"/>
      <c r="V116" s="2020"/>
      <c r="W116" s="2019"/>
      <c r="X116" s="2018"/>
      <c r="Y116" s="2018"/>
      <c r="Z116" s="2018"/>
      <c r="AA116" s="2021"/>
      <c r="AB116" s="2022"/>
      <c r="AC116" s="2018"/>
      <c r="AD116" s="2023"/>
      <c r="AE116" s="2018"/>
      <c r="AF116" s="2018"/>
      <c r="AG116" s="2018"/>
      <c r="AH116" s="2024"/>
      <c r="AI116" s="2025"/>
    </row>
    <row r="117" spans="1:35" ht="18" customHeight="1">
      <c r="A117" s="82"/>
      <c r="B117" s="77"/>
      <c r="C117" s="79"/>
      <c r="D117" s="79"/>
      <c r="E117" s="79"/>
      <c r="F117" s="79"/>
      <c r="G117" s="79"/>
      <c r="H117" s="79"/>
      <c r="I117" s="79"/>
      <c r="J117" s="79"/>
      <c r="K117" s="79"/>
      <c r="L117" s="79"/>
      <c r="M117" s="79"/>
      <c r="N117" s="79"/>
      <c r="O117" s="79"/>
      <c r="P117" s="79"/>
      <c r="Q117" s="79"/>
      <c r="R117" s="79"/>
      <c r="S117" s="79"/>
      <c r="T117" s="79"/>
      <c r="U117" s="79"/>
      <c r="V117" s="79"/>
      <c r="W117" s="79"/>
      <c r="X117" s="79"/>
      <c r="Y117" s="79"/>
      <c r="Z117" s="79"/>
      <c r="AA117" s="79"/>
      <c r="AB117" s="79"/>
      <c r="AC117" s="79"/>
      <c r="AD117" s="79"/>
      <c r="AE117" s="79"/>
      <c r="AF117" s="79"/>
      <c r="AG117" s="79"/>
      <c r="AH117" s="78"/>
      <c r="AI117" s="78"/>
    </row>
    <row r="118" spans="1:35" ht="18" customHeight="1" thickBot="1">
      <c r="A118" s="1690"/>
      <c r="B118" s="1691" t="s">
        <v>29</v>
      </c>
      <c r="C118" s="1811">
        <v>1</v>
      </c>
      <c r="D118" s="1812">
        <v>2</v>
      </c>
      <c r="E118" s="1812">
        <v>3</v>
      </c>
      <c r="F118" s="1812">
        <v>4</v>
      </c>
      <c r="G118" s="1812">
        <v>5</v>
      </c>
      <c r="H118" s="1812">
        <v>6</v>
      </c>
      <c r="I118" s="1811">
        <v>7</v>
      </c>
      <c r="J118" s="1811">
        <v>8</v>
      </c>
      <c r="K118" s="1812">
        <v>9</v>
      </c>
      <c r="L118" s="1812">
        <v>10</v>
      </c>
      <c r="M118" s="1812">
        <v>11</v>
      </c>
      <c r="N118" s="1812">
        <v>12</v>
      </c>
      <c r="O118" s="1812">
        <v>13</v>
      </c>
      <c r="P118" s="1811">
        <v>14</v>
      </c>
      <c r="Q118" s="1811">
        <v>15</v>
      </c>
      <c r="R118" s="1812">
        <v>16</v>
      </c>
      <c r="S118" s="1812">
        <v>17</v>
      </c>
      <c r="T118" s="1812">
        <v>18</v>
      </c>
      <c r="U118" s="1812">
        <v>19</v>
      </c>
      <c r="V118" s="1812">
        <v>20</v>
      </c>
      <c r="W118" s="1811">
        <v>21</v>
      </c>
      <c r="X118" s="1811">
        <v>22</v>
      </c>
      <c r="Y118" s="1812">
        <v>23</v>
      </c>
      <c r="Z118" s="1812">
        <v>24</v>
      </c>
      <c r="AA118" s="1812">
        <v>25</v>
      </c>
      <c r="AB118" s="1812">
        <v>26</v>
      </c>
      <c r="AC118" s="1812">
        <v>27</v>
      </c>
      <c r="AD118" s="1811">
        <v>28</v>
      </c>
      <c r="AE118" s="1811">
        <v>29</v>
      </c>
      <c r="AF118" s="1812">
        <v>30</v>
      </c>
      <c r="AG118" s="1813"/>
      <c r="AH118" s="23"/>
      <c r="AI118" s="24"/>
    </row>
    <row r="119" spans="1:35" ht="18" customHeight="1">
      <c r="A119" s="953">
        <v>1</v>
      </c>
      <c r="B119" s="954" t="s">
        <v>196</v>
      </c>
      <c r="C119" s="472"/>
      <c r="D119" s="472">
        <v>69</v>
      </c>
      <c r="E119" s="1816">
        <v>69</v>
      </c>
      <c r="F119" s="1816">
        <v>69</v>
      </c>
      <c r="G119" s="471">
        <v>69</v>
      </c>
      <c r="H119" s="472">
        <v>69</v>
      </c>
      <c r="I119" s="471"/>
      <c r="J119" s="471"/>
      <c r="K119" s="472">
        <v>79</v>
      </c>
      <c r="L119" s="471">
        <v>79</v>
      </c>
      <c r="M119" s="1816">
        <v>79</v>
      </c>
      <c r="N119" s="1171">
        <v>79</v>
      </c>
      <c r="O119" s="472">
        <v>79</v>
      </c>
      <c r="P119" s="472"/>
      <c r="Q119" s="472"/>
      <c r="R119" s="472">
        <v>89</v>
      </c>
      <c r="S119" s="1816">
        <v>89</v>
      </c>
      <c r="T119" s="1816">
        <v>89</v>
      </c>
      <c r="U119" s="472">
        <v>89</v>
      </c>
      <c r="V119" s="472">
        <v>89</v>
      </c>
      <c r="W119" s="472">
        <v>89</v>
      </c>
      <c r="X119" s="472"/>
      <c r="Y119" s="472">
        <v>99</v>
      </c>
      <c r="Z119" s="472">
        <v>99</v>
      </c>
      <c r="AA119" s="471">
        <v>99</v>
      </c>
      <c r="AB119" s="472">
        <v>99</v>
      </c>
      <c r="AC119" s="472" t="s">
        <v>35</v>
      </c>
      <c r="AD119" s="472"/>
      <c r="AE119" s="472"/>
      <c r="AF119" s="1171" t="s">
        <v>47</v>
      </c>
      <c r="AG119" s="734"/>
      <c r="AH119" s="83"/>
      <c r="AI119" s="76"/>
    </row>
    <row r="120" spans="1:35" ht="18" customHeight="1">
      <c r="A120" s="2026">
        <v>2</v>
      </c>
      <c r="B120" s="1951" t="s">
        <v>197</v>
      </c>
      <c r="C120" s="1735"/>
      <c r="D120" s="1728">
        <v>79</v>
      </c>
      <c r="E120" s="1887">
        <v>79</v>
      </c>
      <c r="F120" s="1887">
        <v>79</v>
      </c>
      <c r="G120" s="1728">
        <v>79</v>
      </c>
      <c r="H120" s="1728">
        <v>79</v>
      </c>
      <c r="I120" s="1728"/>
      <c r="J120" s="1728"/>
      <c r="K120" s="1728">
        <v>89</v>
      </c>
      <c r="L120" s="1887">
        <v>89</v>
      </c>
      <c r="M120" s="1887">
        <v>89</v>
      </c>
      <c r="N120" s="1728">
        <v>89</v>
      </c>
      <c r="O120" s="1728">
        <v>89</v>
      </c>
      <c r="P120" s="1728">
        <v>89</v>
      </c>
      <c r="Q120" s="1728"/>
      <c r="R120" s="1735">
        <v>99</v>
      </c>
      <c r="S120" s="1728">
        <v>99</v>
      </c>
      <c r="T120" s="1887">
        <v>99</v>
      </c>
      <c r="U120" s="1728">
        <v>99</v>
      </c>
      <c r="V120" s="1728" t="s">
        <v>35</v>
      </c>
      <c r="W120" s="1728"/>
      <c r="X120" s="1728"/>
      <c r="Y120" s="1728" t="s">
        <v>47</v>
      </c>
      <c r="Z120" s="1887" t="s">
        <v>47</v>
      </c>
      <c r="AA120" s="1887" t="s">
        <v>47</v>
      </c>
      <c r="AB120" s="1735" t="s">
        <v>47</v>
      </c>
      <c r="AC120" s="1728" t="s">
        <v>47</v>
      </c>
      <c r="AD120" s="1735"/>
      <c r="AE120" s="1735"/>
      <c r="AF120" s="1728">
        <v>69</v>
      </c>
      <c r="AG120" s="2027"/>
      <c r="AH120" s="84"/>
      <c r="AI120" s="85"/>
    </row>
    <row r="121" spans="1:35" ht="18" customHeight="1">
      <c r="A121" s="2026">
        <v>3</v>
      </c>
      <c r="B121" s="1951" t="s">
        <v>198</v>
      </c>
      <c r="C121" s="1728"/>
      <c r="D121" s="1728">
        <v>89</v>
      </c>
      <c r="E121" s="1830">
        <v>89</v>
      </c>
      <c r="F121" s="1887">
        <v>89</v>
      </c>
      <c r="G121" s="1728">
        <v>89</v>
      </c>
      <c r="H121" s="1728">
        <v>89</v>
      </c>
      <c r="I121" s="1728">
        <v>89</v>
      </c>
      <c r="J121" s="1735"/>
      <c r="K121" s="1728">
        <v>99</v>
      </c>
      <c r="L121" s="1735">
        <v>99</v>
      </c>
      <c r="M121" s="1887">
        <v>99</v>
      </c>
      <c r="N121" s="1728">
        <v>99</v>
      </c>
      <c r="O121" s="1728" t="s">
        <v>35</v>
      </c>
      <c r="P121" s="1728"/>
      <c r="Q121" s="1728"/>
      <c r="R121" s="1728" t="s">
        <v>47</v>
      </c>
      <c r="S121" s="1887" t="s">
        <v>47</v>
      </c>
      <c r="T121" s="1887" t="s">
        <v>47</v>
      </c>
      <c r="U121" s="1735" t="s">
        <v>47</v>
      </c>
      <c r="V121" s="1728" t="s">
        <v>47</v>
      </c>
      <c r="W121" s="1735"/>
      <c r="X121" s="1735"/>
      <c r="Y121" s="1735">
        <v>69</v>
      </c>
      <c r="Z121" s="1887">
        <v>69</v>
      </c>
      <c r="AA121" s="1887">
        <v>69</v>
      </c>
      <c r="AB121" s="1728">
        <v>69</v>
      </c>
      <c r="AC121" s="1728">
        <v>69</v>
      </c>
      <c r="AD121" s="1728"/>
      <c r="AE121" s="1728"/>
      <c r="AF121" s="1728">
        <v>79</v>
      </c>
      <c r="AG121" s="1889"/>
      <c r="AH121" s="83"/>
      <c r="AI121" s="76"/>
    </row>
    <row r="122" spans="1:35" ht="18" customHeight="1">
      <c r="A122" s="2026">
        <v>4</v>
      </c>
      <c r="B122" s="1951" t="s">
        <v>268</v>
      </c>
      <c r="C122" s="1830"/>
      <c r="D122" s="1830">
        <v>99</v>
      </c>
      <c r="E122" s="1830">
        <v>99</v>
      </c>
      <c r="F122" s="1830">
        <v>99</v>
      </c>
      <c r="G122" s="1830">
        <v>99</v>
      </c>
      <c r="H122" s="1830" t="s">
        <v>35</v>
      </c>
      <c r="I122" s="1830"/>
      <c r="J122" s="1830"/>
      <c r="K122" s="1728" t="s">
        <v>47</v>
      </c>
      <c r="L122" s="1728" t="s">
        <v>47</v>
      </c>
      <c r="M122" s="1728" t="s">
        <v>47</v>
      </c>
      <c r="N122" s="1728" t="s">
        <v>47</v>
      </c>
      <c r="O122" s="1728" t="s">
        <v>47</v>
      </c>
      <c r="P122" s="2028"/>
      <c r="Q122" s="2028"/>
      <c r="R122" s="2028">
        <v>69</v>
      </c>
      <c r="S122" s="1887">
        <v>69</v>
      </c>
      <c r="T122" s="2029">
        <v>69</v>
      </c>
      <c r="U122" s="2028">
        <v>69</v>
      </c>
      <c r="V122" s="2028">
        <v>69</v>
      </c>
      <c r="W122" s="2028"/>
      <c r="X122" s="2028"/>
      <c r="Y122" s="2028">
        <v>79</v>
      </c>
      <c r="Z122" s="1725">
        <v>79</v>
      </c>
      <c r="AA122" s="2030">
        <v>79</v>
      </c>
      <c r="AB122" s="2031">
        <v>79</v>
      </c>
      <c r="AC122" s="2031">
        <v>79</v>
      </c>
      <c r="AD122" s="1722"/>
      <c r="AE122" s="1722"/>
      <c r="AF122" s="1722">
        <v>89</v>
      </c>
      <c r="AG122" s="2032"/>
      <c r="AH122" s="83"/>
      <c r="AI122" s="76"/>
    </row>
    <row r="123" spans="1:35" ht="18" customHeight="1" thickBot="1">
      <c r="A123" s="2033">
        <v>5</v>
      </c>
      <c r="B123" s="2034" t="s">
        <v>361</v>
      </c>
      <c r="C123" s="2035"/>
      <c r="D123" s="2035" t="s">
        <v>47</v>
      </c>
      <c r="E123" s="2035" t="s">
        <v>47</v>
      </c>
      <c r="F123" s="1812" t="s">
        <v>47</v>
      </c>
      <c r="G123" s="1737" t="s">
        <v>47</v>
      </c>
      <c r="H123" s="1737" t="s">
        <v>47</v>
      </c>
      <c r="I123" s="1737"/>
      <c r="J123" s="1737"/>
      <c r="K123" s="1737">
        <v>69</v>
      </c>
      <c r="L123" s="1812">
        <v>69</v>
      </c>
      <c r="M123" s="1812">
        <v>69</v>
      </c>
      <c r="N123" s="2035">
        <v>69</v>
      </c>
      <c r="O123" s="2035">
        <v>69</v>
      </c>
      <c r="P123" s="2035"/>
      <c r="Q123" s="2035"/>
      <c r="R123" s="2035">
        <v>79</v>
      </c>
      <c r="S123" s="1812">
        <v>79</v>
      </c>
      <c r="T123" s="2036">
        <v>79</v>
      </c>
      <c r="U123" s="2035">
        <v>79</v>
      </c>
      <c r="V123" s="2035">
        <v>79</v>
      </c>
      <c r="W123" s="2035"/>
      <c r="X123" s="2035"/>
      <c r="Y123" s="2035">
        <v>89</v>
      </c>
      <c r="Z123" s="2037">
        <v>89</v>
      </c>
      <c r="AA123" s="2037">
        <v>89</v>
      </c>
      <c r="AB123" s="2035">
        <v>89</v>
      </c>
      <c r="AC123" s="2035">
        <v>89</v>
      </c>
      <c r="AD123" s="2035">
        <v>89</v>
      </c>
      <c r="AE123" s="2035"/>
      <c r="AF123" s="1992">
        <v>99</v>
      </c>
      <c r="AG123" s="2038"/>
      <c r="AH123" s="83"/>
      <c r="AI123" s="76"/>
    </row>
    <row r="124" spans="1:35" ht="18" customHeight="1">
      <c r="A124" s="36"/>
      <c r="B124" s="87"/>
      <c r="C124" s="38"/>
      <c r="D124" s="38"/>
      <c r="E124" s="38"/>
      <c r="F124" s="38"/>
      <c r="G124" s="38"/>
      <c r="H124" s="38"/>
      <c r="I124" s="38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76"/>
      <c r="AI124" s="76"/>
    </row>
    <row r="125" spans="1:35" ht="18" customHeight="1" thickBot="1">
      <c r="A125" s="77" t="s">
        <v>202</v>
      </c>
      <c r="B125" s="78"/>
      <c r="C125" s="78"/>
      <c r="D125" s="79"/>
      <c r="E125" s="79"/>
      <c r="F125" s="79"/>
      <c r="G125" s="80"/>
      <c r="H125" s="79"/>
      <c r="I125" s="79"/>
      <c r="J125" s="79"/>
      <c r="K125" s="79"/>
      <c r="L125" s="79"/>
      <c r="M125" s="79"/>
      <c r="N125" s="79"/>
      <c r="O125" s="79"/>
      <c r="P125" s="79"/>
      <c r="Q125" s="79"/>
      <c r="R125" s="79"/>
      <c r="S125" s="79"/>
      <c r="T125" s="79"/>
      <c r="U125" s="79"/>
      <c r="V125" s="79"/>
      <c r="W125" s="79"/>
      <c r="X125" s="79"/>
      <c r="Y125" s="79"/>
      <c r="Z125" s="79"/>
      <c r="AA125" s="79"/>
      <c r="AB125" s="79"/>
      <c r="AC125" s="79"/>
      <c r="AD125" s="79"/>
      <c r="AE125" s="79"/>
      <c r="AF125" s="79"/>
      <c r="AG125" s="79"/>
      <c r="AH125" s="78"/>
      <c r="AI125" s="78"/>
    </row>
    <row r="126" spans="1:35" ht="18" customHeight="1">
      <c r="A126" s="77"/>
      <c r="B126" s="900" t="s">
        <v>186</v>
      </c>
      <c r="C126" s="924"/>
      <c r="D126" s="925" t="s">
        <v>87</v>
      </c>
      <c r="E126" s="926"/>
      <c r="F126" s="927"/>
      <c r="G126" s="924"/>
      <c r="H126" s="925" t="s">
        <v>88</v>
      </c>
      <c r="I126" s="926"/>
      <c r="J126" s="927"/>
      <c r="K126" s="924"/>
      <c r="L126" s="925" t="s">
        <v>89</v>
      </c>
      <c r="M126" s="926"/>
      <c r="N126" s="927"/>
      <c r="O126" s="924"/>
      <c r="P126" s="925" t="s">
        <v>90</v>
      </c>
      <c r="Q126" s="926"/>
      <c r="R126" s="927"/>
      <c r="S126" s="924"/>
      <c r="T126" s="925" t="s">
        <v>91</v>
      </c>
      <c r="U126" s="926"/>
      <c r="V126" s="927"/>
      <c r="W126" s="924"/>
      <c r="X126" s="925" t="s">
        <v>92</v>
      </c>
      <c r="Y126" s="926"/>
      <c r="Z126" s="927"/>
      <c r="AA126" s="924"/>
      <c r="AB126" s="925" t="s">
        <v>93</v>
      </c>
      <c r="AC126" s="926"/>
      <c r="AD126" s="926"/>
      <c r="AE126" s="928" t="s">
        <v>94</v>
      </c>
      <c r="AF126" s="926"/>
      <c r="AG126" s="926"/>
      <c r="AH126" s="926"/>
      <c r="AI126" s="929"/>
    </row>
    <row r="127" spans="1:35" ht="18" customHeight="1">
      <c r="A127" s="77"/>
      <c r="B127" s="2003" t="s">
        <v>203</v>
      </c>
      <c r="C127" s="1902" t="s">
        <v>204</v>
      </c>
      <c r="D127" s="2005"/>
      <c r="E127" s="2005"/>
      <c r="F127" s="2006"/>
      <c r="G127" s="1902" t="s">
        <v>204</v>
      </c>
      <c r="H127" s="2005"/>
      <c r="I127" s="2005"/>
      <c r="J127" s="2006"/>
      <c r="K127" s="1902" t="s">
        <v>204</v>
      </c>
      <c r="L127" s="2005"/>
      <c r="M127" s="2005"/>
      <c r="N127" s="2006"/>
      <c r="O127" s="1902" t="s">
        <v>204</v>
      </c>
      <c r="P127" s="2005"/>
      <c r="Q127" s="2005"/>
      <c r="R127" s="2006"/>
      <c r="S127" s="1902" t="s">
        <v>204</v>
      </c>
      <c r="T127" s="2005"/>
      <c r="U127" s="2005"/>
      <c r="V127" s="2006"/>
      <c r="W127" s="1902" t="s">
        <v>205</v>
      </c>
      <c r="X127" s="2007"/>
      <c r="Y127" s="2007"/>
      <c r="Z127" s="2008"/>
      <c r="AA127" s="1902" t="s">
        <v>205</v>
      </c>
      <c r="AB127" s="2005"/>
      <c r="AC127" s="2005"/>
      <c r="AD127" s="1903"/>
      <c r="AE127" s="2009">
        <v>68</v>
      </c>
      <c r="AF127" s="88"/>
      <c r="AG127" s="88"/>
      <c r="AH127" s="88"/>
      <c r="AI127" s="89"/>
    </row>
    <row r="128" spans="1:35" ht="18" customHeight="1">
      <c r="A128" s="77"/>
      <c r="B128" s="2003" t="s">
        <v>163</v>
      </c>
      <c r="C128" s="1902" t="s">
        <v>172</v>
      </c>
      <c r="D128" s="2005"/>
      <c r="E128" s="2005"/>
      <c r="F128" s="2006"/>
      <c r="G128" s="1902" t="s">
        <v>172</v>
      </c>
      <c r="H128" s="2005"/>
      <c r="I128" s="2005"/>
      <c r="J128" s="2006"/>
      <c r="K128" s="1902" t="s">
        <v>172</v>
      </c>
      <c r="L128" s="2005"/>
      <c r="M128" s="2005"/>
      <c r="N128" s="2006"/>
      <c r="O128" s="1902" t="s">
        <v>172</v>
      </c>
      <c r="P128" s="2005"/>
      <c r="Q128" s="2005"/>
      <c r="R128" s="2006"/>
      <c r="S128" s="1902" t="s">
        <v>172</v>
      </c>
      <c r="T128" s="2005"/>
      <c r="U128" s="2005"/>
      <c r="V128" s="2006"/>
      <c r="W128" s="1902" t="s">
        <v>172</v>
      </c>
      <c r="X128" s="2005"/>
      <c r="Y128" s="2005"/>
      <c r="Z128" s="2006"/>
      <c r="AA128" s="2005" t="s">
        <v>172</v>
      </c>
      <c r="AB128" s="2005"/>
      <c r="AC128" s="2005"/>
      <c r="AD128" s="1903"/>
      <c r="AE128" s="2009">
        <v>0</v>
      </c>
      <c r="AF128" s="88"/>
      <c r="AG128" s="88"/>
      <c r="AH128" s="88"/>
      <c r="AI128" s="89"/>
    </row>
    <row r="129" spans="1:35" ht="18" customHeight="1">
      <c r="A129" s="77"/>
      <c r="B129" s="2003" t="s">
        <v>206</v>
      </c>
      <c r="C129" s="1902" t="s">
        <v>204</v>
      </c>
      <c r="D129" s="2005"/>
      <c r="E129" s="2005"/>
      <c r="F129" s="2006"/>
      <c r="G129" s="1902" t="s">
        <v>204</v>
      </c>
      <c r="H129" s="2005"/>
      <c r="I129" s="2005"/>
      <c r="J129" s="2006"/>
      <c r="K129" s="1902" t="s">
        <v>204</v>
      </c>
      <c r="L129" s="2005"/>
      <c r="M129" s="2005"/>
      <c r="N129" s="2006"/>
      <c r="O129" s="1902" t="s">
        <v>204</v>
      </c>
      <c r="P129" s="2005"/>
      <c r="Q129" s="2005"/>
      <c r="R129" s="2006"/>
      <c r="S129" s="1902" t="s">
        <v>204</v>
      </c>
      <c r="T129" s="2005"/>
      <c r="U129" s="2005"/>
      <c r="V129" s="2006"/>
      <c r="W129" s="1902" t="s">
        <v>205</v>
      </c>
      <c r="X129" s="2007"/>
      <c r="Y129" s="2007"/>
      <c r="Z129" s="2008"/>
      <c r="AA129" s="1902" t="s">
        <v>205</v>
      </c>
      <c r="AB129" s="2005"/>
      <c r="AC129" s="2005"/>
      <c r="AD129" s="1903"/>
      <c r="AE129" s="2009">
        <v>68</v>
      </c>
      <c r="AF129" s="2005"/>
      <c r="AG129" s="2005" t="s">
        <v>0</v>
      </c>
      <c r="AH129" s="1903"/>
      <c r="AI129" s="2010"/>
    </row>
    <row r="130" spans="1:35" ht="18" customHeight="1">
      <c r="A130" s="77"/>
      <c r="B130" s="2003" t="s">
        <v>173</v>
      </c>
      <c r="C130" s="1902" t="s">
        <v>172</v>
      </c>
      <c r="D130" s="2005"/>
      <c r="E130" s="2005"/>
      <c r="F130" s="2006"/>
      <c r="G130" s="1902" t="s">
        <v>172</v>
      </c>
      <c r="H130" s="2005"/>
      <c r="I130" s="2005"/>
      <c r="J130" s="2006"/>
      <c r="K130" s="1902" t="s">
        <v>172</v>
      </c>
      <c r="L130" s="2005"/>
      <c r="M130" s="2005"/>
      <c r="N130" s="2006"/>
      <c r="O130" s="1902" t="s">
        <v>172</v>
      </c>
      <c r="P130" s="2005"/>
      <c r="Q130" s="2005"/>
      <c r="R130" s="2006"/>
      <c r="S130" s="1902" t="s">
        <v>172</v>
      </c>
      <c r="T130" s="2005"/>
      <c r="U130" s="2005"/>
      <c r="V130" s="2006"/>
      <c r="W130" s="1902" t="s">
        <v>172</v>
      </c>
      <c r="X130" s="2005"/>
      <c r="Y130" s="2005"/>
      <c r="Z130" s="2006"/>
      <c r="AA130" s="2005" t="s">
        <v>172</v>
      </c>
      <c r="AB130" s="2005"/>
      <c r="AC130" s="2005"/>
      <c r="AD130" s="1903"/>
      <c r="AE130" s="2009">
        <v>0</v>
      </c>
      <c r="AF130" s="2005"/>
      <c r="AG130" s="2005"/>
      <c r="AH130" s="1903"/>
      <c r="AI130" s="2010"/>
    </row>
    <row r="131" spans="1:35" ht="18" customHeight="1">
      <c r="A131" s="77"/>
      <c r="B131" s="2003" t="s">
        <v>207</v>
      </c>
      <c r="C131" s="1902" t="s">
        <v>204</v>
      </c>
      <c r="D131" s="2005"/>
      <c r="E131" s="2005"/>
      <c r="F131" s="2006"/>
      <c r="G131" s="1902" t="s">
        <v>204</v>
      </c>
      <c r="H131" s="2005"/>
      <c r="I131" s="2005"/>
      <c r="J131" s="2006"/>
      <c r="K131" s="1902" t="s">
        <v>204</v>
      </c>
      <c r="L131" s="2005"/>
      <c r="M131" s="2005"/>
      <c r="N131" s="2006"/>
      <c r="O131" s="1902" t="s">
        <v>204</v>
      </c>
      <c r="P131" s="2005"/>
      <c r="Q131" s="2005"/>
      <c r="R131" s="2006"/>
      <c r="S131" s="1902" t="s">
        <v>204</v>
      </c>
      <c r="T131" s="2005"/>
      <c r="U131" s="2005"/>
      <c r="V131" s="2006"/>
      <c r="W131" s="1902" t="s">
        <v>208</v>
      </c>
      <c r="X131" s="2012"/>
      <c r="Y131" s="2012"/>
      <c r="Z131" s="2013"/>
      <c r="AA131" s="1902" t="s">
        <v>208</v>
      </c>
      <c r="AB131" s="2012"/>
      <c r="AC131" s="2012"/>
      <c r="AD131" s="1905"/>
      <c r="AE131" s="2009">
        <v>68</v>
      </c>
      <c r="AF131" s="2005"/>
      <c r="AG131" s="2005"/>
      <c r="AH131" s="1903"/>
      <c r="AI131" s="2010"/>
    </row>
    <row r="132" spans="1:35" ht="18" customHeight="1" thickBot="1">
      <c r="A132" s="77"/>
      <c r="B132" s="2003" t="s">
        <v>209</v>
      </c>
      <c r="C132" s="2039" t="s">
        <v>172</v>
      </c>
      <c r="D132" s="2040"/>
      <c r="E132" s="2040"/>
      <c r="F132" s="2041"/>
      <c r="G132" s="2039" t="s">
        <v>172</v>
      </c>
      <c r="H132" s="2040"/>
      <c r="I132" s="2040"/>
      <c r="J132" s="2041"/>
      <c r="K132" s="2039" t="s">
        <v>172</v>
      </c>
      <c r="L132" s="2040"/>
      <c r="M132" s="2040"/>
      <c r="N132" s="2041"/>
      <c r="O132" s="2039" t="s">
        <v>172</v>
      </c>
      <c r="P132" s="2040"/>
      <c r="Q132" s="2040"/>
      <c r="R132" s="2041"/>
      <c r="S132" s="2039" t="s">
        <v>172</v>
      </c>
      <c r="T132" s="2040"/>
      <c r="U132" s="2040"/>
      <c r="V132" s="2024"/>
      <c r="W132" s="2039" t="s">
        <v>172</v>
      </c>
      <c r="X132" s="2024"/>
      <c r="Y132" s="2040"/>
      <c r="Z132" s="2041"/>
      <c r="AA132" s="2039" t="s">
        <v>172</v>
      </c>
      <c r="AB132" s="2024"/>
      <c r="AC132" s="2040"/>
      <c r="AD132" s="2041"/>
      <c r="AE132" s="2042" t="s">
        <v>210</v>
      </c>
      <c r="AF132" s="2040"/>
      <c r="AG132" s="2040"/>
      <c r="AH132" s="2024"/>
      <c r="AI132" s="2025"/>
    </row>
    <row r="133" spans="1:35" ht="18" customHeight="1">
      <c r="A133" s="82"/>
      <c r="B133" s="77"/>
      <c r="C133" s="79"/>
      <c r="D133" s="79"/>
      <c r="E133" s="79"/>
      <c r="F133" s="79"/>
      <c r="G133" s="79"/>
      <c r="H133" s="79"/>
      <c r="I133" s="79"/>
      <c r="J133" s="79"/>
      <c r="K133" s="79"/>
      <c r="L133" s="79"/>
      <c r="M133" s="79"/>
      <c r="N133" s="79"/>
      <c r="O133" s="79"/>
      <c r="P133" s="79"/>
      <c r="Q133" s="79"/>
      <c r="R133" s="79"/>
      <c r="S133" s="79"/>
      <c r="T133" s="79"/>
      <c r="U133" s="79"/>
      <c r="V133" s="79"/>
      <c r="W133" s="79"/>
      <c r="X133" s="79"/>
      <c r="Y133" s="79"/>
      <c r="Z133" s="79"/>
      <c r="AA133" s="79"/>
      <c r="AB133" s="79"/>
      <c r="AC133" s="79"/>
      <c r="AD133" s="79"/>
      <c r="AE133" s="79"/>
      <c r="AF133" s="79"/>
      <c r="AG133" s="79"/>
      <c r="AH133" s="78"/>
      <c r="AI133" s="78"/>
    </row>
    <row r="134" spans="1:35" ht="18" customHeight="1" thickBot="1">
      <c r="A134" s="1690"/>
      <c r="B134" s="1691" t="s">
        <v>29</v>
      </c>
      <c r="C134" s="1811">
        <v>1</v>
      </c>
      <c r="D134" s="1812">
        <v>2</v>
      </c>
      <c r="E134" s="1812">
        <v>3</v>
      </c>
      <c r="F134" s="1812">
        <v>4</v>
      </c>
      <c r="G134" s="1812">
        <v>5</v>
      </c>
      <c r="H134" s="1812">
        <v>6</v>
      </c>
      <c r="I134" s="1811">
        <v>7</v>
      </c>
      <c r="J134" s="1811">
        <v>8</v>
      </c>
      <c r="K134" s="1812">
        <v>9</v>
      </c>
      <c r="L134" s="1812">
        <v>10</v>
      </c>
      <c r="M134" s="1812">
        <v>11</v>
      </c>
      <c r="N134" s="1812">
        <v>12</v>
      </c>
      <c r="O134" s="1812">
        <v>13</v>
      </c>
      <c r="P134" s="1811">
        <v>14</v>
      </c>
      <c r="Q134" s="1811">
        <v>15</v>
      </c>
      <c r="R134" s="1812">
        <v>16</v>
      </c>
      <c r="S134" s="1812">
        <v>17</v>
      </c>
      <c r="T134" s="1812">
        <v>18</v>
      </c>
      <c r="U134" s="1812">
        <v>19</v>
      </c>
      <c r="V134" s="1812">
        <v>20</v>
      </c>
      <c r="W134" s="1811">
        <v>21</v>
      </c>
      <c r="X134" s="1811">
        <v>22</v>
      </c>
      <c r="Y134" s="1812">
        <v>23</v>
      </c>
      <c r="Z134" s="1812">
        <v>24</v>
      </c>
      <c r="AA134" s="1812">
        <v>25</v>
      </c>
      <c r="AB134" s="1812">
        <v>26</v>
      </c>
      <c r="AC134" s="1812">
        <v>27</v>
      </c>
      <c r="AD134" s="1811">
        <v>28</v>
      </c>
      <c r="AE134" s="1811">
        <v>29</v>
      </c>
      <c r="AF134" s="1812">
        <v>30</v>
      </c>
      <c r="AG134" s="1813"/>
      <c r="AH134" s="23"/>
      <c r="AI134" s="24"/>
    </row>
    <row r="135" spans="1:35" ht="18" customHeight="1">
      <c r="A135" s="970">
        <v>1</v>
      </c>
      <c r="B135" s="2043" t="s">
        <v>386</v>
      </c>
      <c r="C135" s="1032"/>
      <c r="D135" s="1032">
        <v>22</v>
      </c>
      <c r="E135" s="1032">
        <v>22</v>
      </c>
      <c r="F135" s="1032">
        <v>22</v>
      </c>
      <c r="G135" s="1032">
        <v>22</v>
      </c>
      <c r="H135" s="1032">
        <v>22</v>
      </c>
      <c r="I135" s="1032">
        <v>22</v>
      </c>
      <c r="J135" s="1032">
        <v>22</v>
      </c>
      <c r="K135" s="1839" t="s">
        <v>35</v>
      </c>
      <c r="L135" s="972" t="s">
        <v>35</v>
      </c>
      <c r="M135" s="971" t="s">
        <v>35</v>
      </c>
      <c r="N135" s="971" t="s">
        <v>35</v>
      </c>
      <c r="O135" s="1839" t="s">
        <v>35</v>
      </c>
      <c r="P135" s="1839"/>
      <c r="Q135" s="1839"/>
      <c r="R135" s="1839">
        <v>23</v>
      </c>
      <c r="S135" s="1839">
        <v>23</v>
      </c>
      <c r="T135" s="1839">
        <v>23</v>
      </c>
      <c r="U135" s="1839">
        <v>23</v>
      </c>
      <c r="V135" s="1839">
        <v>23</v>
      </c>
      <c r="W135" s="972">
        <v>23</v>
      </c>
      <c r="X135" s="1839">
        <v>23</v>
      </c>
      <c r="Y135" s="1839" t="s">
        <v>35</v>
      </c>
      <c r="Z135" s="972" t="s">
        <v>35</v>
      </c>
      <c r="AA135" s="1839" t="s">
        <v>35</v>
      </c>
      <c r="AB135" s="1839" t="s">
        <v>35</v>
      </c>
      <c r="AC135" s="1839" t="s">
        <v>35</v>
      </c>
      <c r="AD135" s="1839"/>
      <c r="AE135" s="1839"/>
      <c r="AF135" s="1839">
        <v>21</v>
      </c>
      <c r="AG135" s="1843"/>
      <c r="AH135" s="76"/>
      <c r="AI135" s="76"/>
    </row>
    <row r="136" spans="1:35" ht="18" customHeight="1">
      <c r="A136" s="2044">
        <v>2</v>
      </c>
      <c r="B136" s="1845" t="s">
        <v>212</v>
      </c>
      <c r="C136" s="1744"/>
      <c r="D136" s="1744">
        <v>23</v>
      </c>
      <c r="E136" s="1744">
        <v>23</v>
      </c>
      <c r="F136" s="1744">
        <v>23</v>
      </c>
      <c r="G136" s="1744">
        <v>23</v>
      </c>
      <c r="H136" s="1744">
        <v>23</v>
      </c>
      <c r="I136" s="1922">
        <v>23</v>
      </c>
      <c r="J136" s="1744">
        <v>23</v>
      </c>
      <c r="K136" s="1762" t="s">
        <v>35</v>
      </c>
      <c r="L136" s="1762" t="s">
        <v>35</v>
      </c>
      <c r="M136" s="1762" t="s">
        <v>35</v>
      </c>
      <c r="N136" s="1762" t="s">
        <v>35</v>
      </c>
      <c r="O136" s="1762" t="s">
        <v>35</v>
      </c>
      <c r="P136" s="1762"/>
      <c r="Q136" s="1762"/>
      <c r="R136" s="1762">
        <v>21</v>
      </c>
      <c r="S136" s="1762">
        <v>21</v>
      </c>
      <c r="T136" s="1762">
        <v>21</v>
      </c>
      <c r="U136" s="1762">
        <v>21</v>
      </c>
      <c r="V136" s="1762">
        <v>21</v>
      </c>
      <c r="W136" s="1762">
        <v>21</v>
      </c>
      <c r="X136" s="1762">
        <v>21</v>
      </c>
      <c r="Y136" s="1762" t="s">
        <v>35</v>
      </c>
      <c r="Z136" s="1762" t="s">
        <v>35</v>
      </c>
      <c r="AA136" s="1762" t="s">
        <v>35</v>
      </c>
      <c r="AB136" s="1762" t="s">
        <v>35</v>
      </c>
      <c r="AC136" s="1762" t="s">
        <v>35</v>
      </c>
      <c r="AD136" s="1744"/>
      <c r="AE136" s="1744"/>
      <c r="AF136" s="1744">
        <v>22</v>
      </c>
      <c r="AG136" s="1614"/>
      <c r="AH136" s="76"/>
      <c r="AI136" s="76"/>
    </row>
    <row r="137" spans="1:35" ht="18" customHeight="1">
      <c r="A137" s="2044">
        <v>3</v>
      </c>
      <c r="B137" s="1845" t="s">
        <v>365</v>
      </c>
      <c r="C137" s="1744"/>
      <c r="D137" s="1744">
        <v>21</v>
      </c>
      <c r="E137" s="1744">
        <v>21</v>
      </c>
      <c r="F137" s="1744">
        <v>21</v>
      </c>
      <c r="G137" s="1854">
        <v>21</v>
      </c>
      <c r="H137" s="1854">
        <v>21</v>
      </c>
      <c r="I137" s="1922">
        <v>21</v>
      </c>
      <c r="J137" s="1744">
        <v>21</v>
      </c>
      <c r="K137" s="1744" t="s">
        <v>35</v>
      </c>
      <c r="L137" s="1922" t="s">
        <v>35</v>
      </c>
      <c r="M137" s="1744" t="s">
        <v>35</v>
      </c>
      <c r="N137" s="1744" t="s">
        <v>35</v>
      </c>
      <c r="O137" s="1744" t="s">
        <v>35</v>
      </c>
      <c r="P137" s="1744"/>
      <c r="Q137" s="1744"/>
      <c r="R137" s="1744">
        <v>22</v>
      </c>
      <c r="S137" s="1744">
        <v>22</v>
      </c>
      <c r="T137" s="1744">
        <v>22</v>
      </c>
      <c r="U137" s="1854">
        <v>22</v>
      </c>
      <c r="V137" s="1854">
        <v>22</v>
      </c>
      <c r="W137" s="1922">
        <v>22</v>
      </c>
      <c r="X137" s="1744">
        <v>22</v>
      </c>
      <c r="Y137" s="1744" t="s">
        <v>35</v>
      </c>
      <c r="Z137" s="1922" t="s">
        <v>35</v>
      </c>
      <c r="AA137" s="1744" t="s">
        <v>35</v>
      </c>
      <c r="AB137" s="1744" t="s">
        <v>35</v>
      </c>
      <c r="AC137" s="1744" t="s">
        <v>35</v>
      </c>
      <c r="AD137" s="1744"/>
      <c r="AE137" s="1744"/>
      <c r="AF137" s="1744">
        <v>23</v>
      </c>
      <c r="AG137" s="1614"/>
      <c r="AH137" s="76"/>
      <c r="AI137" s="76"/>
    </row>
    <row r="138" spans="1:35" ht="18" customHeight="1">
      <c r="A138" s="2044">
        <v>4</v>
      </c>
      <c r="B138" s="1845" t="s">
        <v>366</v>
      </c>
      <c r="C138" s="1744">
        <v>21</v>
      </c>
      <c r="D138" s="1744" t="s">
        <v>35</v>
      </c>
      <c r="E138" s="1922" t="s">
        <v>35</v>
      </c>
      <c r="F138" s="1744" t="s">
        <v>35</v>
      </c>
      <c r="G138" s="1744" t="s">
        <v>35</v>
      </c>
      <c r="H138" s="1744" t="s">
        <v>35</v>
      </c>
      <c r="I138" s="1744"/>
      <c r="J138" s="1744"/>
      <c r="K138" s="1762">
        <v>22</v>
      </c>
      <c r="L138" s="1762">
        <v>22</v>
      </c>
      <c r="M138" s="1762">
        <v>22</v>
      </c>
      <c r="N138" s="1762">
        <v>22</v>
      </c>
      <c r="O138" s="1762">
        <v>22</v>
      </c>
      <c r="P138" s="2045">
        <v>22</v>
      </c>
      <c r="Q138" s="2045">
        <v>22</v>
      </c>
      <c r="R138" s="1762" t="s">
        <v>35</v>
      </c>
      <c r="S138" s="1762" t="s">
        <v>35</v>
      </c>
      <c r="T138" s="1762" t="s">
        <v>35</v>
      </c>
      <c r="U138" s="1762" t="s">
        <v>35</v>
      </c>
      <c r="V138" s="1762" t="s">
        <v>35</v>
      </c>
      <c r="W138" s="1762"/>
      <c r="X138" s="1762"/>
      <c r="Y138" s="1697">
        <v>23</v>
      </c>
      <c r="Z138" s="1762">
        <v>23</v>
      </c>
      <c r="AA138" s="1762">
        <v>23</v>
      </c>
      <c r="AB138" s="1697">
        <v>23</v>
      </c>
      <c r="AC138" s="1762">
        <v>23</v>
      </c>
      <c r="AD138" s="1762">
        <v>23</v>
      </c>
      <c r="AE138" s="1762">
        <v>23</v>
      </c>
      <c r="AF138" s="1744" t="s">
        <v>35</v>
      </c>
      <c r="AG138" s="1615"/>
      <c r="AH138" s="76"/>
      <c r="AI138" s="76"/>
    </row>
    <row r="139" spans="1:35" ht="18" customHeight="1">
      <c r="A139" s="2044">
        <v>5</v>
      </c>
      <c r="B139" s="1845" t="s">
        <v>420</v>
      </c>
      <c r="C139" s="1744">
        <v>22</v>
      </c>
      <c r="D139" s="1744" t="s">
        <v>35</v>
      </c>
      <c r="E139" s="1922" t="s">
        <v>35</v>
      </c>
      <c r="F139" s="1744" t="s">
        <v>35</v>
      </c>
      <c r="G139" s="1744" t="s">
        <v>35</v>
      </c>
      <c r="H139" s="1744" t="s">
        <v>35</v>
      </c>
      <c r="I139" s="1744"/>
      <c r="J139" s="1744"/>
      <c r="K139" s="1846">
        <v>23</v>
      </c>
      <c r="L139" s="1846">
        <v>23</v>
      </c>
      <c r="M139" s="1846">
        <v>23</v>
      </c>
      <c r="N139" s="1846">
        <v>23</v>
      </c>
      <c r="O139" s="1846">
        <v>23</v>
      </c>
      <c r="P139" s="1846">
        <v>23</v>
      </c>
      <c r="Q139" s="1846">
        <v>23</v>
      </c>
      <c r="R139" s="1846" t="s">
        <v>35</v>
      </c>
      <c r="S139" s="1846" t="s">
        <v>35</v>
      </c>
      <c r="T139" s="1846" t="s">
        <v>35</v>
      </c>
      <c r="U139" s="1846" t="s">
        <v>35</v>
      </c>
      <c r="V139" s="1846" t="s">
        <v>35</v>
      </c>
      <c r="W139" s="1846"/>
      <c r="X139" s="1846"/>
      <c r="Y139" s="1846">
        <v>21</v>
      </c>
      <c r="Z139" s="1846">
        <v>21</v>
      </c>
      <c r="AA139" s="1846">
        <v>21</v>
      </c>
      <c r="AB139" s="1846">
        <v>21</v>
      </c>
      <c r="AC139" s="1846">
        <v>21</v>
      </c>
      <c r="AD139" s="1846">
        <v>21</v>
      </c>
      <c r="AE139" s="1846">
        <v>21</v>
      </c>
      <c r="AF139" s="1744" t="s">
        <v>35</v>
      </c>
      <c r="AG139" s="1615"/>
      <c r="AH139" s="76"/>
      <c r="AI139" s="76"/>
    </row>
    <row r="140" spans="1:35" ht="18" customHeight="1" thickBot="1">
      <c r="A140" s="405">
        <v>6</v>
      </c>
      <c r="B140" s="406" t="s">
        <v>217</v>
      </c>
      <c r="C140" s="407">
        <v>23</v>
      </c>
      <c r="D140" s="418" t="s">
        <v>35</v>
      </c>
      <c r="E140" s="408" t="s">
        <v>35</v>
      </c>
      <c r="F140" s="418" t="s">
        <v>35</v>
      </c>
      <c r="G140" s="418" t="s">
        <v>35</v>
      </c>
      <c r="H140" s="409" t="s">
        <v>35</v>
      </c>
      <c r="I140" s="409"/>
      <c r="J140" s="409"/>
      <c r="K140" s="409">
        <v>21</v>
      </c>
      <c r="L140" s="409">
        <v>21</v>
      </c>
      <c r="M140" s="409">
        <v>21</v>
      </c>
      <c r="N140" s="410">
        <v>21</v>
      </c>
      <c r="O140" s="410">
        <v>21</v>
      </c>
      <c r="P140" s="408">
        <v>21</v>
      </c>
      <c r="Q140" s="418">
        <v>21</v>
      </c>
      <c r="R140" s="418" t="s">
        <v>35</v>
      </c>
      <c r="S140" s="408" t="s">
        <v>35</v>
      </c>
      <c r="T140" s="418" t="s">
        <v>35</v>
      </c>
      <c r="U140" s="418" t="s">
        <v>35</v>
      </c>
      <c r="V140" s="418" t="s">
        <v>35</v>
      </c>
      <c r="W140" s="418"/>
      <c r="X140" s="418"/>
      <c r="Y140" s="418">
        <v>22</v>
      </c>
      <c r="Z140" s="418">
        <v>22</v>
      </c>
      <c r="AA140" s="418">
        <v>22</v>
      </c>
      <c r="AB140" s="410">
        <v>22</v>
      </c>
      <c r="AC140" s="410">
        <v>22</v>
      </c>
      <c r="AD140" s="408">
        <v>22</v>
      </c>
      <c r="AE140" s="418">
        <v>22</v>
      </c>
      <c r="AF140" s="418" t="s">
        <v>35</v>
      </c>
      <c r="AG140" s="90"/>
      <c r="AH140" s="76"/>
      <c r="AI140" s="76"/>
    </row>
    <row r="141" spans="1:35" ht="18" customHeight="1">
      <c r="A141" s="36"/>
      <c r="B141" s="87"/>
      <c r="C141" s="91"/>
      <c r="D141" s="91"/>
      <c r="E141" s="85"/>
      <c r="F141" s="91"/>
      <c r="G141" s="91"/>
      <c r="H141" s="91"/>
      <c r="I141" s="91"/>
      <c r="J141" s="91"/>
      <c r="K141" s="91"/>
      <c r="L141" s="91"/>
      <c r="M141" s="91"/>
      <c r="N141" s="91"/>
      <c r="O141" s="91"/>
      <c r="P141" s="85"/>
      <c r="Q141" s="91"/>
      <c r="R141" s="91"/>
      <c r="S141" s="85"/>
      <c r="T141" s="91"/>
      <c r="U141" s="91"/>
      <c r="V141" s="91"/>
      <c r="W141" s="91"/>
      <c r="X141" s="91"/>
      <c r="Y141" s="91"/>
      <c r="Z141" s="91"/>
      <c r="AA141" s="91"/>
      <c r="AB141" s="91"/>
      <c r="AC141" s="92"/>
      <c r="AD141" s="92"/>
      <c r="AE141" s="92"/>
      <c r="AF141" s="91"/>
      <c r="AG141" s="85"/>
      <c r="AH141" s="76"/>
      <c r="AI141" s="76"/>
    </row>
    <row r="142" spans="1:35" ht="18" customHeight="1" thickBot="1">
      <c r="A142" s="14" t="s">
        <v>218</v>
      </c>
      <c r="D142" s="17"/>
      <c r="E142" s="17"/>
      <c r="F142" s="17"/>
      <c r="G142" s="80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</row>
    <row r="143" spans="1:35" ht="18" customHeight="1">
      <c r="A143" s="1"/>
      <c r="B143" s="900" t="s">
        <v>186</v>
      </c>
      <c r="C143" s="901"/>
      <c r="D143" s="925" t="s">
        <v>87</v>
      </c>
      <c r="E143" s="705"/>
      <c r="F143" s="905"/>
      <c r="G143" s="901"/>
      <c r="H143" s="925" t="s">
        <v>88</v>
      </c>
      <c r="I143" s="705"/>
      <c r="J143" s="905"/>
      <c r="K143" s="901"/>
      <c r="L143" s="925" t="s">
        <v>89</v>
      </c>
      <c r="M143" s="705"/>
      <c r="N143" s="905"/>
      <c r="O143" s="901"/>
      <c r="P143" s="925" t="s">
        <v>90</v>
      </c>
      <c r="Q143" s="705"/>
      <c r="R143" s="905"/>
      <c r="S143" s="901"/>
      <c r="T143" s="925" t="s">
        <v>91</v>
      </c>
      <c r="U143" s="705"/>
      <c r="V143" s="905"/>
      <c r="W143" s="901"/>
      <c r="X143" s="925" t="s">
        <v>92</v>
      </c>
      <c r="Y143" s="705"/>
      <c r="Z143" s="905"/>
      <c r="AA143" s="901"/>
      <c r="AB143" s="925" t="s">
        <v>93</v>
      </c>
      <c r="AC143" s="705"/>
      <c r="AD143" s="705"/>
      <c r="AE143" s="928" t="s">
        <v>94</v>
      </c>
      <c r="AF143" s="705"/>
      <c r="AG143" s="705"/>
      <c r="AH143" s="705"/>
      <c r="AI143" s="706"/>
    </row>
    <row r="144" spans="1:35" ht="18" customHeight="1">
      <c r="A144" s="1"/>
      <c r="B144" s="2003" t="s">
        <v>159</v>
      </c>
      <c r="C144" s="1902" t="s">
        <v>368</v>
      </c>
      <c r="D144" s="1757"/>
      <c r="E144" s="1757"/>
      <c r="F144" s="2006"/>
      <c r="G144" s="1902" t="s">
        <v>368</v>
      </c>
      <c r="H144" s="1757"/>
      <c r="I144" s="1757"/>
      <c r="J144" s="2006"/>
      <c r="K144" s="1902" t="s">
        <v>368</v>
      </c>
      <c r="L144" s="1757"/>
      <c r="M144" s="1757"/>
      <c r="N144" s="2006"/>
      <c r="O144" s="1902" t="s">
        <v>195</v>
      </c>
      <c r="P144" s="1757"/>
      <c r="Q144" s="1757"/>
      <c r="R144" s="2006"/>
      <c r="S144" s="1902" t="s">
        <v>172</v>
      </c>
      <c r="T144" s="1757"/>
      <c r="U144" s="1757"/>
      <c r="V144" s="2006"/>
      <c r="W144" s="2046"/>
      <c r="X144" s="2047"/>
      <c r="Y144" s="2047"/>
      <c r="Z144" s="2008"/>
      <c r="AA144" s="2004"/>
      <c r="AB144" s="1757"/>
      <c r="AC144" s="1757"/>
      <c r="AD144" s="1903"/>
      <c r="AE144" s="2009">
        <v>27</v>
      </c>
      <c r="AF144" s="1757"/>
      <c r="AG144" s="1757"/>
      <c r="AH144" s="1903"/>
      <c r="AI144" s="1802"/>
    </row>
    <row r="145" spans="1:35" ht="18" customHeight="1">
      <c r="A145" s="1"/>
      <c r="B145" s="2003" t="s">
        <v>163</v>
      </c>
      <c r="C145" s="1902" t="s">
        <v>188</v>
      </c>
      <c r="D145" s="1757"/>
      <c r="E145" s="1757"/>
      <c r="F145" s="2006"/>
      <c r="G145" s="1902" t="s">
        <v>188</v>
      </c>
      <c r="H145" s="1757"/>
      <c r="I145" s="1757"/>
      <c r="J145" s="2006"/>
      <c r="K145" s="1902" t="s">
        <v>188</v>
      </c>
      <c r="L145" s="1757"/>
      <c r="M145" s="1757"/>
      <c r="N145" s="2006"/>
      <c r="O145" s="1902" t="s">
        <v>188</v>
      </c>
      <c r="P145" s="1757"/>
      <c r="Q145" s="1757"/>
      <c r="R145" s="2006"/>
      <c r="S145" s="1902" t="s">
        <v>368</v>
      </c>
      <c r="T145" s="1757"/>
      <c r="U145" s="1757"/>
      <c r="V145" s="2006"/>
      <c r="W145" s="1902"/>
      <c r="X145" s="1757"/>
      <c r="Y145" s="1757"/>
      <c r="Z145" s="2006"/>
      <c r="AA145" s="1757"/>
      <c r="AB145" s="1757"/>
      <c r="AC145" s="1757"/>
      <c r="AD145" s="1903"/>
      <c r="AE145" s="2009">
        <v>39</v>
      </c>
      <c r="AF145" s="1757"/>
      <c r="AG145" s="1757"/>
      <c r="AH145" s="1903"/>
      <c r="AI145" s="1802"/>
    </row>
    <row r="146" spans="1:35" ht="18" customHeight="1">
      <c r="A146" s="1"/>
      <c r="B146" s="2003" t="s">
        <v>171</v>
      </c>
      <c r="C146" s="1902" t="s">
        <v>188</v>
      </c>
      <c r="D146" s="1757"/>
      <c r="E146" s="1757"/>
      <c r="F146" s="2006"/>
      <c r="G146" s="1902" t="s">
        <v>188</v>
      </c>
      <c r="H146" s="1757"/>
      <c r="I146" s="1757"/>
      <c r="J146" s="2006"/>
      <c r="K146" s="1902" t="s">
        <v>188</v>
      </c>
      <c r="L146" s="1757"/>
      <c r="M146" s="1757"/>
      <c r="N146" s="2006"/>
      <c r="O146" s="1902" t="s">
        <v>188</v>
      </c>
      <c r="P146" s="1757"/>
      <c r="Q146" s="1757"/>
      <c r="R146" s="2006"/>
      <c r="S146" s="1902" t="s">
        <v>188</v>
      </c>
      <c r="T146" s="1757"/>
      <c r="U146" s="1757"/>
      <c r="V146" s="2006"/>
      <c r="W146" s="1904" t="s">
        <v>221</v>
      </c>
      <c r="X146" s="1806"/>
      <c r="Y146" s="1806"/>
      <c r="Z146" s="2013"/>
      <c r="AA146" s="2011"/>
      <c r="AB146" s="1806"/>
      <c r="AC146" s="1806"/>
      <c r="AD146" s="1905"/>
      <c r="AE146" s="2009">
        <v>45</v>
      </c>
      <c r="AF146" s="1757"/>
      <c r="AG146" s="1757"/>
      <c r="AH146" s="1903"/>
      <c r="AI146" s="1802"/>
    </row>
    <row r="147" spans="1:35" ht="18" customHeight="1" thickBot="1">
      <c r="A147" s="1"/>
      <c r="B147" s="2048" t="s">
        <v>173</v>
      </c>
      <c r="C147" s="2039"/>
      <c r="D147" s="1759"/>
      <c r="E147" s="1759"/>
      <c r="F147" s="2041"/>
      <c r="G147" s="2039"/>
      <c r="H147" s="1759"/>
      <c r="I147" s="1759"/>
      <c r="J147" s="2041"/>
      <c r="K147" s="2039"/>
      <c r="L147" s="1759"/>
      <c r="M147" s="1759"/>
      <c r="N147" s="2041"/>
      <c r="O147" s="2039"/>
      <c r="P147" s="1759"/>
      <c r="Q147" s="1759"/>
      <c r="R147" s="2041"/>
      <c r="S147" s="2039"/>
      <c r="T147" s="1759"/>
      <c r="U147" s="1759"/>
      <c r="V147" s="2024"/>
      <c r="W147" s="2039"/>
      <c r="X147" s="2024"/>
      <c r="Y147" s="1759"/>
      <c r="Z147" s="2041"/>
      <c r="AA147" s="2039"/>
      <c r="AB147" s="2024"/>
      <c r="AC147" s="1759"/>
      <c r="AD147" s="2041"/>
      <c r="AE147" s="2049"/>
      <c r="AF147" s="1759"/>
      <c r="AG147" s="1759"/>
      <c r="AH147" s="2024"/>
      <c r="AI147" s="1874"/>
    </row>
    <row r="148" spans="1:35" ht="18" customHeight="1">
      <c r="A148" s="82"/>
      <c r="B148" s="1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</row>
    <row r="149" spans="1:35" ht="18" customHeight="1" thickBot="1">
      <c r="A149" s="1690"/>
      <c r="B149" s="1691" t="s">
        <v>29</v>
      </c>
      <c r="C149" s="1811">
        <v>1</v>
      </c>
      <c r="D149" s="1812">
        <v>2</v>
      </c>
      <c r="E149" s="1812">
        <v>3</v>
      </c>
      <c r="F149" s="1812">
        <v>4</v>
      </c>
      <c r="G149" s="1812">
        <v>5</v>
      </c>
      <c r="H149" s="1812">
        <v>6</v>
      </c>
      <c r="I149" s="1811">
        <v>7</v>
      </c>
      <c r="J149" s="1811">
        <v>8</v>
      </c>
      <c r="K149" s="1812">
        <v>9</v>
      </c>
      <c r="L149" s="1812">
        <v>10</v>
      </c>
      <c r="M149" s="1812">
        <v>11</v>
      </c>
      <c r="N149" s="1812">
        <v>12</v>
      </c>
      <c r="O149" s="1812">
        <v>13</v>
      </c>
      <c r="P149" s="1811">
        <v>14</v>
      </c>
      <c r="Q149" s="1811">
        <v>15</v>
      </c>
      <c r="R149" s="1812">
        <v>16</v>
      </c>
      <c r="S149" s="1812">
        <v>17</v>
      </c>
      <c r="T149" s="1812">
        <v>18</v>
      </c>
      <c r="U149" s="1812">
        <v>19</v>
      </c>
      <c r="V149" s="1812">
        <v>20</v>
      </c>
      <c r="W149" s="1811">
        <v>21</v>
      </c>
      <c r="X149" s="1811">
        <v>22</v>
      </c>
      <c r="Y149" s="1812">
        <v>23</v>
      </c>
      <c r="Z149" s="1812">
        <v>24</v>
      </c>
      <c r="AA149" s="1812">
        <v>25</v>
      </c>
      <c r="AB149" s="1812">
        <v>26</v>
      </c>
      <c r="AC149" s="1812">
        <v>27</v>
      </c>
      <c r="AD149" s="1811">
        <v>28</v>
      </c>
      <c r="AE149" s="1811">
        <v>29</v>
      </c>
      <c r="AF149" s="1812">
        <v>30</v>
      </c>
      <c r="AG149" s="1813"/>
      <c r="AH149" s="23"/>
      <c r="AI149" s="24"/>
    </row>
    <row r="150" spans="1:35" ht="18" customHeight="1">
      <c r="A150" s="953">
        <v>1</v>
      </c>
      <c r="B150" s="978" t="s">
        <v>223</v>
      </c>
      <c r="C150" s="1147"/>
      <c r="D150" s="1147" t="s">
        <v>31</v>
      </c>
      <c r="E150" s="1147" t="s">
        <v>31</v>
      </c>
      <c r="F150" s="1147" t="s">
        <v>31</v>
      </c>
      <c r="G150" s="1147" t="s">
        <v>31</v>
      </c>
      <c r="H150" s="1147" t="s">
        <v>31</v>
      </c>
      <c r="I150" s="1147"/>
      <c r="J150" s="1147"/>
      <c r="K150" s="979" t="s">
        <v>31</v>
      </c>
      <c r="L150" s="979" t="s">
        <v>31</v>
      </c>
      <c r="M150" s="979" t="s">
        <v>31</v>
      </c>
      <c r="N150" s="979" t="s">
        <v>31</v>
      </c>
      <c r="O150" s="979" t="s">
        <v>31</v>
      </c>
      <c r="P150" s="979"/>
      <c r="Q150" s="979"/>
      <c r="R150" s="979" t="s">
        <v>31</v>
      </c>
      <c r="S150" s="979" t="s">
        <v>31</v>
      </c>
      <c r="T150" s="979" t="s">
        <v>31</v>
      </c>
      <c r="U150" s="979" t="s">
        <v>31</v>
      </c>
      <c r="V150" s="979" t="s">
        <v>31</v>
      </c>
      <c r="W150" s="979"/>
      <c r="X150" s="979"/>
      <c r="Y150" s="2050" t="s">
        <v>31</v>
      </c>
      <c r="Z150" s="979" t="s">
        <v>31</v>
      </c>
      <c r="AA150" s="979" t="s">
        <v>31</v>
      </c>
      <c r="AB150" s="979" t="s">
        <v>31</v>
      </c>
      <c r="AC150" s="1818" t="s">
        <v>31</v>
      </c>
      <c r="AD150" s="979"/>
      <c r="AE150" s="979"/>
      <c r="AF150" s="979" t="s">
        <v>31</v>
      </c>
      <c r="AG150" s="980"/>
      <c r="AH150" s="34"/>
      <c r="AI150" s="25"/>
    </row>
    <row r="151" spans="1:35" ht="18" customHeight="1">
      <c r="A151" s="2026">
        <v>2</v>
      </c>
      <c r="B151" s="2051" t="s">
        <v>224</v>
      </c>
      <c r="C151" s="2052"/>
      <c r="D151" s="2053" t="s">
        <v>225</v>
      </c>
      <c r="E151" s="2052" t="s">
        <v>225</v>
      </c>
      <c r="F151" s="2052" t="s">
        <v>225</v>
      </c>
      <c r="G151" s="2052" t="s">
        <v>225</v>
      </c>
      <c r="H151" s="2052" t="s">
        <v>35</v>
      </c>
      <c r="I151" s="2052"/>
      <c r="J151" s="2052"/>
      <c r="K151" s="2052" t="s">
        <v>114</v>
      </c>
      <c r="L151" s="2052" t="s">
        <v>114</v>
      </c>
      <c r="M151" s="2052" t="s">
        <v>114</v>
      </c>
      <c r="N151" s="2052" t="s">
        <v>114</v>
      </c>
      <c r="O151" s="2052" t="s">
        <v>114</v>
      </c>
      <c r="P151" s="2052"/>
      <c r="Q151" s="2052"/>
      <c r="R151" s="2052" t="s">
        <v>115</v>
      </c>
      <c r="S151" s="2052" t="s">
        <v>115</v>
      </c>
      <c r="T151" s="2052" t="s">
        <v>115</v>
      </c>
      <c r="U151" s="2052" t="s">
        <v>115</v>
      </c>
      <c r="V151" s="2052" t="s">
        <v>115</v>
      </c>
      <c r="W151" s="2052" t="s">
        <v>115</v>
      </c>
      <c r="X151" s="2052"/>
      <c r="Y151" s="2053" t="s">
        <v>225</v>
      </c>
      <c r="Z151" s="2052" t="s">
        <v>225</v>
      </c>
      <c r="AA151" s="2052" t="s">
        <v>225</v>
      </c>
      <c r="AB151" s="2052" t="s">
        <v>225</v>
      </c>
      <c r="AC151" s="2052" t="s">
        <v>35</v>
      </c>
      <c r="AD151" s="2052"/>
      <c r="AE151" s="2052"/>
      <c r="AF151" s="2052" t="s">
        <v>114</v>
      </c>
      <c r="AG151" s="2054"/>
      <c r="AH151" s="34"/>
      <c r="AI151" s="25"/>
    </row>
    <row r="152" spans="1:35" ht="18" customHeight="1">
      <c r="A152" s="2026">
        <v>3</v>
      </c>
      <c r="B152" s="2051"/>
      <c r="C152" s="2052"/>
      <c r="D152" s="2052" t="s">
        <v>114</v>
      </c>
      <c r="E152" s="2052" t="s">
        <v>114</v>
      </c>
      <c r="F152" s="2052" t="s">
        <v>114</v>
      </c>
      <c r="G152" s="2052" t="s">
        <v>114</v>
      </c>
      <c r="H152" s="2052" t="s">
        <v>114</v>
      </c>
      <c r="I152" s="2052"/>
      <c r="J152" s="2052"/>
      <c r="K152" s="2052" t="s">
        <v>115</v>
      </c>
      <c r="L152" s="2052" t="s">
        <v>115</v>
      </c>
      <c r="M152" s="2052" t="s">
        <v>115</v>
      </c>
      <c r="N152" s="2052" t="s">
        <v>115</v>
      </c>
      <c r="O152" s="2052" t="s">
        <v>115</v>
      </c>
      <c r="P152" s="2052" t="s">
        <v>115</v>
      </c>
      <c r="Q152" s="2052"/>
      <c r="R152" s="2052" t="s">
        <v>225</v>
      </c>
      <c r="S152" s="2052" t="s">
        <v>225</v>
      </c>
      <c r="T152" s="2052" t="s">
        <v>225</v>
      </c>
      <c r="U152" s="2052" t="s">
        <v>225</v>
      </c>
      <c r="V152" s="2052" t="s">
        <v>35</v>
      </c>
      <c r="W152" s="2052"/>
      <c r="X152" s="2052"/>
      <c r="Y152" s="2052" t="s">
        <v>114</v>
      </c>
      <c r="Z152" s="2052" t="s">
        <v>114</v>
      </c>
      <c r="AA152" s="2052" t="s">
        <v>114</v>
      </c>
      <c r="AB152" s="2052" t="s">
        <v>114</v>
      </c>
      <c r="AC152" s="2052" t="s">
        <v>114</v>
      </c>
      <c r="AD152" s="2052"/>
      <c r="AE152" s="2052"/>
      <c r="AF152" s="2052" t="s">
        <v>115</v>
      </c>
      <c r="AG152" s="2054"/>
      <c r="AH152" s="34"/>
      <c r="AI152" s="25"/>
    </row>
    <row r="153" spans="1:35" ht="18" customHeight="1">
      <c r="A153" s="2026">
        <v>4</v>
      </c>
      <c r="B153" s="2055" t="s">
        <v>227</v>
      </c>
      <c r="C153" s="2052"/>
      <c r="D153" s="2052"/>
      <c r="E153" s="2052" t="s">
        <v>31</v>
      </c>
      <c r="F153" s="2052"/>
      <c r="G153" s="2052"/>
      <c r="H153" s="2052" t="s">
        <v>31</v>
      </c>
      <c r="I153" s="1887" t="s">
        <v>115</v>
      </c>
      <c r="J153" s="2052"/>
      <c r="K153" s="2052"/>
      <c r="L153" s="2052" t="s">
        <v>31</v>
      </c>
      <c r="M153" s="2052" t="s">
        <v>31</v>
      </c>
      <c r="N153" s="2052"/>
      <c r="O153" s="2052" t="s">
        <v>31</v>
      </c>
      <c r="P153" s="2052"/>
      <c r="Q153" s="2052"/>
      <c r="R153" s="2052"/>
      <c r="S153" s="2052" t="s">
        <v>31</v>
      </c>
      <c r="T153" s="2052" t="s">
        <v>31</v>
      </c>
      <c r="U153" s="2052"/>
      <c r="V153" s="2052" t="s">
        <v>31</v>
      </c>
      <c r="W153" s="2052"/>
      <c r="X153" s="2052"/>
      <c r="Y153" s="2052"/>
      <c r="Z153" s="2052" t="s">
        <v>31</v>
      </c>
      <c r="AA153" s="2052"/>
      <c r="AB153" s="2052"/>
      <c r="AC153" s="2052" t="s">
        <v>31</v>
      </c>
      <c r="AD153" s="1887" t="s">
        <v>115</v>
      </c>
      <c r="AE153" s="2052"/>
      <c r="AF153" s="2052"/>
      <c r="AG153" s="2054"/>
      <c r="AH153" s="34"/>
      <c r="AI153" s="25"/>
    </row>
    <row r="154" spans="1:35" ht="18" customHeight="1">
      <c r="A154" s="2026">
        <v>5</v>
      </c>
      <c r="B154" s="2055" t="s">
        <v>228</v>
      </c>
      <c r="C154" s="2052"/>
      <c r="D154" s="2052" t="s">
        <v>31</v>
      </c>
      <c r="E154" s="2052"/>
      <c r="F154" s="2052"/>
      <c r="G154" s="2052" t="s">
        <v>31</v>
      </c>
      <c r="H154" s="2052"/>
      <c r="I154" s="2052"/>
      <c r="J154" s="2052"/>
      <c r="K154" s="1723" t="s">
        <v>304</v>
      </c>
      <c r="L154" s="2052"/>
      <c r="M154" s="2052"/>
      <c r="N154" s="2052" t="s">
        <v>31</v>
      </c>
      <c r="O154" s="2052"/>
      <c r="P154" s="2052"/>
      <c r="Q154" s="2052"/>
      <c r="R154" s="2052" t="s">
        <v>31</v>
      </c>
      <c r="S154" s="2052"/>
      <c r="T154" s="2052"/>
      <c r="U154" s="2052" t="s">
        <v>31</v>
      </c>
      <c r="V154" s="2052"/>
      <c r="W154" s="2052"/>
      <c r="X154" s="2052"/>
      <c r="Y154" s="2052" t="s">
        <v>31</v>
      </c>
      <c r="Z154" s="2052"/>
      <c r="AA154" s="2052"/>
      <c r="AB154" s="2052" t="s">
        <v>31</v>
      </c>
      <c r="AC154" s="2052"/>
      <c r="AD154" s="2052"/>
      <c r="AE154" s="2052"/>
      <c r="AF154" s="2052" t="s">
        <v>31</v>
      </c>
      <c r="AG154" s="2054"/>
      <c r="AH154" s="34"/>
      <c r="AI154" s="25"/>
    </row>
    <row r="155" spans="1:35" ht="18" customHeight="1" thickBot="1">
      <c r="A155" s="2033">
        <v>6</v>
      </c>
      <c r="B155" s="1882" t="s">
        <v>229</v>
      </c>
      <c r="C155" s="2056"/>
      <c r="D155" s="2056" t="s">
        <v>31</v>
      </c>
      <c r="E155" s="2056" t="s">
        <v>31</v>
      </c>
      <c r="F155" s="2056" t="s">
        <v>31</v>
      </c>
      <c r="G155" s="2056" t="s">
        <v>31</v>
      </c>
      <c r="H155" s="2056" t="s">
        <v>31</v>
      </c>
      <c r="I155" s="2056"/>
      <c r="J155" s="2056"/>
      <c r="K155" s="2056" t="s">
        <v>31</v>
      </c>
      <c r="L155" s="2056" t="s">
        <v>31</v>
      </c>
      <c r="M155" s="2056" t="s">
        <v>31</v>
      </c>
      <c r="N155" s="2056" t="s">
        <v>31</v>
      </c>
      <c r="O155" s="2056" t="s">
        <v>31</v>
      </c>
      <c r="P155" s="2056"/>
      <c r="Q155" s="2056"/>
      <c r="R155" s="2056" t="s">
        <v>31</v>
      </c>
      <c r="S155" s="2056" t="s">
        <v>31</v>
      </c>
      <c r="T155" s="2056" t="s">
        <v>31</v>
      </c>
      <c r="U155" s="2056" t="s">
        <v>31</v>
      </c>
      <c r="V155" s="2056" t="s">
        <v>31</v>
      </c>
      <c r="W155" s="2056"/>
      <c r="X155" s="2056"/>
      <c r="Y155" s="2056" t="s">
        <v>31</v>
      </c>
      <c r="Z155" s="2056" t="s">
        <v>31</v>
      </c>
      <c r="AA155" s="2057" t="s">
        <v>304</v>
      </c>
      <c r="AB155" s="2058" t="s">
        <v>31</v>
      </c>
      <c r="AC155" s="1884" t="s">
        <v>31</v>
      </c>
      <c r="AD155" s="2056"/>
      <c r="AE155" s="2056"/>
      <c r="AF155" s="2056" t="s">
        <v>31</v>
      </c>
      <c r="AG155" s="2059"/>
      <c r="AH155" s="93"/>
      <c r="AI155" s="76"/>
    </row>
    <row r="156" spans="1:35" ht="18" customHeight="1">
      <c r="A156" s="36"/>
      <c r="B156" s="87"/>
      <c r="C156" s="133"/>
      <c r="D156" s="133"/>
      <c r="E156" s="133"/>
      <c r="F156" s="133"/>
      <c r="G156" s="133"/>
      <c r="H156" s="133"/>
      <c r="I156" s="133"/>
      <c r="J156" s="133"/>
      <c r="K156" s="133"/>
      <c r="L156" s="133"/>
      <c r="M156" s="133"/>
      <c r="N156" s="133"/>
      <c r="O156" s="133"/>
      <c r="P156" s="133"/>
      <c r="Q156" s="133"/>
      <c r="R156" s="133"/>
      <c r="S156" s="133"/>
      <c r="T156" s="133"/>
      <c r="U156" s="133"/>
      <c r="V156" s="133"/>
      <c r="W156" s="133"/>
      <c r="X156" s="133"/>
      <c r="Y156" s="133"/>
      <c r="Z156" s="133"/>
      <c r="AA156" s="133"/>
      <c r="AB156" s="133"/>
      <c r="AC156" s="133"/>
      <c r="AD156" s="78"/>
      <c r="AE156" s="78"/>
      <c r="AF156" s="78"/>
      <c r="AG156" s="78"/>
      <c r="AH156" s="76"/>
      <c r="AI156" s="76"/>
    </row>
    <row r="157" spans="1:35" ht="18" customHeight="1" thickBot="1">
      <c r="A157" s="94" t="s">
        <v>230</v>
      </c>
      <c r="B157" s="17"/>
      <c r="C157" s="38" t="s">
        <v>96</v>
      </c>
      <c r="D157" s="17"/>
      <c r="E157" s="17"/>
      <c r="F157" s="38" t="s">
        <v>96</v>
      </c>
      <c r="G157" s="17"/>
      <c r="H157" s="17"/>
      <c r="I157" s="38" t="s">
        <v>96</v>
      </c>
      <c r="J157" s="38"/>
      <c r="K157" s="17"/>
      <c r="L157" s="38" t="s">
        <v>96</v>
      </c>
      <c r="M157" s="17"/>
      <c r="N157" s="17"/>
      <c r="O157" s="38" t="s">
        <v>96</v>
      </c>
      <c r="P157" s="17"/>
      <c r="Q157" s="38"/>
      <c r="R157" s="38" t="s">
        <v>96</v>
      </c>
      <c r="S157" s="17"/>
      <c r="T157" s="17"/>
      <c r="U157" s="38" t="s">
        <v>96</v>
      </c>
      <c r="V157" s="17"/>
      <c r="W157" s="38"/>
      <c r="X157" s="38"/>
      <c r="Y157" s="17"/>
      <c r="Z157" s="17"/>
      <c r="AA157" s="17"/>
      <c r="AB157" s="17"/>
      <c r="AC157" s="17"/>
      <c r="AD157" s="17"/>
      <c r="AE157" s="38"/>
      <c r="AF157" s="17"/>
      <c r="AG157" s="17"/>
      <c r="AH157" s="76"/>
      <c r="AI157" s="76"/>
    </row>
    <row r="158" spans="1:35" ht="18" customHeight="1">
      <c r="A158" s="36"/>
      <c r="B158" s="1187" t="s">
        <v>231</v>
      </c>
      <c r="C158" s="1188"/>
      <c r="D158" s="1189" t="s">
        <v>87</v>
      </c>
      <c r="E158" s="1190"/>
      <c r="F158" s="1191"/>
      <c r="G158" s="1192"/>
      <c r="H158" s="1189" t="s">
        <v>88</v>
      </c>
      <c r="I158" s="1190"/>
      <c r="J158" s="1191"/>
      <c r="K158" s="1192"/>
      <c r="L158" s="1189" t="s">
        <v>89</v>
      </c>
      <c r="M158" s="1190"/>
      <c r="N158" s="1191"/>
      <c r="O158" s="1192"/>
      <c r="P158" s="1189" t="s">
        <v>90</v>
      </c>
      <c r="Q158" s="1190"/>
      <c r="R158" s="1191"/>
      <c r="S158" s="1192"/>
      <c r="T158" s="1189" t="s">
        <v>91</v>
      </c>
      <c r="U158" s="1190"/>
      <c r="V158" s="1191"/>
      <c r="W158" s="1192"/>
      <c r="X158" s="1189" t="s">
        <v>92</v>
      </c>
      <c r="Y158" s="1190"/>
      <c r="Z158" s="1191"/>
      <c r="AA158" s="1192"/>
      <c r="AB158" s="1189" t="s">
        <v>93</v>
      </c>
      <c r="AC158" s="1190"/>
      <c r="AD158" s="1190"/>
      <c r="AE158" s="1193" t="s">
        <v>94</v>
      </c>
      <c r="AF158" s="1190"/>
      <c r="AG158" s="1190"/>
      <c r="AH158" s="1190"/>
      <c r="AI158" s="1194"/>
    </row>
    <row r="159" spans="1:35" ht="18" customHeight="1">
      <c r="A159" s="36"/>
      <c r="B159" s="1626" t="s">
        <v>232</v>
      </c>
      <c r="C159" s="2060" t="s">
        <v>233</v>
      </c>
      <c r="D159" s="2061" t="s">
        <v>369</v>
      </c>
      <c r="E159" s="2062"/>
      <c r="F159" s="2063"/>
      <c r="G159" s="2060"/>
      <c r="H159" s="2061" t="s">
        <v>369</v>
      </c>
      <c r="I159" s="2062"/>
      <c r="J159" s="2063"/>
      <c r="K159" s="2060"/>
      <c r="L159" s="2061" t="s">
        <v>369</v>
      </c>
      <c r="M159" s="2062"/>
      <c r="N159" s="2063"/>
      <c r="O159" s="2060"/>
      <c r="P159" s="2061" t="s">
        <v>370</v>
      </c>
      <c r="Q159" s="2062"/>
      <c r="R159" s="2063"/>
      <c r="S159" s="2060"/>
      <c r="T159" s="2061" t="s">
        <v>236</v>
      </c>
      <c r="U159" s="2062"/>
      <c r="V159" s="2063"/>
      <c r="W159" s="2060"/>
      <c r="X159" s="2062"/>
      <c r="Y159" s="2062"/>
      <c r="Z159" s="2063"/>
      <c r="AA159" s="2060"/>
      <c r="AB159" s="2062"/>
      <c r="AC159" s="2062"/>
      <c r="AD159" s="2062"/>
      <c r="AE159" s="2060"/>
      <c r="AF159" s="2062"/>
      <c r="AG159" s="2062"/>
      <c r="AH159" s="2064"/>
      <c r="AI159" s="2065"/>
    </row>
    <row r="160" spans="1:35" ht="18" customHeight="1">
      <c r="A160" s="36"/>
      <c r="B160" s="1630" t="s">
        <v>371</v>
      </c>
      <c r="C160" s="2060" t="s">
        <v>237</v>
      </c>
      <c r="D160" s="2061" t="s">
        <v>369</v>
      </c>
      <c r="E160" s="2062"/>
      <c r="F160" s="2063"/>
      <c r="G160" s="2060"/>
      <c r="H160" s="2061" t="s">
        <v>369</v>
      </c>
      <c r="I160" s="2062"/>
      <c r="J160" s="2063"/>
      <c r="K160" s="2060"/>
      <c r="L160" s="2061" t="s">
        <v>369</v>
      </c>
      <c r="M160" s="2062"/>
      <c r="N160" s="2063"/>
      <c r="O160" s="2060"/>
      <c r="P160" s="2061" t="s">
        <v>370</v>
      </c>
      <c r="Q160" s="2062"/>
      <c r="R160" s="2063"/>
      <c r="S160" s="2060"/>
      <c r="T160" s="2061" t="s">
        <v>236</v>
      </c>
      <c r="U160" s="2062"/>
      <c r="V160" s="2063"/>
      <c r="W160" s="2060"/>
      <c r="X160" s="2062"/>
      <c r="Y160" s="2062"/>
      <c r="Z160" s="2063"/>
      <c r="AA160" s="2060"/>
      <c r="AB160" s="2062"/>
      <c r="AC160" s="2062"/>
      <c r="AD160" s="2062"/>
      <c r="AE160" s="2060"/>
      <c r="AF160" s="2062"/>
      <c r="AG160" s="2062"/>
      <c r="AH160" s="2064"/>
      <c r="AI160" s="2065"/>
    </row>
    <row r="161" spans="1:35" ht="18" customHeight="1">
      <c r="A161" s="36"/>
      <c r="B161" s="1630" t="s">
        <v>238</v>
      </c>
      <c r="C161" s="2060" t="s">
        <v>201</v>
      </c>
      <c r="D161" s="2061" t="s">
        <v>369</v>
      </c>
      <c r="E161" s="2062"/>
      <c r="F161" s="2063"/>
      <c r="G161" s="2060"/>
      <c r="H161" s="2061" t="s">
        <v>369</v>
      </c>
      <c r="I161" s="2062"/>
      <c r="J161" s="2063"/>
      <c r="K161" s="2060"/>
      <c r="L161" s="2061" t="s">
        <v>369</v>
      </c>
      <c r="M161" s="2062"/>
      <c r="N161" s="2063"/>
      <c r="O161" s="2060"/>
      <c r="P161" s="2061" t="s">
        <v>370</v>
      </c>
      <c r="Q161" s="2062"/>
      <c r="R161" s="2063"/>
      <c r="S161" s="2060"/>
      <c r="T161" s="2061" t="s">
        <v>236</v>
      </c>
      <c r="U161" s="2062"/>
      <c r="V161" s="2063"/>
      <c r="W161" s="2060"/>
      <c r="X161" s="2062"/>
      <c r="Y161" s="2062"/>
      <c r="Z161" s="2063"/>
      <c r="AA161" s="2060"/>
      <c r="AB161" s="2062"/>
      <c r="AC161" s="2062"/>
      <c r="AD161" s="2062"/>
      <c r="AE161" s="2060"/>
      <c r="AF161" s="2062"/>
      <c r="AG161" s="2062"/>
      <c r="AH161" s="2064"/>
      <c r="AI161" s="2065"/>
    </row>
    <row r="162" spans="1:35" ht="18" customHeight="1">
      <c r="A162" s="36"/>
      <c r="B162" s="1630" t="s">
        <v>239</v>
      </c>
      <c r="C162" s="2060" t="s">
        <v>121</v>
      </c>
      <c r="D162" s="2061" t="s">
        <v>369</v>
      </c>
      <c r="E162" s="2062"/>
      <c r="F162" s="2063"/>
      <c r="G162" s="2060"/>
      <c r="H162" s="2061" t="s">
        <v>369</v>
      </c>
      <c r="I162" s="2062"/>
      <c r="J162" s="2063"/>
      <c r="K162" s="2060"/>
      <c r="L162" s="2061" t="s">
        <v>369</v>
      </c>
      <c r="M162" s="2062"/>
      <c r="N162" s="2063"/>
      <c r="O162" s="2060"/>
      <c r="P162" s="2061" t="s">
        <v>370</v>
      </c>
      <c r="Q162" s="2062"/>
      <c r="R162" s="2063"/>
      <c r="S162" s="2060"/>
      <c r="T162" s="2061" t="s">
        <v>236</v>
      </c>
      <c r="U162" s="2062"/>
      <c r="V162" s="2063"/>
      <c r="W162" s="2060"/>
      <c r="X162" s="2062"/>
      <c r="Y162" s="2062"/>
      <c r="Z162" s="2063"/>
      <c r="AA162" s="2060"/>
      <c r="AB162" s="2062"/>
      <c r="AC162" s="2062"/>
      <c r="AD162" s="2062"/>
      <c r="AE162" s="2060"/>
      <c r="AF162" s="2062"/>
      <c r="AG162" s="2062"/>
      <c r="AH162" s="2064"/>
      <c r="AI162" s="2065"/>
    </row>
    <row r="163" spans="1:35" ht="18" customHeight="1">
      <c r="A163" s="36"/>
      <c r="B163" s="1630" t="s">
        <v>243</v>
      </c>
      <c r="C163" s="2060" t="s">
        <v>244</v>
      </c>
      <c r="D163" s="2061" t="s">
        <v>369</v>
      </c>
      <c r="E163" s="2062"/>
      <c r="F163" s="2063"/>
      <c r="G163" s="2060"/>
      <c r="H163" s="2061" t="s">
        <v>369</v>
      </c>
      <c r="I163" s="2062"/>
      <c r="J163" s="2063"/>
      <c r="K163" s="2060"/>
      <c r="L163" s="2061" t="s">
        <v>369</v>
      </c>
      <c r="M163" s="2062"/>
      <c r="N163" s="2063"/>
      <c r="O163" s="2060"/>
      <c r="P163" s="2061" t="s">
        <v>370</v>
      </c>
      <c r="Q163" s="2062"/>
      <c r="R163" s="2063"/>
      <c r="S163" s="2060"/>
      <c r="T163" s="2066" t="s">
        <v>242</v>
      </c>
      <c r="U163" s="2062"/>
      <c r="V163" s="2063"/>
      <c r="W163" s="2060"/>
      <c r="X163" s="2062"/>
      <c r="Y163" s="2062"/>
      <c r="Z163" s="2063"/>
      <c r="AA163" s="2060"/>
      <c r="AB163" s="2062"/>
      <c r="AC163" s="2062"/>
      <c r="AD163" s="2062"/>
      <c r="AE163" s="2060"/>
      <c r="AF163" s="2062"/>
      <c r="AG163" s="2062"/>
      <c r="AH163" s="2064"/>
      <c r="AI163" s="2065"/>
    </row>
    <row r="164" spans="1:35" ht="18" customHeight="1">
      <c r="A164" s="36"/>
      <c r="B164" s="1630" t="s">
        <v>248</v>
      </c>
      <c r="C164" s="2060" t="s">
        <v>128</v>
      </c>
      <c r="D164" s="2061" t="s">
        <v>234</v>
      </c>
      <c r="E164" s="2062"/>
      <c r="F164" s="2063"/>
      <c r="G164" s="2060"/>
      <c r="H164" s="2066" t="s">
        <v>234</v>
      </c>
      <c r="I164" s="2062"/>
      <c r="J164" s="2063"/>
      <c r="K164" s="2060"/>
      <c r="L164" s="2066" t="s">
        <v>234</v>
      </c>
      <c r="M164" s="2062"/>
      <c r="N164" s="2063"/>
      <c r="O164" s="2060"/>
      <c r="P164" s="2066" t="s">
        <v>234</v>
      </c>
      <c r="Q164" s="2062"/>
      <c r="R164" s="2063"/>
      <c r="S164" s="2060"/>
      <c r="T164" s="2066" t="s">
        <v>245</v>
      </c>
      <c r="U164" s="2062"/>
      <c r="V164" s="2063"/>
      <c r="W164" s="2060"/>
      <c r="X164" s="2062"/>
      <c r="Y164" s="2062"/>
      <c r="Z164" s="2063"/>
      <c r="AA164" s="2060"/>
      <c r="AB164" s="2062"/>
      <c r="AC164" s="2062"/>
      <c r="AD164" s="2062"/>
      <c r="AE164" s="2060"/>
      <c r="AF164" s="2062"/>
      <c r="AG164" s="2062"/>
      <c r="AH164" s="2064"/>
      <c r="AI164" s="2065"/>
    </row>
    <row r="165" spans="1:35" ht="18" customHeight="1">
      <c r="A165" s="36"/>
      <c r="B165" s="1630" t="s">
        <v>249</v>
      </c>
      <c r="C165" s="2060" t="s">
        <v>250</v>
      </c>
      <c r="D165" s="2061" t="s">
        <v>369</v>
      </c>
      <c r="E165" s="2062"/>
      <c r="F165" s="2063"/>
      <c r="G165" s="2060"/>
      <c r="H165" s="2061" t="s">
        <v>369</v>
      </c>
      <c r="I165" s="2062"/>
      <c r="J165" s="2063"/>
      <c r="K165" s="2060"/>
      <c r="L165" s="2061" t="s">
        <v>369</v>
      </c>
      <c r="M165" s="2062"/>
      <c r="N165" s="2063"/>
      <c r="O165" s="2060"/>
      <c r="P165" s="2061" t="s">
        <v>370</v>
      </c>
      <c r="Q165" s="2062"/>
      <c r="R165" s="2063"/>
      <c r="S165" s="2060"/>
      <c r="T165" s="2061" t="s">
        <v>236</v>
      </c>
      <c r="U165" s="2062"/>
      <c r="V165" s="2063"/>
      <c r="W165" s="2060"/>
      <c r="X165" s="2062"/>
      <c r="Y165" s="2062"/>
      <c r="Z165" s="2063"/>
      <c r="AA165" s="2060"/>
      <c r="AB165" s="2062"/>
      <c r="AC165" s="2062"/>
      <c r="AD165" s="2062"/>
      <c r="AE165" s="2060"/>
      <c r="AF165" s="2062"/>
      <c r="AG165" s="2062"/>
      <c r="AH165" s="2064"/>
      <c r="AI165" s="2065"/>
    </row>
    <row r="166" spans="1:35" ht="18" customHeight="1">
      <c r="A166" s="36"/>
      <c r="B166" s="1630" t="s">
        <v>249</v>
      </c>
      <c r="C166" s="2060" t="s">
        <v>251</v>
      </c>
      <c r="D166" s="2061" t="s">
        <v>369</v>
      </c>
      <c r="E166" s="2062"/>
      <c r="F166" s="2063"/>
      <c r="G166" s="2060"/>
      <c r="H166" s="2061" t="s">
        <v>369</v>
      </c>
      <c r="I166" s="2062"/>
      <c r="J166" s="2063"/>
      <c r="K166" s="2060"/>
      <c r="L166" s="2061" t="s">
        <v>369</v>
      </c>
      <c r="M166" s="2062"/>
      <c r="N166" s="2063"/>
      <c r="O166" s="2060"/>
      <c r="P166" s="2061" t="s">
        <v>370</v>
      </c>
      <c r="Q166" s="2062"/>
      <c r="R166" s="2063"/>
      <c r="S166" s="2060"/>
      <c r="T166" s="2061" t="s">
        <v>236</v>
      </c>
      <c r="U166" s="2062"/>
      <c r="V166" s="2063"/>
      <c r="W166" s="2060"/>
      <c r="X166" s="2062"/>
      <c r="Y166" s="2062"/>
      <c r="Z166" s="2063"/>
      <c r="AA166" s="2060"/>
      <c r="AB166" s="2062"/>
      <c r="AC166" s="2062"/>
      <c r="AD166" s="2062"/>
      <c r="AE166" s="2060"/>
      <c r="AF166" s="2062"/>
      <c r="AG166" s="2062"/>
      <c r="AH166" s="2064"/>
      <c r="AI166" s="2065"/>
    </row>
    <row r="167" spans="1:35" ht="18" customHeight="1">
      <c r="A167" s="36"/>
      <c r="B167" s="1630" t="s">
        <v>252</v>
      </c>
      <c r="C167" s="2060" t="s">
        <v>253</v>
      </c>
      <c r="D167" s="2061" t="s">
        <v>369</v>
      </c>
      <c r="E167" s="2062"/>
      <c r="F167" s="2063"/>
      <c r="G167" s="2060"/>
      <c r="H167" s="2061" t="s">
        <v>369</v>
      </c>
      <c r="I167" s="2062"/>
      <c r="J167" s="2063"/>
      <c r="K167" s="2060"/>
      <c r="L167" s="2061" t="s">
        <v>369</v>
      </c>
      <c r="M167" s="2062"/>
      <c r="N167" s="2063"/>
      <c r="O167" s="2060"/>
      <c r="P167" s="2061" t="s">
        <v>370</v>
      </c>
      <c r="Q167" s="2062"/>
      <c r="R167" s="2063"/>
      <c r="S167" s="2060"/>
      <c r="T167" s="2061" t="s">
        <v>236</v>
      </c>
      <c r="U167" s="2062"/>
      <c r="V167" s="2063"/>
      <c r="W167" s="2060"/>
      <c r="X167" s="2062"/>
      <c r="Y167" s="2062"/>
      <c r="Z167" s="2063"/>
      <c r="AA167" s="2060"/>
      <c r="AB167" s="2062"/>
      <c r="AC167" s="2062"/>
      <c r="AD167" s="2062"/>
      <c r="AE167" s="2060"/>
      <c r="AF167" s="2062"/>
      <c r="AG167" s="2062"/>
      <c r="AH167" s="2064"/>
      <c r="AI167" s="2065"/>
    </row>
    <row r="168" spans="1:35" ht="18" customHeight="1">
      <c r="A168" s="36"/>
      <c r="B168" s="2067" t="s">
        <v>255</v>
      </c>
      <c r="C168" s="1632" t="s">
        <v>123</v>
      </c>
      <c r="D168" s="419" t="s">
        <v>369</v>
      </c>
      <c r="E168" s="420"/>
      <c r="F168" s="1633"/>
      <c r="G168" s="1632"/>
      <c r="H168" s="419" t="s">
        <v>369</v>
      </c>
      <c r="I168" s="420"/>
      <c r="J168" s="1633"/>
      <c r="K168" s="1632"/>
      <c r="L168" s="419" t="s">
        <v>369</v>
      </c>
      <c r="M168" s="420"/>
      <c r="N168" s="1633"/>
      <c r="O168" s="1632"/>
      <c r="P168" s="419" t="s">
        <v>370</v>
      </c>
      <c r="Q168" s="420"/>
      <c r="R168" s="1633"/>
      <c r="S168" s="1632"/>
      <c r="T168" s="419" t="s">
        <v>236</v>
      </c>
      <c r="U168" s="420"/>
      <c r="V168" s="1633"/>
      <c r="W168" s="1632"/>
      <c r="X168" s="420"/>
      <c r="Y168" s="420"/>
      <c r="Z168" s="1633"/>
      <c r="AA168" s="1632"/>
      <c r="AB168" s="420"/>
      <c r="AC168" s="420"/>
      <c r="AD168" s="420"/>
      <c r="AE168" s="1632"/>
      <c r="AF168" s="420"/>
      <c r="AG168" s="420"/>
      <c r="AH168" s="421"/>
      <c r="AI168" s="1634"/>
    </row>
    <row r="169" spans="1:35" ht="18" customHeight="1">
      <c r="A169" s="36"/>
      <c r="B169" s="1630" t="s">
        <v>256</v>
      </c>
      <c r="C169" s="2060" t="s">
        <v>146</v>
      </c>
      <c r="D169" s="2061" t="s">
        <v>369</v>
      </c>
      <c r="E169" s="2062"/>
      <c r="F169" s="2063"/>
      <c r="G169" s="2060"/>
      <c r="H169" s="2061" t="s">
        <v>369</v>
      </c>
      <c r="I169" s="2062"/>
      <c r="J169" s="2063"/>
      <c r="K169" s="2060"/>
      <c r="L169" s="2061" t="s">
        <v>369</v>
      </c>
      <c r="M169" s="2062"/>
      <c r="N169" s="2062"/>
      <c r="O169" s="2060"/>
      <c r="P169" s="2061" t="s">
        <v>370</v>
      </c>
      <c r="Q169" s="2062"/>
      <c r="R169" s="2062"/>
      <c r="S169" s="2060"/>
      <c r="T169" s="2061" t="s">
        <v>236</v>
      </c>
      <c r="U169" s="2062"/>
      <c r="V169" s="2062"/>
      <c r="W169" s="2060"/>
      <c r="X169" s="2062"/>
      <c r="Y169" s="2062"/>
      <c r="Z169" s="2062"/>
      <c r="AA169" s="2060"/>
      <c r="AB169" s="2062"/>
      <c r="AC169" s="2062"/>
      <c r="AD169" s="2062"/>
      <c r="AE169" s="2060"/>
      <c r="AF169" s="2062"/>
      <c r="AG169" s="2062"/>
      <c r="AH169" s="2064"/>
      <c r="AI169" s="2065"/>
    </row>
    <row r="170" spans="1:35" ht="18" customHeight="1">
      <c r="A170" s="36"/>
      <c r="B170" s="1630" t="s">
        <v>257</v>
      </c>
      <c r="C170" s="2068" t="s">
        <v>136</v>
      </c>
      <c r="D170" s="2061" t="s">
        <v>369</v>
      </c>
      <c r="E170" s="2062"/>
      <c r="F170" s="2063"/>
      <c r="G170" s="2060"/>
      <c r="H170" s="2061" t="s">
        <v>369</v>
      </c>
      <c r="I170" s="2062"/>
      <c r="J170" s="2063"/>
      <c r="K170" s="2060"/>
      <c r="L170" s="2061" t="s">
        <v>369</v>
      </c>
      <c r="M170" s="2062"/>
      <c r="N170" s="2062"/>
      <c r="O170" s="2060"/>
      <c r="P170" s="2061" t="s">
        <v>370</v>
      </c>
      <c r="Q170" s="2062"/>
      <c r="R170" s="2062"/>
      <c r="S170" s="2060"/>
      <c r="T170" s="2061" t="s">
        <v>236</v>
      </c>
      <c r="U170" s="2062"/>
      <c r="V170" s="2062"/>
      <c r="W170" s="2069"/>
      <c r="X170" s="2062"/>
      <c r="Y170" s="2062"/>
      <c r="Z170" s="2062"/>
      <c r="AA170" s="2060"/>
      <c r="AB170" s="2062"/>
      <c r="AC170" s="2062"/>
      <c r="AD170" s="2062"/>
      <c r="AE170" s="2060"/>
      <c r="AF170" s="2062"/>
      <c r="AG170" s="2062"/>
      <c r="AH170" s="2064"/>
      <c r="AI170" s="2065"/>
    </row>
    <row r="171" spans="1:35" ht="18" customHeight="1" thickBot="1">
      <c r="A171" s="36"/>
      <c r="B171" s="95" t="s">
        <v>259</v>
      </c>
      <c r="C171" s="1637" t="s">
        <v>112</v>
      </c>
      <c r="D171" s="1638" t="s">
        <v>369</v>
      </c>
      <c r="E171" s="1639"/>
      <c r="F171" s="1640"/>
      <c r="G171" s="1641"/>
      <c r="H171" s="1638" t="s">
        <v>369</v>
      </c>
      <c r="I171" s="1639"/>
      <c r="J171" s="1640"/>
      <c r="K171" s="1641"/>
      <c r="L171" s="1638" t="s">
        <v>369</v>
      </c>
      <c r="M171" s="1639"/>
      <c r="N171" s="1639"/>
      <c r="O171" s="1641"/>
      <c r="P171" s="1642" t="s">
        <v>372</v>
      </c>
      <c r="Q171" s="1639"/>
      <c r="R171" s="1639"/>
      <c r="S171" s="1641"/>
      <c r="T171" s="1642" t="s">
        <v>242</v>
      </c>
      <c r="U171" s="1639"/>
      <c r="V171" s="1639"/>
      <c r="W171" s="1643"/>
      <c r="X171" s="1639"/>
      <c r="Y171" s="1639"/>
      <c r="Z171" s="1640"/>
      <c r="AA171" s="2070"/>
      <c r="AB171" s="2071"/>
      <c r="AC171" s="2071"/>
      <c r="AD171" s="2071"/>
      <c r="AE171" s="1641"/>
      <c r="AF171" s="2071"/>
      <c r="AG171" s="2071"/>
      <c r="AH171" s="2072"/>
      <c r="AI171" s="2073"/>
    </row>
    <row r="172" spans="1:35" ht="18" customHeight="1">
      <c r="A172" s="36"/>
      <c r="C172" s="38"/>
      <c r="D172" s="17"/>
      <c r="E172" s="17"/>
      <c r="F172" s="17"/>
      <c r="G172" s="17"/>
      <c r="H172" s="17"/>
      <c r="I172" s="38"/>
      <c r="J172" s="38"/>
      <c r="K172" s="17"/>
      <c r="L172" s="17"/>
      <c r="M172" s="17"/>
      <c r="N172" s="17"/>
      <c r="O172" s="17"/>
      <c r="P172" s="17"/>
      <c r="Q172" s="38"/>
      <c r="R172" s="17"/>
      <c r="S172" s="17"/>
      <c r="T172" s="17"/>
      <c r="U172" s="17"/>
      <c r="V172" s="17"/>
      <c r="W172" s="38"/>
      <c r="X172" s="38"/>
      <c r="Y172" s="17"/>
      <c r="Z172" s="17"/>
      <c r="AA172" s="17"/>
      <c r="AB172" s="17"/>
      <c r="AC172" s="17"/>
      <c r="AD172" s="17"/>
      <c r="AE172" s="38"/>
      <c r="AF172" s="17"/>
      <c r="AG172" s="17"/>
      <c r="AH172" s="76"/>
      <c r="AI172" s="76"/>
    </row>
    <row r="173" spans="1:35" ht="18" customHeight="1" thickBot="1">
      <c r="A173" s="96"/>
      <c r="B173" s="1644" t="s">
        <v>29</v>
      </c>
      <c r="C173" s="1811">
        <v>1</v>
      </c>
      <c r="D173" s="1812">
        <v>2</v>
      </c>
      <c r="E173" s="1812">
        <v>3</v>
      </c>
      <c r="F173" s="1812">
        <v>4</v>
      </c>
      <c r="G173" s="1812">
        <v>5</v>
      </c>
      <c r="H173" s="1812">
        <v>6</v>
      </c>
      <c r="I173" s="1811">
        <v>7</v>
      </c>
      <c r="J173" s="1811">
        <v>8</v>
      </c>
      <c r="K173" s="1812">
        <v>9</v>
      </c>
      <c r="L173" s="1812">
        <v>10</v>
      </c>
      <c r="M173" s="1812">
        <v>11</v>
      </c>
      <c r="N173" s="1812">
        <v>12</v>
      </c>
      <c r="O173" s="1812">
        <v>13</v>
      </c>
      <c r="P173" s="1811">
        <v>14</v>
      </c>
      <c r="Q173" s="1811">
        <v>15</v>
      </c>
      <c r="R173" s="1812">
        <v>16</v>
      </c>
      <c r="S173" s="1812">
        <v>17</v>
      </c>
      <c r="T173" s="1812">
        <v>18</v>
      </c>
      <c r="U173" s="1812">
        <v>19</v>
      </c>
      <c r="V173" s="1812">
        <v>20</v>
      </c>
      <c r="W173" s="1811">
        <v>21</v>
      </c>
      <c r="X173" s="1811">
        <v>22</v>
      </c>
      <c r="Y173" s="1812">
        <v>23</v>
      </c>
      <c r="Z173" s="1812">
        <v>24</v>
      </c>
      <c r="AA173" s="1812">
        <v>25</v>
      </c>
      <c r="AB173" s="1812">
        <v>26</v>
      </c>
      <c r="AC173" s="1812">
        <v>27</v>
      </c>
      <c r="AD173" s="1811">
        <v>28</v>
      </c>
      <c r="AE173" s="1811">
        <v>29</v>
      </c>
      <c r="AF173" s="1812">
        <v>30</v>
      </c>
      <c r="AG173" s="1813"/>
      <c r="AH173" s="97"/>
      <c r="AI173" s="24"/>
    </row>
    <row r="174" spans="1:35" ht="18" customHeight="1">
      <c r="A174" s="36"/>
      <c r="B174" s="998" t="s">
        <v>262</v>
      </c>
      <c r="C174" s="1648"/>
      <c r="D174" s="1648" t="s">
        <v>233</v>
      </c>
      <c r="E174" s="1648" t="s">
        <v>233</v>
      </c>
      <c r="F174" s="1648" t="s">
        <v>233</v>
      </c>
      <c r="G174" s="1648" t="s">
        <v>233</v>
      </c>
      <c r="H174" s="1648" t="s">
        <v>233</v>
      </c>
      <c r="I174" s="1648"/>
      <c r="J174" s="1648"/>
      <c r="K174" s="1648" t="s">
        <v>233</v>
      </c>
      <c r="L174" s="1648" t="s">
        <v>233</v>
      </c>
      <c r="M174" s="1648" t="s">
        <v>233</v>
      </c>
      <c r="N174" s="1648" t="s">
        <v>233</v>
      </c>
      <c r="O174" s="1648" t="s">
        <v>233</v>
      </c>
      <c r="P174" s="1648"/>
      <c r="Q174" s="1648"/>
      <c r="R174" s="1648" t="s">
        <v>233</v>
      </c>
      <c r="S174" s="1648" t="s">
        <v>233</v>
      </c>
      <c r="T174" s="1648" t="s">
        <v>233</v>
      </c>
      <c r="U174" s="1648" t="s">
        <v>233</v>
      </c>
      <c r="V174" s="1648" t="s">
        <v>233</v>
      </c>
      <c r="W174" s="1648"/>
      <c r="X174" s="1648"/>
      <c r="Y174" s="1648" t="s">
        <v>233</v>
      </c>
      <c r="Z174" s="1648" t="s">
        <v>233</v>
      </c>
      <c r="AA174" s="1648" t="s">
        <v>233</v>
      </c>
      <c r="AB174" s="1032" t="s">
        <v>233</v>
      </c>
      <c r="AC174" s="972" t="s">
        <v>233</v>
      </c>
      <c r="AD174" s="972"/>
      <c r="AE174" s="972"/>
      <c r="AF174" s="972" t="s">
        <v>233</v>
      </c>
      <c r="AG174" s="999"/>
      <c r="AH174" s="25"/>
      <c r="AI174" s="25"/>
    </row>
    <row r="175" spans="1:35" ht="18" customHeight="1">
      <c r="A175" s="36"/>
      <c r="B175" s="2074" t="s">
        <v>263</v>
      </c>
      <c r="C175" s="1922"/>
      <c r="D175" s="1922" t="s">
        <v>233</v>
      </c>
      <c r="E175" s="1922" t="s">
        <v>233</v>
      </c>
      <c r="F175" s="1922" t="s">
        <v>233</v>
      </c>
      <c r="G175" s="1922" t="s">
        <v>233</v>
      </c>
      <c r="H175" s="1922" t="s">
        <v>233</v>
      </c>
      <c r="I175" s="1922"/>
      <c r="J175" s="1922"/>
      <c r="K175" s="1922" t="s">
        <v>233</v>
      </c>
      <c r="L175" s="1922" t="s">
        <v>233</v>
      </c>
      <c r="M175" s="1922" t="s">
        <v>233</v>
      </c>
      <c r="N175" s="1922" t="s">
        <v>233</v>
      </c>
      <c r="O175" s="1922" t="s">
        <v>233</v>
      </c>
      <c r="P175" s="1922"/>
      <c r="Q175" s="1922"/>
      <c r="R175" s="1922" t="s">
        <v>233</v>
      </c>
      <c r="S175" s="1922" t="s">
        <v>233</v>
      </c>
      <c r="T175" s="1922" t="s">
        <v>233</v>
      </c>
      <c r="U175" s="1922" t="s">
        <v>233</v>
      </c>
      <c r="V175" s="1922" t="s">
        <v>233</v>
      </c>
      <c r="W175" s="1922"/>
      <c r="X175" s="1922"/>
      <c r="Y175" s="1922" t="s">
        <v>233</v>
      </c>
      <c r="Z175" s="1922" t="s">
        <v>233</v>
      </c>
      <c r="AA175" s="1922" t="s">
        <v>233</v>
      </c>
      <c r="AB175" s="1922" t="s">
        <v>233</v>
      </c>
      <c r="AC175" s="1922" t="s">
        <v>233</v>
      </c>
      <c r="AD175" s="1922"/>
      <c r="AE175" s="1922"/>
      <c r="AF175" s="1922" t="s">
        <v>233</v>
      </c>
      <c r="AG175" s="1615"/>
      <c r="AH175" s="25"/>
      <c r="AI175" s="25"/>
    </row>
    <row r="176" spans="1:35" ht="18" customHeight="1">
      <c r="A176" s="36"/>
      <c r="B176" s="2074" t="s">
        <v>265</v>
      </c>
      <c r="C176" s="1922"/>
      <c r="D176" s="1922" t="s">
        <v>237</v>
      </c>
      <c r="E176" s="1922" t="s">
        <v>237</v>
      </c>
      <c r="F176" s="1922" t="s">
        <v>237</v>
      </c>
      <c r="G176" s="1922" t="s">
        <v>237</v>
      </c>
      <c r="H176" s="1922" t="s">
        <v>237</v>
      </c>
      <c r="I176" s="1922"/>
      <c r="J176" s="1922"/>
      <c r="K176" s="1922" t="s">
        <v>237</v>
      </c>
      <c r="L176" s="1922" t="s">
        <v>237</v>
      </c>
      <c r="M176" s="1922" t="s">
        <v>237</v>
      </c>
      <c r="N176" s="1922" t="s">
        <v>237</v>
      </c>
      <c r="O176" s="1922" t="s">
        <v>237</v>
      </c>
      <c r="P176" s="1922"/>
      <c r="Q176" s="1922"/>
      <c r="R176" s="1922" t="s">
        <v>237</v>
      </c>
      <c r="S176" s="1922" t="s">
        <v>237</v>
      </c>
      <c r="T176" s="1922" t="s">
        <v>237</v>
      </c>
      <c r="U176" s="1922" t="s">
        <v>237</v>
      </c>
      <c r="V176" s="1922" t="s">
        <v>237</v>
      </c>
      <c r="W176" s="1922"/>
      <c r="X176" s="1922"/>
      <c r="Y176" s="1922" t="s">
        <v>237</v>
      </c>
      <c r="Z176" s="1922" t="s">
        <v>237</v>
      </c>
      <c r="AA176" s="1922" t="s">
        <v>237</v>
      </c>
      <c r="AB176" s="1922" t="s">
        <v>237</v>
      </c>
      <c r="AC176" s="1922" t="s">
        <v>237</v>
      </c>
      <c r="AD176" s="1922"/>
      <c r="AE176" s="1922"/>
      <c r="AF176" s="1922" t="s">
        <v>237</v>
      </c>
      <c r="AG176" s="1615"/>
      <c r="AH176" s="25"/>
      <c r="AI176" s="25"/>
    </row>
    <row r="177" spans="1:35" ht="18" customHeight="1">
      <c r="A177" s="36"/>
      <c r="B177" s="2074" t="s">
        <v>266</v>
      </c>
      <c r="C177" s="1922"/>
      <c r="D177" s="2075" t="s">
        <v>201</v>
      </c>
      <c r="E177" s="2075" t="s">
        <v>201</v>
      </c>
      <c r="F177" s="1749" t="s">
        <v>201</v>
      </c>
      <c r="G177" s="1749" t="s">
        <v>201</v>
      </c>
      <c r="H177" s="1749" t="s">
        <v>201</v>
      </c>
      <c r="I177" s="1749"/>
      <c r="J177" s="1749"/>
      <c r="K177" s="1749" t="s">
        <v>201</v>
      </c>
      <c r="L177" s="1749" t="s">
        <v>201</v>
      </c>
      <c r="M177" s="1749" t="s">
        <v>201</v>
      </c>
      <c r="N177" s="1749" t="s">
        <v>201</v>
      </c>
      <c r="O177" s="1749" t="s">
        <v>201</v>
      </c>
      <c r="P177" s="1749"/>
      <c r="Q177" s="1749"/>
      <c r="R177" s="1749" t="s">
        <v>201</v>
      </c>
      <c r="S177" s="1749" t="s">
        <v>201</v>
      </c>
      <c r="T177" s="1749" t="s">
        <v>201</v>
      </c>
      <c r="U177" s="1749" t="s">
        <v>201</v>
      </c>
      <c r="V177" s="1749" t="s">
        <v>201</v>
      </c>
      <c r="W177" s="1749"/>
      <c r="X177" s="1749"/>
      <c r="Y177" s="1749" t="s">
        <v>201</v>
      </c>
      <c r="Z177" s="1749" t="s">
        <v>201</v>
      </c>
      <c r="AA177" s="1749" t="s">
        <v>201</v>
      </c>
      <c r="AB177" s="1749" t="s">
        <v>201</v>
      </c>
      <c r="AC177" s="1749" t="s">
        <v>201</v>
      </c>
      <c r="AD177" s="1922"/>
      <c r="AE177" s="1922"/>
      <c r="AF177" s="1922" t="s">
        <v>201</v>
      </c>
      <c r="AG177" s="1615"/>
      <c r="AH177" s="25"/>
      <c r="AI177" s="25"/>
    </row>
    <row r="178" spans="1:35" ht="18" customHeight="1">
      <c r="A178" s="36"/>
      <c r="B178" s="1878" t="s">
        <v>267</v>
      </c>
      <c r="C178" s="1922"/>
      <c r="D178" s="1922" t="s">
        <v>121</v>
      </c>
      <c r="E178" s="1922" t="s">
        <v>121</v>
      </c>
      <c r="F178" s="1922" t="s">
        <v>121</v>
      </c>
      <c r="G178" s="1922" t="s">
        <v>121</v>
      </c>
      <c r="H178" s="1918" t="s">
        <v>421</v>
      </c>
      <c r="I178" s="1922"/>
      <c r="J178" s="1922"/>
      <c r="K178" s="1922" t="s">
        <v>121</v>
      </c>
      <c r="L178" s="1922" t="s">
        <v>121</v>
      </c>
      <c r="M178" s="1922" t="s">
        <v>121</v>
      </c>
      <c r="N178" s="1922" t="s">
        <v>121</v>
      </c>
      <c r="O178" s="1922" t="s">
        <v>121</v>
      </c>
      <c r="P178" s="1922"/>
      <c r="Q178" s="1922"/>
      <c r="R178" s="1922" t="s">
        <v>121</v>
      </c>
      <c r="S178" s="1922" t="s">
        <v>121</v>
      </c>
      <c r="T178" s="1922" t="s">
        <v>121</v>
      </c>
      <c r="U178" s="1922" t="s">
        <v>121</v>
      </c>
      <c r="V178" s="1922" t="s">
        <v>121</v>
      </c>
      <c r="W178" s="1922"/>
      <c r="X178" s="1922"/>
      <c r="Y178" s="1918" t="s">
        <v>121</v>
      </c>
      <c r="Z178" s="1918" t="s">
        <v>121</v>
      </c>
      <c r="AA178" s="1918" t="s">
        <v>121</v>
      </c>
      <c r="AB178" s="1919" t="s">
        <v>121</v>
      </c>
      <c r="AC178" s="1701" t="s">
        <v>421</v>
      </c>
      <c r="AD178" s="1922"/>
      <c r="AE178" s="1922"/>
      <c r="AF178" s="1922" t="s">
        <v>121</v>
      </c>
      <c r="AG178" s="1615"/>
      <c r="AH178" s="25"/>
      <c r="AI178" s="25"/>
    </row>
    <row r="179" spans="1:35" ht="18" customHeight="1">
      <c r="A179" s="36"/>
      <c r="B179" s="2074" t="s">
        <v>374</v>
      </c>
      <c r="C179" s="1922"/>
      <c r="D179" s="1922" t="s">
        <v>253</v>
      </c>
      <c r="E179" s="1922" t="s">
        <v>253</v>
      </c>
      <c r="F179" s="2076" t="s">
        <v>253</v>
      </c>
      <c r="G179" s="2076" t="s">
        <v>253</v>
      </c>
      <c r="H179" s="1922" t="s">
        <v>253</v>
      </c>
      <c r="I179" s="1922"/>
      <c r="J179" s="1922"/>
      <c r="K179" s="2077" t="s">
        <v>253</v>
      </c>
      <c r="L179" s="2077" t="s">
        <v>253</v>
      </c>
      <c r="M179" s="1922" t="s">
        <v>253</v>
      </c>
      <c r="N179" s="1922" t="s">
        <v>253</v>
      </c>
      <c r="O179" s="1922" t="s">
        <v>253</v>
      </c>
      <c r="P179" s="1922"/>
      <c r="Q179" s="1922"/>
      <c r="R179" s="1922" t="s">
        <v>244</v>
      </c>
      <c r="S179" s="1922" t="s">
        <v>244</v>
      </c>
      <c r="T179" s="1922" t="s">
        <v>244</v>
      </c>
      <c r="U179" s="1922" t="s">
        <v>244</v>
      </c>
      <c r="V179" s="1922" t="s">
        <v>244</v>
      </c>
      <c r="W179" s="1922"/>
      <c r="X179" s="1922"/>
      <c r="Y179" s="1922" t="s">
        <v>244</v>
      </c>
      <c r="Z179" s="1922" t="s">
        <v>244</v>
      </c>
      <c r="AA179" s="1922" t="s">
        <v>244</v>
      </c>
      <c r="AB179" s="1922" t="s">
        <v>244</v>
      </c>
      <c r="AC179" s="1922" t="s">
        <v>244</v>
      </c>
      <c r="AD179" s="1922"/>
      <c r="AE179" s="1699"/>
      <c r="AF179" s="1922" t="s">
        <v>244</v>
      </c>
      <c r="AG179" s="1615"/>
      <c r="AH179" s="25"/>
      <c r="AI179" s="25"/>
    </row>
    <row r="180" spans="1:35" ht="18" customHeight="1">
      <c r="A180" s="36"/>
      <c r="B180" s="2074" t="s">
        <v>269</v>
      </c>
      <c r="C180" s="1922"/>
      <c r="D180" s="1922" t="s">
        <v>128</v>
      </c>
      <c r="E180" s="1922" t="s">
        <v>128</v>
      </c>
      <c r="F180" s="1922" t="s">
        <v>128</v>
      </c>
      <c r="G180" s="1922" t="s">
        <v>128</v>
      </c>
      <c r="H180" s="1922" t="s">
        <v>128</v>
      </c>
      <c r="I180" s="1922"/>
      <c r="J180" s="1922"/>
      <c r="K180" s="1922" t="s">
        <v>128</v>
      </c>
      <c r="L180" s="1922" t="s">
        <v>128</v>
      </c>
      <c r="M180" s="1922" t="s">
        <v>128</v>
      </c>
      <c r="N180" s="1922" t="s">
        <v>128</v>
      </c>
      <c r="O180" s="1922" t="s">
        <v>128</v>
      </c>
      <c r="P180" s="1922"/>
      <c r="Q180" s="1922"/>
      <c r="R180" s="1922" t="s">
        <v>128</v>
      </c>
      <c r="S180" s="1922" t="s">
        <v>128</v>
      </c>
      <c r="T180" s="1922" t="s">
        <v>128</v>
      </c>
      <c r="U180" s="1922" t="s">
        <v>128</v>
      </c>
      <c r="V180" s="1922" t="s">
        <v>128</v>
      </c>
      <c r="W180" s="1922"/>
      <c r="X180" s="1922"/>
      <c r="Y180" s="1922" t="s">
        <v>128</v>
      </c>
      <c r="Z180" s="1922" t="s">
        <v>128</v>
      </c>
      <c r="AA180" s="1922" t="s">
        <v>128</v>
      </c>
      <c r="AB180" s="1846" t="s">
        <v>128</v>
      </c>
      <c r="AC180" s="1846" t="s">
        <v>128</v>
      </c>
      <c r="AD180" s="1922"/>
      <c r="AE180" s="1922"/>
      <c r="AF180" s="1855" t="s">
        <v>128</v>
      </c>
      <c r="AG180" s="1615"/>
      <c r="AH180" s="25"/>
      <c r="AI180" s="25"/>
    </row>
    <row r="181" spans="1:35" ht="18" customHeight="1">
      <c r="A181" s="36"/>
      <c r="B181" s="1925" t="s">
        <v>271</v>
      </c>
      <c r="C181" s="1922"/>
      <c r="D181" s="1922" t="s">
        <v>250</v>
      </c>
      <c r="E181" s="1922" t="s">
        <v>250</v>
      </c>
      <c r="F181" s="1922" t="s">
        <v>250</v>
      </c>
      <c r="G181" s="1922" t="s">
        <v>250</v>
      </c>
      <c r="H181" s="1922" t="s">
        <v>250</v>
      </c>
      <c r="I181" s="1922"/>
      <c r="J181" s="1922"/>
      <c r="K181" s="1922" t="s">
        <v>250</v>
      </c>
      <c r="L181" s="1922" t="s">
        <v>250</v>
      </c>
      <c r="M181" s="1922" t="s">
        <v>250</v>
      </c>
      <c r="N181" s="1922" t="s">
        <v>250</v>
      </c>
      <c r="O181" s="1922" t="s">
        <v>250</v>
      </c>
      <c r="P181" s="1922"/>
      <c r="Q181" s="1922"/>
      <c r="R181" s="1922" t="s">
        <v>250</v>
      </c>
      <c r="S181" s="1922" t="s">
        <v>250</v>
      </c>
      <c r="T181" s="1918" t="s">
        <v>250</v>
      </c>
      <c r="U181" s="1918" t="s">
        <v>250</v>
      </c>
      <c r="V181" s="1918" t="s">
        <v>250</v>
      </c>
      <c r="W181" s="1919"/>
      <c r="X181" s="1919"/>
      <c r="Y181" s="1919" t="s">
        <v>250</v>
      </c>
      <c r="Z181" s="1919" t="s">
        <v>250</v>
      </c>
      <c r="AA181" s="1919" t="s">
        <v>250</v>
      </c>
      <c r="AB181" s="1919" t="s">
        <v>250</v>
      </c>
      <c r="AC181" s="1701" t="s">
        <v>272</v>
      </c>
      <c r="AD181" s="1762"/>
      <c r="AE181" s="1762"/>
      <c r="AF181" s="1922" t="s">
        <v>250</v>
      </c>
      <c r="AG181" s="1615"/>
      <c r="AH181" s="25"/>
      <c r="AI181" s="25"/>
    </row>
    <row r="182" spans="1:35" ht="18" customHeight="1">
      <c r="A182" s="36"/>
      <c r="B182" s="2074" t="s">
        <v>273</v>
      </c>
      <c r="C182" s="1922"/>
      <c r="D182" s="1922" t="s">
        <v>251</v>
      </c>
      <c r="E182" s="1922" t="s">
        <v>251</v>
      </c>
      <c r="F182" s="1922" t="s">
        <v>251</v>
      </c>
      <c r="G182" s="1922" t="s">
        <v>251</v>
      </c>
      <c r="H182" s="1846" t="s">
        <v>251</v>
      </c>
      <c r="I182" s="1922"/>
      <c r="J182" s="1922"/>
      <c r="K182" s="1922" t="s">
        <v>251</v>
      </c>
      <c r="L182" s="1922" t="s">
        <v>251</v>
      </c>
      <c r="M182" s="1922" t="s">
        <v>251</v>
      </c>
      <c r="N182" s="1922" t="s">
        <v>251</v>
      </c>
      <c r="O182" s="1846" t="s">
        <v>251</v>
      </c>
      <c r="P182" s="1922"/>
      <c r="Q182" s="1922"/>
      <c r="R182" s="1922" t="s">
        <v>251</v>
      </c>
      <c r="S182" s="1922" t="s">
        <v>251</v>
      </c>
      <c r="T182" s="1922" t="s">
        <v>251</v>
      </c>
      <c r="U182" s="1922" t="s">
        <v>251</v>
      </c>
      <c r="V182" s="1922" t="s">
        <v>251</v>
      </c>
      <c r="W182" s="1922"/>
      <c r="X182" s="1922"/>
      <c r="Y182" s="1846" t="s">
        <v>251</v>
      </c>
      <c r="Z182" s="1846" t="s">
        <v>251</v>
      </c>
      <c r="AA182" s="1846" t="s">
        <v>251</v>
      </c>
      <c r="AB182" s="1846" t="s">
        <v>251</v>
      </c>
      <c r="AC182" s="1846" t="s">
        <v>251</v>
      </c>
      <c r="AD182" s="1922"/>
      <c r="AE182" s="1922"/>
      <c r="AF182" s="1922" t="s">
        <v>251</v>
      </c>
      <c r="AG182" s="1615"/>
      <c r="AH182" s="25"/>
      <c r="AI182" s="25"/>
    </row>
    <row r="183" spans="1:35" ht="18" customHeight="1">
      <c r="A183" s="36"/>
      <c r="B183" s="2074" t="s">
        <v>274</v>
      </c>
      <c r="C183" s="1846"/>
      <c r="D183" s="1846" t="s">
        <v>253</v>
      </c>
      <c r="E183" s="1846" t="s">
        <v>253</v>
      </c>
      <c r="F183" s="1846" t="s">
        <v>253</v>
      </c>
      <c r="G183" s="1846" t="s">
        <v>253</v>
      </c>
      <c r="H183" s="1846" t="s">
        <v>253</v>
      </c>
      <c r="I183" s="1846"/>
      <c r="J183" s="1846"/>
      <c r="K183" s="1846" t="s">
        <v>253</v>
      </c>
      <c r="L183" s="1846" t="s">
        <v>253</v>
      </c>
      <c r="M183" s="1846" t="s">
        <v>253</v>
      </c>
      <c r="N183" s="1846" t="s">
        <v>253</v>
      </c>
      <c r="O183" s="1846" t="s">
        <v>253</v>
      </c>
      <c r="P183" s="1922"/>
      <c r="Q183" s="1922"/>
      <c r="R183" s="1922" t="s">
        <v>253</v>
      </c>
      <c r="S183" s="1922" t="s">
        <v>253</v>
      </c>
      <c r="T183" s="1922" t="s">
        <v>253</v>
      </c>
      <c r="U183" s="1922" t="s">
        <v>253</v>
      </c>
      <c r="V183" s="1922" t="s">
        <v>253</v>
      </c>
      <c r="W183" s="1922"/>
      <c r="X183" s="1922"/>
      <c r="Y183" s="1922" t="s">
        <v>253</v>
      </c>
      <c r="Z183" s="1922" t="s">
        <v>253</v>
      </c>
      <c r="AA183" s="1922" t="s">
        <v>253</v>
      </c>
      <c r="AB183" s="1922" t="s">
        <v>253</v>
      </c>
      <c r="AC183" s="1922" t="s">
        <v>253</v>
      </c>
      <c r="AD183" s="1922"/>
      <c r="AE183" s="1922"/>
      <c r="AF183" s="1922" t="s">
        <v>253</v>
      </c>
      <c r="AG183" s="1615"/>
      <c r="AH183" s="25"/>
      <c r="AI183" s="25"/>
    </row>
    <row r="184" spans="1:35" ht="18" customHeight="1">
      <c r="A184" s="36"/>
      <c r="B184" s="1925" t="s">
        <v>275</v>
      </c>
      <c r="C184" s="1922"/>
      <c r="D184" s="1922" t="s">
        <v>123</v>
      </c>
      <c r="E184" s="1922" t="s">
        <v>123</v>
      </c>
      <c r="F184" s="1922" t="s">
        <v>123</v>
      </c>
      <c r="G184" s="1922" t="s">
        <v>123</v>
      </c>
      <c r="H184" s="1922" t="s">
        <v>123</v>
      </c>
      <c r="I184" s="1922"/>
      <c r="J184" s="1922"/>
      <c r="K184" s="1922" t="s">
        <v>123</v>
      </c>
      <c r="L184" s="1922" t="s">
        <v>123</v>
      </c>
      <c r="M184" s="1922" t="s">
        <v>123</v>
      </c>
      <c r="N184" s="1922" t="s">
        <v>123</v>
      </c>
      <c r="O184" s="1922" t="s">
        <v>123</v>
      </c>
      <c r="P184" s="1922"/>
      <c r="Q184" s="1922"/>
      <c r="R184" s="1922" t="s">
        <v>123</v>
      </c>
      <c r="S184" s="1922" t="s">
        <v>123</v>
      </c>
      <c r="T184" s="1922" t="s">
        <v>123</v>
      </c>
      <c r="U184" s="1922" t="s">
        <v>123</v>
      </c>
      <c r="V184" s="1922" t="s">
        <v>123</v>
      </c>
      <c r="W184" s="1922"/>
      <c r="X184" s="1922"/>
      <c r="Y184" s="1922" t="s">
        <v>123</v>
      </c>
      <c r="Z184" s="1922" t="s">
        <v>123</v>
      </c>
      <c r="AA184" s="1922" t="s">
        <v>123</v>
      </c>
      <c r="AB184" s="1922" t="s">
        <v>123</v>
      </c>
      <c r="AC184" s="1922" t="s">
        <v>123</v>
      </c>
      <c r="AD184" s="1922"/>
      <c r="AE184" s="1854"/>
      <c r="AF184" s="1922" t="s">
        <v>123</v>
      </c>
      <c r="AG184" s="1615"/>
      <c r="AH184" s="25"/>
      <c r="AI184" s="25"/>
    </row>
    <row r="185" spans="1:35" ht="18" customHeight="1">
      <c r="A185" s="36"/>
      <c r="B185" s="2074" t="s">
        <v>276</v>
      </c>
      <c r="C185" s="1846"/>
      <c r="D185" s="1846" t="s">
        <v>146</v>
      </c>
      <c r="E185" s="1846" t="s">
        <v>146</v>
      </c>
      <c r="F185" s="1846" t="s">
        <v>146</v>
      </c>
      <c r="G185" s="1846" t="s">
        <v>146</v>
      </c>
      <c r="H185" s="1846" t="s">
        <v>146</v>
      </c>
      <c r="I185" s="1846"/>
      <c r="J185" s="1846"/>
      <c r="K185" s="1922" t="s">
        <v>146</v>
      </c>
      <c r="L185" s="1922" t="s">
        <v>146</v>
      </c>
      <c r="M185" s="1922" t="s">
        <v>146</v>
      </c>
      <c r="N185" s="1922" t="s">
        <v>146</v>
      </c>
      <c r="O185" s="1922" t="s">
        <v>146</v>
      </c>
      <c r="P185" s="1922"/>
      <c r="Q185" s="1922"/>
      <c r="R185" s="1922" t="s">
        <v>146</v>
      </c>
      <c r="S185" s="1922" t="s">
        <v>146</v>
      </c>
      <c r="T185" s="1922" t="s">
        <v>146</v>
      </c>
      <c r="U185" s="1922" t="s">
        <v>146</v>
      </c>
      <c r="V185" s="1922" t="s">
        <v>146</v>
      </c>
      <c r="W185" s="1922"/>
      <c r="X185" s="1922"/>
      <c r="Y185" s="1922" t="s">
        <v>146</v>
      </c>
      <c r="Z185" s="1922" t="s">
        <v>146</v>
      </c>
      <c r="AA185" s="1918" t="s">
        <v>146</v>
      </c>
      <c r="AB185" s="1918" t="s">
        <v>146</v>
      </c>
      <c r="AC185" s="1918" t="s">
        <v>422</v>
      </c>
      <c r="AD185" s="1922"/>
      <c r="AE185" s="1922"/>
      <c r="AF185" s="1922" t="s">
        <v>146</v>
      </c>
      <c r="AG185" s="1615"/>
      <c r="AH185" s="25"/>
      <c r="AI185" s="25"/>
    </row>
    <row r="186" spans="1:35" ht="18" customHeight="1" thickBot="1">
      <c r="A186" s="36"/>
      <c r="B186" s="402" t="s">
        <v>0</v>
      </c>
      <c r="C186" s="408"/>
      <c r="D186" s="408" t="s">
        <v>136</v>
      </c>
      <c r="E186" s="408" t="s">
        <v>136</v>
      </c>
      <c r="F186" s="408" t="s">
        <v>136</v>
      </c>
      <c r="G186" s="408" t="s">
        <v>136</v>
      </c>
      <c r="H186" s="408" t="s">
        <v>136</v>
      </c>
      <c r="I186" s="408"/>
      <c r="J186" s="408"/>
      <c r="K186" s="408" t="s">
        <v>136</v>
      </c>
      <c r="L186" s="408" t="s">
        <v>136</v>
      </c>
      <c r="M186" s="408" t="s">
        <v>136</v>
      </c>
      <c r="N186" s="408" t="s">
        <v>136</v>
      </c>
      <c r="O186" s="408" t="s">
        <v>136</v>
      </c>
      <c r="P186" s="408"/>
      <c r="Q186" s="408"/>
      <c r="R186" s="408" t="s">
        <v>136</v>
      </c>
      <c r="S186" s="408" t="s">
        <v>136</v>
      </c>
      <c r="T186" s="408" t="s">
        <v>136</v>
      </c>
      <c r="U186" s="408" t="s">
        <v>136</v>
      </c>
      <c r="V186" s="408" t="s">
        <v>136</v>
      </c>
      <c r="W186" s="408"/>
      <c r="X186" s="408"/>
      <c r="Y186" s="408" t="s">
        <v>136</v>
      </c>
      <c r="Z186" s="408" t="s">
        <v>136</v>
      </c>
      <c r="AA186" s="408" t="s">
        <v>136</v>
      </c>
      <c r="AB186" s="408" t="s">
        <v>136</v>
      </c>
      <c r="AC186" s="408" t="s">
        <v>136</v>
      </c>
      <c r="AD186" s="408"/>
      <c r="AE186" s="408"/>
      <c r="AF186" s="408" t="s">
        <v>136</v>
      </c>
      <c r="AG186" s="90"/>
      <c r="AH186" s="25"/>
      <c r="AI186" s="25"/>
    </row>
    <row r="187" spans="1:35" ht="18" customHeight="1" thickBot="1">
      <c r="A187" s="36"/>
      <c r="B187" s="402" t="s">
        <v>278</v>
      </c>
      <c r="C187" s="425" t="s">
        <v>0</v>
      </c>
      <c r="D187" s="425" t="s">
        <v>112</v>
      </c>
      <c r="E187" s="425" t="s">
        <v>112</v>
      </c>
      <c r="F187" s="425" t="s">
        <v>112</v>
      </c>
      <c r="G187" s="423" t="s">
        <v>112</v>
      </c>
      <c r="H187" s="423" t="s">
        <v>112</v>
      </c>
      <c r="I187" s="423" t="s">
        <v>0</v>
      </c>
      <c r="J187" s="423" t="s">
        <v>0</v>
      </c>
      <c r="K187" s="423" t="s">
        <v>112</v>
      </c>
      <c r="L187" s="425" t="s">
        <v>112</v>
      </c>
      <c r="M187" s="426" t="s">
        <v>112</v>
      </c>
      <c r="N187" s="423" t="s">
        <v>112</v>
      </c>
      <c r="O187" s="423" t="s">
        <v>112</v>
      </c>
      <c r="P187" s="423" t="s">
        <v>0</v>
      </c>
      <c r="Q187" s="423" t="s">
        <v>0</v>
      </c>
      <c r="R187" s="423" t="s">
        <v>112</v>
      </c>
      <c r="S187" s="425" t="s">
        <v>112</v>
      </c>
      <c r="T187" s="425" t="s">
        <v>112</v>
      </c>
      <c r="U187" s="425" t="s">
        <v>112</v>
      </c>
      <c r="V187" s="425" t="s">
        <v>112</v>
      </c>
      <c r="W187" s="425" t="s">
        <v>0</v>
      </c>
      <c r="X187" s="425" t="s">
        <v>0</v>
      </c>
      <c r="Y187" s="425" t="s">
        <v>112</v>
      </c>
      <c r="Z187" s="425" t="s">
        <v>112</v>
      </c>
      <c r="AA187" s="425" t="s">
        <v>112</v>
      </c>
      <c r="AB187" s="425" t="s">
        <v>112</v>
      </c>
      <c r="AC187" s="425" t="s">
        <v>112</v>
      </c>
      <c r="AD187" s="425" t="s">
        <v>0</v>
      </c>
      <c r="AE187" s="425" t="s">
        <v>0</v>
      </c>
      <c r="AF187" s="425" t="s">
        <v>112</v>
      </c>
      <c r="AG187" s="90"/>
      <c r="AH187" s="76"/>
      <c r="AI187" s="76"/>
    </row>
    <row r="188" spans="1:35" ht="18" customHeight="1">
      <c r="A188" s="96"/>
      <c r="B188" s="98"/>
      <c r="C188" s="91"/>
      <c r="D188" s="91"/>
      <c r="E188" s="91"/>
      <c r="F188" s="91"/>
      <c r="G188" s="91"/>
      <c r="H188" s="91"/>
      <c r="I188" s="91"/>
      <c r="J188" s="91"/>
      <c r="K188" s="91"/>
      <c r="L188" s="91"/>
      <c r="M188" s="91"/>
      <c r="N188" s="91"/>
      <c r="O188" s="91"/>
      <c r="P188" s="91"/>
      <c r="Q188" s="91"/>
      <c r="R188" s="91"/>
      <c r="S188" s="91"/>
      <c r="T188" s="91"/>
      <c r="U188" s="91"/>
      <c r="V188" s="91"/>
      <c r="W188" s="91"/>
      <c r="X188" s="91"/>
      <c r="Y188" s="91"/>
      <c r="Z188" s="91"/>
      <c r="AA188" s="91"/>
      <c r="AB188" s="91"/>
      <c r="AC188" s="91"/>
      <c r="AD188" s="91"/>
      <c r="AE188" s="91"/>
      <c r="AF188" s="91"/>
      <c r="AG188" s="91"/>
      <c r="AH188" s="99"/>
    </row>
    <row r="189" spans="1:35" ht="18" customHeight="1" thickBot="1">
      <c r="A189" s="1" t="s">
        <v>280</v>
      </c>
      <c r="B189" s="42"/>
      <c r="C189" s="100"/>
      <c r="D189" s="100"/>
      <c r="E189" s="100"/>
      <c r="F189" s="100"/>
      <c r="G189" s="100"/>
      <c r="H189" s="100"/>
      <c r="I189" s="100"/>
      <c r="J189" s="100"/>
      <c r="K189" s="100"/>
      <c r="L189" s="100"/>
      <c r="M189" s="100"/>
      <c r="N189" s="100"/>
      <c r="O189" s="100"/>
      <c r="P189" s="100"/>
      <c r="Q189" s="100"/>
      <c r="R189" s="100"/>
      <c r="S189" s="100"/>
      <c r="T189" s="100"/>
      <c r="U189" s="100"/>
      <c r="V189" s="100"/>
      <c r="W189" s="100"/>
      <c r="X189" s="100"/>
      <c r="Y189" s="100"/>
      <c r="Z189" s="100"/>
      <c r="AA189" s="100"/>
      <c r="AB189" s="100"/>
      <c r="AC189" s="100"/>
      <c r="AD189" s="100"/>
      <c r="AE189" s="100"/>
      <c r="AF189" s="100"/>
      <c r="AG189" s="100"/>
    </row>
    <row r="190" spans="1:35" ht="18" customHeight="1">
      <c r="A190" s="1"/>
      <c r="B190" s="2078" t="s">
        <v>281</v>
      </c>
      <c r="C190" s="1006" t="s">
        <v>87</v>
      </c>
      <c r="D190" s="1006"/>
      <c r="E190" s="1006"/>
      <c r="F190" s="1006"/>
      <c r="G190" s="1007" t="s">
        <v>88</v>
      </c>
      <c r="H190" s="1006"/>
      <c r="I190" s="1006"/>
      <c r="J190" s="1006"/>
      <c r="K190" s="1007" t="s">
        <v>89</v>
      </c>
      <c r="L190" s="1006"/>
      <c r="M190" s="1006"/>
      <c r="N190" s="1006"/>
      <c r="O190" s="1007" t="s">
        <v>90</v>
      </c>
      <c r="P190" s="1006"/>
      <c r="Q190" s="1006"/>
      <c r="R190" s="1006"/>
      <c r="S190" s="1007" t="s">
        <v>91</v>
      </c>
      <c r="T190" s="1006"/>
      <c r="U190" s="1006"/>
      <c r="V190" s="1006"/>
      <c r="W190" s="1008" t="s">
        <v>92</v>
      </c>
      <c r="X190" s="705"/>
      <c r="Y190" s="1006"/>
      <c r="Z190" s="1009"/>
      <c r="AA190" s="1008" t="s">
        <v>93</v>
      </c>
      <c r="AB190" s="705"/>
      <c r="AC190" s="1006"/>
      <c r="AD190" s="1009"/>
      <c r="AE190" s="1010" t="s">
        <v>94</v>
      </c>
      <c r="AF190" s="1006"/>
      <c r="AG190" s="1006"/>
      <c r="AH190" s="1006"/>
      <c r="AI190" s="706"/>
    </row>
    <row r="191" spans="1:35" ht="18" customHeight="1">
      <c r="A191" s="1"/>
      <c r="B191" s="1665">
        <v>3701</v>
      </c>
      <c r="C191" s="87" t="s">
        <v>282</v>
      </c>
      <c r="D191" s="87"/>
      <c r="E191" s="87"/>
      <c r="F191" s="87"/>
      <c r="G191" s="558" t="s">
        <v>283</v>
      </c>
      <c r="H191" s="87"/>
      <c r="I191" s="87"/>
      <c r="J191" s="87"/>
      <c r="K191" s="558" t="s">
        <v>283</v>
      </c>
      <c r="L191" s="87"/>
      <c r="M191" s="87"/>
      <c r="N191" s="87"/>
      <c r="O191" s="558" t="s">
        <v>283</v>
      </c>
      <c r="P191" s="87"/>
      <c r="Q191" s="87"/>
      <c r="R191" s="87"/>
      <c r="S191" s="558" t="s">
        <v>284</v>
      </c>
      <c r="T191" s="87"/>
      <c r="U191" s="87"/>
      <c r="V191" s="87"/>
      <c r="W191" s="2079"/>
      <c r="X191" s="2080"/>
      <c r="Y191" s="1865"/>
      <c r="Z191" s="2081"/>
      <c r="AA191" s="2079"/>
      <c r="AB191" s="2080"/>
      <c r="AC191" s="1865"/>
      <c r="AD191" s="2081"/>
      <c r="AE191" s="2004"/>
      <c r="AF191" s="1865"/>
      <c r="AG191" s="1865"/>
      <c r="AH191" s="1865"/>
      <c r="AI191" s="1802"/>
    </row>
    <row r="192" spans="1:35" ht="18" customHeight="1">
      <c r="A192" s="2082"/>
      <c r="B192" s="2078"/>
      <c r="C192" s="2083"/>
      <c r="D192" s="2066"/>
      <c r="E192" s="2066"/>
      <c r="F192" s="2084"/>
      <c r="G192" s="2083"/>
      <c r="H192" s="2066"/>
      <c r="I192" s="2066"/>
      <c r="J192" s="2084"/>
      <c r="K192" s="2083"/>
      <c r="L192" s="2066"/>
      <c r="M192" s="2066"/>
      <c r="N192" s="2084"/>
      <c r="O192" s="2083"/>
      <c r="P192" s="2066"/>
      <c r="Q192" s="2066"/>
      <c r="R192" s="2084"/>
      <c r="S192" s="2083"/>
      <c r="T192" s="2066"/>
      <c r="U192" s="2066"/>
      <c r="V192" s="2066"/>
      <c r="W192" s="2085"/>
      <c r="X192" s="2086"/>
      <c r="Y192" s="2087"/>
      <c r="Z192" s="2088"/>
      <c r="AA192" s="2085"/>
      <c r="AB192" s="2086"/>
      <c r="AC192" s="2087"/>
      <c r="AD192" s="2088"/>
      <c r="AE192" s="2089"/>
      <c r="AF192" s="2087"/>
      <c r="AG192" s="2087"/>
      <c r="AH192" s="2087"/>
      <c r="AI192" s="2090"/>
    </row>
    <row r="193" spans="1:35" ht="18" customHeight="1">
      <c r="A193" s="2091"/>
      <c r="B193" s="2092"/>
      <c r="C193" s="2093"/>
      <c r="D193" s="2066"/>
      <c r="E193" s="2066"/>
      <c r="F193" s="2084"/>
      <c r="G193" s="2093"/>
      <c r="H193" s="2066"/>
      <c r="I193" s="2066"/>
      <c r="J193" s="2084"/>
      <c r="K193" s="2093"/>
      <c r="L193" s="2066"/>
      <c r="M193" s="2066"/>
      <c r="N193" s="2084"/>
      <c r="O193" s="2093"/>
      <c r="P193" s="2066"/>
      <c r="Q193" s="2066"/>
      <c r="R193" s="2084"/>
      <c r="S193" s="2093"/>
      <c r="T193" s="2066"/>
      <c r="U193" s="2066"/>
      <c r="V193" s="2066"/>
      <c r="W193" s="2094"/>
      <c r="X193" s="2095"/>
      <c r="Y193" s="2096"/>
      <c r="Z193" s="2097"/>
      <c r="AA193" s="2094"/>
      <c r="AB193" s="2095"/>
      <c r="AC193" s="2096"/>
      <c r="AD193" s="2097"/>
      <c r="AE193" s="2098"/>
      <c r="AF193" s="2096"/>
      <c r="AG193" s="2096"/>
      <c r="AH193" s="2096"/>
      <c r="AI193" s="2099"/>
    </row>
    <row r="194" spans="1:35" ht="18" customHeight="1" thickBot="1">
      <c r="A194" s="2100"/>
      <c r="B194" s="2101"/>
      <c r="C194" s="2102"/>
      <c r="D194" s="2103"/>
      <c r="E194" s="2103"/>
      <c r="F194" s="2104"/>
      <c r="G194" s="2102"/>
      <c r="H194" s="2103"/>
      <c r="I194" s="2103"/>
      <c r="J194" s="2104"/>
      <c r="K194" s="2102"/>
      <c r="L194" s="2103"/>
      <c r="M194" s="2103"/>
      <c r="N194" s="2104"/>
      <c r="O194" s="2102"/>
      <c r="P194" s="2103"/>
      <c r="Q194" s="2103"/>
      <c r="R194" s="2104"/>
      <c r="S194" s="2102"/>
      <c r="T194" s="2103"/>
      <c r="U194" s="2103"/>
      <c r="V194" s="2103"/>
      <c r="W194" s="2105"/>
      <c r="X194" s="2106"/>
      <c r="Y194" s="2107"/>
      <c r="Z194" s="2108"/>
      <c r="AA194" s="2105"/>
      <c r="AB194" s="2106"/>
      <c r="AC194" s="2107"/>
      <c r="AD194" s="2108"/>
      <c r="AE194" s="2109"/>
      <c r="AF194" s="2110"/>
      <c r="AG194" s="2110"/>
      <c r="AH194" s="2110"/>
      <c r="AI194" s="2111"/>
    </row>
    <row r="195" spans="1:35" ht="18" customHeight="1">
      <c r="A195" s="1"/>
      <c r="B195" s="42"/>
      <c r="C195" s="87"/>
      <c r="D195" s="87"/>
      <c r="E195" s="87"/>
      <c r="F195" s="87"/>
      <c r="G195" s="87"/>
      <c r="H195" s="87"/>
      <c r="I195" s="87"/>
      <c r="J195" s="87"/>
      <c r="K195" s="87"/>
      <c r="L195" s="87"/>
      <c r="M195" s="87"/>
      <c r="N195" s="87"/>
      <c r="O195" s="87"/>
      <c r="P195" s="87"/>
      <c r="Q195" s="87"/>
      <c r="R195" s="87"/>
      <c r="S195" s="87"/>
      <c r="T195" s="87"/>
      <c r="U195" s="87"/>
      <c r="V195" s="87"/>
      <c r="W195" s="87"/>
      <c r="X195" s="37"/>
      <c r="Y195" s="87"/>
      <c r="Z195" s="87"/>
      <c r="AA195" s="87"/>
      <c r="AB195" s="37"/>
      <c r="AC195" s="87"/>
      <c r="AD195" s="87"/>
      <c r="AE195" s="37"/>
      <c r="AF195" s="87"/>
      <c r="AG195" s="87"/>
      <c r="AH195" s="87"/>
    </row>
    <row r="196" spans="1:35" ht="18" customHeight="1">
      <c r="AG196" s="87"/>
      <c r="AH196" s="87"/>
    </row>
    <row r="197" spans="1:35" ht="18" customHeight="1">
      <c r="B197" s="2092">
        <v>3700</v>
      </c>
      <c r="C197" s="2087" t="s">
        <v>181</v>
      </c>
      <c r="D197" s="2087"/>
      <c r="E197" s="2087"/>
      <c r="F197" s="2087"/>
      <c r="G197" s="2112" t="s">
        <v>181</v>
      </c>
      <c r="H197" s="2087"/>
      <c r="I197" s="2087"/>
      <c r="J197" s="2087"/>
      <c r="K197" s="2112" t="s">
        <v>181</v>
      </c>
      <c r="L197" s="2087"/>
      <c r="M197" s="2087"/>
      <c r="N197" s="2087"/>
      <c r="O197" s="2112" t="s">
        <v>181</v>
      </c>
      <c r="P197" s="2087"/>
      <c r="Q197" s="2087"/>
      <c r="R197" s="2087"/>
      <c r="S197" s="2112" t="s">
        <v>182</v>
      </c>
      <c r="T197" s="2087"/>
      <c r="U197" s="2087"/>
      <c r="V197" s="2087"/>
      <c r="W197" s="2087"/>
      <c r="X197" s="2112"/>
      <c r="Y197" s="2087"/>
      <c r="Z197" s="2113"/>
      <c r="AA197" s="2089"/>
      <c r="AB197" s="2087"/>
      <c r="AC197" s="2087"/>
      <c r="AD197" s="2114"/>
      <c r="AE197" s="2115"/>
      <c r="AF197" s="2087"/>
      <c r="AG197" s="2087"/>
      <c r="AH197" s="2114"/>
      <c r="AI197" s="2090"/>
    </row>
    <row r="198" spans="1:35" ht="18" customHeight="1">
      <c r="A198" s="1"/>
      <c r="B198" s="2078">
        <v>8514</v>
      </c>
      <c r="C198" s="1865" t="s">
        <v>283</v>
      </c>
      <c r="D198" s="1865"/>
      <c r="E198" s="1865"/>
      <c r="F198" s="1865"/>
      <c r="G198" s="2112" t="s">
        <v>283</v>
      </c>
      <c r="H198" s="1865"/>
      <c r="I198" s="1865"/>
      <c r="J198" s="1865"/>
      <c r="K198" s="2112" t="s">
        <v>283</v>
      </c>
      <c r="L198" s="1865"/>
      <c r="M198" s="1865"/>
      <c r="N198" s="1865"/>
      <c r="O198" s="2112" t="s">
        <v>283</v>
      </c>
      <c r="P198" s="1865"/>
      <c r="Q198" s="1865"/>
      <c r="R198" s="1865"/>
      <c r="S198" s="2112" t="s">
        <v>285</v>
      </c>
      <c r="T198" s="1865"/>
      <c r="U198" s="1865"/>
      <c r="V198" s="1865"/>
      <c r="W198" s="1865"/>
      <c r="X198" s="2112"/>
      <c r="Y198" s="1865"/>
      <c r="Z198" s="2006"/>
      <c r="AA198" s="1902"/>
      <c r="AB198" s="1865"/>
      <c r="AC198" s="1865"/>
      <c r="AD198" s="1903"/>
      <c r="AE198" s="1902"/>
      <c r="AF198" s="1865"/>
      <c r="AG198" s="1865"/>
      <c r="AH198" s="1903"/>
      <c r="AI198" s="1802"/>
    </row>
    <row r="199" spans="1:35" ht="18" customHeight="1">
      <c r="A199" s="1"/>
      <c r="B199" s="2078">
        <v>8500</v>
      </c>
      <c r="C199" s="101" t="s">
        <v>286</v>
      </c>
      <c r="D199" s="101"/>
      <c r="E199" s="101"/>
      <c r="F199" s="101"/>
      <c r="G199" s="102" t="s">
        <v>286</v>
      </c>
      <c r="H199" s="101"/>
      <c r="I199" s="101"/>
      <c r="J199" s="101"/>
      <c r="K199" s="102" t="s">
        <v>286</v>
      </c>
      <c r="L199" s="101"/>
      <c r="M199" s="101"/>
      <c r="N199" s="101"/>
      <c r="O199" s="102" t="s">
        <v>286</v>
      </c>
      <c r="P199" s="101"/>
      <c r="Q199" s="101"/>
      <c r="R199" s="101"/>
      <c r="S199" s="102" t="s">
        <v>287</v>
      </c>
      <c r="T199" s="101"/>
      <c r="U199" s="101"/>
      <c r="V199" s="101"/>
      <c r="W199" s="101"/>
      <c r="X199" s="102"/>
      <c r="Y199" s="101"/>
      <c r="Z199" s="103"/>
      <c r="AA199" s="104"/>
      <c r="AB199" s="101"/>
      <c r="AC199" s="101"/>
      <c r="AD199" s="103"/>
      <c r="AE199" s="104"/>
      <c r="AF199" s="101"/>
      <c r="AG199" s="101"/>
      <c r="AH199" s="41"/>
      <c r="AI199" s="105"/>
    </row>
    <row r="200" spans="1:35" ht="18" customHeight="1">
      <c r="A200" s="1"/>
      <c r="B200" s="2078">
        <v>8514</v>
      </c>
      <c r="C200" s="106" t="s">
        <v>283</v>
      </c>
      <c r="D200" s="106"/>
      <c r="E200" s="106"/>
      <c r="F200" s="106"/>
      <c r="G200" s="107" t="s">
        <v>283</v>
      </c>
      <c r="H200" s="106"/>
      <c r="I200" s="106"/>
      <c r="J200" s="106"/>
      <c r="K200" s="107" t="s">
        <v>283</v>
      </c>
      <c r="L200" s="106"/>
      <c r="M200" s="106"/>
      <c r="N200" s="106"/>
      <c r="O200" s="107" t="s">
        <v>283</v>
      </c>
      <c r="P200" s="106"/>
      <c r="Q200" s="106"/>
      <c r="R200" s="106"/>
      <c r="S200" s="107" t="s">
        <v>285</v>
      </c>
      <c r="T200" s="106"/>
      <c r="U200" s="106"/>
      <c r="V200" s="106"/>
      <c r="W200" s="106"/>
      <c r="X200" s="108"/>
      <c r="Y200" s="101"/>
      <c r="Z200" s="109"/>
      <c r="AA200" s="110"/>
      <c r="AB200" s="111"/>
      <c r="AC200" s="101"/>
      <c r="AD200" s="101"/>
      <c r="AE200" s="112"/>
      <c r="AF200" s="101"/>
      <c r="AG200" s="101"/>
      <c r="AH200" s="101"/>
      <c r="AI200" s="105"/>
    </row>
    <row r="201" spans="1:35" ht="18" customHeight="1" thickBot="1">
      <c r="A201" s="1"/>
      <c r="B201" s="2116" t="s">
        <v>288</v>
      </c>
      <c r="C201" s="1871" t="s">
        <v>289</v>
      </c>
      <c r="D201" s="1871"/>
      <c r="E201" s="1871"/>
      <c r="F201" s="1871"/>
      <c r="G201" s="2117" t="s">
        <v>289</v>
      </c>
      <c r="H201" s="1871"/>
      <c r="I201" s="1871"/>
      <c r="J201" s="1871"/>
      <c r="K201" s="2118" t="s">
        <v>289</v>
      </c>
      <c r="L201" s="1871"/>
      <c r="M201" s="1871"/>
      <c r="N201" s="1871"/>
      <c r="O201" s="2117" t="s">
        <v>289</v>
      </c>
      <c r="P201" s="1871"/>
      <c r="Q201" s="1871"/>
      <c r="R201" s="1871"/>
      <c r="S201" s="2117" t="s">
        <v>290</v>
      </c>
      <c r="T201" s="1871"/>
      <c r="U201" s="1871"/>
      <c r="V201" s="1871"/>
      <c r="W201" s="1871"/>
      <c r="X201" s="2117"/>
      <c r="Y201" s="1871"/>
      <c r="Z201" s="2041"/>
      <c r="AA201" s="2017"/>
      <c r="AB201" s="1871"/>
      <c r="AC201" s="1871"/>
      <c r="AD201" s="2024"/>
      <c r="AE201" s="2119"/>
      <c r="AF201" s="1871"/>
      <c r="AG201" s="1871"/>
      <c r="AH201" s="2024"/>
      <c r="AI201" s="1874"/>
    </row>
    <row r="202" spans="1:35" ht="18" customHeight="1">
      <c r="A202" s="1"/>
      <c r="B202" s="113"/>
      <c r="C202" s="37"/>
      <c r="D202" s="87"/>
      <c r="E202" s="87"/>
      <c r="F202" s="22"/>
      <c r="G202" s="37"/>
      <c r="H202" s="87"/>
      <c r="I202" s="87"/>
      <c r="J202" s="22"/>
      <c r="K202" s="37"/>
      <c r="L202" s="87"/>
      <c r="M202" s="87"/>
      <c r="N202" s="22"/>
      <c r="O202" s="37"/>
      <c r="P202" s="87"/>
      <c r="Q202" s="87"/>
      <c r="R202" s="22"/>
      <c r="S202" s="37"/>
      <c r="T202" s="87"/>
      <c r="U202" s="87"/>
      <c r="V202" s="22"/>
      <c r="W202" s="22"/>
      <c r="Z202" s="22"/>
      <c r="AA202" s="22"/>
      <c r="AD202" s="22"/>
      <c r="AE202" s="22"/>
      <c r="AH202" s="22"/>
    </row>
    <row r="203" spans="1:35" ht="18" customHeight="1">
      <c r="A203" s="1" t="s">
        <v>291</v>
      </c>
      <c r="B203" s="113"/>
      <c r="C203" s="37"/>
      <c r="D203" s="87"/>
      <c r="E203" s="87"/>
      <c r="F203" s="22"/>
      <c r="G203" s="37"/>
      <c r="H203" s="87"/>
      <c r="I203" s="87"/>
      <c r="J203" s="22"/>
      <c r="K203" s="37"/>
      <c r="L203" s="87"/>
      <c r="M203" s="87"/>
      <c r="N203" s="22"/>
      <c r="O203" s="37"/>
      <c r="P203" s="87"/>
      <c r="Q203" s="87"/>
      <c r="R203" s="22"/>
      <c r="S203" s="37"/>
      <c r="T203" s="87"/>
      <c r="U203" s="87"/>
      <c r="V203" s="22"/>
      <c r="W203" s="22"/>
      <c r="Z203" s="22"/>
      <c r="AA203" s="22"/>
      <c r="AD203" s="22"/>
      <c r="AE203" s="22"/>
      <c r="AH203" s="22"/>
    </row>
    <row r="204" spans="1:35" ht="18" customHeight="1" thickBot="1">
      <c r="A204" s="2120"/>
      <c r="B204" s="2121" t="s">
        <v>29</v>
      </c>
      <c r="C204" s="2122">
        <v>1</v>
      </c>
      <c r="D204" s="2123">
        <v>2</v>
      </c>
      <c r="E204" s="2123">
        <v>3</v>
      </c>
      <c r="F204" s="2123">
        <v>4</v>
      </c>
      <c r="G204" s="2123">
        <v>5</v>
      </c>
      <c r="H204" s="2123">
        <v>6</v>
      </c>
      <c r="I204" s="2122">
        <v>7</v>
      </c>
      <c r="J204" s="2122">
        <v>8</v>
      </c>
      <c r="K204" s="2123">
        <v>9</v>
      </c>
      <c r="L204" s="2123">
        <v>10</v>
      </c>
      <c r="M204" s="2123">
        <v>11</v>
      </c>
      <c r="N204" s="2123">
        <v>12</v>
      </c>
      <c r="O204" s="2123">
        <v>13</v>
      </c>
      <c r="P204" s="2122">
        <v>14</v>
      </c>
      <c r="Q204" s="2122">
        <v>15</v>
      </c>
      <c r="R204" s="2123">
        <v>16</v>
      </c>
      <c r="S204" s="2123">
        <v>17</v>
      </c>
      <c r="T204" s="2123">
        <v>18</v>
      </c>
      <c r="U204" s="2123">
        <v>19</v>
      </c>
      <c r="V204" s="2123">
        <v>20</v>
      </c>
      <c r="W204" s="2122">
        <v>21</v>
      </c>
      <c r="X204" s="2122">
        <v>22</v>
      </c>
      <c r="Y204" s="2123">
        <v>23</v>
      </c>
      <c r="Z204" s="2123">
        <v>24</v>
      </c>
      <c r="AA204" s="2123">
        <v>25</v>
      </c>
      <c r="AB204" s="2123">
        <v>26</v>
      </c>
      <c r="AC204" s="2123">
        <v>27</v>
      </c>
      <c r="AD204" s="2122">
        <v>28</v>
      </c>
      <c r="AE204" s="2122">
        <v>29</v>
      </c>
      <c r="AF204" s="2123">
        <v>30</v>
      </c>
      <c r="AG204" s="2124"/>
      <c r="AH204" s="23"/>
      <c r="AI204" s="24"/>
    </row>
    <row r="205" spans="1:35" ht="18" customHeight="1">
      <c r="A205" s="1029"/>
      <c r="B205" s="1030" t="s">
        <v>292</v>
      </c>
      <c r="C205" s="1839"/>
      <c r="D205" s="1031" t="s">
        <v>31</v>
      </c>
      <c r="E205" s="1839" t="s">
        <v>31</v>
      </c>
      <c r="F205" s="1839" t="s">
        <v>31</v>
      </c>
      <c r="G205" s="1839" t="s">
        <v>31</v>
      </c>
      <c r="H205" s="1839" t="s">
        <v>31</v>
      </c>
      <c r="I205" s="1839"/>
      <c r="J205" s="1839"/>
      <c r="K205" s="1839" t="s">
        <v>31</v>
      </c>
      <c r="L205" s="1839" t="s">
        <v>31</v>
      </c>
      <c r="M205" s="1839" t="s">
        <v>31</v>
      </c>
      <c r="N205" s="1839" t="s">
        <v>31</v>
      </c>
      <c r="O205" s="1839" t="s">
        <v>31</v>
      </c>
      <c r="P205" s="1839"/>
      <c r="Q205" s="1839"/>
      <c r="R205" s="1839" t="s">
        <v>31</v>
      </c>
      <c r="S205" s="1839" t="s">
        <v>31</v>
      </c>
      <c r="T205" s="1839" t="s">
        <v>31</v>
      </c>
      <c r="U205" s="1839" t="s">
        <v>31</v>
      </c>
      <c r="V205" s="1839" t="s">
        <v>31</v>
      </c>
      <c r="W205" s="1839"/>
      <c r="X205" s="1839"/>
      <c r="Y205" s="1839" t="s">
        <v>31</v>
      </c>
      <c r="Z205" s="1839" t="s">
        <v>31</v>
      </c>
      <c r="AA205" s="1839" t="s">
        <v>31</v>
      </c>
      <c r="AB205" s="1839" t="s">
        <v>31</v>
      </c>
      <c r="AC205" s="1839" t="s">
        <v>31</v>
      </c>
      <c r="AD205" s="1839"/>
      <c r="AE205" s="1839"/>
      <c r="AF205" s="1839" t="s">
        <v>31</v>
      </c>
      <c r="AG205" s="397"/>
      <c r="AH205" s="23"/>
      <c r="AI205" s="24"/>
    </row>
    <row r="206" spans="1:35" ht="18" customHeight="1">
      <c r="A206" s="2125"/>
      <c r="B206" s="2126" t="s">
        <v>293</v>
      </c>
      <c r="C206" s="1744"/>
      <c r="D206" s="1694" t="s">
        <v>31</v>
      </c>
      <c r="E206" s="1744" t="s">
        <v>31</v>
      </c>
      <c r="F206" s="1744" t="s">
        <v>31</v>
      </c>
      <c r="G206" s="1744" t="s">
        <v>31</v>
      </c>
      <c r="H206" s="1744" t="s">
        <v>31</v>
      </c>
      <c r="I206" s="1744"/>
      <c r="J206" s="1744"/>
      <c r="K206" s="1744" t="s">
        <v>31</v>
      </c>
      <c r="L206" s="1744" t="s">
        <v>31</v>
      </c>
      <c r="M206" s="1744" t="s">
        <v>31</v>
      </c>
      <c r="N206" s="1744" t="s">
        <v>31</v>
      </c>
      <c r="O206" s="1744" t="s">
        <v>31</v>
      </c>
      <c r="P206" s="1744"/>
      <c r="Q206" s="1744"/>
      <c r="R206" s="1744" t="s">
        <v>31</v>
      </c>
      <c r="S206" s="1744" t="s">
        <v>31</v>
      </c>
      <c r="T206" s="1744" t="s">
        <v>31</v>
      </c>
      <c r="U206" s="1744" t="s">
        <v>31</v>
      </c>
      <c r="V206" s="1744" t="s">
        <v>31</v>
      </c>
      <c r="W206" s="1744"/>
      <c r="X206" s="1744"/>
      <c r="Y206" s="1744" t="s">
        <v>31</v>
      </c>
      <c r="Z206" s="1744" t="s">
        <v>31</v>
      </c>
      <c r="AA206" s="1744" t="s">
        <v>31</v>
      </c>
      <c r="AB206" s="1744" t="s">
        <v>31</v>
      </c>
      <c r="AC206" s="1744" t="s">
        <v>31</v>
      </c>
      <c r="AD206" s="1744"/>
      <c r="AE206" s="1744"/>
      <c r="AF206" s="1744" t="s">
        <v>31</v>
      </c>
      <c r="AG206" s="1695"/>
      <c r="AH206" s="23"/>
      <c r="AI206" s="24"/>
    </row>
    <row r="207" spans="1:35" ht="18" customHeight="1">
      <c r="A207" s="2127">
        <v>8514</v>
      </c>
      <c r="B207" s="1878" t="s">
        <v>393</v>
      </c>
      <c r="C207" s="1744"/>
      <c r="D207" s="1694" t="s">
        <v>31</v>
      </c>
      <c r="E207" s="1744" t="s">
        <v>31</v>
      </c>
      <c r="F207" s="1744" t="s">
        <v>31</v>
      </c>
      <c r="G207" s="1744" t="s">
        <v>31</v>
      </c>
      <c r="H207" s="1744" t="s">
        <v>31</v>
      </c>
      <c r="I207" s="1744"/>
      <c r="J207" s="1744"/>
      <c r="K207" s="1744" t="s">
        <v>31</v>
      </c>
      <c r="L207" s="1744" t="s">
        <v>31</v>
      </c>
      <c r="M207" s="1744" t="s">
        <v>31</v>
      </c>
      <c r="N207" s="1744" t="s">
        <v>31</v>
      </c>
      <c r="O207" s="1744" t="s">
        <v>31</v>
      </c>
      <c r="P207" s="1744"/>
      <c r="Q207" s="1744"/>
      <c r="R207" s="1744" t="s">
        <v>31</v>
      </c>
      <c r="S207" s="1744" t="s">
        <v>31</v>
      </c>
      <c r="T207" s="1744" t="s">
        <v>31</v>
      </c>
      <c r="U207" s="1744" t="s">
        <v>31</v>
      </c>
      <c r="V207" s="1744" t="s">
        <v>31</v>
      </c>
      <c r="W207" s="1744"/>
      <c r="X207" s="1744"/>
      <c r="Y207" s="1744" t="s">
        <v>31</v>
      </c>
      <c r="Z207" s="1744" t="s">
        <v>31</v>
      </c>
      <c r="AA207" s="1744" t="s">
        <v>31</v>
      </c>
      <c r="AB207" s="1744" t="s">
        <v>31</v>
      </c>
      <c r="AC207" s="1744" t="s">
        <v>31</v>
      </c>
      <c r="AD207" s="1744"/>
      <c r="AE207" s="1744"/>
      <c r="AF207" s="1744" t="s">
        <v>31</v>
      </c>
      <c r="AG207" s="1695"/>
      <c r="AH207" s="34"/>
      <c r="AI207" s="25"/>
    </row>
    <row r="208" spans="1:35" ht="18" customHeight="1">
      <c r="A208" s="2127">
        <v>3701</v>
      </c>
      <c r="B208" s="1878" t="s">
        <v>295</v>
      </c>
      <c r="C208" s="1744"/>
      <c r="D208" s="2128" t="s">
        <v>31</v>
      </c>
      <c r="E208" s="1744" t="s">
        <v>31</v>
      </c>
      <c r="F208" s="1744" t="s">
        <v>31</v>
      </c>
      <c r="G208" s="1744" t="s">
        <v>31</v>
      </c>
      <c r="H208" s="1697" t="s">
        <v>31</v>
      </c>
      <c r="I208" s="1744"/>
      <c r="J208" s="1744"/>
      <c r="K208" s="1744" t="s">
        <v>31</v>
      </c>
      <c r="L208" s="1744" t="s">
        <v>31</v>
      </c>
      <c r="M208" s="1744" t="s">
        <v>31</v>
      </c>
      <c r="N208" s="1744" t="s">
        <v>31</v>
      </c>
      <c r="O208" s="1744" t="s">
        <v>31</v>
      </c>
      <c r="P208" s="1744"/>
      <c r="Q208" s="1744"/>
      <c r="R208" s="1744" t="s">
        <v>31</v>
      </c>
      <c r="S208" s="1744" t="s">
        <v>31</v>
      </c>
      <c r="T208" s="1744" t="s">
        <v>31</v>
      </c>
      <c r="U208" s="1744" t="s">
        <v>31</v>
      </c>
      <c r="V208" s="1744" t="s">
        <v>31</v>
      </c>
      <c r="W208" s="1744"/>
      <c r="X208" s="1744"/>
      <c r="Y208" s="1744" t="s">
        <v>31</v>
      </c>
      <c r="Z208" s="1744" t="s">
        <v>31</v>
      </c>
      <c r="AA208" s="1744" t="s">
        <v>31</v>
      </c>
      <c r="AB208" s="1744" t="s">
        <v>31</v>
      </c>
      <c r="AC208" s="1744" t="s">
        <v>31</v>
      </c>
      <c r="AD208" s="1744"/>
      <c r="AE208" s="1744"/>
      <c r="AF208" s="1744" t="s">
        <v>31</v>
      </c>
      <c r="AG208" s="1695"/>
      <c r="AH208" s="34"/>
      <c r="AI208" s="25"/>
    </row>
    <row r="209" spans="1:35" ht="18" customHeight="1">
      <c r="A209" s="2127">
        <v>3701</v>
      </c>
      <c r="B209" s="1878" t="s">
        <v>296</v>
      </c>
      <c r="C209" s="1744"/>
      <c r="D209" s="1744" t="s">
        <v>31</v>
      </c>
      <c r="E209" s="1744" t="s">
        <v>31</v>
      </c>
      <c r="F209" s="1744" t="s">
        <v>31</v>
      </c>
      <c r="G209" s="1744" t="s">
        <v>31</v>
      </c>
      <c r="H209" s="1744" t="s">
        <v>31</v>
      </c>
      <c r="I209" s="1744"/>
      <c r="J209" s="1744"/>
      <c r="K209" s="1744">
        <v>19</v>
      </c>
      <c r="L209" s="1744">
        <v>19</v>
      </c>
      <c r="M209" s="1744">
        <v>19</v>
      </c>
      <c r="N209" s="1744">
        <v>19</v>
      </c>
      <c r="O209" s="1744">
        <v>19</v>
      </c>
      <c r="P209" s="1744"/>
      <c r="Q209" s="1744"/>
      <c r="R209" s="1744" t="s">
        <v>31</v>
      </c>
      <c r="S209" s="1744" t="s">
        <v>31</v>
      </c>
      <c r="T209" s="1744" t="s">
        <v>31</v>
      </c>
      <c r="U209" s="1744" t="s">
        <v>31</v>
      </c>
      <c r="V209" s="1744" t="s">
        <v>31</v>
      </c>
      <c r="W209" s="1744"/>
      <c r="X209" s="1744"/>
      <c r="Y209" s="1744" t="s">
        <v>31</v>
      </c>
      <c r="Z209" s="1744" t="s">
        <v>31</v>
      </c>
      <c r="AA209" s="1744" t="s">
        <v>31</v>
      </c>
      <c r="AB209" s="1744" t="s">
        <v>31</v>
      </c>
      <c r="AC209" s="1744" t="s">
        <v>31</v>
      </c>
      <c r="AD209" s="1744"/>
      <c r="AE209" s="1744"/>
      <c r="AF209" s="1744" t="s">
        <v>31</v>
      </c>
      <c r="AG209" s="1695"/>
      <c r="AH209" s="34"/>
      <c r="AI209" s="25"/>
    </row>
    <row r="210" spans="1:35" ht="18" customHeight="1">
      <c r="A210" s="2127">
        <v>3701</v>
      </c>
      <c r="B210" s="1878" t="s">
        <v>297</v>
      </c>
      <c r="C210" s="1744"/>
      <c r="D210" s="1699" t="s">
        <v>31</v>
      </c>
      <c r="E210" s="1699" t="s">
        <v>31</v>
      </c>
      <c r="F210" s="1744" t="s">
        <v>31</v>
      </c>
      <c r="G210" s="1744" t="s">
        <v>31</v>
      </c>
      <c r="H210" s="1744" t="s">
        <v>31</v>
      </c>
      <c r="I210" s="1744"/>
      <c r="J210" s="1744"/>
      <c r="K210" s="1744" t="s">
        <v>31</v>
      </c>
      <c r="L210" s="1697" t="s">
        <v>31</v>
      </c>
      <c r="M210" s="1744" t="s">
        <v>31</v>
      </c>
      <c r="N210" s="1744" t="s">
        <v>31</v>
      </c>
      <c r="O210" s="1744" t="s">
        <v>31</v>
      </c>
      <c r="P210" s="1744"/>
      <c r="Q210" s="1744"/>
      <c r="R210" s="1744" t="s">
        <v>31</v>
      </c>
      <c r="S210" s="1744" t="s">
        <v>31</v>
      </c>
      <c r="T210" s="1744" t="s">
        <v>31</v>
      </c>
      <c r="U210" s="1744" t="s">
        <v>31</v>
      </c>
      <c r="V210" s="1744" t="s">
        <v>31</v>
      </c>
      <c r="W210" s="1744"/>
      <c r="X210" s="1744"/>
      <c r="Y210" s="1744" t="s">
        <v>31</v>
      </c>
      <c r="Z210" s="1744" t="s">
        <v>31</v>
      </c>
      <c r="AA210" s="1744" t="s">
        <v>31</v>
      </c>
      <c r="AB210" s="1744" t="s">
        <v>31</v>
      </c>
      <c r="AC210" s="1854" t="s">
        <v>31</v>
      </c>
      <c r="AD210" s="1744"/>
      <c r="AE210" s="1744"/>
      <c r="AF210" s="1744">
        <v>19</v>
      </c>
      <c r="AG210" s="1695"/>
      <c r="AH210" s="34"/>
      <c r="AI210" s="25"/>
    </row>
    <row r="211" spans="1:35" ht="18" customHeight="1">
      <c r="A211" s="2127">
        <v>3701</v>
      </c>
      <c r="B211" s="1878" t="s">
        <v>298</v>
      </c>
      <c r="C211" s="1744"/>
      <c r="D211" s="1744">
        <v>19</v>
      </c>
      <c r="E211" s="1744">
        <v>19</v>
      </c>
      <c r="F211" s="1744">
        <v>19</v>
      </c>
      <c r="G211" s="1744">
        <v>19</v>
      </c>
      <c r="H211" s="1744">
        <v>19</v>
      </c>
      <c r="I211" s="1744"/>
      <c r="J211" s="1744"/>
      <c r="K211" s="1744" t="s">
        <v>31</v>
      </c>
      <c r="L211" s="1744" t="s">
        <v>31</v>
      </c>
      <c r="M211" s="1744" t="s">
        <v>31</v>
      </c>
      <c r="N211" s="1744" t="s">
        <v>31</v>
      </c>
      <c r="O211" s="1744" t="s">
        <v>31</v>
      </c>
      <c r="P211" s="1744"/>
      <c r="Q211" s="1744"/>
      <c r="R211" s="2129" t="s">
        <v>31</v>
      </c>
      <c r="S211" s="2129" t="s">
        <v>31</v>
      </c>
      <c r="T211" s="2129" t="s">
        <v>31</v>
      </c>
      <c r="U211" s="2129" t="s">
        <v>31</v>
      </c>
      <c r="V211" s="2129" t="s">
        <v>31</v>
      </c>
      <c r="W211" s="2129"/>
      <c r="X211" s="2129"/>
      <c r="Y211" s="2129" t="s">
        <v>31</v>
      </c>
      <c r="Z211" s="2129" t="s">
        <v>31</v>
      </c>
      <c r="AA211" s="2129" t="s">
        <v>31</v>
      </c>
      <c r="AB211" s="2129" t="s">
        <v>31</v>
      </c>
      <c r="AC211" s="2129" t="s">
        <v>31</v>
      </c>
      <c r="AD211" s="2129"/>
      <c r="AE211" s="2129"/>
      <c r="AF211" s="2129" t="s">
        <v>31</v>
      </c>
      <c r="AG211" s="2130"/>
      <c r="AH211" s="34"/>
      <c r="AI211" s="25"/>
    </row>
    <row r="212" spans="1:35" ht="18" customHeight="1">
      <c r="A212" s="2127">
        <v>3701</v>
      </c>
      <c r="B212" s="1878" t="s">
        <v>299</v>
      </c>
      <c r="C212" s="1744"/>
      <c r="D212" s="1744" t="s">
        <v>31</v>
      </c>
      <c r="E212" s="1744" t="s">
        <v>31</v>
      </c>
      <c r="F212" s="1744" t="s">
        <v>31</v>
      </c>
      <c r="G212" s="1744" t="s">
        <v>31</v>
      </c>
      <c r="H212" s="1744" t="s">
        <v>31</v>
      </c>
      <c r="I212" s="1744"/>
      <c r="J212" s="1744"/>
      <c r="K212" s="1744" t="s">
        <v>31</v>
      </c>
      <c r="L212" s="1744" t="s">
        <v>31</v>
      </c>
      <c r="M212" s="1744" t="s">
        <v>31</v>
      </c>
      <c r="N212" s="1744" t="s">
        <v>31</v>
      </c>
      <c r="O212" s="1744" t="s">
        <v>31</v>
      </c>
      <c r="P212" s="1744"/>
      <c r="Q212" s="1744"/>
      <c r="R212" s="1854" t="s">
        <v>31</v>
      </c>
      <c r="S212" s="1854" t="s">
        <v>31</v>
      </c>
      <c r="T212" s="1854" t="s">
        <v>31</v>
      </c>
      <c r="U212" s="1744" t="s">
        <v>31</v>
      </c>
      <c r="V212" s="1744" t="s">
        <v>31</v>
      </c>
      <c r="W212" s="1744"/>
      <c r="X212" s="1744"/>
      <c r="Y212" s="1744" t="s">
        <v>31</v>
      </c>
      <c r="Z212" s="1744" t="s">
        <v>31</v>
      </c>
      <c r="AA212" s="1744" t="s">
        <v>31</v>
      </c>
      <c r="AB212" s="1744" t="s">
        <v>31</v>
      </c>
      <c r="AC212" s="1744" t="s">
        <v>31</v>
      </c>
      <c r="AD212" s="1744"/>
      <c r="AE212" s="1744"/>
      <c r="AF212" s="1846" t="s">
        <v>31</v>
      </c>
      <c r="AG212" s="2131"/>
      <c r="AH212" s="34"/>
      <c r="AI212" s="25"/>
    </row>
    <row r="213" spans="1:35" ht="18" customHeight="1">
      <c r="A213" s="2127">
        <v>3701</v>
      </c>
      <c r="B213" s="1878" t="s">
        <v>300</v>
      </c>
      <c r="C213" s="1744"/>
      <c r="D213" s="1744" t="s">
        <v>31</v>
      </c>
      <c r="E213" s="1744" t="s">
        <v>31</v>
      </c>
      <c r="F213" s="1744" t="s">
        <v>31</v>
      </c>
      <c r="G213" s="1919" t="s">
        <v>336</v>
      </c>
      <c r="H213" s="1712" t="s">
        <v>31</v>
      </c>
      <c r="I213" s="1744"/>
      <c r="J213" s="1744"/>
      <c r="K213" s="1744" t="s">
        <v>31</v>
      </c>
      <c r="L213" s="1744" t="s">
        <v>31</v>
      </c>
      <c r="M213" s="1744" t="s">
        <v>31</v>
      </c>
      <c r="N213" s="1744" t="s">
        <v>31</v>
      </c>
      <c r="O213" s="1744" t="s">
        <v>31</v>
      </c>
      <c r="P213" s="1744"/>
      <c r="Q213" s="1744"/>
      <c r="R213" s="1744">
        <v>19</v>
      </c>
      <c r="S213" s="1744">
        <v>19</v>
      </c>
      <c r="T213" s="1744">
        <v>19</v>
      </c>
      <c r="U213" s="1744">
        <v>19</v>
      </c>
      <c r="V213" s="1744">
        <v>19</v>
      </c>
      <c r="W213" s="1744"/>
      <c r="X213" s="1744"/>
      <c r="Y213" s="1744" t="s">
        <v>31</v>
      </c>
      <c r="Z213" s="1744" t="s">
        <v>31</v>
      </c>
      <c r="AA213" s="1744" t="s">
        <v>31</v>
      </c>
      <c r="AB213" s="1744" t="s">
        <v>31</v>
      </c>
      <c r="AC213" s="1744" t="s">
        <v>31</v>
      </c>
      <c r="AD213" s="1744"/>
      <c r="AE213" s="1744"/>
      <c r="AF213" s="1744" t="s">
        <v>31</v>
      </c>
      <c r="AG213" s="1695"/>
      <c r="AH213" s="34"/>
      <c r="AI213" s="25"/>
    </row>
    <row r="214" spans="1:35" ht="18" customHeight="1">
      <c r="A214" s="2127">
        <v>3701</v>
      </c>
      <c r="B214" s="1878" t="s">
        <v>301</v>
      </c>
      <c r="C214" s="1744"/>
      <c r="D214" s="1744" t="s">
        <v>31</v>
      </c>
      <c r="E214" s="1744" t="s">
        <v>31</v>
      </c>
      <c r="F214" s="1744" t="s">
        <v>31</v>
      </c>
      <c r="G214" s="1744" t="s">
        <v>31</v>
      </c>
      <c r="H214" s="1744" t="s">
        <v>31</v>
      </c>
      <c r="I214" s="1744"/>
      <c r="J214" s="1749"/>
      <c r="K214" s="1749" t="s">
        <v>31</v>
      </c>
      <c r="L214" s="1744" t="s">
        <v>31</v>
      </c>
      <c r="M214" s="1744" t="s">
        <v>31</v>
      </c>
      <c r="N214" s="1744" t="s">
        <v>31</v>
      </c>
      <c r="O214" s="1744" t="s">
        <v>31</v>
      </c>
      <c r="P214" s="1744"/>
      <c r="Q214" s="1744"/>
      <c r="R214" s="1744" t="s">
        <v>31</v>
      </c>
      <c r="S214" s="1744" t="s">
        <v>31</v>
      </c>
      <c r="T214" s="1744" t="s">
        <v>31</v>
      </c>
      <c r="U214" s="1744" t="s">
        <v>31</v>
      </c>
      <c r="V214" s="1744" t="s">
        <v>31</v>
      </c>
      <c r="W214" s="1744"/>
      <c r="X214" s="1744"/>
      <c r="Y214" s="1744">
        <v>19</v>
      </c>
      <c r="Z214" s="1744">
        <v>19</v>
      </c>
      <c r="AA214" s="1744">
        <v>19</v>
      </c>
      <c r="AB214" s="1744">
        <v>19</v>
      </c>
      <c r="AC214" s="1744">
        <v>19</v>
      </c>
      <c r="AD214" s="1744"/>
      <c r="AE214" s="1744"/>
      <c r="AF214" s="1744" t="s">
        <v>31</v>
      </c>
      <c r="AG214" s="1695"/>
      <c r="AH214" s="34"/>
      <c r="AI214" s="25"/>
    </row>
    <row r="215" spans="1:35" ht="18" customHeight="1">
      <c r="A215" s="2132">
        <v>3701</v>
      </c>
      <c r="B215" s="1878" t="s">
        <v>302</v>
      </c>
      <c r="C215" s="1744"/>
      <c r="D215" s="1744" t="s">
        <v>31</v>
      </c>
      <c r="E215" s="1744" t="s">
        <v>31</v>
      </c>
      <c r="F215" s="1744" t="s">
        <v>31</v>
      </c>
      <c r="G215" s="1744" t="s">
        <v>31</v>
      </c>
      <c r="H215" s="1744" t="s">
        <v>31</v>
      </c>
      <c r="I215" s="1744"/>
      <c r="J215" s="1744"/>
      <c r="K215" s="1744" t="s">
        <v>31</v>
      </c>
      <c r="L215" s="1744" t="s">
        <v>31</v>
      </c>
      <c r="M215" s="2133" t="s">
        <v>31</v>
      </c>
      <c r="N215" s="2133" t="s">
        <v>31</v>
      </c>
      <c r="O215" s="1744" t="s">
        <v>31</v>
      </c>
      <c r="P215" s="1744"/>
      <c r="Q215" s="1744"/>
      <c r="R215" s="1744" t="s">
        <v>31</v>
      </c>
      <c r="S215" s="1854" t="s">
        <v>31</v>
      </c>
      <c r="T215" s="1854" t="s">
        <v>31</v>
      </c>
      <c r="U215" s="1854" t="s">
        <v>31</v>
      </c>
      <c r="V215" s="1854" t="s">
        <v>31</v>
      </c>
      <c r="W215" s="1744"/>
      <c r="X215" s="1744"/>
      <c r="Y215" s="1744" t="s">
        <v>31</v>
      </c>
      <c r="Z215" s="1744" t="s">
        <v>31</v>
      </c>
      <c r="AA215" s="1744" t="s">
        <v>31</v>
      </c>
      <c r="AB215" s="1744" t="s">
        <v>31</v>
      </c>
      <c r="AC215" s="1744" t="s">
        <v>31</v>
      </c>
      <c r="AD215" s="1744"/>
      <c r="AE215" s="1744"/>
      <c r="AF215" s="1744" t="s">
        <v>31</v>
      </c>
      <c r="AG215" s="1695"/>
      <c r="AH215" s="34"/>
      <c r="AI215" s="25"/>
    </row>
    <row r="216" spans="1:35" ht="18" customHeight="1">
      <c r="A216" s="2127">
        <v>3701</v>
      </c>
      <c r="B216" s="1878" t="s">
        <v>303</v>
      </c>
      <c r="C216" s="1744"/>
      <c r="D216" s="1744" t="s">
        <v>31</v>
      </c>
      <c r="E216" s="1744" t="s">
        <v>31</v>
      </c>
      <c r="F216" s="1744" t="s">
        <v>31</v>
      </c>
      <c r="G216" s="1744" t="s">
        <v>31</v>
      </c>
      <c r="H216" s="1744" t="s">
        <v>31</v>
      </c>
      <c r="I216" s="1744"/>
      <c r="J216" s="1744"/>
      <c r="K216" s="1744" t="s">
        <v>31</v>
      </c>
      <c r="L216" s="1744" t="s">
        <v>31</v>
      </c>
      <c r="M216" s="1744" t="s">
        <v>31</v>
      </c>
      <c r="N216" s="1744" t="s">
        <v>31</v>
      </c>
      <c r="O216" s="1744" t="s">
        <v>31</v>
      </c>
      <c r="P216" s="1744"/>
      <c r="Q216" s="1744"/>
      <c r="R216" s="2134" t="s">
        <v>31</v>
      </c>
      <c r="S216" s="2134" t="s">
        <v>31</v>
      </c>
      <c r="T216" s="2134" t="s">
        <v>31</v>
      </c>
      <c r="U216" s="2134" t="s">
        <v>31</v>
      </c>
      <c r="V216" s="1846" t="s">
        <v>31</v>
      </c>
      <c r="W216" s="1699"/>
      <c r="X216" s="1699"/>
      <c r="Y216" s="1846" t="s">
        <v>31</v>
      </c>
      <c r="Z216" s="1846" t="s">
        <v>31</v>
      </c>
      <c r="AA216" s="1846" t="s">
        <v>31</v>
      </c>
      <c r="AB216" s="1846" t="s">
        <v>31</v>
      </c>
      <c r="AC216" s="1846" t="s">
        <v>31</v>
      </c>
      <c r="AD216" s="1846"/>
      <c r="AE216" s="1846"/>
      <c r="AF216" s="1846" t="s">
        <v>31</v>
      </c>
      <c r="AG216" s="1703"/>
      <c r="AH216" s="34"/>
      <c r="AI216" s="25"/>
    </row>
    <row r="217" spans="1:35" ht="18" customHeight="1">
      <c r="A217" s="2127">
        <v>3701</v>
      </c>
      <c r="B217" s="1878" t="s">
        <v>305</v>
      </c>
      <c r="C217" s="1704"/>
      <c r="D217" s="1846" t="s">
        <v>31</v>
      </c>
      <c r="E217" s="1846" t="s">
        <v>31</v>
      </c>
      <c r="F217" s="1846" t="s">
        <v>31</v>
      </c>
      <c r="G217" s="1846" t="s">
        <v>31</v>
      </c>
      <c r="H217" s="1846" t="s">
        <v>31</v>
      </c>
      <c r="I217" s="1846"/>
      <c r="J217" s="1846"/>
      <c r="K217" s="1846" t="s">
        <v>31</v>
      </c>
      <c r="L217" s="1846" t="s">
        <v>31</v>
      </c>
      <c r="M217" s="1846" t="s">
        <v>31</v>
      </c>
      <c r="N217" s="1846" t="s">
        <v>31</v>
      </c>
      <c r="O217" s="1846" t="s">
        <v>31</v>
      </c>
      <c r="P217" s="1846"/>
      <c r="Q217" s="1846"/>
      <c r="R217" s="1846" t="s">
        <v>31</v>
      </c>
      <c r="S217" s="1846" t="s">
        <v>31</v>
      </c>
      <c r="T217" s="1846" t="s">
        <v>31</v>
      </c>
      <c r="U217" s="1846" t="s">
        <v>31</v>
      </c>
      <c r="V217" s="2135" t="s">
        <v>31</v>
      </c>
      <c r="W217" s="1704"/>
      <c r="X217" s="1704"/>
      <c r="Y217" s="1704" t="s">
        <v>31</v>
      </c>
      <c r="Z217" s="1704" t="s">
        <v>31</v>
      </c>
      <c r="AA217" s="1704" t="s">
        <v>31</v>
      </c>
      <c r="AB217" s="1744" t="s">
        <v>31</v>
      </c>
      <c r="AC217" s="1744" t="s">
        <v>31</v>
      </c>
      <c r="AD217" s="1744"/>
      <c r="AE217" s="1744"/>
      <c r="AF217" s="1744" t="s">
        <v>31</v>
      </c>
      <c r="AG217" s="1705"/>
      <c r="AH217" s="34"/>
      <c r="AI217" s="25"/>
    </row>
    <row r="218" spans="1:35" ht="18" customHeight="1">
      <c r="A218" s="2127"/>
      <c r="B218" s="2136" t="s">
        <v>277</v>
      </c>
      <c r="C218" s="1744"/>
      <c r="D218" s="1744"/>
      <c r="E218" s="1744"/>
      <c r="F218" s="1744"/>
      <c r="G218" s="1744"/>
      <c r="H218" s="1744"/>
      <c r="I218" s="1744"/>
      <c r="J218" s="1744"/>
      <c r="K218" s="1744"/>
      <c r="L218" s="1744"/>
      <c r="M218" s="1744"/>
      <c r="N218" s="1744"/>
      <c r="O218" s="1744"/>
      <c r="P218" s="1744"/>
      <c r="Q218" s="1744"/>
      <c r="R218" s="1744"/>
      <c r="S218" s="1744"/>
      <c r="T218" s="1744"/>
      <c r="U218" s="1744"/>
      <c r="V218" s="1744"/>
      <c r="W218" s="1744"/>
      <c r="X218" s="1744"/>
      <c r="Y218" s="1744"/>
      <c r="Z218" s="1744"/>
      <c r="AA218" s="1744"/>
      <c r="AB218" s="1744"/>
      <c r="AC218" s="1744"/>
      <c r="AD218" s="1744"/>
      <c r="AE218" s="1744"/>
      <c r="AF218" s="1744"/>
      <c r="AG218" s="1695"/>
      <c r="AH218" s="34"/>
      <c r="AI218" s="25"/>
    </row>
    <row r="219" spans="1:35" ht="18" customHeight="1">
      <c r="A219" s="2127"/>
      <c r="B219" s="1878" t="s">
        <v>306</v>
      </c>
      <c r="C219" s="1704"/>
      <c r="D219" s="1704" t="s">
        <v>31</v>
      </c>
      <c r="E219" s="1704" t="s">
        <v>31</v>
      </c>
      <c r="F219" s="1704" t="s">
        <v>31</v>
      </c>
      <c r="G219" s="1704" t="s">
        <v>31</v>
      </c>
      <c r="H219" s="1704" t="s">
        <v>31</v>
      </c>
      <c r="I219" s="1704"/>
      <c r="J219" s="1704"/>
      <c r="K219" s="1846" t="s">
        <v>31</v>
      </c>
      <c r="L219" s="1846" t="s">
        <v>31</v>
      </c>
      <c r="M219" s="1846" t="s">
        <v>31</v>
      </c>
      <c r="N219" s="1846" t="s">
        <v>31</v>
      </c>
      <c r="O219" s="1846" t="s">
        <v>31</v>
      </c>
      <c r="P219" s="1704"/>
      <c r="Q219" s="1704"/>
      <c r="R219" s="1704" t="s">
        <v>31</v>
      </c>
      <c r="S219" s="1704" t="s">
        <v>31</v>
      </c>
      <c r="T219" s="1704" t="s">
        <v>31</v>
      </c>
      <c r="U219" s="1704" t="s">
        <v>31</v>
      </c>
      <c r="V219" s="1704" t="s">
        <v>31</v>
      </c>
      <c r="W219" s="1704"/>
      <c r="X219" s="1704"/>
      <c r="Y219" s="1704" t="s">
        <v>31</v>
      </c>
      <c r="Z219" s="1704" t="s">
        <v>31</v>
      </c>
      <c r="AA219" s="1704" t="s">
        <v>31</v>
      </c>
      <c r="AB219" s="1704" t="s">
        <v>31</v>
      </c>
      <c r="AC219" s="1704" t="s">
        <v>31</v>
      </c>
      <c r="AD219" s="1704"/>
      <c r="AE219" s="1704"/>
      <c r="AF219" s="1744" t="s">
        <v>31</v>
      </c>
      <c r="AG219" s="1695"/>
      <c r="AH219" s="34"/>
      <c r="AI219" s="25"/>
    </row>
    <row r="220" spans="1:35" ht="18" customHeight="1">
      <c r="A220" s="2127"/>
      <c r="B220" s="1878" t="s">
        <v>307</v>
      </c>
      <c r="C220" s="1744"/>
      <c r="D220" s="1749" t="s">
        <v>31</v>
      </c>
      <c r="E220" s="1749" t="s">
        <v>31</v>
      </c>
      <c r="F220" s="1919" t="s">
        <v>31</v>
      </c>
      <c r="G220" s="1919" t="s">
        <v>31</v>
      </c>
      <c r="H220" s="1701" t="s">
        <v>304</v>
      </c>
      <c r="I220" s="1744"/>
      <c r="J220" s="1744"/>
      <c r="K220" s="1744" t="s">
        <v>31</v>
      </c>
      <c r="L220" s="1744" t="s">
        <v>31</v>
      </c>
      <c r="M220" s="1744" t="s">
        <v>31</v>
      </c>
      <c r="N220" s="1744" t="s">
        <v>31</v>
      </c>
      <c r="O220" s="1744" t="s">
        <v>31</v>
      </c>
      <c r="P220" s="1744"/>
      <c r="Q220" s="1744"/>
      <c r="R220" s="1744" t="s">
        <v>31</v>
      </c>
      <c r="S220" s="1744" t="s">
        <v>31</v>
      </c>
      <c r="T220" s="1744" t="s">
        <v>31</v>
      </c>
      <c r="U220" s="1846" t="s">
        <v>31</v>
      </c>
      <c r="V220" s="1744" t="s">
        <v>31</v>
      </c>
      <c r="W220" s="1744"/>
      <c r="X220" s="1744"/>
      <c r="Y220" s="1744" t="s">
        <v>31</v>
      </c>
      <c r="Z220" s="1744" t="s">
        <v>31</v>
      </c>
      <c r="AA220" s="1744" t="s">
        <v>31</v>
      </c>
      <c r="AB220" s="1744" t="s">
        <v>31</v>
      </c>
      <c r="AC220" s="1744" t="s">
        <v>31</v>
      </c>
      <c r="AD220" s="1744"/>
      <c r="AE220" s="1744"/>
      <c r="AF220" s="1744" t="s">
        <v>31</v>
      </c>
      <c r="AG220" s="1695"/>
      <c r="AH220" s="34"/>
      <c r="AI220" s="25"/>
    </row>
    <row r="221" spans="1:35" ht="18" customHeight="1">
      <c r="A221" s="2127"/>
      <c r="B221" s="1878" t="s">
        <v>308</v>
      </c>
      <c r="C221" s="1744"/>
      <c r="D221" s="1744" t="s">
        <v>31</v>
      </c>
      <c r="E221" s="1744" t="s">
        <v>31</v>
      </c>
      <c r="F221" s="1744" t="s">
        <v>31</v>
      </c>
      <c r="G221" s="1744" t="s">
        <v>31</v>
      </c>
      <c r="H221" s="1744" t="s">
        <v>31</v>
      </c>
      <c r="I221" s="1744"/>
      <c r="J221" s="1744"/>
      <c r="K221" s="1744" t="s">
        <v>31</v>
      </c>
      <c r="L221" s="1744" t="s">
        <v>31</v>
      </c>
      <c r="M221" s="1744" t="s">
        <v>31</v>
      </c>
      <c r="N221" s="1749" t="s">
        <v>31</v>
      </c>
      <c r="O221" s="1749" t="s">
        <v>31</v>
      </c>
      <c r="P221" s="1744"/>
      <c r="Q221" s="1744"/>
      <c r="R221" s="1744" t="s">
        <v>31</v>
      </c>
      <c r="S221" s="1744" t="s">
        <v>31</v>
      </c>
      <c r="T221" s="1919" t="s">
        <v>304</v>
      </c>
      <c r="U221" s="1762" t="s">
        <v>31</v>
      </c>
      <c r="V221" s="58" t="s">
        <v>31</v>
      </c>
      <c r="W221" s="1744"/>
      <c r="X221" s="1744"/>
      <c r="Y221" s="1744" t="s">
        <v>31</v>
      </c>
      <c r="Z221" s="1744" t="s">
        <v>31</v>
      </c>
      <c r="AA221" s="1744" t="s">
        <v>31</v>
      </c>
      <c r="AB221" s="1744" t="s">
        <v>31</v>
      </c>
      <c r="AC221" s="1744" t="s">
        <v>31</v>
      </c>
      <c r="AD221" s="1744"/>
      <c r="AE221" s="1744"/>
      <c r="AF221" s="1919" t="s">
        <v>31</v>
      </c>
      <c r="AG221" s="1695"/>
      <c r="AH221" s="34"/>
      <c r="AI221" s="25"/>
    </row>
    <row r="222" spans="1:35" ht="18" customHeight="1">
      <c r="A222" s="2127"/>
      <c r="B222" s="1878" t="s">
        <v>309</v>
      </c>
      <c r="C222" s="1744"/>
      <c r="D222" s="1846" t="s">
        <v>31</v>
      </c>
      <c r="E222" s="1846" t="s">
        <v>31</v>
      </c>
      <c r="F222" s="1846" t="s">
        <v>31</v>
      </c>
      <c r="G222" s="1846" t="s">
        <v>31</v>
      </c>
      <c r="H222" s="1846" t="s">
        <v>31</v>
      </c>
      <c r="I222" s="1846"/>
      <c r="J222" s="1846"/>
      <c r="K222" s="1846" t="s">
        <v>31</v>
      </c>
      <c r="L222" s="1846" t="s">
        <v>31</v>
      </c>
      <c r="M222" s="1846" t="s">
        <v>31</v>
      </c>
      <c r="N222" s="1846" t="s">
        <v>31</v>
      </c>
      <c r="O222" s="1846" t="s">
        <v>31</v>
      </c>
      <c r="P222" s="1846"/>
      <c r="Q222" s="1846"/>
      <c r="R222" s="1846" t="s">
        <v>31</v>
      </c>
      <c r="S222" s="1846" t="s">
        <v>31</v>
      </c>
      <c r="T222" s="1846" t="s">
        <v>31</v>
      </c>
      <c r="U222" s="1846" t="s">
        <v>31</v>
      </c>
      <c r="V222" s="1846" t="s">
        <v>31</v>
      </c>
      <c r="W222" s="1846"/>
      <c r="X222" s="1846"/>
      <c r="Y222" s="1846" t="s">
        <v>31</v>
      </c>
      <c r="Z222" s="1846" t="s">
        <v>31</v>
      </c>
      <c r="AA222" s="1846" t="s">
        <v>31</v>
      </c>
      <c r="AB222" s="1846" t="s">
        <v>31</v>
      </c>
      <c r="AC222" s="1846" t="s">
        <v>31</v>
      </c>
      <c r="AD222" s="1846"/>
      <c r="AE222" s="1846"/>
      <c r="AF222" s="1846" t="s">
        <v>31</v>
      </c>
      <c r="AG222" s="1703"/>
      <c r="AH222" s="34"/>
      <c r="AI222" s="25"/>
    </row>
    <row r="223" spans="1:35" ht="18" customHeight="1">
      <c r="A223" s="2127"/>
      <c r="B223" s="2137" t="s">
        <v>310</v>
      </c>
      <c r="C223" s="1744"/>
      <c r="D223" s="1744"/>
      <c r="E223" s="1744"/>
      <c r="F223" s="1744"/>
      <c r="G223" s="1744"/>
      <c r="H223" s="1744"/>
      <c r="I223" s="1744"/>
      <c r="J223" s="1744"/>
      <c r="K223" s="1744"/>
      <c r="L223" s="1744"/>
      <c r="M223" s="1744"/>
      <c r="N223" s="1744"/>
      <c r="O223" s="1744"/>
      <c r="P223" s="1744"/>
      <c r="Q223" s="1744"/>
      <c r="R223" s="1744"/>
      <c r="S223" s="1744"/>
      <c r="T223" s="1744"/>
      <c r="U223" s="1744"/>
      <c r="V223" s="1744"/>
      <c r="W223" s="1744"/>
      <c r="X223" s="1744"/>
      <c r="Y223" s="1744"/>
      <c r="Z223" s="1744"/>
      <c r="AA223" s="1744"/>
      <c r="AB223" s="1744"/>
      <c r="AC223" s="1744"/>
      <c r="AD223" s="1744"/>
      <c r="AE223" s="1744"/>
      <c r="AF223" s="1744"/>
      <c r="AG223" s="1695"/>
      <c r="AH223" s="93"/>
      <c r="AI223" s="76"/>
    </row>
    <row r="224" spans="1:35" ht="18" customHeight="1">
      <c r="A224" s="2127"/>
      <c r="B224" s="1878"/>
      <c r="C224" s="1744"/>
      <c r="D224" s="1744"/>
      <c r="E224" s="1744"/>
      <c r="F224" s="1744"/>
      <c r="G224" s="1744"/>
      <c r="H224" s="1744"/>
      <c r="I224" s="1744"/>
      <c r="J224" s="1744"/>
      <c r="K224" s="1744"/>
      <c r="L224" s="1744"/>
      <c r="M224" s="1744"/>
      <c r="N224" s="1744"/>
      <c r="O224" s="1744"/>
      <c r="P224" s="1744"/>
      <c r="Q224" s="1744"/>
      <c r="R224" s="1744"/>
      <c r="S224" s="1744"/>
      <c r="T224" s="1744"/>
      <c r="U224" s="1744"/>
      <c r="V224" s="1744"/>
      <c r="W224" s="1744"/>
      <c r="X224" s="1744"/>
      <c r="Y224" s="1744"/>
      <c r="Z224" s="1744"/>
      <c r="AA224" s="1744"/>
      <c r="AB224" s="1744"/>
      <c r="AC224" s="1744"/>
      <c r="AD224" s="1744"/>
      <c r="AE224" s="1744"/>
      <c r="AF224" s="1744"/>
      <c r="AG224" s="1711"/>
      <c r="AH224" s="93"/>
      <c r="AI224" s="76"/>
    </row>
    <row r="225" spans="1:35" ht="18" customHeight="1">
      <c r="A225" s="1712"/>
      <c r="B225" s="1712"/>
      <c r="C225" s="1744"/>
      <c r="D225" s="1744"/>
      <c r="E225" s="1744"/>
      <c r="F225" s="1744"/>
      <c r="G225" s="1744"/>
      <c r="H225" s="1744"/>
      <c r="I225" s="1744"/>
      <c r="J225" s="1744"/>
      <c r="K225" s="1744"/>
      <c r="L225" s="1744"/>
      <c r="M225" s="1744"/>
      <c r="N225" s="1744"/>
      <c r="O225" s="1744"/>
      <c r="P225" s="1744"/>
      <c r="Q225" s="1744"/>
      <c r="R225" s="1744"/>
      <c r="S225" s="1744"/>
      <c r="T225" s="1744"/>
      <c r="U225" s="1744"/>
      <c r="V225" s="1744"/>
      <c r="W225" s="1744"/>
      <c r="X225" s="1744"/>
      <c r="Y225" s="1744"/>
      <c r="Z225" s="1744"/>
      <c r="AA225" s="1744"/>
      <c r="AB225" s="1744"/>
      <c r="AC225" s="1744"/>
      <c r="AD225" s="1744"/>
      <c r="AE225" s="1744"/>
      <c r="AF225" s="1744"/>
      <c r="AG225" s="1695"/>
      <c r="AH225" s="93"/>
      <c r="AI225" s="76"/>
    </row>
    <row r="226" spans="1:35" ht="18" customHeight="1">
      <c r="A226" s="1712"/>
      <c r="B226" s="1712"/>
      <c r="C226" s="1744"/>
      <c r="D226" s="1744"/>
      <c r="E226" s="1744"/>
      <c r="F226" s="1744"/>
      <c r="G226" s="1744"/>
      <c r="H226" s="2138"/>
      <c r="I226" s="1744"/>
      <c r="J226" s="1744"/>
      <c r="K226" s="1744"/>
      <c r="L226" s="1744"/>
      <c r="M226" s="1744"/>
      <c r="N226" s="1744"/>
      <c r="O226" s="1744"/>
      <c r="P226" s="1744"/>
      <c r="Q226" s="1744"/>
      <c r="R226" s="1744"/>
      <c r="S226" s="1744"/>
      <c r="T226" s="1744"/>
      <c r="U226" s="1744"/>
      <c r="V226" s="1744"/>
      <c r="W226" s="1744"/>
      <c r="X226" s="1744"/>
      <c r="Y226" s="1744"/>
      <c r="Z226" s="1744"/>
      <c r="AA226" s="1744"/>
      <c r="AB226" s="1744"/>
      <c r="AC226" s="1744"/>
      <c r="AD226" s="1744"/>
      <c r="AE226" s="1744"/>
      <c r="AF226" s="1744"/>
      <c r="AG226" s="1711"/>
      <c r="AH226" s="93"/>
      <c r="AI226" s="76"/>
    </row>
    <row r="227" spans="1:35" ht="18" customHeight="1">
      <c r="A227" s="1712"/>
      <c r="B227" s="1712"/>
      <c r="C227" s="1744"/>
      <c r="D227" s="1744"/>
      <c r="E227" s="1744"/>
      <c r="F227" s="1744"/>
      <c r="G227" s="1744"/>
      <c r="H227" s="1744"/>
      <c r="I227" s="1744"/>
      <c r="J227" s="1744"/>
      <c r="K227" s="1744"/>
      <c r="L227" s="1744"/>
      <c r="M227" s="1744"/>
      <c r="N227" s="1744"/>
      <c r="O227" s="1744"/>
      <c r="P227" s="1744"/>
      <c r="Q227" s="1744"/>
      <c r="R227" s="1744"/>
      <c r="S227" s="1744"/>
      <c r="T227" s="1744"/>
      <c r="U227" s="1744"/>
      <c r="V227" s="1744"/>
      <c r="W227" s="1744"/>
      <c r="X227" s="1744"/>
      <c r="Y227" s="1744"/>
      <c r="Z227" s="1744"/>
      <c r="AA227" s="1744"/>
      <c r="AB227" s="1744"/>
      <c r="AC227" s="1744"/>
      <c r="AD227" s="1744"/>
      <c r="AE227" s="1744"/>
      <c r="AF227" s="1744"/>
      <c r="AG227" s="1695"/>
      <c r="AH227" s="93"/>
      <c r="AI227" s="76"/>
    </row>
    <row r="228" spans="1:35" ht="18" customHeight="1">
      <c r="A228" s="1712"/>
      <c r="B228" s="1712"/>
      <c r="C228" s="1744"/>
      <c r="D228" s="1744"/>
      <c r="E228" s="1744"/>
      <c r="F228" s="1744"/>
      <c r="G228" s="1744"/>
      <c r="H228" s="2138"/>
      <c r="I228" s="1744"/>
      <c r="J228" s="1744"/>
      <c r="K228" s="1744"/>
      <c r="L228" s="1744"/>
      <c r="M228" s="1744"/>
      <c r="N228" s="1744"/>
      <c r="O228" s="1744"/>
      <c r="P228" s="1744"/>
      <c r="Q228" s="1744"/>
      <c r="R228" s="1744"/>
      <c r="S228" s="1744"/>
      <c r="T228" s="1744"/>
      <c r="U228" s="1744"/>
      <c r="V228" s="1744"/>
      <c r="W228" s="1744"/>
      <c r="X228" s="1744"/>
      <c r="Y228" s="1744"/>
      <c r="Z228" s="1744"/>
      <c r="AA228" s="1744"/>
      <c r="AB228" s="1744"/>
      <c r="AC228" s="1744"/>
      <c r="AD228" s="1744"/>
      <c r="AE228" s="1744"/>
      <c r="AF228" s="1744"/>
      <c r="AG228" s="1711"/>
      <c r="AH228" s="93"/>
      <c r="AI228" s="76"/>
    </row>
    <row r="229" spans="1:35" ht="18" customHeight="1">
      <c r="A229" s="2127"/>
      <c r="B229" s="2136"/>
      <c r="C229" s="1744"/>
      <c r="D229" s="1744"/>
      <c r="E229" s="1744"/>
      <c r="G229" s="1744"/>
      <c r="H229" s="1744"/>
      <c r="I229" s="1744"/>
      <c r="J229" s="1744"/>
      <c r="K229" s="1744"/>
      <c r="L229" s="1744"/>
      <c r="M229" s="1744"/>
      <c r="N229" s="1744"/>
      <c r="O229" s="1744"/>
      <c r="P229" s="1744"/>
      <c r="Q229" s="1744"/>
      <c r="R229" s="1744"/>
      <c r="S229" s="1744"/>
      <c r="T229" s="1744"/>
      <c r="U229" s="1744"/>
      <c r="V229" s="1744"/>
      <c r="W229" s="1744"/>
      <c r="X229" s="1744"/>
      <c r="Y229" s="1744"/>
      <c r="Z229" s="1744"/>
      <c r="AA229" s="1744"/>
      <c r="AB229" s="1744"/>
      <c r="AC229" s="1744"/>
      <c r="AD229" s="1744"/>
      <c r="AE229" s="1744"/>
      <c r="AF229" s="1744"/>
      <c r="AG229" s="1711"/>
      <c r="AH229" s="93"/>
      <c r="AI229" s="76"/>
    </row>
    <row r="230" spans="1:35" ht="18" customHeight="1">
      <c r="A230" s="2127"/>
      <c r="B230" s="2139"/>
      <c r="C230" s="1744"/>
      <c r="D230" s="1744"/>
      <c r="E230" s="1744"/>
      <c r="F230" s="1744"/>
      <c r="G230" s="1744"/>
      <c r="H230" s="1744"/>
      <c r="I230" s="1744"/>
      <c r="J230" s="1744"/>
      <c r="K230" s="1744"/>
      <c r="L230" s="1744"/>
      <c r="M230" s="1744"/>
      <c r="N230" s="1744"/>
      <c r="O230" s="1744"/>
      <c r="P230" s="1744"/>
      <c r="Q230" s="1744"/>
      <c r="R230" s="1744"/>
      <c r="S230" s="1744"/>
      <c r="T230" s="1744"/>
      <c r="U230" s="1744"/>
      <c r="V230" s="1744"/>
      <c r="W230" s="1744"/>
      <c r="X230" s="1744"/>
      <c r="Y230" s="1744"/>
      <c r="Z230" s="1744"/>
      <c r="AA230" s="1744"/>
      <c r="AB230" s="1744"/>
      <c r="AC230" s="1744"/>
      <c r="AD230" s="1744"/>
      <c r="AE230" s="1744"/>
      <c r="AF230" s="1744"/>
      <c r="AG230" s="1711"/>
      <c r="AH230" s="93"/>
      <c r="AI230" s="76"/>
    </row>
    <row r="231" spans="1:35" ht="18" customHeight="1">
      <c r="A231" s="82"/>
      <c r="B231" s="115"/>
      <c r="C231" s="38"/>
      <c r="D231" s="38"/>
      <c r="E231" s="38"/>
      <c r="F231" s="38"/>
      <c r="G231" s="38"/>
      <c r="H231" s="38"/>
      <c r="I231" s="38"/>
      <c r="J231" s="38"/>
      <c r="L231" s="38"/>
      <c r="M231" s="38"/>
      <c r="N231" s="38"/>
      <c r="O231" s="38"/>
      <c r="P231" s="17"/>
      <c r="Q231" s="17"/>
      <c r="R231" s="17"/>
      <c r="S231" s="38"/>
      <c r="T231" s="38"/>
      <c r="U231" s="38"/>
      <c r="V231" s="38"/>
      <c r="W231" s="38"/>
      <c r="X231" s="38"/>
      <c r="Y231" s="38"/>
      <c r="Z231" s="38"/>
      <c r="AA231" s="38"/>
      <c r="AB231" s="38"/>
      <c r="AC231" s="38"/>
      <c r="AD231" s="38"/>
      <c r="AE231" s="38"/>
      <c r="AF231" s="38"/>
      <c r="AG231" s="38"/>
      <c r="AH231" s="76"/>
      <c r="AI231" s="76"/>
    </row>
    <row r="232" spans="1:35" ht="18" customHeight="1"/>
    <row r="233" spans="1:35" ht="18" customHeight="1"/>
    <row r="234" spans="1:35" ht="18" customHeight="1"/>
    <row r="235" spans="1:35" ht="18" customHeight="1" thickBot="1">
      <c r="A235" s="14" t="s">
        <v>311</v>
      </c>
    </row>
    <row r="236" spans="1:35" ht="18" customHeight="1">
      <c r="B236" s="1036" t="s">
        <v>281</v>
      </c>
      <c r="C236" s="901"/>
      <c r="D236" s="925" t="s">
        <v>87</v>
      </c>
      <c r="E236" s="705"/>
      <c r="F236" s="905"/>
      <c r="G236" s="901"/>
      <c r="H236" s="925" t="s">
        <v>88</v>
      </c>
      <c r="I236" s="705"/>
      <c r="J236" s="905"/>
      <c r="K236" s="901"/>
      <c r="L236" s="925" t="s">
        <v>89</v>
      </c>
      <c r="M236" s="705"/>
      <c r="N236" s="905"/>
      <c r="O236" s="901"/>
      <c r="P236" s="925" t="s">
        <v>90</v>
      </c>
      <c r="Q236" s="705"/>
      <c r="R236" s="905"/>
      <c r="S236" s="901"/>
      <c r="T236" s="925" t="s">
        <v>91</v>
      </c>
      <c r="U236" s="705"/>
      <c r="V236" s="905"/>
      <c r="W236" s="901"/>
      <c r="X236" s="925" t="s">
        <v>92</v>
      </c>
      <c r="Y236" s="705"/>
      <c r="Z236" s="905"/>
      <c r="AA236" s="901"/>
      <c r="AB236" s="925" t="s">
        <v>93</v>
      </c>
      <c r="AC236" s="705"/>
      <c r="AD236" s="705"/>
      <c r="AE236" s="928" t="s">
        <v>94</v>
      </c>
      <c r="AF236" s="705"/>
      <c r="AG236" s="705"/>
      <c r="AH236" s="705"/>
      <c r="AI236" s="706"/>
    </row>
    <row r="237" spans="1:35" ht="18" customHeight="1">
      <c r="B237" s="116"/>
      <c r="C237" s="110"/>
      <c r="D237" s="111"/>
      <c r="E237" s="101"/>
      <c r="F237" s="109"/>
      <c r="G237" s="110"/>
      <c r="H237" s="111"/>
      <c r="I237" s="101"/>
      <c r="J237" s="109"/>
      <c r="K237" s="110"/>
      <c r="L237" s="111"/>
      <c r="M237" s="101"/>
      <c r="N237" s="109"/>
      <c r="O237" s="110"/>
      <c r="P237" s="111"/>
      <c r="Q237" s="101"/>
      <c r="R237" s="109"/>
      <c r="S237" s="110"/>
      <c r="T237" s="111"/>
      <c r="U237" s="101"/>
      <c r="V237" s="109"/>
      <c r="W237" s="110"/>
      <c r="X237" s="111"/>
      <c r="Y237" s="101"/>
      <c r="Z237" s="109"/>
      <c r="AA237" s="110"/>
      <c r="AB237" s="111"/>
      <c r="AC237" s="101"/>
      <c r="AD237" s="101"/>
      <c r="AE237" s="112"/>
      <c r="AF237" s="101"/>
      <c r="AG237" s="8"/>
      <c r="AH237" s="8"/>
      <c r="AI237" s="105"/>
    </row>
    <row r="238" spans="1:35" ht="18" customHeight="1">
      <c r="A238" s="87"/>
      <c r="B238" s="2140">
        <v>3701</v>
      </c>
      <c r="C238" s="1902" t="s">
        <v>286</v>
      </c>
      <c r="D238" s="2114"/>
      <c r="E238" s="101"/>
      <c r="F238" s="109"/>
      <c r="G238" s="1902" t="s">
        <v>286</v>
      </c>
      <c r="H238" s="111"/>
      <c r="I238" s="101"/>
      <c r="J238" s="109"/>
      <c r="K238" s="1902" t="s">
        <v>286</v>
      </c>
      <c r="L238" s="111"/>
      <c r="M238" s="101"/>
      <c r="N238" s="109"/>
      <c r="O238" s="1902" t="s">
        <v>286</v>
      </c>
      <c r="P238" s="111"/>
      <c r="Q238" s="101"/>
      <c r="R238" s="109"/>
      <c r="S238" s="110" t="s">
        <v>287</v>
      </c>
      <c r="T238" s="111"/>
      <c r="U238" s="101"/>
      <c r="V238" s="109"/>
      <c r="W238" s="110"/>
      <c r="X238" s="111"/>
      <c r="Y238" s="101"/>
      <c r="Z238" s="109"/>
      <c r="AA238" s="110"/>
      <c r="AB238" s="111"/>
      <c r="AC238" s="101"/>
      <c r="AD238" s="101"/>
      <c r="AE238" s="112"/>
      <c r="AF238" s="101"/>
      <c r="AG238" s="8"/>
      <c r="AH238" s="8"/>
      <c r="AI238" s="105"/>
    </row>
    <row r="239" spans="1:35" ht="18" customHeight="1">
      <c r="B239" s="2140"/>
      <c r="C239" s="1902"/>
      <c r="D239" s="2114"/>
      <c r="E239" s="101"/>
      <c r="F239" s="109"/>
      <c r="G239" s="1902"/>
      <c r="H239" s="111"/>
      <c r="I239" s="101"/>
      <c r="J239" s="109"/>
      <c r="K239" s="1902"/>
      <c r="L239" s="111"/>
      <c r="M239" s="101"/>
      <c r="N239" s="109"/>
      <c r="O239" s="1902"/>
      <c r="P239" s="111"/>
      <c r="Q239" s="101"/>
      <c r="R239" s="109"/>
      <c r="S239" s="1902"/>
      <c r="T239" s="111"/>
      <c r="U239" s="101"/>
      <c r="V239" s="109"/>
      <c r="W239" s="110"/>
      <c r="X239" s="111"/>
      <c r="Y239" s="101"/>
      <c r="Z239" s="109"/>
      <c r="AA239" s="110"/>
      <c r="AB239" s="111"/>
      <c r="AC239" s="101"/>
      <c r="AD239" s="101"/>
      <c r="AE239" s="112"/>
      <c r="AF239" s="101"/>
      <c r="AG239" s="8"/>
      <c r="AH239" s="8"/>
      <c r="AI239" s="105"/>
    </row>
    <row r="240" spans="1:35" ht="18" customHeight="1">
      <c r="B240" s="2140">
        <v>3702</v>
      </c>
      <c r="C240" s="1902" t="s">
        <v>312</v>
      </c>
      <c r="D240" s="2114"/>
      <c r="E240" s="101"/>
      <c r="F240" s="109"/>
      <c r="G240" s="1902" t="s">
        <v>312</v>
      </c>
      <c r="H240" s="2114"/>
      <c r="I240" s="101"/>
      <c r="J240" s="109"/>
      <c r="K240" s="1902" t="s">
        <v>312</v>
      </c>
      <c r="L240" s="2114"/>
      <c r="M240" s="101"/>
      <c r="N240" s="109"/>
      <c r="O240" s="1902" t="s">
        <v>312</v>
      </c>
      <c r="P240" s="2114"/>
      <c r="Q240" s="101"/>
      <c r="R240" s="109"/>
      <c r="S240" s="1902" t="s">
        <v>313</v>
      </c>
      <c r="T240" s="2114"/>
      <c r="U240" s="101"/>
      <c r="V240" s="109"/>
      <c r="W240" s="110"/>
      <c r="X240" s="111"/>
      <c r="Y240" s="101"/>
      <c r="Z240" s="109"/>
      <c r="AA240" s="110"/>
      <c r="AB240" s="111"/>
      <c r="AC240" s="101"/>
      <c r="AD240" s="101"/>
      <c r="AE240" s="112"/>
      <c r="AF240" s="101"/>
      <c r="AG240" s="8"/>
      <c r="AH240" s="8"/>
      <c r="AI240" s="105"/>
    </row>
    <row r="241" spans="1:35" ht="18" customHeight="1">
      <c r="B241" s="2140"/>
      <c r="C241" s="2004"/>
      <c r="D241" s="2114"/>
      <c r="E241" s="101"/>
      <c r="F241" s="109"/>
      <c r="G241" s="111"/>
      <c r="H241" s="111"/>
      <c r="I241" s="101"/>
      <c r="J241" s="109"/>
      <c r="K241" s="111"/>
      <c r="L241" s="111"/>
      <c r="M241" s="101"/>
      <c r="N241" s="109"/>
      <c r="O241" s="111"/>
      <c r="P241" s="111"/>
      <c r="Q241" s="101"/>
      <c r="R241" s="109"/>
      <c r="S241" s="111"/>
      <c r="T241" s="111"/>
      <c r="U241" s="101"/>
      <c r="V241" s="109"/>
      <c r="W241" s="110"/>
      <c r="X241" s="111"/>
      <c r="Y241" s="101"/>
      <c r="Z241" s="109"/>
      <c r="AA241" s="110"/>
      <c r="AB241" s="111"/>
      <c r="AC241" s="101"/>
      <c r="AD241" s="101"/>
      <c r="AE241" s="112"/>
      <c r="AF241" s="101"/>
      <c r="AG241" s="8"/>
      <c r="AH241" s="8"/>
      <c r="AI241" s="105"/>
    </row>
    <row r="242" spans="1:35" ht="18" customHeight="1">
      <c r="B242" s="2140" t="s">
        <v>159</v>
      </c>
      <c r="C242" s="2004" t="s">
        <v>314</v>
      </c>
      <c r="D242" s="2114"/>
      <c r="E242" s="101"/>
      <c r="F242" s="109"/>
      <c r="G242" s="2004" t="s">
        <v>314</v>
      </c>
      <c r="H242" s="2114"/>
      <c r="I242" s="101"/>
      <c r="J242" s="109"/>
      <c r="K242" s="2004" t="s">
        <v>314</v>
      </c>
      <c r="L242" s="2114"/>
      <c r="M242" s="101"/>
      <c r="N242" s="109"/>
      <c r="O242" s="2004" t="s">
        <v>314</v>
      </c>
      <c r="P242" s="2114"/>
      <c r="Q242" s="101"/>
      <c r="R242" s="109"/>
      <c r="S242" s="111" t="s">
        <v>315</v>
      </c>
      <c r="T242" s="111"/>
      <c r="U242" s="101"/>
      <c r="V242" s="109"/>
      <c r="W242" s="110"/>
      <c r="X242" s="111"/>
      <c r="Y242" s="101"/>
      <c r="Z242" s="109"/>
      <c r="AA242" s="110"/>
      <c r="AB242" s="111"/>
      <c r="AC242" s="101"/>
      <c r="AD242" s="101"/>
      <c r="AE242" s="112"/>
      <c r="AF242" s="101"/>
      <c r="AG242" s="8"/>
      <c r="AH242" s="8"/>
      <c r="AI242" s="105"/>
    </row>
    <row r="243" spans="1:35" ht="18" customHeight="1">
      <c r="B243" s="2140" t="s">
        <v>163</v>
      </c>
      <c r="C243" s="2004" t="s">
        <v>316</v>
      </c>
      <c r="D243" s="2114"/>
      <c r="E243" s="101"/>
      <c r="F243" s="109"/>
      <c r="G243" s="2004" t="s">
        <v>316</v>
      </c>
      <c r="H243" s="2114"/>
      <c r="I243" s="101"/>
      <c r="J243" s="109"/>
      <c r="K243" s="2004" t="s">
        <v>316</v>
      </c>
      <c r="L243" s="2114"/>
      <c r="M243" s="101"/>
      <c r="N243" s="109"/>
      <c r="O243" s="2004" t="s">
        <v>316</v>
      </c>
      <c r="P243" s="2114"/>
      <c r="Q243" s="101"/>
      <c r="R243" s="109"/>
      <c r="S243" s="111" t="s">
        <v>317</v>
      </c>
      <c r="T243" s="111"/>
      <c r="U243" s="101"/>
      <c r="V243" s="109"/>
      <c r="W243" s="110"/>
      <c r="X243" s="111"/>
      <c r="Y243" s="101"/>
      <c r="Z243" s="109"/>
      <c r="AA243" s="110"/>
      <c r="AB243" s="111"/>
      <c r="AC243" s="101"/>
      <c r="AD243" s="101"/>
      <c r="AE243" s="112"/>
      <c r="AF243" s="101"/>
      <c r="AG243" s="8"/>
      <c r="AH243" s="8"/>
      <c r="AI243" s="105"/>
    </row>
    <row r="244" spans="1:35" ht="18" customHeight="1" thickBot="1">
      <c r="B244" s="2141" t="s">
        <v>171</v>
      </c>
      <c r="C244" s="2017" t="s">
        <v>318</v>
      </c>
      <c r="D244" s="2142"/>
      <c r="E244" s="2143"/>
      <c r="F244" s="2144"/>
      <c r="G244" s="2017" t="s">
        <v>318</v>
      </c>
      <c r="H244" s="2142"/>
      <c r="I244" s="2143"/>
      <c r="J244" s="2144"/>
      <c r="K244" s="2017" t="s">
        <v>318</v>
      </c>
      <c r="L244" s="2142"/>
      <c r="M244" s="2143"/>
      <c r="N244" s="2144"/>
      <c r="O244" s="2017" t="s">
        <v>318</v>
      </c>
      <c r="P244" s="2142"/>
      <c r="Q244" s="2143"/>
      <c r="R244" s="2144"/>
      <c r="S244" s="2145" t="s">
        <v>319</v>
      </c>
      <c r="T244" s="2145"/>
      <c r="U244" s="2143"/>
      <c r="V244" s="2144"/>
      <c r="W244" s="2146"/>
      <c r="X244" s="2145"/>
      <c r="Y244" s="2147"/>
      <c r="Z244" s="2148"/>
      <c r="AA244" s="2149"/>
      <c r="AB244" s="2145"/>
      <c r="AC244" s="2147"/>
      <c r="AD244" s="2147"/>
      <c r="AE244" s="2150"/>
      <c r="AF244" s="2147"/>
      <c r="AG244" s="2143"/>
      <c r="AH244" s="2143"/>
      <c r="AI244" s="2151"/>
    </row>
    <row r="245" spans="1:35" ht="18" customHeight="1">
      <c r="B245" s="42"/>
      <c r="C245" s="37"/>
      <c r="D245" s="113"/>
      <c r="G245" s="37"/>
      <c r="H245" s="113"/>
      <c r="K245" s="37"/>
      <c r="L245" s="113"/>
      <c r="O245" s="37"/>
      <c r="P245" s="113"/>
      <c r="S245" s="37"/>
      <c r="T245" s="37"/>
      <c r="X245" s="37"/>
      <c r="AB245" s="37"/>
      <c r="AE245" s="37"/>
    </row>
    <row r="246" spans="1:35" ht="18" customHeight="1">
      <c r="A246" s="117" t="s">
        <v>320</v>
      </c>
    </row>
    <row r="247" spans="1:35" ht="18" customHeight="1" thickBot="1">
      <c r="A247" s="2152"/>
      <c r="B247" s="2153" t="s">
        <v>29</v>
      </c>
      <c r="C247" s="1811">
        <v>1</v>
      </c>
      <c r="D247" s="1812">
        <v>2</v>
      </c>
      <c r="E247" s="1812">
        <v>3</v>
      </c>
      <c r="F247" s="1812">
        <v>4</v>
      </c>
      <c r="G247" s="1812">
        <v>5</v>
      </c>
      <c r="H247" s="1812">
        <v>6</v>
      </c>
      <c r="I247" s="1811">
        <v>7</v>
      </c>
      <c r="J247" s="1811">
        <v>8</v>
      </c>
      <c r="K247" s="1812">
        <v>9</v>
      </c>
      <c r="L247" s="1812">
        <v>10</v>
      </c>
      <c r="M247" s="1812">
        <v>11</v>
      </c>
      <c r="N247" s="1812">
        <v>12</v>
      </c>
      <c r="O247" s="1812">
        <v>13</v>
      </c>
      <c r="P247" s="1811">
        <v>14</v>
      </c>
      <c r="Q247" s="1811">
        <v>15</v>
      </c>
      <c r="R247" s="1812">
        <v>16</v>
      </c>
      <c r="S247" s="1812">
        <v>17</v>
      </c>
      <c r="T247" s="1812">
        <v>18</v>
      </c>
      <c r="U247" s="1812">
        <v>19</v>
      </c>
      <c r="V247" s="1812">
        <v>20</v>
      </c>
      <c r="W247" s="1811">
        <v>21</v>
      </c>
      <c r="X247" s="1811">
        <v>22</v>
      </c>
      <c r="Y247" s="1812">
        <v>23</v>
      </c>
      <c r="Z247" s="1812">
        <v>24</v>
      </c>
      <c r="AA247" s="1812">
        <v>25</v>
      </c>
      <c r="AB247" s="1812">
        <v>26</v>
      </c>
      <c r="AC247" s="1812">
        <v>27</v>
      </c>
      <c r="AD247" s="1811">
        <v>28</v>
      </c>
      <c r="AE247" s="1811">
        <v>29</v>
      </c>
      <c r="AF247" s="1812">
        <v>30</v>
      </c>
      <c r="AG247" s="1813"/>
      <c r="AH247" s="23"/>
      <c r="AI247" s="24"/>
    </row>
    <row r="248" spans="1:35" ht="18" customHeight="1">
      <c r="A248" s="2154">
        <v>3701</v>
      </c>
      <c r="B248" s="1721" t="s">
        <v>394</v>
      </c>
      <c r="C248" s="1744"/>
      <c r="D248" s="1744" t="s">
        <v>31</v>
      </c>
      <c r="E248" s="1744" t="s">
        <v>31</v>
      </c>
      <c r="F248" s="1744" t="s">
        <v>31</v>
      </c>
      <c r="G248" s="1744" t="s">
        <v>31</v>
      </c>
      <c r="H248" s="1744" t="s">
        <v>31</v>
      </c>
      <c r="I248" s="1744"/>
      <c r="J248" s="1744"/>
      <c r="K248" s="1744" t="s">
        <v>31</v>
      </c>
      <c r="L248" s="1744" t="s">
        <v>31</v>
      </c>
      <c r="M248" s="1744" t="s">
        <v>31</v>
      </c>
      <c r="N248" s="1744" t="s">
        <v>31</v>
      </c>
      <c r="O248" s="1744" t="s">
        <v>31</v>
      </c>
      <c r="P248" s="1744"/>
      <c r="Q248" s="1744"/>
      <c r="R248" s="1744" t="s">
        <v>31</v>
      </c>
      <c r="S248" s="1744" t="s">
        <v>31</v>
      </c>
      <c r="T248" s="1744" t="s">
        <v>31</v>
      </c>
      <c r="U248" s="1744" t="s">
        <v>31</v>
      </c>
      <c r="V248" s="1744" t="s">
        <v>31</v>
      </c>
      <c r="W248" s="1744"/>
      <c r="X248" s="1744"/>
      <c r="Y248" s="1744" t="s">
        <v>31</v>
      </c>
      <c r="Z248" s="1744" t="s">
        <v>31</v>
      </c>
      <c r="AA248" s="1744" t="s">
        <v>31</v>
      </c>
      <c r="AB248" s="1744" t="s">
        <v>31</v>
      </c>
      <c r="AC248" s="1744" t="s">
        <v>31</v>
      </c>
      <c r="AD248" s="1744"/>
      <c r="AE248" s="1744"/>
      <c r="AF248" s="1744" t="s">
        <v>31</v>
      </c>
      <c r="AG248" s="2155"/>
      <c r="AH248" s="34"/>
      <c r="AI248" s="25"/>
    </row>
    <row r="249" spans="1:35" ht="18" customHeight="1">
      <c r="A249" s="2154">
        <v>3702</v>
      </c>
      <c r="B249" s="1721" t="s">
        <v>321</v>
      </c>
      <c r="C249" s="1744"/>
      <c r="D249" s="1744" t="s">
        <v>31</v>
      </c>
      <c r="E249" s="1744" t="s">
        <v>31</v>
      </c>
      <c r="F249" s="1744" t="s">
        <v>31</v>
      </c>
      <c r="G249" s="1744" t="s">
        <v>31</v>
      </c>
      <c r="H249" s="1744" t="s">
        <v>31</v>
      </c>
      <c r="I249" s="1744"/>
      <c r="J249" s="1744"/>
      <c r="K249" s="1744" t="s">
        <v>31</v>
      </c>
      <c r="L249" s="1744" t="s">
        <v>31</v>
      </c>
      <c r="M249" s="1744" t="s">
        <v>31</v>
      </c>
      <c r="N249" s="1744" t="s">
        <v>31</v>
      </c>
      <c r="O249" s="1744" t="s">
        <v>31</v>
      </c>
      <c r="P249" s="1744"/>
      <c r="Q249" s="1744"/>
      <c r="R249" s="1744" t="s">
        <v>31</v>
      </c>
      <c r="S249" s="1744" t="s">
        <v>31</v>
      </c>
      <c r="T249" s="1744" t="s">
        <v>31</v>
      </c>
      <c r="U249" s="1744" t="s">
        <v>31</v>
      </c>
      <c r="V249" s="1744" t="s">
        <v>31</v>
      </c>
      <c r="W249" s="1744"/>
      <c r="X249" s="1744"/>
      <c r="Y249" s="1744" t="s">
        <v>31</v>
      </c>
      <c r="Z249" s="1744" t="s">
        <v>31</v>
      </c>
      <c r="AA249" s="1744" t="s">
        <v>31</v>
      </c>
      <c r="AB249" s="1744" t="s">
        <v>31</v>
      </c>
      <c r="AC249" s="1744" t="s">
        <v>31</v>
      </c>
      <c r="AD249" s="1744"/>
      <c r="AE249" s="1744"/>
      <c r="AF249" s="1917" t="s">
        <v>423</v>
      </c>
      <c r="AG249" s="2155"/>
      <c r="AH249" s="34"/>
      <c r="AI249" s="25"/>
    </row>
    <row r="250" spans="1:35" ht="18" customHeight="1">
      <c r="A250" s="2154"/>
      <c r="B250" s="1721"/>
      <c r="C250" s="1728"/>
      <c r="D250" s="1728"/>
      <c r="E250" s="1728"/>
      <c r="F250" s="1728"/>
      <c r="G250" s="1728"/>
      <c r="H250" s="1728"/>
      <c r="I250" s="1728"/>
      <c r="J250" s="1728"/>
      <c r="K250" s="1728"/>
      <c r="L250" s="1728"/>
      <c r="M250" s="2156"/>
      <c r="N250" s="1728"/>
      <c r="O250" s="1728"/>
      <c r="P250" s="1728"/>
      <c r="Q250" s="1728"/>
      <c r="R250" s="1728"/>
      <c r="S250" s="1728"/>
      <c r="T250" s="1728"/>
      <c r="U250" s="1728"/>
      <c r="V250" s="1728"/>
      <c r="W250" s="1728"/>
      <c r="X250" s="1728"/>
      <c r="Y250" s="1728"/>
      <c r="Z250" s="1728"/>
      <c r="AA250" s="1728"/>
      <c r="AB250" s="1728"/>
      <c r="AC250" s="1728"/>
      <c r="AD250" s="1728"/>
      <c r="AE250" s="1728"/>
      <c r="AF250" s="1728"/>
      <c r="AG250" s="2155"/>
      <c r="AH250" s="34"/>
      <c r="AI250" s="25"/>
    </row>
    <row r="251" spans="1:35" ht="18" customHeight="1">
      <c r="A251" s="2157"/>
      <c r="B251" s="118"/>
      <c r="C251" s="1887"/>
      <c r="D251" s="1887"/>
      <c r="E251" s="1887"/>
      <c r="F251" s="1887"/>
      <c r="G251" s="1887"/>
      <c r="H251" s="1887"/>
      <c r="I251" s="1887"/>
      <c r="J251" s="1887"/>
      <c r="K251" s="1887"/>
      <c r="L251" s="1887"/>
      <c r="M251" s="1887"/>
      <c r="N251" s="1887"/>
      <c r="O251" s="1887"/>
      <c r="P251" s="1887"/>
      <c r="Q251" s="1887"/>
      <c r="R251" s="1887"/>
      <c r="S251" s="1887"/>
      <c r="T251" s="1887"/>
      <c r="U251" s="1887"/>
      <c r="V251" s="1887"/>
      <c r="W251" s="1887"/>
      <c r="X251" s="1887"/>
      <c r="Y251" s="1887"/>
      <c r="Z251" s="1887"/>
      <c r="AA251" s="1887"/>
      <c r="AB251" s="1887"/>
      <c r="AC251" s="1887"/>
      <c r="AD251" s="1887"/>
      <c r="AE251" s="1887"/>
      <c r="AF251" s="1887"/>
      <c r="AG251" s="2158"/>
      <c r="AH251" s="34"/>
      <c r="AI251" s="25"/>
    </row>
    <row r="252" spans="1:35" ht="18" customHeight="1">
      <c r="A252" s="2159"/>
      <c r="B252" s="2160" t="s">
        <v>322</v>
      </c>
      <c r="C252" s="2161"/>
      <c r="D252" s="2161"/>
      <c r="E252" s="2161"/>
      <c r="F252" s="2161"/>
      <c r="G252" s="2161"/>
      <c r="H252" s="2161"/>
      <c r="I252" s="2161"/>
      <c r="J252" s="2161"/>
      <c r="K252" s="2161"/>
      <c r="L252" s="2161"/>
      <c r="M252" s="2161"/>
      <c r="N252" s="2161"/>
      <c r="O252" s="2161"/>
      <c r="P252" s="2161"/>
      <c r="Q252" s="2161"/>
      <c r="R252" s="2161"/>
      <c r="S252" s="2161"/>
      <c r="T252" s="2161"/>
      <c r="U252" s="2161"/>
      <c r="V252" s="2161"/>
      <c r="W252" s="2161"/>
      <c r="X252" s="2161"/>
      <c r="Y252" s="2161"/>
      <c r="Z252" s="2161"/>
      <c r="AA252" s="2161"/>
      <c r="AB252" s="2161"/>
      <c r="AC252" s="2161"/>
      <c r="AD252" s="2161"/>
      <c r="AE252" s="2161"/>
      <c r="AF252" s="2161"/>
      <c r="AG252" s="2162"/>
      <c r="AH252" s="119"/>
      <c r="AI252" s="26"/>
    </row>
    <row r="253" spans="1:35" ht="18" customHeight="1">
      <c r="A253" s="2154">
        <v>3702</v>
      </c>
      <c r="B253" s="2093" t="s">
        <v>323</v>
      </c>
      <c r="C253" s="1728"/>
      <c r="D253" s="1728" t="s">
        <v>152</v>
      </c>
      <c r="E253" s="1728" t="s">
        <v>152</v>
      </c>
      <c r="F253" s="1728" t="s">
        <v>152</v>
      </c>
      <c r="G253" s="1728" t="s">
        <v>152</v>
      </c>
      <c r="H253" s="1728" t="s">
        <v>152</v>
      </c>
      <c r="I253" s="1728"/>
      <c r="J253" s="1728"/>
      <c r="K253" s="1728" t="s">
        <v>152</v>
      </c>
      <c r="L253" s="1728" t="s">
        <v>152</v>
      </c>
      <c r="M253" s="1728" t="s">
        <v>152</v>
      </c>
      <c r="N253" s="1728" t="s">
        <v>152</v>
      </c>
      <c r="O253" s="1728" t="s">
        <v>152</v>
      </c>
      <c r="P253" s="1728"/>
      <c r="Q253" s="1728"/>
      <c r="R253" s="1728" t="s">
        <v>152</v>
      </c>
      <c r="S253" s="1728" t="s">
        <v>152</v>
      </c>
      <c r="T253" s="1728" t="s">
        <v>152</v>
      </c>
      <c r="U253" s="1728" t="s">
        <v>152</v>
      </c>
      <c r="V253" s="1728" t="s">
        <v>152</v>
      </c>
      <c r="W253" s="1728"/>
      <c r="X253" s="1728"/>
      <c r="Y253" s="1728" t="s">
        <v>152</v>
      </c>
      <c r="Z253" s="1728" t="s">
        <v>152</v>
      </c>
      <c r="AA253" s="1726" t="s">
        <v>152</v>
      </c>
      <c r="AB253" s="1726" t="s">
        <v>152</v>
      </c>
      <c r="AC253" s="1726" t="s">
        <v>152</v>
      </c>
      <c r="AD253" s="1726"/>
      <c r="AE253" s="1726"/>
      <c r="AF253" s="1726" t="s">
        <v>152</v>
      </c>
      <c r="AG253" s="2155"/>
      <c r="AH253" s="34"/>
      <c r="AI253" s="25"/>
    </row>
    <row r="254" spans="1:35" ht="18" customHeight="1">
      <c r="A254" s="2154"/>
      <c r="B254" s="2079" t="s">
        <v>325</v>
      </c>
      <c r="C254" s="1728"/>
      <c r="D254" s="1728" t="s">
        <v>326</v>
      </c>
      <c r="E254" s="1728" t="s">
        <v>326</v>
      </c>
      <c r="F254" s="1728" t="s">
        <v>326</v>
      </c>
      <c r="G254" s="1728" t="s">
        <v>326</v>
      </c>
      <c r="H254" s="1728" t="s">
        <v>326</v>
      </c>
      <c r="I254" s="1728"/>
      <c r="J254" s="1728"/>
      <c r="K254" s="1728" t="s">
        <v>326</v>
      </c>
      <c r="L254" s="1728" t="s">
        <v>326</v>
      </c>
      <c r="M254" s="1728" t="s">
        <v>326</v>
      </c>
      <c r="N254" s="1728" t="s">
        <v>326</v>
      </c>
      <c r="O254" s="1830" t="s">
        <v>326</v>
      </c>
      <c r="P254" s="1728"/>
      <c r="Q254" s="1728"/>
      <c r="R254" s="1728" t="s">
        <v>326</v>
      </c>
      <c r="S254" s="1830" t="s">
        <v>326</v>
      </c>
      <c r="T254" s="1728" t="s">
        <v>326</v>
      </c>
      <c r="U254" s="1728" t="s">
        <v>326</v>
      </c>
      <c r="V254" s="1728" t="s">
        <v>326</v>
      </c>
      <c r="W254" s="1728"/>
      <c r="X254" s="1728"/>
      <c r="Y254" s="1728" t="s">
        <v>326</v>
      </c>
      <c r="Z254" s="1728" t="s">
        <v>326</v>
      </c>
      <c r="AA254" s="1728" t="s">
        <v>326</v>
      </c>
      <c r="AB254" s="1728" t="s">
        <v>326</v>
      </c>
      <c r="AC254" s="1830" t="s">
        <v>326</v>
      </c>
      <c r="AD254" s="1728"/>
      <c r="AE254" s="1728"/>
      <c r="AF254" s="1728" t="s">
        <v>326</v>
      </c>
      <c r="AG254" s="2155"/>
      <c r="AH254" s="34"/>
      <c r="AI254" s="25"/>
    </row>
    <row r="255" spans="1:35" ht="18" customHeight="1" thickBot="1">
      <c r="A255" s="2163"/>
      <c r="B255" s="2105" t="s">
        <v>327</v>
      </c>
      <c r="C255" s="2164"/>
      <c r="D255" s="2164" t="s">
        <v>328</v>
      </c>
      <c r="E255" s="2164" t="s">
        <v>328</v>
      </c>
      <c r="F255" s="2164" t="s">
        <v>328</v>
      </c>
      <c r="G255" s="2164" t="s">
        <v>328</v>
      </c>
      <c r="H255" s="2164" t="s">
        <v>328</v>
      </c>
      <c r="I255" s="2164"/>
      <c r="J255" s="2164"/>
      <c r="K255" s="2164" t="s">
        <v>328</v>
      </c>
      <c r="L255" s="2164" t="s">
        <v>328</v>
      </c>
      <c r="M255" s="2164" t="s">
        <v>328</v>
      </c>
      <c r="N255" s="2164" t="s">
        <v>328</v>
      </c>
      <c r="O255" s="2164" t="s">
        <v>328</v>
      </c>
      <c r="P255" s="2164"/>
      <c r="Q255" s="2164"/>
      <c r="R255" s="2164" t="s">
        <v>328</v>
      </c>
      <c r="S255" s="2164" t="s">
        <v>328</v>
      </c>
      <c r="T255" s="1884" t="s">
        <v>328</v>
      </c>
      <c r="U255" s="2164" t="s">
        <v>328</v>
      </c>
      <c r="V255" s="2164" t="s">
        <v>328</v>
      </c>
      <c r="W255" s="2164"/>
      <c r="X255" s="2164"/>
      <c r="Y255" s="2164" t="s">
        <v>328</v>
      </c>
      <c r="Z255" s="2164" t="s">
        <v>328</v>
      </c>
      <c r="AA255" s="2164" t="s">
        <v>328</v>
      </c>
      <c r="AB255" s="2164" t="s">
        <v>328</v>
      </c>
      <c r="AC255" s="2164" t="s">
        <v>328</v>
      </c>
      <c r="AD255" s="2165"/>
      <c r="AE255" s="2164"/>
      <c r="AF255" s="2164" t="s">
        <v>328</v>
      </c>
      <c r="AG255" s="2166"/>
      <c r="AH255" s="34"/>
      <c r="AI255" s="25"/>
    </row>
    <row r="256" spans="1:35" ht="18" customHeight="1"/>
    <row r="257" spans="1:35" ht="18" customHeight="1"/>
    <row r="258" spans="1:35" ht="18" customHeight="1" thickBot="1">
      <c r="A258" s="14" t="s">
        <v>329</v>
      </c>
    </row>
    <row r="259" spans="1:35" ht="18" customHeight="1">
      <c r="B259" s="1036" t="s">
        <v>281</v>
      </c>
      <c r="C259" s="901"/>
      <c r="D259" s="925" t="s">
        <v>87</v>
      </c>
      <c r="E259" s="705"/>
      <c r="F259" s="905"/>
      <c r="G259" s="901"/>
      <c r="H259" s="925" t="s">
        <v>88</v>
      </c>
      <c r="I259" s="705"/>
      <c r="J259" s="905"/>
      <c r="K259" s="901"/>
      <c r="L259" s="925" t="s">
        <v>89</v>
      </c>
      <c r="M259" s="705"/>
      <c r="N259" s="905"/>
      <c r="O259" s="901"/>
      <c r="P259" s="925" t="s">
        <v>90</v>
      </c>
      <c r="Q259" s="705"/>
      <c r="R259" s="905"/>
      <c r="S259" s="901"/>
      <c r="T259" s="925" t="s">
        <v>91</v>
      </c>
      <c r="U259" s="705"/>
      <c r="V259" s="905"/>
      <c r="W259" s="901"/>
      <c r="X259" s="925" t="s">
        <v>92</v>
      </c>
      <c r="Y259" s="705"/>
      <c r="Z259" s="905"/>
      <c r="AA259" s="901"/>
      <c r="AB259" s="925" t="s">
        <v>93</v>
      </c>
      <c r="AC259" s="705"/>
      <c r="AD259" s="705"/>
      <c r="AE259" s="928" t="s">
        <v>94</v>
      </c>
      <c r="AF259" s="705"/>
      <c r="AG259" s="705"/>
      <c r="AH259" s="705"/>
      <c r="AI259" s="706"/>
    </row>
    <row r="260" spans="1:35" ht="18" customHeight="1">
      <c r="B260" s="116">
        <v>8500</v>
      </c>
      <c r="C260" s="1902" t="s">
        <v>330</v>
      </c>
      <c r="D260" s="111"/>
      <c r="E260" s="8"/>
      <c r="F260" s="120"/>
      <c r="G260" s="1902" t="s">
        <v>330</v>
      </c>
      <c r="H260" s="111"/>
      <c r="I260" s="8"/>
      <c r="J260" s="120"/>
      <c r="K260" s="1902" t="s">
        <v>330</v>
      </c>
      <c r="L260" s="111"/>
      <c r="M260" s="8"/>
      <c r="N260" s="120"/>
      <c r="O260" s="1902" t="s">
        <v>330</v>
      </c>
      <c r="P260" s="111"/>
      <c r="Q260" s="8"/>
      <c r="R260" s="120"/>
      <c r="S260" s="1902" t="s">
        <v>331</v>
      </c>
      <c r="T260" s="111"/>
      <c r="U260" s="8"/>
      <c r="V260" s="120"/>
      <c r="W260" s="121"/>
      <c r="X260" s="111"/>
      <c r="Y260" s="8"/>
      <c r="Z260" s="120"/>
      <c r="AA260" s="121"/>
      <c r="AB260" s="111"/>
      <c r="AC260" s="8"/>
      <c r="AD260" s="8"/>
      <c r="AE260" s="112"/>
      <c r="AF260" s="8"/>
      <c r="AG260" s="8"/>
      <c r="AH260" s="8"/>
      <c r="AI260" s="105"/>
    </row>
    <row r="261" spans="1:35" ht="18" customHeight="1" thickBot="1">
      <c r="A261" s="87"/>
      <c r="B261" s="2167"/>
      <c r="C261" s="2168"/>
      <c r="D261" s="2169"/>
      <c r="E261" s="2143"/>
      <c r="F261" s="2144"/>
      <c r="G261" s="2168"/>
      <c r="H261" s="2145"/>
      <c r="I261" s="2143"/>
      <c r="J261" s="2144"/>
      <c r="K261" s="2168"/>
      <c r="L261" s="2145"/>
      <c r="M261" s="2143"/>
      <c r="N261" s="2144"/>
      <c r="O261" s="2168"/>
      <c r="P261" s="2145"/>
      <c r="Q261" s="2143"/>
      <c r="R261" s="2144"/>
      <c r="S261" s="2168"/>
      <c r="T261" s="2145"/>
      <c r="U261" s="2143"/>
      <c r="V261" s="2144"/>
      <c r="W261" s="2146"/>
      <c r="X261" s="2145"/>
      <c r="Y261" s="2143"/>
      <c r="Z261" s="2144"/>
      <c r="AA261" s="2146"/>
      <c r="AB261" s="2145"/>
      <c r="AC261" s="2143"/>
      <c r="AD261" s="2143"/>
      <c r="AE261" s="2150"/>
      <c r="AF261" s="2143"/>
      <c r="AG261" s="2143"/>
      <c r="AH261" s="2143"/>
      <c r="AI261" s="2151"/>
    </row>
    <row r="262" spans="1:35" ht="18" customHeight="1">
      <c r="A262" s="122" t="s">
        <v>332</v>
      </c>
    </row>
    <row r="263" spans="1:35" ht="18" customHeight="1" thickBot="1">
      <c r="A263" s="2170"/>
      <c r="B263" s="2153" t="s">
        <v>29</v>
      </c>
      <c r="C263" s="1811">
        <v>1</v>
      </c>
      <c r="D263" s="1812">
        <v>2</v>
      </c>
      <c r="E263" s="1812">
        <v>3</v>
      </c>
      <c r="F263" s="1812">
        <v>4</v>
      </c>
      <c r="G263" s="1812">
        <v>5</v>
      </c>
      <c r="H263" s="1812">
        <v>6</v>
      </c>
      <c r="I263" s="1811">
        <v>7</v>
      </c>
      <c r="J263" s="1811">
        <v>8</v>
      </c>
      <c r="K263" s="1812">
        <v>9</v>
      </c>
      <c r="L263" s="1812">
        <v>10</v>
      </c>
      <c r="M263" s="1812">
        <v>11</v>
      </c>
      <c r="N263" s="1812">
        <v>12</v>
      </c>
      <c r="O263" s="1812">
        <v>13</v>
      </c>
      <c r="P263" s="1811">
        <v>14</v>
      </c>
      <c r="Q263" s="1811">
        <v>15</v>
      </c>
      <c r="R263" s="1812">
        <v>16</v>
      </c>
      <c r="S263" s="1812">
        <v>17</v>
      </c>
      <c r="T263" s="1812">
        <v>18</v>
      </c>
      <c r="U263" s="1812">
        <v>19</v>
      </c>
      <c r="V263" s="1812">
        <v>20</v>
      </c>
      <c r="W263" s="1811">
        <v>21</v>
      </c>
      <c r="X263" s="1811">
        <v>22</v>
      </c>
      <c r="Y263" s="1812">
        <v>23</v>
      </c>
      <c r="Z263" s="1812">
        <v>24</v>
      </c>
      <c r="AA263" s="1812">
        <v>25</v>
      </c>
      <c r="AB263" s="1812">
        <v>26</v>
      </c>
      <c r="AC263" s="1812">
        <v>27</v>
      </c>
      <c r="AD263" s="1811">
        <v>28</v>
      </c>
      <c r="AE263" s="1811">
        <v>29</v>
      </c>
      <c r="AF263" s="1812">
        <v>30</v>
      </c>
      <c r="AG263" s="1813"/>
      <c r="AH263" s="23"/>
      <c r="AI263" s="24"/>
    </row>
    <row r="264" spans="1:35" ht="18" customHeight="1">
      <c r="A264" s="121">
        <v>8500</v>
      </c>
      <c r="B264" s="123" t="s">
        <v>333</v>
      </c>
      <c r="C264" s="1053"/>
      <c r="D264" s="1031" t="s">
        <v>31</v>
      </c>
      <c r="E264" s="1053" t="s">
        <v>31</v>
      </c>
      <c r="F264" s="1053" t="s">
        <v>31</v>
      </c>
      <c r="G264" s="1053" t="s">
        <v>31</v>
      </c>
      <c r="H264" s="1053" t="s">
        <v>31</v>
      </c>
      <c r="I264" s="1053"/>
      <c r="J264" s="1053"/>
      <c r="K264" s="1053" t="s">
        <v>31</v>
      </c>
      <c r="L264" s="1053" t="s">
        <v>31</v>
      </c>
      <c r="M264" s="1053" t="s">
        <v>31</v>
      </c>
      <c r="N264" s="1053" t="s">
        <v>31</v>
      </c>
      <c r="O264" s="1053" t="s">
        <v>31</v>
      </c>
      <c r="P264" s="1053"/>
      <c r="Q264" s="1053"/>
      <c r="R264" s="1648" t="s">
        <v>31</v>
      </c>
      <c r="S264" s="1053" t="s">
        <v>31</v>
      </c>
      <c r="T264" s="1053" t="s">
        <v>31</v>
      </c>
      <c r="U264" s="1053" t="s">
        <v>31</v>
      </c>
      <c r="V264" s="1053" t="s">
        <v>31</v>
      </c>
      <c r="W264" s="1053"/>
      <c r="X264" s="1053"/>
      <c r="Y264" s="1053" t="s">
        <v>31</v>
      </c>
      <c r="Z264" s="1053" t="s">
        <v>31</v>
      </c>
      <c r="AA264" s="1053" t="s">
        <v>31</v>
      </c>
      <c r="AB264" s="1053" t="s">
        <v>31</v>
      </c>
      <c r="AC264" s="1053" t="s">
        <v>31</v>
      </c>
      <c r="AD264" s="1053"/>
      <c r="AE264" s="1053"/>
      <c r="AF264" s="1053" t="s">
        <v>31</v>
      </c>
      <c r="AG264" s="1744"/>
      <c r="AH264" s="124"/>
      <c r="AI264" s="125"/>
    </row>
    <row r="265" spans="1:35" ht="18" customHeight="1">
      <c r="A265" s="1745"/>
      <c r="B265" s="2171" t="s">
        <v>334</v>
      </c>
      <c r="C265" s="1744"/>
      <c r="D265" s="1846" t="s">
        <v>31</v>
      </c>
      <c r="E265" s="1846" t="s">
        <v>31</v>
      </c>
      <c r="F265" s="1846" t="s">
        <v>31</v>
      </c>
      <c r="G265" s="1846" t="s">
        <v>31</v>
      </c>
      <c r="H265" s="1846" t="s">
        <v>31</v>
      </c>
      <c r="I265" s="1846"/>
      <c r="J265" s="1846"/>
      <c r="K265" s="1846" t="s">
        <v>31</v>
      </c>
      <c r="L265" s="1846" t="s">
        <v>31</v>
      </c>
      <c r="M265" s="1846" t="s">
        <v>31</v>
      </c>
      <c r="N265" s="1846" t="s">
        <v>31</v>
      </c>
      <c r="O265" s="1846" t="s">
        <v>31</v>
      </c>
      <c r="P265" s="1846"/>
      <c r="Q265" s="1846"/>
      <c r="R265" s="1846" t="s">
        <v>31</v>
      </c>
      <c r="S265" s="1846" t="s">
        <v>31</v>
      </c>
      <c r="T265" s="1846" t="s">
        <v>31</v>
      </c>
      <c r="U265" s="1846" t="s">
        <v>31</v>
      </c>
      <c r="V265" s="1846" t="s">
        <v>31</v>
      </c>
      <c r="W265" s="1846"/>
      <c r="X265" s="1846"/>
      <c r="Y265" s="1744" t="s">
        <v>31</v>
      </c>
      <c r="Z265" s="1744" t="s">
        <v>31</v>
      </c>
      <c r="AA265" s="1744" t="s">
        <v>31</v>
      </c>
      <c r="AB265" s="1744" t="s">
        <v>31</v>
      </c>
      <c r="AC265" s="1744" t="s">
        <v>31</v>
      </c>
      <c r="AD265" s="1744"/>
      <c r="AE265" s="1744"/>
      <c r="AF265" s="1744" t="s">
        <v>31</v>
      </c>
      <c r="AG265" s="1744"/>
      <c r="AH265" s="124"/>
      <c r="AI265" s="125"/>
    </row>
    <row r="266" spans="1:35" ht="18" customHeight="1">
      <c r="A266" s="2172"/>
      <c r="B266" s="2171" t="s">
        <v>335</v>
      </c>
      <c r="C266" s="1744"/>
      <c r="D266" s="1744" t="s">
        <v>31</v>
      </c>
      <c r="E266" s="1917" t="s">
        <v>336</v>
      </c>
      <c r="F266" s="1712" t="s">
        <v>31</v>
      </c>
      <c r="G266" s="1712" t="s">
        <v>31</v>
      </c>
      <c r="H266" s="1712" t="s">
        <v>31</v>
      </c>
      <c r="I266" s="1744"/>
      <c r="J266" s="1744"/>
      <c r="K266" s="1744" t="s">
        <v>31</v>
      </c>
      <c r="L266" s="1919" t="s">
        <v>31</v>
      </c>
      <c r="M266" s="1744" t="s">
        <v>31</v>
      </c>
      <c r="N266" s="1744" t="s">
        <v>31</v>
      </c>
      <c r="O266" s="1744" t="s">
        <v>31</v>
      </c>
      <c r="P266" s="1744"/>
      <c r="Q266" s="1744"/>
      <c r="R266" s="1744" t="s">
        <v>31</v>
      </c>
      <c r="S266" s="1744" t="s">
        <v>31</v>
      </c>
      <c r="T266" s="1744" t="s">
        <v>31</v>
      </c>
      <c r="U266" s="1701" t="s">
        <v>304</v>
      </c>
      <c r="V266" s="1762" t="s">
        <v>31</v>
      </c>
      <c r="W266" s="1744"/>
      <c r="X266" s="1744"/>
      <c r="Y266" s="1744" t="s">
        <v>31</v>
      </c>
      <c r="Z266" s="1701" t="s">
        <v>336</v>
      </c>
      <c r="AA266" s="1762" t="s">
        <v>31</v>
      </c>
      <c r="AB266" s="1762" t="s">
        <v>31</v>
      </c>
      <c r="AC266" s="1762" t="s">
        <v>31</v>
      </c>
      <c r="AD266" s="1744"/>
      <c r="AE266" s="1744"/>
      <c r="AF266" s="1744" t="s">
        <v>31</v>
      </c>
      <c r="AG266" s="1744"/>
      <c r="AH266" s="124"/>
      <c r="AI266" s="125"/>
    </row>
    <row r="267" spans="1:35" ht="18" customHeight="1">
      <c r="A267" s="29"/>
      <c r="B267" s="2173"/>
      <c r="C267" s="1744"/>
      <c r="D267" s="1744"/>
      <c r="E267" s="1744"/>
      <c r="F267" s="1744"/>
      <c r="G267" s="1744"/>
      <c r="H267" s="1744"/>
      <c r="I267" s="1744"/>
      <c r="J267" s="1744"/>
      <c r="K267" s="1744"/>
      <c r="L267" s="1744"/>
      <c r="M267" s="1744"/>
      <c r="N267" s="1744"/>
      <c r="O267" s="1744"/>
      <c r="P267" s="1744"/>
      <c r="Q267" s="1744"/>
      <c r="R267" s="1744"/>
      <c r="S267" s="1744"/>
      <c r="T267" s="1744"/>
      <c r="U267" s="1744"/>
      <c r="V267" s="1744"/>
      <c r="W267" s="1744"/>
      <c r="X267" s="1744"/>
      <c r="Y267" s="1744"/>
      <c r="Z267" s="1744"/>
      <c r="AA267" s="1744"/>
      <c r="AB267" s="1744"/>
      <c r="AC267" s="1744"/>
      <c r="AD267" s="1744"/>
      <c r="AE267" s="1744"/>
      <c r="AF267" s="1744"/>
      <c r="AG267" s="1749"/>
      <c r="AH267" s="124"/>
      <c r="AI267" s="125"/>
    </row>
    <row r="268" spans="1:35" ht="18" customHeight="1">
      <c r="A268" s="1750"/>
      <c r="B268" s="2173"/>
      <c r="C268" s="1728"/>
      <c r="D268" s="1728"/>
      <c r="E268" s="1728"/>
      <c r="F268" s="1728"/>
      <c r="G268" s="1728"/>
      <c r="H268" s="1728"/>
      <c r="I268" s="1728"/>
      <c r="J268" s="1728"/>
      <c r="K268" s="1728"/>
      <c r="L268" s="1728"/>
      <c r="M268" s="1728"/>
      <c r="N268" s="1887"/>
      <c r="O268" s="1887"/>
      <c r="P268" s="1728"/>
      <c r="Q268" s="1728"/>
      <c r="R268" s="1728"/>
      <c r="S268" s="1728"/>
      <c r="T268" s="1728"/>
      <c r="U268" s="1728"/>
      <c r="V268" s="1728"/>
      <c r="W268" s="1728"/>
      <c r="X268" s="1728"/>
      <c r="Y268" s="1728"/>
      <c r="Z268" s="1728"/>
      <c r="AA268" s="1728"/>
      <c r="AB268" s="1887"/>
      <c r="AC268" s="1887"/>
      <c r="AD268" s="1728"/>
      <c r="AE268" s="1728"/>
      <c r="AF268" s="1728"/>
      <c r="AG268" s="1728"/>
      <c r="AH268" s="126"/>
      <c r="AI268" s="127"/>
    </row>
    <row r="269" spans="1:35" ht="18" customHeight="1">
      <c r="A269" s="1751"/>
      <c r="B269" s="2174"/>
      <c r="C269" s="1728"/>
      <c r="D269" s="1728"/>
      <c r="E269" s="1728"/>
      <c r="F269" s="1728"/>
      <c r="G269" s="1728"/>
      <c r="H269" s="1728"/>
      <c r="I269" s="1728"/>
      <c r="J269" s="1728"/>
      <c r="K269" s="1728"/>
      <c r="L269" s="1728"/>
      <c r="M269" s="1728"/>
      <c r="N269" s="1887"/>
      <c r="O269" s="1887"/>
      <c r="P269" s="1728"/>
      <c r="Q269" s="1728"/>
      <c r="R269" s="1728"/>
      <c r="S269" s="1728"/>
      <c r="T269" s="1728"/>
      <c r="U269" s="1728"/>
      <c r="V269" s="1728"/>
      <c r="W269" s="1728"/>
      <c r="X269" s="1728"/>
      <c r="Y269" s="1728"/>
      <c r="Z269" s="1728"/>
      <c r="AA269" s="1728"/>
      <c r="AB269" s="1887"/>
      <c r="AC269" s="1887"/>
      <c r="AD269" s="1728"/>
      <c r="AE269" s="1728"/>
      <c r="AF269" s="1728"/>
      <c r="AG269" s="1728"/>
      <c r="AH269" s="126"/>
      <c r="AI269" s="127"/>
    </row>
    <row r="270" spans="1:35" ht="18" customHeight="1" thickBot="1">
      <c r="A270" s="416"/>
      <c r="B270" s="413"/>
      <c r="C270" s="2175"/>
      <c r="D270" s="2176"/>
      <c r="E270" s="2176"/>
      <c r="F270" s="2176"/>
      <c r="G270" s="2176"/>
      <c r="H270" s="2176"/>
      <c r="I270" s="2176"/>
      <c r="J270" s="2176"/>
      <c r="K270" s="2176"/>
      <c r="L270" s="2176"/>
      <c r="M270" s="2176"/>
      <c r="N270" s="2177"/>
      <c r="O270" s="2177"/>
      <c r="P270" s="2176"/>
      <c r="Q270" s="2176"/>
      <c r="R270" s="2176"/>
      <c r="S270" s="2176"/>
      <c r="T270" s="2176"/>
      <c r="U270" s="2176"/>
      <c r="V270" s="2176"/>
      <c r="W270" s="2176"/>
      <c r="X270" s="2176"/>
      <c r="Y270" s="2176"/>
      <c r="Z270" s="2176"/>
      <c r="AA270" s="2176"/>
      <c r="AB270" s="2177"/>
      <c r="AC270" s="2177"/>
      <c r="AD270" s="2176"/>
      <c r="AE270" s="2176"/>
      <c r="AF270" s="2176"/>
      <c r="AG270" s="2178"/>
      <c r="AH270" s="126"/>
      <c r="AI270" s="127"/>
    </row>
    <row r="271" spans="1:35" ht="18" customHeight="1"/>
    <row r="272" spans="1:35" ht="18" customHeight="1" thickBot="1">
      <c r="A272" s="14" t="s">
        <v>337</v>
      </c>
    </row>
    <row r="273" spans="1:35" ht="18" customHeight="1">
      <c r="A273" s="1"/>
      <c r="B273" s="1036" t="s">
        <v>281</v>
      </c>
      <c r="C273" s="901"/>
      <c r="D273" s="925" t="s">
        <v>87</v>
      </c>
      <c r="E273" s="705"/>
      <c r="F273" s="905"/>
      <c r="G273" s="901"/>
      <c r="H273" s="925" t="s">
        <v>88</v>
      </c>
      <c r="I273" s="705"/>
      <c r="J273" s="905"/>
      <c r="K273" s="901"/>
      <c r="L273" s="925" t="s">
        <v>89</v>
      </c>
      <c r="M273" s="705"/>
      <c r="N273" s="905"/>
      <c r="O273" s="901"/>
      <c r="P273" s="925" t="s">
        <v>90</v>
      </c>
      <c r="Q273" s="705"/>
      <c r="R273" s="905"/>
      <c r="S273" s="901"/>
      <c r="T273" s="925" t="s">
        <v>91</v>
      </c>
      <c r="U273" s="705"/>
      <c r="V273" s="905"/>
      <c r="W273" s="901"/>
      <c r="X273" s="925" t="s">
        <v>92</v>
      </c>
      <c r="Y273" s="705"/>
      <c r="Z273" s="905"/>
      <c r="AA273" s="901"/>
      <c r="AB273" s="925" t="s">
        <v>93</v>
      </c>
      <c r="AC273" s="705"/>
      <c r="AD273" s="705"/>
      <c r="AE273" s="928" t="s">
        <v>94</v>
      </c>
      <c r="AF273" s="705"/>
      <c r="AG273" s="705"/>
      <c r="AH273" s="705"/>
      <c r="AI273" s="706"/>
    </row>
    <row r="274" spans="1:35" ht="18" customHeight="1">
      <c r="A274" s="1"/>
      <c r="B274" s="116"/>
      <c r="C274" s="121"/>
      <c r="D274" s="111"/>
      <c r="E274" s="8"/>
      <c r="F274" s="120"/>
      <c r="G274" s="121"/>
      <c r="H274" s="111"/>
      <c r="I274" s="8"/>
      <c r="J274" s="120"/>
      <c r="K274" s="121"/>
      <c r="L274" s="111"/>
      <c r="M274" s="8"/>
      <c r="N274" s="120"/>
      <c r="O274" s="121"/>
      <c r="P274" s="111"/>
      <c r="Q274" s="8"/>
      <c r="R274" s="120"/>
      <c r="S274" s="121"/>
      <c r="T274" s="111"/>
      <c r="U274" s="8"/>
      <c r="V274" s="120"/>
      <c r="W274" s="121"/>
      <c r="X274" s="111"/>
      <c r="Y274" s="8"/>
      <c r="Z274" s="120"/>
      <c r="AA274" s="121"/>
      <c r="AB274" s="111"/>
      <c r="AC274" s="8"/>
      <c r="AD274" s="8"/>
      <c r="AE274" s="112"/>
      <c r="AF274" s="8"/>
      <c r="AG274" s="8"/>
      <c r="AH274" s="8"/>
      <c r="AI274" s="105"/>
    </row>
    <row r="275" spans="1:35" ht="18" customHeight="1">
      <c r="A275" s="87"/>
      <c r="B275" s="2140"/>
      <c r="C275" s="1902"/>
      <c r="D275" s="2179"/>
      <c r="E275" s="2179"/>
      <c r="F275" s="2113"/>
      <c r="G275" s="1902"/>
      <c r="H275" s="2179"/>
      <c r="I275" s="2179"/>
      <c r="J275" s="2113"/>
      <c r="K275" s="1902"/>
      <c r="L275" s="2179"/>
      <c r="M275" s="2179"/>
      <c r="N275" s="2113"/>
      <c r="O275" s="1902"/>
      <c r="P275" s="2179"/>
      <c r="Q275" s="2179"/>
      <c r="R275" s="2113"/>
      <c r="S275" s="1902"/>
      <c r="T275" s="2179"/>
      <c r="U275" s="2179"/>
      <c r="V275" s="2113"/>
      <c r="W275" s="1902"/>
      <c r="X275" s="2179"/>
      <c r="Y275" s="2179"/>
      <c r="Z275" s="2113"/>
      <c r="AA275" s="2004"/>
      <c r="AB275" s="2179"/>
      <c r="AC275" s="2179"/>
      <c r="AD275" s="2114"/>
      <c r="AE275" s="2180"/>
      <c r="AF275" s="2179"/>
      <c r="AG275" s="2179"/>
      <c r="AH275" s="2114"/>
      <c r="AI275" s="2090"/>
    </row>
    <row r="276" spans="1:35" ht="18" customHeight="1" thickBot="1">
      <c r="A276" s="1"/>
      <c r="B276" s="2016"/>
      <c r="C276" s="2017"/>
      <c r="D276" s="1759"/>
      <c r="E276" s="1759"/>
      <c r="F276" s="2041"/>
      <c r="G276" s="2017"/>
      <c r="H276" s="1759"/>
      <c r="I276" s="1759"/>
      <c r="J276" s="2041"/>
      <c r="K276" s="2017"/>
      <c r="L276" s="1759"/>
      <c r="M276" s="1759"/>
      <c r="N276" s="2041"/>
      <c r="O276" s="2017"/>
      <c r="P276" s="1759"/>
      <c r="Q276" s="1759"/>
      <c r="R276" s="2041"/>
      <c r="S276" s="2017"/>
      <c r="T276" s="1759"/>
      <c r="U276" s="1759"/>
      <c r="V276" s="2041"/>
      <c r="W276" s="2039"/>
      <c r="X276" s="1759"/>
      <c r="Y276" s="1759"/>
      <c r="Z276" s="2041"/>
      <c r="AA276" s="2039"/>
      <c r="AB276" s="1759"/>
      <c r="AC276" s="1759"/>
      <c r="AD276" s="2024"/>
      <c r="AE276" s="2039"/>
      <c r="AF276" s="1759"/>
      <c r="AG276" s="1759"/>
      <c r="AH276" s="2024"/>
      <c r="AI276" s="1874"/>
    </row>
    <row r="277" spans="1:35" ht="18" customHeight="1">
      <c r="A277" s="1"/>
      <c r="B277" s="113"/>
      <c r="C277" s="37"/>
      <c r="F277" s="22"/>
      <c r="G277" s="37"/>
      <c r="J277" s="22"/>
      <c r="K277" s="37"/>
      <c r="N277" s="22"/>
      <c r="O277" s="37"/>
      <c r="R277" s="22"/>
      <c r="S277" s="37"/>
      <c r="V277" s="22"/>
      <c r="W277" s="22"/>
      <c r="Z277" s="22"/>
      <c r="AA277" s="22"/>
      <c r="AD277" s="22"/>
      <c r="AE277" s="22"/>
      <c r="AH277" s="22"/>
    </row>
    <row r="278" spans="1:35" ht="18" customHeight="1">
      <c r="A278" s="14" t="s">
        <v>338</v>
      </c>
      <c r="B278" s="113"/>
      <c r="C278" s="37"/>
      <c r="F278" s="22"/>
      <c r="G278" s="37"/>
      <c r="J278" s="22"/>
      <c r="K278" s="37"/>
      <c r="N278" s="22"/>
      <c r="O278" s="37"/>
      <c r="R278" s="22"/>
      <c r="S278" s="37"/>
      <c r="V278" s="22"/>
      <c r="W278" s="22"/>
      <c r="Z278" s="22"/>
      <c r="AA278" s="22"/>
      <c r="AD278" s="22"/>
      <c r="AE278" s="22"/>
      <c r="AH278" s="22"/>
    </row>
    <row r="279" spans="1:35" ht="18" customHeight="1" thickBot="1">
      <c r="A279" s="2152" t="s">
        <v>28</v>
      </c>
      <c r="B279" s="2153" t="s">
        <v>29</v>
      </c>
      <c r="C279" s="1811">
        <v>1</v>
      </c>
      <c r="D279" s="1812">
        <v>2</v>
      </c>
      <c r="E279" s="1812">
        <v>3</v>
      </c>
      <c r="F279" s="1812">
        <v>4</v>
      </c>
      <c r="G279" s="1812">
        <v>5</v>
      </c>
      <c r="H279" s="1812">
        <v>6</v>
      </c>
      <c r="I279" s="1811">
        <v>7</v>
      </c>
      <c r="J279" s="1811">
        <v>8</v>
      </c>
      <c r="K279" s="1812">
        <v>9</v>
      </c>
      <c r="L279" s="1812">
        <v>10</v>
      </c>
      <c r="M279" s="1812">
        <v>11</v>
      </c>
      <c r="N279" s="1812">
        <v>12</v>
      </c>
      <c r="O279" s="1812">
        <v>13</v>
      </c>
      <c r="P279" s="1811">
        <v>14</v>
      </c>
      <c r="Q279" s="1811">
        <v>15</v>
      </c>
      <c r="R279" s="1812">
        <v>16</v>
      </c>
      <c r="S279" s="1812">
        <v>17</v>
      </c>
      <c r="T279" s="1812">
        <v>18</v>
      </c>
      <c r="U279" s="1812">
        <v>19</v>
      </c>
      <c r="V279" s="1812">
        <v>20</v>
      </c>
      <c r="W279" s="1811">
        <v>21</v>
      </c>
      <c r="X279" s="1811">
        <v>22</v>
      </c>
      <c r="Y279" s="1812">
        <v>23</v>
      </c>
      <c r="Z279" s="1812">
        <v>24</v>
      </c>
      <c r="AA279" s="1812">
        <v>25</v>
      </c>
      <c r="AB279" s="1812">
        <v>26</v>
      </c>
      <c r="AC279" s="1812">
        <v>27</v>
      </c>
      <c r="AD279" s="1811">
        <v>28</v>
      </c>
      <c r="AE279" s="1811">
        <v>29</v>
      </c>
      <c r="AF279" s="1812">
        <v>30</v>
      </c>
      <c r="AG279" s="1813"/>
      <c r="AH279" s="128"/>
      <c r="AI279" s="24"/>
    </row>
    <row r="280" spans="1:35" ht="18" customHeight="1">
      <c r="A280" s="129"/>
      <c r="B280" s="130" t="s">
        <v>339</v>
      </c>
      <c r="C280" s="1919"/>
      <c r="D280" s="1919" t="s">
        <v>31</v>
      </c>
      <c r="E280" s="1919" t="s">
        <v>31</v>
      </c>
      <c r="F280" s="1919" t="s">
        <v>31</v>
      </c>
      <c r="G280" s="1919" t="s">
        <v>31</v>
      </c>
      <c r="H280" s="1919" t="s">
        <v>31</v>
      </c>
      <c r="I280" s="1919"/>
      <c r="J280" s="1919"/>
      <c r="K280" s="1919" t="s">
        <v>31</v>
      </c>
      <c r="L280" s="1919" t="s">
        <v>31</v>
      </c>
      <c r="M280" s="1919" t="s">
        <v>31</v>
      </c>
      <c r="N280" s="1919" t="s">
        <v>31</v>
      </c>
      <c r="O280" s="1919" t="s">
        <v>31</v>
      </c>
      <c r="P280" s="1919"/>
      <c r="Q280" s="1919"/>
      <c r="R280" s="1919" t="s">
        <v>31</v>
      </c>
      <c r="S280" s="1919" t="s">
        <v>31</v>
      </c>
      <c r="T280" s="1919" t="s">
        <v>31</v>
      </c>
      <c r="U280" s="1919" t="s">
        <v>31</v>
      </c>
      <c r="V280" s="1919" t="s">
        <v>31</v>
      </c>
      <c r="W280" s="1919"/>
      <c r="X280" s="1919"/>
      <c r="Y280" s="1919" t="s">
        <v>31</v>
      </c>
      <c r="Z280" s="1919" t="s">
        <v>31</v>
      </c>
      <c r="AA280" s="1919" t="s">
        <v>31</v>
      </c>
      <c r="AB280" s="1919" t="s">
        <v>31</v>
      </c>
      <c r="AC280" s="1701" t="s">
        <v>336</v>
      </c>
      <c r="AD280" s="1712"/>
      <c r="AE280" s="1712"/>
      <c r="AF280" s="1712" t="s">
        <v>31</v>
      </c>
      <c r="AG280" s="1744"/>
      <c r="AH280" s="131"/>
      <c r="AI280" s="125"/>
    </row>
    <row r="281" spans="1:35" ht="18" customHeight="1">
      <c r="A281" s="2181"/>
      <c r="B281" s="2182" t="s">
        <v>340</v>
      </c>
      <c r="C281" s="1744"/>
      <c r="D281" s="1699" t="s">
        <v>31</v>
      </c>
      <c r="E281" s="1699" t="s">
        <v>31</v>
      </c>
      <c r="F281" s="1697" t="s">
        <v>31</v>
      </c>
      <c r="G281" s="2183" t="s">
        <v>31</v>
      </c>
      <c r="H281" s="2183" t="s">
        <v>31</v>
      </c>
      <c r="I281" s="1744"/>
      <c r="J281" s="1744"/>
      <c r="K281" s="1697" t="s">
        <v>31</v>
      </c>
      <c r="L281" s="1744" t="s">
        <v>31</v>
      </c>
      <c r="M281" s="1744" t="s">
        <v>31</v>
      </c>
      <c r="N281" s="1744" t="s">
        <v>31</v>
      </c>
      <c r="O281" s="1744" t="s">
        <v>31</v>
      </c>
      <c r="P281" s="1744"/>
      <c r="Q281" s="1744"/>
      <c r="R281" s="1744" t="s">
        <v>31</v>
      </c>
      <c r="S281" s="1744" t="s">
        <v>31</v>
      </c>
      <c r="T281" s="1744" t="s">
        <v>31</v>
      </c>
      <c r="U281" s="1744" t="s">
        <v>31</v>
      </c>
      <c r="V281" s="1744" t="s">
        <v>31</v>
      </c>
      <c r="W281" s="1744"/>
      <c r="X281" s="1744"/>
      <c r="Y281" s="1744" t="s">
        <v>31</v>
      </c>
      <c r="Z281" s="1744" t="s">
        <v>31</v>
      </c>
      <c r="AA281" s="1744" t="s">
        <v>31</v>
      </c>
      <c r="AB281" s="1744" t="s">
        <v>31</v>
      </c>
      <c r="AC281" s="1744" t="s">
        <v>31</v>
      </c>
      <c r="AD281" s="1744"/>
      <c r="AE281" s="1744"/>
      <c r="AF281" s="1744" t="s">
        <v>31</v>
      </c>
      <c r="AG281" s="1744"/>
      <c r="AH281" s="131"/>
      <c r="AI281" s="125"/>
    </row>
    <row r="282" spans="1:35" ht="18" customHeight="1">
      <c r="A282" s="2154"/>
      <c r="B282" s="2182" t="s">
        <v>341</v>
      </c>
      <c r="C282" s="1744"/>
      <c r="D282" s="1694" t="s">
        <v>31</v>
      </c>
      <c r="E282" s="1744" t="s">
        <v>31</v>
      </c>
      <c r="F282" s="1744" t="s">
        <v>31</v>
      </c>
      <c r="G282" s="1744" t="s">
        <v>31</v>
      </c>
      <c r="H282" s="1744" t="s">
        <v>31</v>
      </c>
      <c r="I282" s="1744"/>
      <c r="J282" s="1744"/>
      <c r="K282" s="1744" t="s">
        <v>31</v>
      </c>
      <c r="L282" s="1744" t="s">
        <v>31</v>
      </c>
      <c r="M282" s="1744" t="s">
        <v>31</v>
      </c>
      <c r="N282" s="1744" t="s">
        <v>31</v>
      </c>
      <c r="O282" s="1744" t="s">
        <v>31</v>
      </c>
      <c r="P282" s="1744"/>
      <c r="Q282" s="1744"/>
      <c r="R282" s="1744" t="s">
        <v>31</v>
      </c>
      <c r="S282" s="1744" t="s">
        <v>31</v>
      </c>
      <c r="T282" s="1744" t="s">
        <v>31</v>
      </c>
      <c r="U282" s="1744" t="s">
        <v>31</v>
      </c>
      <c r="V282" s="1744" t="s">
        <v>31</v>
      </c>
      <c r="W282" s="1744"/>
      <c r="X282" s="1744"/>
      <c r="Y282" s="1744" t="s">
        <v>31</v>
      </c>
      <c r="Z282" s="1744" t="s">
        <v>31</v>
      </c>
      <c r="AA282" s="1744" t="s">
        <v>31</v>
      </c>
      <c r="AB282" s="1744" t="s">
        <v>31</v>
      </c>
      <c r="AC282" s="1744" t="s">
        <v>31</v>
      </c>
      <c r="AD282" s="1744"/>
      <c r="AE282" s="1744"/>
      <c r="AF282" s="1744" t="s">
        <v>31</v>
      </c>
      <c r="AG282" s="1744"/>
      <c r="AH282" s="131"/>
      <c r="AI282" s="125"/>
    </row>
    <row r="283" spans="1:35" ht="18" customHeight="1">
      <c r="A283" s="2154"/>
      <c r="B283" s="2182" t="s">
        <v>342</v>
      </c>
      <c r="C283" s="1744"/>
      <c r="D283" s="1694" t="s">
        <v>31</v>
      </c>
      <c r="E283" s="1744" t="s">
        <v>31</v>
      </c>
      <c r="F283" s="1744" t="s">
        <v>31</v>
      </c>
      <c r="G283" s="1744" t="s">
        <v>31</v>
      </c>
      <c r="H283" s="1744" t="s">
        <v>31</v>
      </c>
      <c r="I283" s="1744"/>
      <c r="J283" s="1744"/>
      <c r="K283" s="1744" t="s">
        <v>31</v>
      </c>
      <c r="L283" s="1744" t="s">
        <v>31</v>
      </c>
      <c r="M283" s="1744" t="s">
        <v>31</v>
      </c>
      <c r="N283" s="1846" t="s">
        <v>31</v>
      </c>
      <c r="O283" s="1846" t="s">
        <v>31</v>
      </c>
      <c r="P283" s="1846"/>
      <c r="Q283" s="1846"/>
      <c r="R283" s="1846" t="s">
        <v>31</v>
      </c>
      <c r="S283" s="1846" t="s">
        <v>31</v>
      </c>
      <c r="T283" s="1846" t="s">
        <v>31</v>
      </c>
      <c r="U283" s="1846" t="s">
        <v>31</v>
      </c>
      <c r="V283" s="1744" t="s">
        <v>31</v>
      </c>
      <c r="W283" s="1744"/>
      <c r="X283" s="1744"/>
      <c r="Y283" s="1744" t="s">
        <v>31</v>
      </c>
      <c r="Z283" s="1744" t="s">
        <v>31</v>
      </c>
      <c r="AA283" s="1744" t="s">
        <v>31</v>
      </c>
      <c r="AB283" s="1744" t="s">
        <v>31</v>
      </c>
      <c r="AC283" s="1744" t="s">
        <v>31</v>
      </c>
      <c r="AD283" s="1744"/>
      <c r="AE283" s="1744"/>
      <c r="AF283" s="1744" t="s">
        <v>31</v>
      </c>
      <c r="AG283" s="1744"/>
      <c r="AH283" s="131"/>
      <c r="AI283" s="125"/>
    </row>
    <row r="284" spans="1:35" ht="18" customHeight="1">
      <c r="A284" s="2154"/>
      <c r="B284" s="2182" t="s">
        <v>343</v>
      </c>
      <c r="C284" s="1744"/>
      <c r="D284" s="1697" t="s">
        <v>31</v>
      </c>
      <c r="E284" s="1846" t="s">
        <v>31</v>
      </c>
      <c r="F284" s="1846" t="s">
        <v>31</v>
      </c>
      <c r="G284" s="1744" t="s">
        <v>31</v>
      </c>
      <c r="H284" s="1744" t="s">
        <v>31</v>
      </c>
      <c r="I284" s="1744"/>
      <c r="J284" s="1744"/>
      <c r="K284" s="1744" t="s">
        <v>31</v>
      </c>
      <c r="L284" s="1744" t="s">
        <v>31</v>
      </c>
      <c r="M284" s="1744" t="s">
        <v>31</v>
      </c>
      <c r="N284" s="1744" t="s">
        <v>31</v>
      </c>
      <c r="O284" s="1744" t="s">
        <v>31</v>
      </c>
      <c r="P284" s="1744"/>
      <c r="Q284" s="1744"/>
      <c r="R284" s="1744" t="s">
        <v>31</v>
      </c>
      <c r="S284" s="1744" t="s">
        <v>31</v>
      </c>
      <c r="T284" s="1744" t="s">
        <v>31</v>
      </c>
      <c r="U284" s="1744" t="s">
        <v>31</v>
      </c>
      <c r="V284" s="1744" t="s">
        <v>31</v>
      </c>
      <c r="W284" s="1744"/>
      <c r="X284" s="1744"/>
      <c r="Y284" s="1744" t="s">
        <v>31</v>
      </c>
      <c r="Z284" s="1744" t="s">
        <v>31</v>
      </c>
      <c r="AA284" s="1744" t="s">
        <v>31</v>
      </c>
      <c r="AB284" s="1744" t="s">
        <v>31</v>
      </c>
      <c r="AC284" s="1744" t="s">
        <v>31</v>
      </c>
      <c r="AD284" s="1744"/>
      <c r="AE284" s="1744"/>
      <c r="AF284" s="1744" t="s">
        <v>31</v>
      </c>
      <c r="AG284" s="1728"/>
      <c r="AH284" s="131"/>
      <c r="AI284" s="125"/>
    </row>
    <row r="285" spans="1:35" ht="18" customHeight="1">
      <c r="A285" s="2154"/>
      <c r="B285" s="2182" t="s">
        <v>344</v>
      </c>
      <c r="C285" s="1744"/>
      <c r="D285" s="1699" t="s">
        <v>31</v>
      </c>
      <c r="E285" s="1699" t="s">
        <v>31</v>
      </c>
      <c r="F285" s="1699" t="s">
        <v>31</v>
      </c>
      <c r="G285" s="2183" t="s">
        <v>31</v>
      </c>
      <c r="H285" s="2183" t="s">
        <v>31</v>
      </c>
      <c r="I285" s="1744"/>
      <c r="J285" s="1744"/>
      <c r="K285" s="1744" t="s">
        <v>31</v>
      </c>
      <c r="L285" s="1744" t="s">
        <v>31</v>
      </c>
      <c r="M285" s="1744" t="s">
        <v>31</v>
      </c>
      <c r="N285" s="1744" t="s">
        <v>31</v>
      </c>
      <c r="O285" s="1744" t="s">
        <v>31</v>
      </c>
      <c r="P285" s="1744"/>
      <c r="Q285" s="1744"/>
      <c r="R285" s="1744" t="s">
        <v>31</v>
      </c>
      <c r="S285" s="1744" t="s">
        <v>31</v>
      </c>
      <c r="T285" s="1744" t="s">
        <v>31</v>
      </c>
      <c r="U285" s="1744" t="s">
        <v>31</v>
      </c>
      <c r="V285" s="1744" t="s">
        <v>31</v>
      </c>
      <c r="W285" s="1744"/>
      <c r="X285" s="1744"/>
      <c r="Y285" s="1744" t="s">
        <v>31</v>
      </c>
      <c r="Z285" s="1744" t="s">
        <v>31</v>
      </c>
      <c r="AA285" s="1744" t="s">
        <v>31</v>
      </c>
      <c r="AB285" s="1744" t="s">
        <v>31</v>
      </c>
      <c r="AC285" s="1744" t="s">
        <v>31</v>
      </c>
      <c r="AD285" s="1744"/>
      <c r="AE285" s="1744"/>
      <c r="AF285" s="1744" t="s">
        <v>31</v>
      </c>
      <c r="AG285" s="1728"/>
      <c r="AH285" s="131"/>
      <c r="AI285" s="125"/>
    </row>
    <row r="286" spans="1:35" ht="18" customHeight="1">
      <c r="A286" s="2154"/>
      <c r="B286" s="2182" t="s">
        <v>345</v>
      </c>
      <c r="C286" s="1744"/>
      <c r="D286" s="1694" t="s">
        <v>31</v>
      </c>
      <c r="E286" s="1744" t="s">
        <v>31</v>
      </c>
      <c r="F286" s="1744" t="s">
        <v>31</v>
      </c>
      <c r="G286" s="1744" t="s">
        <v>31</v>
      </c>
      <c r="H286" s="1744" t="s">
        <v>31</v>
      </c>
      <c r="I286" s="1744"/>
      <c r="J286" s="1744"/>
      <c r="K286" s="1744" t="s">
        <v>31</v>
      </c>
      <c r="L286" s="1744" t="s">
        <v>31</v>
      </c>
      <c r="M286" s="1744" t="s">
        <v>31</v>
      </c>
      <c r="N286" s="1744" t="s">
        <v>31</v>
      </c>
      <c r="O286" s="1744" t="s">
        <v>31</v>
      </c>
      <c r="P286" s="1744"/>
      <c r="Q286" s="1744"/>
      <c r="R286" s="1744" t="s">
        <v>31</v>
      </c>
      <c r="S286" s="1744" t="s">
        <v>31</v>
      </c>
      <c r="T286" s="1744" t="s">
        <v>31</v>
      </c>
      <c r="U286" s="1744" t="s">
        <v>31</v>
      </c>
      <c r="V286" s="1744" t="s">
        <v>31</v>
      </c>
      <c r="W286" s="1744"/>
      <c r="X286" s="1744"/>
      <c r="Y286" s="1744" t="s">
        <v>31</v>
      </c>
      <c r="Z286" s="1744" t="s">
        <v>31</v>
      </c>
      <c r="AA286" s="1744" t="s">
        <v>31</v>
      </c>
      <c r="AB286" s="1744" t="s">
        <v>31</v>
      </c>
      <c r="AC286" s="1744" t="s">
        <v>31</v>
      </c>
      <c r="AD286" s="1744"/>
      <c r="AE286" s="1744"/>
      <c r="AF286" s="1744" t="s">
        <v>31</v>
      </c>
      <c r="AG286" s="1728"/>
      <c r="AH286" s="131"/>
      <c r="AI286" s="125"/>
    </row>
    <row r="287" spans="1:35" ht="18" customHeight="1">
      <c r="A287" s="2154"/>
      <c r="B287" s="2182" t="s">
        <v>346</v>
      </c>
      <c r="C287" s="1744"/>
      <c r="D287" s="1694" t="s">
        <v>31</v>
      </c>
      <c r="E287" s="1744" t="s">
        <v>31</v>
      </c>
      <c r="F287" s="1744" t="s">
        <v>31</v>
      </c>
      <c r="G287" s="1744" t="s">
        <v>31</v>
      </c>
      <c r="H287" s="1744" t="s">
        <v>31</v>
      </c>
      <c r="I287" s="1744"/>
      <c r="J287" s="1744"/>
      <c r="K287" s="1701" t="s">
        <v>304</v>
      </c>
      <c r="L287" s="1762" t="s">
        <v>31</v>
      </c>
      <c r="M287" s="1762" t="s">
        <v>31</v>
      </c>
      <c r="N287" s="1762" t="s">
        <v>31</v>
      </c>
      <c r="O287" s="1744" t="s">
        <v>31</v>
      </c>
      <c r="P287" s="1744"/>
      <c r="Q287" s="1744"/>
      <c r="R287" s="1744" t="s">
        <v>31</v>
      </c>
      <c r="S287" s="1744" t="s">
        <v>31</v>
      </c>
      <c r="T287" s="1744" t="s">
        <v>31</v>
      </c>
      <c r="U287" s="1744" t="s">
        <v>31</v>
      </c>
      <c r="V287" s="1744" t="s">
        <v>31</v>
      </c>
      <c r="W287" s="1744"/>
      <c r="X287" s="1744"/>
      <c r="Y287" s="2135" t="s">
        <v>31</v>
      </c>
      <c r="Z287" s="1744" t="s">
        <v>31</v>
      </c>
      <c r="AA287" s="1744" t="s">
        <v>31</v>
      </c>
      <c r="AB287" s="1744" t="s">
        <v>31</v>
      </c>
      <c r="AC287" s="1744" t="s">
        <v>31</v>
      </c>
      <c r="AD287" s="1744"/>
      <c r="AE287" s="1744"/>
      <c r="AF287" s="1744" t="s">
        <v>31</v>
      </c>
      <c r="AG287" s="1728"/>
      <c r="AH287" s="131"/>
      <c r="AI287" s="125"/>
    </row>
    <row r="288" spans="1:35" ht="18" customHeight="1">
      <c r="A288" s="2154"/>
      <c r="B288" s="2171" t="s">
        <v>347</v>
      </c>
      <c r="C288" s="1749"/>
      <c r="D288" s="1749" t="s">
        <v>31</v>
      </c>
      <c r="E288" s="1744" t="s">
        <v>31</v>
      </c>
      <c r="F288" s="1744" t="s">
        <v>31</v>
      </c>
      <c r="G288" s="1744" t="s">
        <v>31</v>
      </c>
      <c r="H288" s="1744" t="s">
        <v>31</v>
      </c>
      <c r="I288" s="1744"/>
      <c r="J288" s="1744"/>
      <c r="K288" s="1744" t="s">
        <v>31</v>
      </c>
      <c r="L288" s="1744" t="s">
        <v>31</v>
      </c>
      <c r="M288" s="1744" t="s">
        <v>31</v>
      </c>
      <c r="N288" s="1744" t="s">
        <v>31</v>
      </c>
      <c r="O288" s="1744" t="s">
        <v>31</v>
      </c>
      <c r="P288" s="1744"/>
      <c r="Q288" s="1744"/>
      <c r="R288" s="1744" t="s">
        <v>31</v>
      </c>
      <c r="S288" s="1744" t="s">
        <v>31</v>
      </c>
      <c r="T288" s="1744" t="s">
        <v>31</v>
      </c>
      <c r="U288" s="1744" t="s">
        <v>31</v>
      </c>
      <c r="V288" s="1744" t="s">
        <v>31</v>
      </c>
      <c r="W288" s="1744"/>
      <c r="X288" s="1744"/>
      <c r="Y288" s="1744" t="s">
        <v>31</v>
      </c>
      <c r="Z288" s="1744" t="s">
        <v>31</v>
      </c>
      <c r="AA288" s="1744" t="s">
        <v>31</v>
      </c>
      <c r="AB288" s="1744" t="s">
        <v>31</v>
      </c>
      <c r="AC288" s="1744" t="s">
        <v>31</v>
      </c>
      <c r="AD288" s="1744"/>
      <c r="AE288" s="1744"/>
      <c r="AF288" s="1744" t="s">
        <v>31</v>
      </c>
      <c r="AG288" s="1728"/>
      <c r="AH288" s="131"/>
      <c r="AI288" s="125"/>
    </row>
    <row r="289" spans="1:35">
      <c r="A289" s="2154"/>
      <c r="B289" s="2184" t="s">
        <v>348</v>
      </c>
      <c r="C289" s="1744"/>
      <c r="D289" s="1699" t="s">
        <v>31</v>
      </c>
      <c r="E289" s="1699" t="s">
        <v>31</v>
      </c>
      <c r="F289" s="1699" t="s">
        <v>31</v>
      </c>
      <c r="G289" s="2183" t="s">
        <v>31</v>
      </c>
      <c r="H289" s="2183" t="s">
        <v>31</v>
      </c>
      <c r="I289" s="1744"/>
      <c r="J289" s="1744"/>
      <c r="K289" s="1744" t="s">
        <v>31</v>
      </c>
      <c r="L289" s="1744" t="s">
        <v>31</v>
      </c>
      <c r="M289" s="1744" t="s">
        <v>31</v>
      </c>
      <c r="N289" s="1744" t="s">
        <v>31</v>
      </c>
      <c r="O289" s="1744" t="s">
        <v>31</v>
      </c>
      <c r="P289" s="1744"/>
      <c r="Q289" s="1744"/>
      <c r="R289" s="1744" t="s">
        <v>31</v>
      </c>
      <c r="S289" s="1744" t="s">
        <v>31</v>
      </c>
      <c r="T289" s="1744" t="s">
        <v>31</v>
      </c>
      <c r="U289" s="1744" t="s">
        <v>31</v>
      </c>
      <c r="V289" s="1744" t="s">
        <v>31</v>
      </c>
      <c r="W289" s="1744"/>
      <c r="X289" s="1744"/>
      <c r="Y289" s="1744" t="s">
        <v>31</v>
      </c>
      <c r="Z289" s="1744" t="s">
        <v>31</v>
      </c>
      <c r="AA289" s="1744" t="s">
        <v>31</v>
      </c>
      <c r="AB289" s="1744" t="s">
        <v>31</v>
      </c>
      <c r="AC289" s="1744" t="s">
        <v>31</v>
      </c>
      <c r="AD289" s="1744"/>
      <c r="AE289" s="1744"/>
      <c r="AF289" s="1744" t="s">
        <v>31</v>
      </c>
      <c r="AG289" s="1728"/>
      <c r="AH289" s="131"/>
      <c r="AI289" s="125"/>
    </row>
    <row r="290" spans="1:35">
      <c r="A290" s="2154"/>
      <c r="B290" s="1878" t="s">
        <v>349</v>
      </c>
      <c r="C290" s="1744"/>
      <c r="D290" s="1694" t="s">
        <v>31</v>
      </c>
      <c r="E290" s="1744" t="s">
        <v>31</v>
      </c>
      <c r="F290" s="1744" t="s">
        <v>31</v>
      </c>
      <c r="G290" s="1744" t="s">
        <v>31</v>
      </c>
      <c r="H290" s="1744" t="s">
        <v>31</v>
      </c>
      <c r="I290" s="1744"/>
      <c r="J290" s="1744"/>
      <c r="K290" s="1744" t="s">
        <v>31</v>
      </c>
      <c r="L290" s="1744" t="s">
        <v>31</v>
      </c>
      <c r="M290" s="1744" t="s">
        <v>31</v>
      </c>
      <c r="N290" s="1744" t="s">
        <v>31</v>
      </c>
      <c r="O290" s="1744" t="s">
        <v>31</v>
      </c>
      <c r="P290" s="1744"/>
      <c r="Q290" s="1744"/>
      <c r="R290" s="1744" t="s">
        <v>31</v>
      </c>
      <c r="S290" s="1744" t="s">
        <v>31</v>
      </c>
      <c r="T290" s="1744" t="s">
        <v>31</v>
      </c>
      <c r="U290" s="1744" t="s">
        <v>31</v>
      </c>
      <c r="V290" s="1744" t="s">
        <v>31</v>
      </c>
      <c r="W290" s="1744"/>
      <c r="X290" s="1744"/>
      <c r="Y290" s="1744" t="s">
        <v>31</v>
      </c>
      <c r="Z290" s="1744" t="s">
        <v>31</v>
      </c>
      <c r="AA290" s="1744" t="s">
        <v>31</v>
      </c>
      <c r="AB290" s="1744" t="s">
        <v>31</v>
      </c>
      <c r="AC290" s="1744" t="s">
        <v>31</v>
      </c>
      <c r="AD290" s="1744"/>
      <c r="AE290" s="1744"/>
      <c r="AF290" s="1744" t="s">
        <v>31</v>
      </c>
      <c r="AG290" s="1728"/>
      <c r="AH290" s="131"/>
      <c r="AI290" s="125"/>
    </row>
    <row r="291" spans="1:35">
      <c r="A291" s="2154"/>
      <c r="B291" s="2184"/>
      <c r="C291" s="1744"/>
      <c r="D291" s="1694"/>
      <c r="E291" s="1744"/>
      <c r="F291" s="1744"/>
      <c r="G291" s="1744"/>
      <c r="H291" s="1744"/>
      <c r="I291" s="1744"/>
      <c r="J291" s="1744"/>
      <c r="K291" s="1744"/>
      <c r="L291" s="1744"/>
      <c r="M291" s="1744"/>
      <c r="N291" s="1744"/>
      <c r="O291" s="1744"/>
      <c r="P291" s="1744"/>
      <c r="Q291" s="1744"/>
      <c r="R291" s="1744"/>
      <c r="S291" s="1744"/>
      <c r="T291" s="1744"/>
      <c r="U291" s="1744"/>
      <c r="V291" s="1744"/>
      <c r="W291" s="1744"/>
      <c r="X291" s="1744"/>
      <c r="Y291" s="1744"/>
      <c r="Z291" s="1744"/>
      <c r="AA291" s="1744"/>
      <c r="AB291" s="1744"/>
      <c r="AC291" s="1744"/>
      <c r="AD291" s="1744"/>
      <c r="AE291" s="1744"/>
      <c r="AF291" s="1744"/>
      <c r="AG291" s="1728"/>
      <c r="AH291" s="131"/>
      <c r="AI291" s="125"/>
    </row>
    <row r="292" spans="1:35">
      <c r="A292" s="2185"/>
      <c r="B292" s="2184"/>
      <c r="C292" s="1728"/>
      <c r="D292" s="1728"/>
      <c r="E292" s="1728"/>
      <c r="F292" s="1728"/>
      <c r="G292" s="1728"/>
      <c r="H292" s="1728"/>
      <c r="I292" s="1728"/>
      <c r="J292" s="1728"/>
      <c r="K292" s="1728"/>
      <c r="L292" s="1728"/>
      <c r="M292" s="1728"/>
      <c r="N292" s="1887"/>
      <c r="O292" s="1887"/>
      <c r="P292" s="1728"/>
      <c r="Q292" s="1728"/>
      <c r="R292" s="1728"/>
      <c r="S292" s="1728"/>
      <c r="T292" s="1728"/>
      <c r="U292" s="1728"/>
      <c r="V292" s="1728"/>
      <c r="W292" s="1728"/>
      <c r="X292" s="1728"/>
      <c r="Y292" s="1728"/>
      <c r="Z292" s="1728"/>
      <c r="AA292" s="1728"/>
      <c r="AB292" s="1887"/>
      <c r="AC292" s="1887"/>
      <c r="AD292" s="1728"/>
      <c r="AE292" s="1728"/>
      <c r="AF292" s="1728"/>
      <c r="AG292" s="1728"/>
      <c r="AH292" s="131"/>
      <c r="AI292" s="127"/>
    </row>
    <row r="293" spans="1:35" ht="15.75" thickBot="1">
      <c r="A293" s="414"/>
      <c r="B293" s="415"/>
      <c r="C293" s="2175"/>
      <c r="D293" s="2176"/>
      <c r="E293" s="2176"/>
      <c r="F293" s="2176"/>
      <c r="G293" s="2176"/>
      <c r="H293" s="2176"/>
      <c r="I293" s="2176"/>
      <c r="J293" s="2176"/>
      <c r="K293" s="2176"/>
      <c r="L293" s="2176"/>
      <c r="M293" s="2176"/>
      <c r="N293" s="2177"/>
      <c r="O293" s="2177"/>
      <c r="P293" s="2176"/>
      <c r="Q293" s="2176"/>
      <c r="R293" s="2176"/>
      <c r="S293" s="2176"/>
      <c r="T293" s="2176"/>
      <c r="U293" s="2176"/>
      <c r="V293" s="2176"/>
      <c r="W293" s="2176"/>
      <c r="X293" s="2176"/>
      <c r="Y293" s="2176"/>
      <c r="Z293" s="2176"/>
      <c r="AA293" s="2176"/>
      <c r="AB293" s="2177"/>
      <c r="AC293" s="2177"/>
      <c r="AD293" s="2176"/>
      <c r="AE293" s="2176"/>
      <c r="AF293" s="2176"/>
      <c r="AG293" s="2176"/>
      <c r="AH293" s="131"/>
      <c r="AI293" s="127"/>
    </row>
  </sheetData>
  <sheetProtection algorithmName="SHA-512" hashValue="+hOFKA9X2L8VunrEItiDQdLv2wVZTY7stEqsKGU+xUvpRYCoCduK/kHTk22R/GoeLx1dF5NrJ6QLeh4P56oh3A==" saltValue="SDkwrWl7GVuHQTG4SKpIng==" spinCount="100000" sheet="1" objects="1" scenarios="1"/>
  <protectedRanges>
    <protectedRange sqref="B219" name="Område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19:B120" name="Område1_3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22:B123" name="Område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</protectedRanges>
  <mergeCells count="1">
    <mergeCell ref="T31:Z31"/>
  </mergeCells>
  <pageMargins left="0.7" right="0.7" top="0.75" bottom="0.75" header="0.3" footer="0.3"/>
  <pageSetup paperSize="9" scale="10" orientation="landscape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8A696-334A-4E6C-A9C0-B2CC57D2FAEB}">
  <sheetPr codeName="Ark10">
    <pageSetUpPr fitToPage="1"/>
  </sheetPr>
  <dimension ref="A1:AJ294"/>
  <sheetViews>
    <sheetView topLeftCell="A69" zoomScale="80" zoomScaleNormal="80" workbookViewId="0">
      <selection activeCell="B86" sqref="B85:B86"/>
    </sheetView>
  </sheetViews>
  <sheetFormatPr defaultRowHeight="15"/>
  <cols>
    <col min="1" max="1" width="7.42578125" customWidth="1"/>
    <col min="2" max="2" width="27.28515625" customWidth="1"/>
    <col min="3" max="3" width="6.7109375" customWidth="1"/>
    <col min="4" max="4" width="6.42578125" customWidth="1"/>
    <col min="5" max="33" width="4.7109375" customWidth="1"/>
    <col min="34" max="35" width="5.28515625" customWidth="1"/>
  </cols>
  <sheetData>
    <row r="1" spans="1:35" ht="24.75" customHeight="1">
      <c r="A1" t="s">
        <v>0</v>
      </c>
      <c r="B1" s="1" t="s">
        <v>1</v>
      </c>
    </row>
    <row r="2" spans="1:35" ht="24.75" customHeight="1">
      <c r="B2" s="2186" t="s">
        <v>2</v>
      </c>
      <c r="C2" s="2187" t="s">
        <v>3</v>
      </c>
      <c r="D2" s="2188"/>
      <c r="E2" s="2189" t="s">
        <v>4</v>
      </c>
      <c r="F2" s="2190"/>
      <c r="G2" s="2191"/>
      <c r="H2" s="2191"/>
      <c r="I2" s="2191"/>
      <c r="J2" s="2191"/>
      <c r="K2" s="2192"/>
      <c r="L2" s="2193" t="s">
        <v>5</v>
      </c>
      <c r="M2" s="2194"/>
      <c r="N2" s="2195"/>
      <c r="O2" s="2196" t="s">
        <v>6</v>
      </c>
      <c r="P2" s="2197"/>
      <c r="Q2" s="2198"/>
      <c r="R2" s="2199"/>
      <c r="S2" s="2200" t="s">
        <v>7</v>
      </c>
      <c r="T2" s="2201"/>
      <c r="U2" s="2202"/>
      <c r="V2" s="2201"/>
      <c r="W2" s="2203" t="s">
        <v>8</v>
      </c>
      <c r="X2" s="2204"/>
      <c r="Y2" s="2205"/>
      <c r="Z2" s="2" t="s">
        <v>9</v>
      </c>
      <c r="AA2" s="2206"/>
      <c r="AB2" s="2207"/>
      <c r="AC2" s="2208"/>
      <c r="AD2" s="2209" t="s">
        <v>10</v>
      </c>
      <c r="AE2" s="2210"/>
      <c r="AF2" s="2210"/>
      <c r="AG2" s="2211"/>
    </row>
    <row r="3" spans="1:35" ht="24.75" customHeight="1">
      <c r="A3" s="1"/>
      <c r="B3" s="2212" t="s">
        <v>11</v>
      </c>
      <c r="C3" s="2213" t="s">
        <v>12</v>
      </c>
      <c r="D3" s="2214"/>
      <c r="E3" s="3"/>
      <c r="F3" s="4"/>
      <c r="G3" s="4"/>
      <c r="H3" s="5" t="s">
        <v>13</v>
      </c>
      <c r="I3" s="6"/>
      <c r="J3" s="6"/>
      <c r="K3" s="7"/>
      <c r="L3" s="2215" t="s">
        <v>14</v>
      </c>
      <c r="M3" s="2179"/>
      <c r="N3" s="2216"/>
      <c r="O3" s="6"/>
      <c r="P3" s="6"/>
      <c r="Q3" s="6"/>
      <c r="R3" s="6"/>
      <c r="S3" s="8"/>
      <c r="T3" s="9" t="s">
        <v>15</v>
      </c>
      <c r="U3" s="10"/>
      <c r="V3" s="11"/>
      <c r="W3" s="12"/>
      <c r="X3" s="13"/>
      <c r="Y3" s="5" t="s">
        <v>16</v>
      </c>
      <c r="Z3" s="2179"/>
      <c r="AA3" s="2179"/>
      <c r="AB3" s="2217"/>
      <c r="AC3" s="2218"/>
      <c r="AD3" s="2219" t="s">
        <v>17</v>
      </c>
      <c r="AE3" s="2220"/>
      <c r="AF3" s="2220"/>
      <c r="AG3" s="2221"/>
    </row>
    <row r="4" spans="1:35" ht="24.75" customHeight="1">
      <c r="A4" s="14" t="s">
        <v>18</v>
      </c>
      <c r="B4" s="15"/>
      <c r="C4" s="16"/>
      <c r="D4" s="17"/>
      <c r="E4" s="17"/>
      <c r="F4" s="17"/>
      <c r="G4" s="17"/>
      <c r="H4" s="16"/>
      <c r="I4" s="17"/>
      <c r="J4" s="17"/>
      <c r="K4" s="18"/>
      <c r="L4" s="17"/>
      <c r="M4" s="18"/>
      <c r="N4" s="18"/>
      <c r="O4" s="17"/>
      <c r="P4" s="17"/>
      <c r="Q4" s="17"/>
      <c r="R4" s="17"/>
      <c r="T4" s="18"/>
      <c r="U4" s="16"/>
      <c r="W4" s="17"/>
      <c r="X4" s="17"/>
      <c r="Y4" s="16"/>
      <c r="Z4" s="17"/>
      <c r="AB4" s="17"/>
      <c r="AC4" s="17"/>
      <c r="AD4" s="17"/>
      <c r="AE4" s="17"/>
      <c r="AF4" s="17"/>
      <c r="AG4" s="17"/>
    </row>
    <row r="5" spans="1:35" ht="24.75" customHeight="1">
      <c r="A5" s="14" t="s">
        <v>19</v>
      </c>
      <c r="B5" s="1"/>
    </row>
    <row r="6" spans="1:35" ht="24.75" customHeight="1">
      <c r="A6" s="2222" t="s">
        <v>20</v>
      </c>
      <c r="B6" s="2179"/>
      <c r="C6" s="2223"/>
      <c r="D6" s="2222" t="s">
        <v>21</v>
      </c>
      <c r="E6" s="2179"/>
      <c r="F6" s="2179"/>
      <c r="G6" s="2179"/>
      <c r="H6" s="2099"/>
      <c r="I6" s="2179"/>
      <c r="J6" s="2179"/>
      <c r="K6" s="2179"/>
      <c r="L6" s="2224" t="s">
        <v>22</v>
      </c>
      <c r="M6" s="2179"/>
      <c r="N6" s="2179"/>
      <c r="O6" s="2179"/>
      <c r="P6" s="2179"/>
      <c r="Q6" s="2179"/>
      <c r="R6" s="2179"/>
      <c r="S6" s="2223"/>
      <c r="T6" s="2225"/>
      <c r="U6" s="2179"/>
      <c r="V6" s="2179"/>
      <c r="W6" s="2179"/>
      <c r="X6" s="2179"/>
      <c r="Y6" s="2179"/>
      <c r="Z6" s="2179"/>
      <c r="AA6" s="2223"/>
      <c r="AB6" s="2226"/>
      <c r="AC6" s="2227"/>
      <c r="AD6" s="2227"/>
      <c r="AE6" s="2227"/>
      <c r="AF6" s="2227"/>
      <c r="AG6" s="2228"/>
    </row>
    <row r="7" spans="1:35" ht="24.75" customHeight="1">
      <c r="A7" s="2222" t="s">
        <v>23</v>
      </c>
      <c r="B7" s="2179"/>
      <c r="C7" s="2179"/>
      <c r="D7" s="2179"/>
      <c r="E7" s="2179"/>
      <c r="F7" s="2179"/>
      <c r="G7" s="2179"/>
      <c r="H7" s="2179"/>
      <c r="I7" s="2179"/>
      <c r="J7" s="2179"/>
      <c r="K7" s="2223"/>
      <c r="L7" s="19" t="s">
        <v>24</v>
      </c>
      <c r="M7" s="8"/>
      <c r="N7" s="8"/>
      <c r="O7" s="8"/>
      <c r="P7" s="8"/>
      <c r="Q7" s="8"/>
      <c r="R7" s="8"/>
      <c r="S7" s="8"/>
      <c r="T7" s="8"/>
      <c r="U7" s="2179"/>
      <c r="V7" s="2179"/>
      <c r="W7" s="2179"/>
      <c r="X7" s="2179"/>
      <c r="Y7" s="2179"/>
      <c r="Z7" s="2179"/>
      <c r="AA7" s="2179"/>
      <c r="AB7" s="2229"/>
      <c r="AC7" s="2179"/>
      <c r="AD7" s="2179"/>
      <c r="AE7" s="2179"/>
      <c r="AF7" s="2179"/>
      <c r="AG7" s="2223"/>
    </row>
    <row r="8" spans="1:35" ht="24.75" customHeight="1">
      <c r="A8" s="14" t="s">
        <v>25</v>
      </c>
      <c r="L8" s="20"/>
      <c r="AB8" s="1"/>
    </row>
    <row r="9" spans="1:35" ht="24.75" customHeight="1">
      <c r="A9" s="14" t="s">
        <v>26</v>
      </c>
      <c r="L9" s="20"/>
      <c r="AB9" s="1"/>
    </row>
    <row r="10" spans="1:35" ht="24.75" customHeight="1">
      <c r="B10" s="21" t="s">
        <v>27</v>
      </c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</row>
    <row r="11" spans="1:35" ht="24.75" customHeight="1" thickBot="1">
      <c r="A11" s="2230" t="s">
        <v>28</v>
      </c>
      <c r="B11" s="2231" t="s">
        <v>29</v>
      </c>
      <c r="C11" s="2232">
        <v>1</v>
      </c>
      <c r="D11" s="2232">
        <v>2</v>
      </c>
      <c r="E11" s="2233">
        <v>3</v>
      </c>
      <c r="F11" s="2233">
        <v>4</v>
      </c>
      <c r="G11" s="2233">
        <v>5</v>
      </c>
      <c r="H11" s="2233">
        <v>6</v>
      </c>
      <c r="I11" s="2233">
        <v>7</v>
      </c>
      <c r="J11" s="2232">
        <v>8</v>
      </c>
      <c r="K11" s="2232">
        <v>9</v>
      </c>
      <c r="L11" s="2233">
        <v>10</v>
      </c>
      <c r="M11" s="2233">
        <v>11</v>
      </c>
      <c r="N11" s="2233">
        <v>12</v>
      </c>
      <c r="O11" s="2233">
        <v>13</v>
      </c>
      <c r="P11" s="2233">
        <v>14</v>
      </c>
      <c r="Q11" s="2232">
        <v>15</v>
      </c>
      <c r="R11" s="2232">
        <v>16</v>
      </c>
      <c r="S11" s="2233">
        <v>17</v>
      </c>
      <c r="T11" s="2233">
        <v>18</v>
      </c>
      <c r="U11" s="2233">
        <v>19</v>
      </c>
      <c r="V11" s="2233">
        <v>20</v>
      </c>
      <c r="W11" s="2233">
        <v>21</v>
      </c>
      <c r="X11" s="2232">
        <v>22</v>
      </c>
      <c r="Y11" s="2232">
        <v>23</v>
      </c>
      <c r="Z11" s="2233">
        <v>24</v>
      </c>
      <c r="AA11" s="2233">
        <v>25</v>
      </c>
      <c r="AB11" s="2233">
        <v>26</v>
      </c>
      <c r="AC11" s="2233">
        <v>27</v>
      </c>
      <c r="AD11" s="2233">
        <v>28</v>
      </c>
      <c r="AE11" s="2232">
        <v>29</v>
      </c>
      <c r="AF11" s="2233"/>
      <c r="AG11" s="2234"/>
      <c r="AH11" s="23"/>
      <c r="AI11" s="24"/>
    </row>
    <row r="12" spans="1:35" ht="24.75" customHeight="1">
      <c r="A12" s="2235">
        <v>8500</v>
      </c>
      <c r="B12" s="1102" t="s">
        <v>30</v>
      </c>
      <c r="C12" s="826"/>
      <c r="D12" s="826"/>
      <c r="E12" s="826" t="s">
        <v>31</v>
      </c>
      <c r="F12" s="826" t="s">
        <v>31</v>
      </c>
      <c r="G12" s="826" t="s">
        <v>31</v>
      </c>
      <c r="H12" s="826">
        <v>1</v>
      </c>
      <c r="I12" s="826">
        <v>1</v>
      </c>
      <c r="J12" s="826"/>
      <c r="K12" s="826"/>
      <c r="L12" s="826" t="s">
        <v>31</v>
      </c>
      <c r="M12" s="826" t="s">
        <v>31</v>
      </c>
      <c r="N12" s="826" t="s">
        <v>31</v>
      </c>
      <c r="O12" s="826" t="s">
        <v>31</v>
      </c>
      <c r="P12" s="826" t="s">
        <v>31</v>
      </c>
      <c r="Q12" s="826"/>
      <c r="R12" s="826"/>
      <c r="S12" s="826" t="s">
        <v>31</v>
      </c>
      <c r="T12" s="826" t="s">
        <v>31</v>
      </c>
      <c r="U12" s="826" t="s">
        <v>31</v>
      </c>
      <c r="V12" s="826" t="s">
        <v>31</v>
      </c>
      <c r="W12" s="1147" t="s">
        <v>31</v>
      </c>
      <c r="X12" s="826"/>
      <c r="Y12" s="826"/>
      <c r="Z12" s="1147" t="s">
        <v>31</v>
      </c>
      <c r="AA12" s="826" t="s">
        <v>31</v>
      </c>
      <c r="AB12" s="826" t="s">
        <v>31</v>
      </c>
      <c r="AC12" s="826" t="s">
        <v>31</v>
      </c>
      <c r="AD12" s="1147" t="s">
        <v>31</v>
      </c>
      <c r="AE12" s="826"/>
      <c r="AF12" s="826"/>
      <c r="AG12" s="827"/>
      <c r="AH12" s="25"/>
      <c r="AI12" s="25"/>
    </row>
    <row r="13" spans="1:35" ht="24.75" customHeight="1">
      <c r="A13" s="2236" t="s">
        <v>32</v>
      </c>
      <c r="B13" s="2237"/>
      <c r="C13" s="2237"/>
      <c r="D13" s="2237"/>
      <c r="E13" s="2237"/>
      <c r="F13" s="2237"/>
      <c r="G13" s="2237"/>
      <c r="H13" s="2237"/>
      <c r="I13" s="2237"/>
      <c r="J13" s="2237"/>
      <c r="K13" s="2237"/>
      <c r="L13" s="2237"/>
      <c r="M13" s="2237"/>
      <c r="N13" s="2237"/>
      <c r="O13" s="2237"/>
      <c r="P13" s="2237"/>
      <c r="Q13" s="2237"/>
      <c r="R13" s="2237"/>
      <c r="S13" s="2237"/>
      <c r="T13" s="2237"/>
      <c r="U13" s="2237"/>
      <c r="V13" s="2237"/>
      <c r="W13" s="2237"/>
      <c r="X13" s="2237"/>
      <c r="Y13" s="2237"/>
      <c r="Z13" s="2237"/>
      <c r="AA13" s="2237"/>
      <c r="AB13" s="2237"/>
      <c r="AC13" s="2237"/>
      <c r="AD13" s="2237"/>
      <c r="AE13" s="2237"/>
      <c r="AF13" s="2237"/>
      <c r="AG13" s="2238"/>
      <c r="AH13" s="26"/>
      <c r="AI13" s="26"/>
    </row>
    <row r="14" spans="1:35" ht="24.75" customHeight="1" thickBot="1">
      <c r="A14" s="27">
        <v>8546</v>
      </c>
      <c r="B14" s="2239" t="s">
        <v>33</v>
      </c>
      <c r="C14" s="2240" t="s">
        <v>34</v>
      </c>
      <c r="D14" s="2241" t="s">
        <v>34</v>
      </c>
      <c r="E14" s="2242" t="s">
        <v>35</v>
      </c>
      <c r="F14" s="2243" t="s">
        <v>35</v>
      </c>
      <c r="G14" s="2242" t="s">
        <v>35</v>
      </c>
      <c r="H14" s="2242" t="s">
        <v>35</v>
      </c>
      <c r="I14" s="2244" t="s">
        <v>35</v>
      </c>
      <c r="J14" s="2245" t="s">
        <v>35</v>
      </c>
      <c r="K14" s="2240"/>
      <c r="L14" s="2242">
        <v>4</v>
      </c>
      <c r="M14" s="2242">
        <v>4</v>
      </c>
      <c r="N14" s="2242">
        <v>4</v>
      </c>
      <c r="O14" s="2242">
        <v>4</v>
      </c>
      <c r="P14" s="2242">
        <v>4</v>
      </c>
      <c r="Q14" s="2242" t="s">
        <v>36</v>
      </c>
      <c r="R14" s="2242" t="s">
        <v>36</v>
      </c>
      <c r="S14" s="2243" t="s">
        <v>35</v>
      </c>
      <c r="T14" s="2243" t="s">
        <v>35</v>
      </c>
      <c r="U14" s="2242" t="s">
        <v>35</v>
      </c>
      <c r="V14" s="2242" t="s">
        <v>35</v>
      </c>
      <c r="W14" s="2242" t="s">
        <v>35</v>
      </c>
      <c r="X14" s="2242"/>
      <c r="Y14" s="2242"/>
      <c r="Z14" s="2242">
        <v>1</v>
      </c>
      <c r="AA14" s="2242">
        <v>1</v>
      </c>
      <c r="AB14" s="2242">
        <v>1</v>
      </c>
      <c r="AC14" s="2242">
        <v>1</v>
      </c>
      <c r="AD14" s="2241">
        <v>1</v>
      </c>
      <c r="AE14" s="2242"/>
      <c r="AF14" s="2242"/>
      <c r="AG14" s="2246"/>
      <c r="AH14" s="25"/>
      <c r="AI14" s="25"/>
    </row>
    <row r="15" spans="1:35" ht="24.75" customHeight="1">
      <c r="A15" s="2247">
        <v>8546</v>
      </c>
      <c r="B15" s="1124" t="s">
        <v>37</v>
      </c>
      <c r="C15" s="2240"/>
      <c r="D15" s="2242"/>
      <c r="E15" s="2248">
        <v>2</v>
      </c>
      <c r="F15" s="2248">
        <v>2</v>
      </c>
      <c r="G15" s="2248">
        <v>2</v>
      </c>
      <c r="H15" s="2248">
        <v>2</v>
      </c>
      <c r="I15" s="2248">
        <v>2</v>
      </c>
      <c r="J15" s="2249" t="s">
        <v>34</v>
      </c>
      <c r="K15" s="2249" t="s">
        <v>34</v>
      </c>
      <c r="L15" s="2249" t="s">
        <v>35</v>
      </c>
      <c r="M15" s="2249" t="s">
        <v>35</v>
      </c>
      <c r="N15" s="2249" t="s">
        <v>35</v>
      </c>
      <c r="O15" s="2249" t="s">
        <v>35</v>
      </c>
      <c r="P15" s="2249" t="s">
        <v>35</v>
      </c>
      <c r="Q15" s="2249"/>
      <c r="R15" s="2249"/>
      <c r="S15" s="2249">
        <v>4</v>
      </c>
      <c r="T15" s="2249">
        <v>4</v>
      </c>
      <c r="U15" s="2249">
        <v>4</v>
      </c>
      <c r="V15" s="2249">
        <v>4</v>
      </c>
      <c r="W15" s="2249">
        <v>4</v>
      </c>
      <c r="X15" s="2249" t="s">
        <v>36</v>
      </c>
      <c r="Y15" s="2249" t="s">
        <v>36</v>
      </c>
      <c r="Z15" s="2242" t="s">
        <v>35</v>
      </c>
      <c r="AA15" s="2242" t="s">
        <v>35</v>
      </c>
      <c r="AB15" s="2242" t="s">
        <v>35</v>
      </c>
      <c r="AC15" s="2242" t="s">
        <v>35</v>
      </c>
      <c r="AD15" s="2242" t="s">
        <v>35</v>
      </c>
      <c r="AE15" s="2242"/>
      <c r="AF15" s="2242"/>
      <c r="AG15" s="2246"/>
      <c r="AH15" s="25"/>
      <c r="AI15" s="25"/>
    </row>
    <row r="16" spans="1:35" ht="24.75" customHeight="1">
      <c r="A16" s="2247">
        <v>8546</v>
      </c>
      <c r="B16" s="2239" t="s">
        <v>38</v>
      </c>
      <c r="C16" s="2242" t="s">
        <v>36</v>
      </c>
      <c r="D16" s="2242" t="s">
        <v>36</v>
      </c>
      <c r="E16" s="2242" t="s">
        <v>35</v>
      </c>
      <c r="F16" s="2242" t="s">
        <v>35</v>
      </c>
      <c r="G16" s="2242" t="s">
        <v>35</v>
      </c>
      <c r="H16" s="2242" t="s">
        <v>35</v>
      </c>
      <c r="I16" s="2242" t="s">
        <v>35</v>
      </c>
      <c r="J16" s="2242"/>
      <c r="K16" s="2242"/>
      <c r="L16" s="2242">
        <v>1</v>
      </c>
      <c r="M16" s="2242">
        <v>1</v>
      </c>
      <c r="N16" s="2248">
        <v>1</v>
      </c>
      <c r="O16" s="2248">
        <v>1</v>
      </c>
      <c r="P16" s="2248">
        <v>1</v>
      </c>
      <c r="Q16" s="2241"/>
      <c r="R16" s="2241"/>
      <c r="S16" s="2242">
        <v>2</v>
      </c>
      <c r="T16" s="2242">
        <v>2</v>
      </c>
      <c r="U16" s="2242">
        <v>2</v>
      </c>
      <c r="V16" s="2242">
        <v>2</v>
      </c>
      <c r="W16" s="2240">
        <v>2</v>
      </c>
      <c r="X16" s="2250" t="s">
        <v>34</v>
      </c>
      <c r="Y16" s="2251" t="s">
        <v>34</v>
      </c>
      <c r="Z16" s="2241" t="s">
        <v>35</v>
      </c>
      <c r="AA16" s="2241" t="s">
        <v>35</v>
      </c>
      <c r="AB16" s="2241" t="s">
        <v>35</v>
      </c>
      <c r="AC16" s="2241" t="s">
        <v>35</v>
      </c>
      <c r="AD16" s="2242" t="s">
        <v>35</v>
      </c>
      <c r="AE16" s="2242"/>
      <c r="AF16" s="2242"/>
      <c r="AG16" s="2246"/>
      <c r="AH16" s="25"/>
      <c r="AI16" s="25"/>
    </row>
    <row r="17" spans="1:35" ht="24.75" customHeight="1">
      <c r="A17" s="2247">
        <v>8546</v>
      </c>
      <c r="B17" s="2252" t="s">
        <v>39</v>
      </c>
      <c r="C17" s="2242"/>
      <c r="D17" s="2240"/>
      <c r="E17" s="2253">
        <v>4</v>
      </c>
      <c r="F17" s="2254">
        <v>4</v>
      </c>
      <c r="G17" s="2253">
        <v>4</v>
      </c>
      <c r="H17" s="2253">
        <v>4</v>
      </c>
      <c r="I17" s="2253">
        <v>4</v>
      </c>
      <c r="J17" s="2253" t="s">
        <v>36</v>
      </c>
      <c r="K17" s="2253" t="s">
        <v>36</v>
      </c>
      <c r="L17" s="2242" t="s">
        <v>35</v>
      </c>
      <c r="M17" s="2242" t="s">
        <v>35</v>
      </c>
      <c r="N17" s="2242" t="s">
        <v>35</v>
      </c>
      <c r="O17" s="2242" t="s">
        <v>35</v>
      </c>
      <c r="P17" s="2242" t="s">
        <v>35</v>
      </c>
      <c r="Q17" s="2242"/>
      <c r="R17" s="2242"/>
      <c r="S17" s="2242">
        <v>1</v>
      </c>
      <c r="T17" s="2242">
        <v>1</v>
      </c>
      <c r="U17" s="2242">
        <v>1</v>
      </c>
      <c r="V17" s="2242">
        <v>1</v>
      </c>
      <c r="W17" s="2242">
        <v>1</v>
      </c>
      <c r="X17" s="2240"/>
      <c r="Y17" s="2242"/>
      <c r="Z17" s="2242">
        <v>2</v>
      </c>
      <c r="AA17" s="2242">
        <v>2</v>
      </c>
      <c r="AB17" s="2242">
        <v>2</v>
      </c>
      <c r="AC17" s="2242">
        <v>2</v>
      </c>
      <c r="AD17" s="2242">
        <v>2</v>
      </c>
      <c r="AE17" s="2242" t="s">
        <v>34</v>
      </c>
      <c r="AF17" s="2242"/>
      <c r="AG17" s="2246"/>
      <c r="AH17" s="25"/>
      <c r="AI17" s="25"/>
    </row>
    <row r="18" spans="1:35" ht="24.75" customHeight="1">
      <c r="A18" s="2247">
        <v>8546</v>
      </c>
      <c r="B18" s="2239" t="s">
        <v>40</v>
      </c>
      <c r="C18" s="2242"/>
      <c r="D18" s="2240"/>
      <c r="E18" s="2242">
        <v>1</v>
      </c>
      <c r="F18" s="2242">
        <v>1</v>
      </c>
      <c r="G18" s="2242">
        <v>1</v>
      </c>
      <c r="H18" s="2248">
        <v>1</v>
      </c>
      <c r="I18" s="2248">
        <v>1</v>
      </c>
      <c r="J18" s="2241"/>
      <c r="K18" s="2241"/>
      <c r="L18" s="2242">
        <v>2</v>
      </c>
      <c r="M18" s="2241">
        <v>2</v>
      </c>
      <c r="N18" s="2241">
        <v>2</v>
      </c>
      <c r="O18" s="2242">
        <v>2</v>
      </c>
      <c r="P18" s="2242">
        <v>2</v>
      </c>
      <c r="Q18" s="2242" t="s">
        <v>34</v>
      </c>
      <c r="R18" s="2242" t="s">
        <v>34</v>
      </c>
      <c r="S18" s="2242" t="s">
        <v>35</v>
      </c>
      <c r="T18" s="2242" t="s">
        <v>35</v>
      </c>
      <c r="U18" s="2241" t="s">
        <v>35</v>
      </c>
      <c r="V18" s="2241" t="s">
        <v>35</v>
      </c>
      <c r="W18" s="2242" t="s">
        <v>35</v>
      </c>
      <c r="X18" s="2242"/>
      <c r="Y18" s="2242"/>
      <c r="Z18" s="2253">
        <v>4</v>
      </c>
      <c r="AA18" s="2253">
        <v>4</v>
      </c>
      <c r="AB18" s="2253">
        <v>4</v>
      </c>
      <c r="AC18" s="2255">
        <v>4</v>
      </c>
      <c r="AD18" s="2253">
        <v>4</v>
      </c>
      <c r="AE18" s="2253" t="s">
        <v>36</v>
      </c>
      <c r="AF18" s="2242"/>
      <c r="AG18" s="2246"/>
      <c r="AH18" s="25"/>
      <c r="AI18" s="25"/>
    </row>
    <row r="19" spans="1:35" ht="24.75" customHeight="1" thickBot="1">
      <c r="A19" s="2256" t="s">
        <v>41</v>
      </c>
      <c r="B19" s="2160"/>
      <c r="C19" s="2257"/>
      <c r="D19" s="2257"/>
      <c r="E19" s="2257"/>
      <c r="F19" s="2257"/>
      <c r="G19" s="2257"/>
      <c r="H19" s="2257"/>
      <c r="I19" s="2257"/>
      <c r="J19" s="2257"/>
      <c r="K19" s="2257"/>
      <c r="L19" s="2257"/>
      <c r="M19" s="2257"/>
      <c r="N19" s="2257"/>
      <c r="O19" s="2257"/>
      <c r="P19" s="2257"/>
      <c r="Q19" s="2257"/>
      <c r="R19" s="2257"/>
      <c r="S19" s="2257"/>
      <c r="T19" s="2257"/>
      <c r="U19" s="2257"/>
      <c r="V19" s="2257"/>
      <c r="W19" s="2257"/>
      <c r="X19" s="2257"/>
      <c r="Y19" s="2257"/>
      <c r="Z19" s="2257"/>
      <c r="AA19" s="2257"/>
      <c r="AB19" s="2257"/>
      <c r="AC19" s="2257"/>
      <c r="AD19" s="2257"/>
      <c r="AE19" s="2257"/>
      <c r="AF19" s="2257"/>
      <c r="AG19" s="2258"/>
      <c r="AH19" s="26"/>
      <c r="AI19" s="26"/>
    </row>
    <row r="20" spans="1:35" ht="24.75" customHeight="1">
      <c r="A20" s="1123">
        <v>8500</v>
      </c>
      <c r="B20" s="1124"/>
      <c r="C20" s="1053"/>
      <c r="D20" s="1053"/>
      <c r="E20" s="1053" t="s">
        <v>31</v>
      </c>
      <c r="F20" s="1053" t="s">
        <v>31</v>
      </c>
      <c r="G20" s="1053" t="s">
        <v>31</v>
      </c>
      <c r="H20" s="1053" t="s">
        <v>31</v>
      </c>
      <c r="I20" s="1417" t="s">
        <v>31</v>
      </c>
      <c r="J20" s="1053"/>
      <c r="K20" s="1053"/>
      <c r="L20" s="2259" t="s">
        <v>31</v>
      </c>
      <c r="M20" s="2259" t="s">
        <v>31</v>
      </c>
      <c r="N20" s="2259" t="s">
        <v>31</v>
      </c>
      <c r="O20" s="2259" t="s">
        <v>31</v>
      </c>
      <c r="P20" s="2259" t="s">
        <v>31</v>
      </c>
      <c r="Q20" s="2259"/>
      <c r="R20" s="2259"/>
      <c r="S20" s="2259" t="s">
        <v>31</v>
      </c>
      <c r="T20" s="2259" t="s">
        <v>31</v>
      </c>
      <c r="U20" s="2259" t="s">
        <v>31</v>
      </c>
      <c r="V20" s="2259" t="s">
        <v>31</v>
      </c>
      <c r="W20" s="2259" t="s">
        <v>31</v>
      </c>
      <c r="X20" s="2259"/>
      <c r="Y20" s="2259"/>
      <c r="Z20" s="1418" t="s">
        <v>31</v>
      </c>
      <c r="AA20" s="1418" t="s">
        <v>31</v>
      </c>
      <c r="AB20" s="1417" t="s">
        <v>31</v>
      </c>
      <c r="AC20" s="1417" t="s">
        <v>31</v>
      </c>
      <c r="AD20" s="1417" t="s">
        <v>31</v>
      </c>
      <c r="AE20" s="1417"/>
      <c r="AF20" s="1417"/>
      <c r="AG20" s="795"/>
      <c r="AH20" s="25"/>
      <c r="AI20" s="25"/>
    </row>
    <row r="21" spans="1:35" ht="24.75" customHeight="1">
      <c r="A21" s="1844">
        <v>8500</v>
      </c>
      <c r="B21" s="1845" t="s">
        <v>42</v>
      </c>
      <c r="C21" s="1762"/>
      <c r="D21" s="1762"/>
      <c r="E21" s="2248" t="s">
        <v>31</v>
      </c>
      <c r="F21" s="2248" t="s">
        <v>31</v>
      </c>
      <c r="G21" s="2248" t="s">
        <v>31</v>
      </c>
      <c r="H21" s="2248" t="s">
        <v>31</v>
      </c>
      <c r="I21" s="2248" t="s">
        <v>31</v>
      </c>
      <c r="J21" s="1849"/>
      <c r="K21" s="1849"/>
      <c r="L21" s="1854" t="s">
        <v>31</v>
      </c>
      <c r="M21" s="1849" t="s">
        <v>31</v>
      </c>
      <c r="N21" s="1744" t="s">
        <v>31</v>
      </c>
      <c r="O21" s="1849" t="s">
        <v>250</v>
      </c>
      <c r="P21" s="1849" t="s">
        <v>31</v>
      </c>
      <c r="Q21" s="1927"/>
      <c r="R21" s="1927"/>
      <c r="S21" s="1923" t="s">
        <v>253</v>
      </c>
      <c r="T21" s="1923" t="s">
        <v>31</v>
      </c>
      <c r="U21" s="1923" t="s">
        <v>31</v>
      </c>
      <c r="V21" s="1923" t="s">
        <v>31</v>
      </c>
      <c r="W21" s="1923" t="s">
        <v>31</v>
      </c>
      <c r="X21" s="1927" t="s">
        <v>34</v>
      </c>
      <c r="Y21" s="1849" t="s">
        <v>0</v>
      </c>
      <c r="Z21" s="1923" t="s">
        <v>31</v>
      </c>
      <c r="AA21" s="1849" t="s">
        <v>31</v>
      </c>
      <c r="AB21" s="1849" t="s">
        <v>31</v>
      </c>
      <c r="AC21" s="1849" t="s">
        <v>31</v>
      </c>
      <c r="AD21" s="1849" t="s">
        <v>31</v>
      </c>
      <c r="AE21" s="1744"/>
      <c r="AF21" s="1744"/>
      <c r="AG21" s="1614"/>
      <c r="AH21" s="25"/>
      <c r="AI21" s="25"/>
    </row>
    <row r="22" spans="1:35" ht="24.75" customHeight="1" thickBot="1">
      <c r="A22" s="1844">
        <v>8500</v>
      </c>
      <c r="B22" s="1848" t="s">
        <v>43</v>
      </c>
      <c r="C22" s="1849"/>
      <c r="D22" s="1849"/>
      <c r="E22" s="1849">
        <v>4</v>
      </c>
      <c r="F22" s="1744">
        <v>4</v>
      </c>
      <c r="G22" s="1849">
        <v>4</v>
      </c>
      <c r="H22" s="1849" t="s">
        <v>31</v>
      </c>
      <c r="I22" s="1849">
        <v>4</v>
      </c>
      <c r="J22" s="1849" t="s">
        <v>36</v>
      </c>
      <c r="K22" s="1849" t="s">
        <v>36</v>
      </c>
      <c r="L22" s="1849" t="s">
        <v>35</v>
      </c>
      <c r="M22" s="1931" t="s">
        <v>35</v>
      </c>
      <c r="N22" s="1931" t="s">
        <v>35</v>
      </c>
      <c r="O22" s="1931" t="s">
        <v>35</v>
      </c>
      <c r="P22" s="1931" t="s">
        <v>35</v>
      </c>
      <c r="Q22" s="1699"/>
      <c r="R22" s="1699"/>
      <c r="S22" s="1923" t="s">
        <v>31</v>
      </c>
      <c r="T22" s="1712" t="s">
        <v>31</v>
      </c>
      <c r="U22" s="1919" t="s">
        <v>31</v>
      </c>
      <c r="V22" s="1919" t="s">
        <v>304</v>
      </c>
      <c r="W22" s="1762" t="s">
        <v>31</v>
      </c>
      <c r="X22" s="1699"/>
      <c r="Y22" s="1926" t="s">
        <v>34</v>
      </c>
      <c r="Z22" s="1849">
        <v>4</v>
      </c>
      <c r="AA22" s="1744">
        <v>4</v>
      </c>
      <c r="AB22" s="1849">
        <v>4</v>
      </c>
      <c r="AC22" s="1849">
        <v>4</v>
      </c>
      <c r="AD22" s="1849">
        <v>4</v>
      </c>
      <c r="AE22" s="1849" t="s">
        <v>36</v>
      </c>
      <c r="AF22" s="1849"/>
      <c r="AG22" s="1614"/>
      <c r="AH22" s="25"/>
      <c r="AI22" s="25"/>
    </row>
    <row r="23" spans="1:35" ht="24.75" customHeight="1">
      <c r="A23" s="1844"/>
      <c r="B23" s="689" t="s">
        <v>46</v>
      </c>
      <c r="C23" s="1744"/>
      <c r="D23" s="1854"/>
      <c r="E23" s="1849">
        <v>2</v>
      </c>
      <c r="F23" s="1849">
        <v>2</v>
      </c>
      <c r="G23" s="1849">
        <v>2</v>
      </c>
      <c r="H23" s="1849">
        <v>2</v>
      </c>
      <c r="I23" s="1744">
        <v>2</v>
      </c>
      <c r="J23" s="1744" t="s">
        <v>34</v>
      </c>
      <c r="K23" s="1744" t="s">
        <v>34</v>
      </c>
      <c r="L23" s="1931" t="s">
        <v>35</v>
      </c>
      <c r="M23" s="1931" t="s">
        <v>35</v>
      </c>
      <c r="N23" s="1931" t="s">
        <v>35</v>
      </c>
      <c r="O23" s="1762" t="s">
        <v>35</v>
      </c>
      <c r="P23" s="1762" t="s">
        <v>35</v>
      </c>
      <c r="Q23" s="1762"/>
      <c r="R23" s="1762"/>
      <c r="S23" s="1849">
        <v>4</v>
      </c>
      <c r="T23" s="1744">
        <v>4</v>
      </c>
      <c r="U23" s="1849">
        <v>4</v>
      </c>
      <c r="V23" s="1849">
        <v>4</v>
      </c>
      <c r="W23" s="1849">
        <v>4</v>
      </c>
      <c r="X23" s="1849" t="s">
        <v>36</v>
      </c>
      <c r="Y23" s="1849" t="s">
        <v>36</v>
      </c>
      <c r="Z23" s="1744" t="s">
        <v>35</v>
      </c>
      <c r="AA23" s="1744" t="s">
        <v>35</v>
      </c>
      <c r="AB23" s="1744" t="s">
        <v>35</v>
      </c>
      <c r="AC23" s="1699" t="s">
        <v>31</v>
      </c>
      <c r="AD23" s="1699" t="s">
        <v>31</v>
      </c>
      <c r="AE23" s="1699"/>
      <c r="AF23" s="1699"/>
      <c r="AG23" s="1614"/>
    </row>
    <row r="24" spans="1:35" ht="24.75" customHeight="1" thickBot="1">
      <c r="A24" s="416"/>
      <c r="B24" s="417"/>
      <c r="C24" s="418"/>
      <c r="D24" s="418"/>
      <c r="E24" s="418"/>
      <c r="F24" s="418"/>
      <c r="G24" s="418" t="s">
        <v>0</v>
      </c>
      <c r="H24" s="418"/>
      <c r="I24" s="418"/>
      <c r="J24" s="418"/>
      <c r="K24" s="418"/>
      <c r="L24" s="418" t="s">
        <v>0</v>
      </c>
      <c r="M24" s="418"/>
      <c r="N24" s="418" t="s">
        <v>0</v>
      </c>
      <c r="O24" s="418" t="s">
        <v>0</v>
      </c>
      <c r="P24" s="418"/>
      <c r="Q24" s="418"/>
      <c r="R24" s="418"/>
      <c r="S24" s="418"/>
      <c r="T24" s="418"/>
      <c r="U24" s="418" t="s">
        <v>0</v>
      </c>
      <c r="V24" s="418"/>
      <c r="W24" s="418"/>
      <c r="X24" s="418"/>
      <c r="Y24" s="418"/>
      <c r="Z24" s="418"/>
      <c r="AA24" s="418"/>
      <c r="AB24" s="418"/>
      <c r="AC24" s="418"/>
      <c r="AD24" s="418"/>
      <c r="AE24" s="418"/>
      <c r="AF24" s="418"/>
      <c r="AG24" s="28"/>
    </row>
    <row r="25" spans="1:35" ht="24.75" customHeight="1">
      <c r="A25" s="29"/>
      <c r="E25" t="s">
        <v>0</v>
      </c>
      <c r="F25" t="s">
        <v>0</v>
      </c>
      <c r="G25" t="s">
        <v>0</v>
      </c>
      <c r="V25" t="s">
        <v>0</v>
      </c>
      <c r="W25" t="s">
        <v>0</v>
      </c>
      <c r="X25" s="1928"/>
      <c r="Y25" s="1928"/>
      <c r="Z25" s="1744" t="s">
        <v>0</v>
      </c>
      <c r="AA25" s="1854" t="s">
        <v>0</v>
      </c>
      <c r="AB25" s="1854" t="s">
        <v>0</v>
      </c>
      <c r="AC25" s="1854" t="s">
        <v>0</v>
      </c>
      <c r="AD25" s="1922" t="s">
        <v>0</v>
      </c>
      <c r="AE25" s="1744" t="s">
        <v>0</v>
      </c>
      <c r="AF25" s="1744" t="s">
        <v>0</v>
      </c>
    </row>
    <row r="26" spans="1:35" ht="24.75" customHeight="1">
      <c r="A26" s="29"/>
      <c r="Z26" s="1744"/>
      <c r="AA26" s="1744"/>
      <c r="AB26" s="1854"/>
      <c r="AC26" s="1854"/>
      <c r="AD26" s="1922"/>
      <c r="AE26" s="1744"/>
      <c r="AF26" s="1744"/>
    </row>
    <row r="27" spans="1:35" ht="24.75" customHeight="1">
      <c r="A27" s="29"/>
      <c r="L27" s="1744">
        <v>23</v>
      </c>
      <c r="M27" s="1854">
        <v>23</v>
      </c>
      <c r="N27" s="1854">
        <v>23</v>
      </c>
      <c r="O27" s="1854" t="s">
        <v>0</v>
      </c>
      <c r="P27" s="1922" t="s">
        <v>0</v>
      </c>
      <c r="Q27" s="1744" t="s">
        <v>0</v>
      </c>
      <c r="R27" s="1744">
        <v>23</v>
      </c>
      <c r="Z27" t="s">
        <v>0</v>
      </c>
      <c r="AA27" t="s">
        <v>0</v>
      </c>
      <c r="AB27" t="s">
        <v>0</v>
      </c>
      <c r="AC27" t="s">
        <v>0</v>
      </c>
      <c r="AD27" t="s">
        <v>0</v>
      </c>
      <c r="AE27" t="s">
        <v>0</v>
      </c>
    </row>
    <row r="28" spans="1:35" ht="24.75" customHeight="1">
      <c r="A28" s="29"/>
      <c r="B28" t="s">
        <v>424</v>
      </c>
      <c r="V28" t="s">
        <v>0</v>
      </c>
      <c r="W28" t="s">
        <v>0</v>
      </c>
    </row>
    <row r="29" spans="1:35" ht="24.75" customHeight="1">
      <c r="A29" s="29"/>
      <c r="U29" s="390"/>
    </row>
    <row r="30" spans="1:35" ht="24.75" customHeight="1" thickBot="1">
      <c r="A30" s="14" t="s">
        <v>49</v>
      </c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</row>
    <row r="31" spans="1:35" ht="24.75" customHeight="1">
      <c r="A31" s="695" t="s">
        <v>50</v>
      </c>
      <c r="B31" s="696"/>
      <c r="C31" s="696"/>
      <c r="D31" s="697" t="s">
        <v>51</v>
      </c>
      <c r="E31" s="698"/>
      <c r="F31" s="698"/>
      <c r="G31" s="698"/>
      <c r="H31" s="698"/>
      <c r="I31" s="698"/>
      <c r="J31" s="698"/>
      <c r="K31" s="698"/>
      <c r="L31" s="698"/>
      <c r="M31" s="699" t="s">
        <v>52</v>
      </c>
      <c r="N31" s="698"/>
      <c r="O31" s="698"/>
      <c r="P31" s="698"/>
      <c r="Q31" s="698"/>
      <c r="R31" s="698"/>
      <c r="S31" s="700"/>
      <c r="T31" s="701" t="s">
        <v>53</v>
      </c>
      <c r="U31" s="702"/>
      <c r="V31" s="702"/>
      <c r="W31" s="702"/>
      <c r="X31" s="702"/>
      <c r="Y31" s="702"/>
      <c r="Z31" s="703"/>
      <c r="AA31" s="704" t="s">
        <v>54</v>
      </c>
      <c r="AB31" s="705"/>
      <c r="AC31" s="705"/>
      <c r="AD31" s="705"/>
      <c r="AE31" s="705"/>
      <c r="AF31" s="705"/>
      <c r="AG31" s="706"/>
    </row>
    <row r="32" spans="1:35" ht="24.75" customHeight="1">
      <c r="A32" s="2260" t="s">
        <v>55</v>
      </c>
      <c r="B32" s="2227"/>
      <c r="C32" s="2227"/>
      <c r="D32" s="2261" t="s">
        <v>56</v>
      </c>
      <c r="E32" s="2262"/>
      <c r="F32" s="2179"/>
      <c r="G32" s="2179"/>
      <c r="H32" s="2179"/>
      <c r="I32" s="2179"/>
      <c r="J32" s="2179"/>
      <c r="K32" s="2179"/>
      <c r="L32" s="2223"/>
      <c r="M32" s="2263" t="s">
        <v>57</v>
      </c>
      <c r="N32" s="2227"/>
      <c r="O32" s="2264"/>
      <c r="P32" s="2227"/>
      <c r="Q32" s="2227"/>
      <c r="R32" s="2227"/>
      <c r="S32" s="2265"/>
      <c r="T32" s="2261" t="s">
        <v>58</v>
      </c>
      <c r="U32" s="2179"/>
      <c r="V32" s="2262"/>
      <c r="W32" s="2179"/>
      <c r="X32" s="2179"/>
      <c r="Y32" s="2179"/>
      <c r="Z32" s="2223"/>
      <c r="AA32" s="31" t="s">
        <v>59</v>
      </c>
      <c r="AD32" s="20"/>
      <c r="AG32" s="32"/>
    </row>
    <row r="33" spans="1:35" ht="24.75" customHeight="1">
      <c r="A33" s="2266" t="s">
        <v>60</v>
      </c>
      <c r="B33" s="2179"/>
      <c r="C33" s="2179"/>
      <c r="D33" s="2267"/>
      <c r="E33" s="2179"/>
      <c r="F33" s="2179"/>
      <c r="G33" s="2223"/>
      <c r="H33" s="2229" t="s">
        <v>61</v>
      </c>
      <c r="I33" s="2179"/>
      <c r="J33" s="2179"/>
      <c r="K33" s="2179"/>
      <c r="L33" s="2179"/>
      <c r="M33" s="2096"/>
      <c r="N33" s="2179"/>
      <c r="O33" s="2179"/>
      <c r="P33" s="2179"/>
      <c r="Q33" s="2179"/>
      <c r="R33" s="2179"/>
      <c r="S33" s="2179"/>
      <c r="T33" s="2267"/>
      <c r="U33" s="14" t="s">
        <v>62</v>
      </c>
      <c r="AA33" s="2264"/>
      <c r="AB33" s="2227"/>
      <c r="AC33" s="2227"/>
      <c r="AD33" s="2227"/>
      <c r="AE33" s="2227"/>
      <c r="AF33" s="2227"/>
      <c r="AG33" s="2268"/>
    </row>
    <row r="34" spans="1:35" ht="24.75" customHeight="1" thickBot="1">
      <c r="A34" s="2269" t="s">
        <v>63</v>
      </c>
      <c r="B34" s="2270"/>
      <c r="C34" s="2270"/>
      <c r="D34" s="2271"/>
      <c r="E34" s="2270"/>
      <c r="F34" s="2270"/>
      <c r="G34" s="2272"/>
      <c r="H34" s="2273" t="s">
        <v>64</v>
      </c>
      <c r="I34" s="2272"/>
      <c r="J34" s="2270"/>
      <c r="K34" s="2270"/>
      <c r="L34" s="2270"/>
      <c r="M34" s="2274"/>
      <c r="N34" s="2270"/>
      <c r="O34" s="2270"/>
      <c r="P34" s="2270"/>
      <c r="Q34" s="2275"/>
      <c r="R34" s="2275"/>
      <c r="S34" s="2275"/>
      <c r="T34" s="2271"/>
      <c r="U34" s="2276" t="s">
        <v>65</v>
      </c>
      <c r="V34" s="2270"/>
      <c r="W34" s="2270"/>
      <c r="X34" s="2270"/>
      <c r="Y34" s="2270"/>
      <c r="Z34" s="2270"/>
      <c r="AA34" s="2270"/>
      <c r="AB34" s="2270"/>
      <c r="AC34" s="2270"/>
      <c r="AD34" s="2270"/>
      <c r="AE34" s="2270"/>
      <c r="AF34" s="2270"/>
      <c r="AG34" s="2277"/>
    </row>
    <row r="35" spans="1:35" ht="24.75" customHeight="1">
      <c r="B35" s="33" t="s">
        <v>27</v>
      </c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"/>
    </row>
    <row r="36" spans="1:35" ht="24.75" customHeight="1" thickBot="1">
      <c r="A36" s="2278" t="s">
        <v>28</v>
      </c>
      <c r="B36" s="2121" t="s">
        <v>29</v>
      </c>
      <c r="C36" s="2232">
        <v>1</v>
      </c>
      <c r="D36" s="2232">
        <v>2</v>
      </c>
      <c r="E36" s="2233">
        <v>3</v>
      </c>
      <c r="F36" s="2233">
        <v>4</v>
      </c>
      <c r="G36" s="2233">
        <v>5</v>
      </c>
      <c r="H36" s="2233">
        <v>6</v>
      </c>
      <c r="I36" s="2233">
        <v>7</v>
      </c>
      <c r="J36" s="2232">
        <v>8</v>
      </c>
      <c r="K36" s="2232">
        <v>9</v>
      </c>
      <c r="L36" s="2233">
        <v>10</v>
      </c>
      <c r="M36" s="2233">
        <v>11</v>
      </c>
      <c r="N36" s="2233">
        <v>12</v>
      </c>
      <c r="O36" s="2233">
        <v>13</v>
      </c>
      <c r="P36" s="2233">
        <v>14</v>
      </c>
      <c r="Q36" s="2232">
        <v>15</v>
      </c>
      <c r="R36" s="2232">
        <v>16</v>
      </c>
      <c r="S36" s="2233">
        <v>17</v>
      </c>
      <c r="T36" s="2233">
        <v>18</v>
      </c>
      <c r="U36" s="2233">
        <v>19</v>
      </c>
      <c r="V36" s="2233">
        <v>20</v>
      </c>
      <c r="W36" s="2233">
        <v>21</v>
      </c>
      <c r="X36" s="2232">
        <v>22</v>
      </c>
      <c r="Y36" s="2232">
        <v>23</v>
      </c>
      <c r="Z36" s="2233">
        <v>24</v>
      </c>
      <c r="AA36" s="2233">
        <v>25</v>
      </c>
      <c r="AB36" s="2233">
        <v>26</v>
      </c>
      <c r="AC36" s="2233">
        <v>27</v>
      </c>
      <c r="AD36" s="2233">
        <v>28</v>
      </c>
      <c r="AE36" s="2232">
        <v>29</v>
      </c>
      <c r="AF36" s="2233"/>
      <c r="AG36" s="2234"/>
      <c r="AH36" s="23"/>
      <c r="AI36" s="24"/>
    </row>
    <row r="37" spans="1:35" ht="24.75" customHeight="1">
      <c r="A37" s="728">
        <v>1</v>
      </c>
      <c r="B37" s="689" t="s">
        <v>66</v>
      </c>
      <c r="C37" s="472"/>
      <c r="D37" s="826"/>
      <c r="E37" s="293" t="s">
        <v>35</v>
      </c>
      <c r="F37" s="472" t="s">
        <v>35</v>
      </c>
      <c r="G37" s="472" t="s">
        <v>35</v>
      </c>
      <c r="H37" s="1876" t="s">
        <v>35</v>
      </c>
      <c r="I37" s="1876" t="s">
        <v>35</v>
      </c>
      <c r="J37" s="731"/>
      <c r="K37" s="472"/>
      <c r="L37" s="1876">
        <v>5</v>
      </c>
      <c r="M37" s="472">
        <v>5</v>
      </c>
      <c r="N37" s="472">
        <v>5</v>
      </c>
      <c r="O37" s="472">
        <v>5</v>
      </c>
      <c r="P37" s="472">
        <v>5</v>
      </c>
      <c r="Q37" s="389"/>
      <c r="R37" s="826"/>
      <c r="S37" s="472">
        <v>10</v>
      </c>
      <c r="T37" s="472">
        <v>10</v>
      </c>
      <c r="U37" s="472">
        <v>10</v>
      </c>
      <c r="V37" s="472">
        <v>10</v>
      </c>
      <c r="W37" s="472">
        <v>10</v>
      </c>
      <c r="X37" s="471" t="s">
        <v>72</v>
      </c>
      <c r="Y37" s="471" t="s">
        <v>72</v>
      </c>
      <c r="Z37" s="472" t="s">
        <v>35</v>
      </c>
      <c r="AA37" s="472" t="s">
        <v>35</v>
      </c>
      <c r="AB37" s="471" t="s">
        <v>35</v>
      </c>
      <c r="AC37" s="471" t="s">
        <v>35</v>
      </c>
      <c r="AD37" s="471" t="s">
        <v>35</v>
      </c>
      <c r="AE37" s="472" t="s">
        <v>67</v>
      </c>
      <c r="AF37" s="472"/>
      <c r="AG37" s="734"/>
      <c r="AH37" s="34"/>
      <c r="AI37" s="25"/>
    </row>
    <row r="38" spans="1:35" ht="24.75" customHeight="1">
      <c r="A38" s="2279">
        <v>6</v>
      </c>
      <c r="B38" s="1878" t="s">
        <v>0</v>
      </c>
      <c r="C38" s="2280"/>
      <c r="D38" s="2280"/>
      <c r="E38" s="2280">
        <v>4</v>
      </c>
      <c r="F38" s="2280">
        <v>4</v>
      </c>
      <c r="G38" s="2280">
        <v>4</v>
      </c>
      <c r="H38" s="2280">
        <v>4</v>
      </c>
      <c r="I38" s="2280">
        <v>4</v>
      </c>
      <c r="J38" s="2280"/>
      <c r="K38" s="2280"/>
      <c r="L38" s="2281">
        <v>3</v>
      </c>
      <c r="M38" s="2281">
        <v>3</v>
      </c>
      <c r="N38" s="2281">
        <v>3</v>
      </c>
      <c r="O38" s="2281">
        <v>3</v>
      </c>
      <c r="P38" s="2281">
        <v>3</v>
      </c>
      <c r="Q38" s="2281"/>
      <c r="R38" s="2281"/>
      <c r="S38" s="2280">
        <v>11</v>
      </c>
      <c r="T38" s="2280">
        <v>11</v>
      </c>
      <c r="U38" s="2280">
        <v>11</v>
      </c>
      <c r="V38" s="2280">
        <v>11</v>
      </c>
      <c r="W38" s="2280">
        <v>11</v>
      </c>
      <c r="X38" s="2280" t="s">
        <v>68</v>
      </c>
      <c r="Y38" s="2280" t="s">
        <v>68</v>
      </c>
      <c r="Z38" s="2280" t="s">
        <v>35</v>
      </c>
      <c r="AA38" s="2280" t="s">
        <v>35</v>
      </c>
      <c r="AB38" s="2280" t="s">
        <v>35</v>
      </c>
      <c r="AC38" s="2280" t="s">
        <v>35</v>
      </c>
      <c r="AD38" s="2280" t="s">
        <v>35</v>
      </c>
      <c r="AE38" s="2280" t="s">
        <v>69</v>
      </c>
      <c r="AF38" s="2280"/>
      <c r="AG38" s="2282"/>
      <c r="AH38" s="34"/>
      <c r="AI38" s="25"/>
    </row>
    <row r="39" spans="1:35" ht="24.75" customHeight="1" thickBot="1">
      <c r="A39" s="2283">
        <v>11</v>
      </c>
      <c r="B39" s="2284" t="s">
        <v>71</v>
      </c>
      <c r="C39" s="2233"/>
      <c r="D39" s="2164"/>
      <c r="E39" s="2164" t="s">
        <v>35</v>
      </c>
      <c r="F39" s="2164" t="s">
        <v>35</v>
      </c>
      <c r="G39" s="2164" t="s">
        <v>35</v>
      </c>
      <c r="H39" s="2164" t="s">
        <v>35</v>
      </c>
      <c r="I39" s="2164" t="s">
        <v>35</v>
      </c>
      <c r="J39" s="2164"/>
      <c r="K39" s="2164"/>
      <c r="L39" s="2164">
        <v>1</v>
      </c>
      <c r="M39" s="2164">
        <v>1</v>
      </c>
      <c r="N39" s="2164">
        <v>1</v>
      </c>
      <c r="O39" s="2233">
        <v>1</v>
      </c>
      <c r="P39" s="2164">
        <v>1</v>
      </c>
      <c r="Q39" s="2233"/>
      <c r="R39" s="2233"/>
      <c r="S39" s="2164">
        <v>9</v>
      </c>
      <c r="T39" s="2164">
        <v>9</v>
      </c>
      <c r="U39" s="2164">
        <v>9</v>
      </c>
      <c r="V39" s="2164">
        <v>9</v>
      </c>
      <c r="W39" s="2164">
        <v>9</v>
      </c>
      <c r="X39" s="2233" t="s">
        <v>70</v>
      </c>
      <c r="Y39" s="2233" t="s">
        <v>70</v>
      </c>
      <c r="Z39" s="2164" t="s">
        <v>35</v>
      </c>
      <c r="AA39" s="2164" t="s">
        <v>35</v>
      </c>
      <c r="AB39" s="2285" t="s">
        <v>35</v>
      </c>
      <c r="AC39" s="2285" t="s">
        <v>35</v>
      </c>
      <c r="AD39" s="2285" t="s">
        <v>35</v>
      </c>
      <c r="AE39" s="2164" t="s">
        <v>75</v>
      </c>
      <c r="AF39" s="2164"/>
      <c r="AG39" s="2286"/>
      <c r="AH39" s="34"/>
      <c r="AI39" s="25"/>
    </row>
    <row r="40" spans="1:35" ht="24.75" customHeight="1">
      <c r="A40" s="728">
        <v>2</v>
      </c>
      <c r="B40" s="35" t="s">
        <v>73</v>
      </c>
      <c r="C40" s="826"/>
      <c r="D40" s="826"/>
      <c r="E40" s="826">
        <v>5</v>
      </c>
      <c r="F40" s="826">
        <v>5</v>
      </c>
      <c r="G40" s="826">
        <v>5</v>
      </c>
      <c r="H40" s="472">
        <v>5</v>
      </c>
      <c r="I40" s="472">
        <v>5</v>
      </c>
      <c r="J40" s="826"/>
      <c r="K40" s="826"/>
      <c r="L40" s="472">
        <v>10</v>
      </c>
      <c r="M40" s="472">
        <v>10</v>
      </c>
      <c r="N40" s="472">
        <v>10</v>
      </c>
      <c r="O40" s="471">
        <v>10</v>
      </c>
      <c r="P40" s="472">
        <v>10</v>
      </c>
      <c r="Q40" s="471" t="s">
        <v>72</v>
      </c>
      <c r="R40" s="471" t="s">
        <v>72</v>
      </c>
      <c r="S40" s="826" t="s">
        <v>35</v>
      </c>
      <c r="T40" s="826" t="s">
        <v>35</v>
      </c>
      <c r="U40" s="471" t="s">
        <v>35</v>
      </c>
      <c r="V40" s="471" t="s">
        <v>35</v>
      </c>
      <c r="W40" s="471" t="s">
        <v>35</v>
      </c>
      <c r="X40" s="472" t="s">
        <v>67</v>
      </c>
      <c r="Y40" s="472" t="s">
        <v>67</v>
      </c>
      <c r="Z40" s="472">
        <v>7</v>
      </c>
      <c r="AA40" s="472">
        <v>7</v>
      </c>
      <c r="AB40" s="472">
        <v>7</v>
      </c>
      <c r="AC40" s="471">
        <v>7</v>
      </c>
      <c r="AD40" s="471">
        <v>7</v>
      </c>
      <c r="AE40" s="472"/>
      <c r="AF40" s="472"/>
      <c r="AG40" s="734"/>
      <c r="AH40" s="34"/>
      <c r="AI40" s="25"/>
    </row>
    <row r="41" spans="1:35" ht="24.75" customHeight="1">
      <c r="A41" s="2279">
        <v>7</v>
      </c>
      <c r="B41" s="2252" t="s">
        <v>74</v>
      </c>
      <c r="C41" s="2287"/>
      <c r="D41" s="2288"/>
      <c r="E41" s="2248">
        <v>3</v>
      </c>
      <c r="F41" s="2248">
        <v>3</v>
      </c>
      <c r="G41" s="2248">
        <v>3</v>
      </c>
      <c r="H41" s="2248">
        <v>3</v>
      </c>
      <c r="I41" s="2248">
        <v>3</v>
      </c>
      <c r="J41" s="2248"/>
      <c r="K41" s="2248"/>
      <c r="L41" s="2248">
        <v>11</v>
      </c>
      <c r="M41" s="2248">
        <v>11</v>
      </c>
      <c r="N41" s="2248">
        <v>11</v>
      </c>
      <c r="O41" s="2248">
        <v>11</v>
      </c>
      <c r="P41" s="2248">
        <v>11</v>
      </c>
      <c r="Q41" s="2248" t="s">
        <v>68</v>
      </c>
      <c r="R41" s="2248" t="s">
        <v>68</v>
      </c>
      <c r="S41" s="2248" t="s">
        <v>35</v>
      </c>
      <c r="T41" s="2248" t="s">
        <v>35</v>
      </c>
      <c r="U41" s="2248" t="s">
        <v>35</v>
      </c>
      <c r="V41" s="2248" t="s">
        <v>35</v>
      </c>
      <c r="W41" s="2248" t="s">
        <v>35</v>
      </c>
      <c r="X41" s="2289" t="s">
        <v>69</v>
      </c>
      <c r="Y41" s="2289" t="s">
        <v>69</v>
      </c>
      <c r="Z41" s="2248">
        <v>8</v>
      </c>
      <c r="AA41" s="2248">
        <v>8</v>
      </c>
      <c r="AB41" s="2248">
        <v>8</v>
      </c>
      <c r="AC41" s="2248">
        <v>8</v>
      </c>
      <c r="AD41" s="2248">
        <v>8</v>
      </c>
      <c r="AE41" s="2287"/>
      <c r="AF41" s="2287"/>
      <c r="AG41" s="2290"/>
      <c r="AH41" s="34"/>
      <c r="AI41" s="25"/>
    </row>
    <row r="42" spans="1:35" ht="24.75" customHeight="1" thickBot="1">
      <c r="A42" s="2283">
        <v>12</v>
      </c>
      <c r="B42" s="2291" t="s">
        <v>76</v>
      </c>
      <c r="C42" s="2164"/>
      <c r="D42" s="2285"/>
      <c r="E42" s="2164">
        <v>1</v>
      </c>
      <c r="F42" s="2164">
        <v>1</v>
      </c>
      <c r="G42" s="2164">
        <v>1</v>
      </c>
      <c r="H42" s="2164">
        <v>1</v>
      </c>
      <c r="I42" s="2164">
        <v>1</v>
      </c>
      <c r="J42" s="2164"/>
      <c r="K42" s="2233"/>
      <c r="L42" s="2164">
        <v>9</v>
      </c>
      <c r="M42" s="2164">
        <v>9</v>
      </c>
      <c r="N42" s="2164">
        <v>9</v>
      </c>
      <c r="O42" s="2164">
        <v>9</v>
      </c>
      <c r="P42" s="2164">
        <v>9</v>
      </c>
      <c r="Q42" s="2233" t="s">
        <v>70</v>
      </c>
      <c r="R42" s="2233" t="s">
        <v>70</v>
      </c>
      <c r="S42" s="2164" t="s">
        <v>35</v>
      </c>
      <c r="T42" s="2164" t="s">
        <v>35</v>
      </c>
      <c r="U42" s="2285" t="s">
        <v>35</v>
      </c>
      <c r="V42" s="2292" t="s">
        <v>35</v>
      </c>
      <c r="W42" s="2292" t="s">
        <v>35</v>
      </c>
      <c r="X42" s="2164" t="s">
        <v>75</v>
      </c>
      <c r="Y42" s="2164" t="s">
        <v>69</v>
      </c>
      <c r="Z42" s="2164">
        <v>6</v>
      </c>
      <c r="AA42" s="2164">
        <v>6</v>
      </c>
      <c r="AB42" s="2164">
        <v>6</v>
      </c>
      <c r="AC42" s="2233">
        <v>6</v>
      </c>
      <c r="AD42" s="2233">
        <v>6</v>
      </c>
      <c r="AE42" s="2233"/>
      <c r="AF42" s="2233"/>
      <c r="AG42" s="2234"/>
      <c r="AH42" s="34"/>
      <c r="AI42" s="25"/>
    </row>
    <row r="43" spans="1:35" ht="24.75" customHeight="1">
      <c r="A43" s="728">
        <v>3</v>
      </c>
      <c r="B43" s="1154" t="s">
        <v>77</v>
      </c>
      <c r="C43" s="733"/>
      <c r="D43" s="733"/>
      <c r="E43" s="472">
        <v>10</v>
      </c>
      <c r="F43" s="472">
        <v>10</v>
      </c>
      <c r="G43" s="472">
        <v>10</v>
      </c>
      <c r="H43" s="472">
        <v>10</v>
      </c>
      <c r="I43" s="472">
        <v>10</v>
      </c>
      <c r="J43" s="471" t="s">
        <v>72</v>
      </c>
      <c r="K43" s="471" t="s">
        <v>72</v>
      </c>
      <c r="L43" s="471" t="s">
        <v>35</v>
      </c>
      <c r="M43" s="471" t="s">
        <v>35</v>
      </c>
      <c r="N43" s="471" t="s">
        <v>35</v>
      </c>
      <c r="O43" s="471" t="s">
        <v>35</v>
      </c>
      <c r="P43" s="471" t="s">
        <v>35</v>
      </c>
      <c r="Q43" s="472" t="s">
        <v>67</v>
      </c>
      <c r="R43" s="472" t="s">
        <v>67</v>
      </c>
      <c r="S43" s="472">
        <v>7</v>
      </c>
      <c r="T43" s="472">
        <v>7</v>
      </c>
      <c r="U43" s="472">
        <v>7</v>
      </c>
      <c r="V43" s="471">
        <v>7</v>
      </c>
      <c r="W43" s="471">
        <v>7</v>
      </c>
      <c r="X43" s="826"/>
      <c r="Y43" s="472"/>
      <c r="Z43" s="472">
        <v>4</v>
      </c>
      <c r="AA43" s="472">
        <v>4</v>
      </c>
      <c r="AB43" s="472">
        <v>4</v>
      </c>
      <c r="AC43" s="750">
        <v>4</v>
      </c>
      <c r="AD43" s="472">
        <v>4</v>
      </c>
      <c r="AE43" s="472"/>
      <c r="AF43" s="472"/>
      <c r="AG43" s="734"/>
      <c r="AH43" s="34"/>
      <c r="AI43" s="25"/>
    </row>
    <row r="44" spans="1:35" ht="24.75" customHeight="1">
      <c r="A44" s="2279">
        <v>8</v>
      </c>
      <c r="B44" s="2252" t="s">
        <v>358</v>
      </c>
      <c r="C44" s="2241"/>
      <c r="D44" s="2241"/>
      <c r="E44" s="2248">
        <v>11</v>
      </c>
      <c r="F44" s="2289">
        <v>11</v>
      </c>
      <c r="G44" s="2289">
        <v>11</v>
      </c>
      <c r="H44" s="2289">
        <v>11</v>
      </c>
      <c r="I44" s="2289">
        <v>11</v>
      </c>
      <c r="J44" s="2293" t="s">
        <v>68</v>
      </c>
      <c r="K44" s="2293" t="s">
        <v>68</v>
      </c>
      <c r="L44" s="2280" t="s">
        <v>35</v>
      </c>
      <c r="M44" s="2280" t="s">
        <v>35</v>
      </c>
      <c r="N44" s="2241" t="s">
        <v>35</v>
      </c>
      <c r="O44" s="2287" t="s">
        <v>35</v>
      </c>
      <c r="P44" s="2287" t="s">
        <v>35</v>
      </c>
      <c r="Q44" s="2293" t="s">
        <v>69</v>
      </c>
      <c r="R44" s="2293" t="s">
        <v>69</v>
      </c>
      <c r="S44" s="2249">
        <v>8</v>
      </c>
      <c r="T44" s="2249">
        <v>8</v>
      </c>
      <c r="U44" s="2249">
        <v>8</v>
      </c>
      <c r="V44" s="2249">
        <v>8</v>
      </c>
      <c r="W44" s="2249">
        <v>8</v>
      </c>
      <c r="X44" s="2288"/>
      <c r="Y44" s="2287"/>
      <c r="Z44" s="2287" t="s">
        <v>35</v>
      </c>
      <c r="AA44" s="2287" t="s">
        <v>35</v>
      </c>
      <c r="AB44" s="2287" t="s">
        <v>35</v>
      </c>
      <c r="AC44" s="2287" t="s">
        <v>35</v>
      </c>
      <c r="AD44" s="2287" t="s">
        <v>35</v>
      </c>
      <c r="AE44" s="2287"/>
      <c r="AF44" s="2287"/>
      <c r="AG44" s="2290"/>
      <c r="AH44" s="34"/>
      <c r="AI44" s="25"/>
    </row>
    <row r="45" spans="1:35" ht="24.75" customHeight="1" thickBot="1">
      <c r="A45" s="2283">
        <v>13</v>
      </c>
      <c r="B45" s="2284" t="s">
        <v>79</v>
      </c>
      <c r="C45" s="2233"/>
      <c r="D45" s="2233"/>
      <c r="E45" s="2164">
        <v>9</v>
      </c>
      <c r="F45" s="2164">
        <v>9</v>
      </c>
      <c r="G45" s="2164">
        <v>9</v>
      </c>
      <c r="H45" s="2164">
        <v>9</v>
      </c>
      <c r="I45" s="2164">
        <v>9</v>
      </c>
      <c r="J45" s="2233" t="s">
        <v>70</v>
      </c>
      <c r="K45" s="2233" t="s">
        <v>70</v>
      </c>
      <c r="L45" s="2285" t="s">
        <v>35</v>
      </c>
      <c r="M45" s="2164" t="s">
        <v>35</v>
      </c>
      <c r="N45" s="2285" t="s">
        <v>35</v>
      </c>
      <c r="O45" s="2285" t="s">
        <v>35</v>
      </c>
      <c r="P45" s="2285" t="s">
        <v>35</v>
      </c>
      <c r="Q45" s="2164" t="s">
        <v>75</v>
      </c>
      <c r="R45" s="2164" t="s">
        <v>69</v>
      </c>
      <c r="S45" s="2164">
        <v>6</v>
      </c>
      <c r="T45" s="2164">
        <v>6</v>
      </c>
      <c r="U45" s="2164">
        <v>6</v>
      </c>
      <c r="V45" s="2164">
        <v>6</v>
      </c>
      <c r="W45" s="2164">
        <v>6</v>
      </c>
      <c r="X45" s="2164"/>
      <c r="Y45" s="2233"/>
      <c r="Z45" s="389" t="s">
        <v>35</v>
      </c>
      <c r="AA45" s="389" t="s">
        <v>35</v>
      </c>
      <c r="AB45" s="2164" t="s">
        <v>35</v>
      </c>
      <c r="AC45" s="2164" t="s">
        <v>35</v>
      </c>
      <c r="AD45" s="2164" t="s">
        <v>35</v>
      </c>
      <c r="AE45" s="389"/>
      <c r="AF45" s="2164"/>
      <c r="AG45" s="2286"/>
      <c r="AH45" s="34"/>
      <c r="AI45" s="25"/>
    </row>
    <row r="46" spans="1:35" ht="24.75" customHeight="1">
      <c r="A46" s="728">
        <v>4</v>
      </c>
      <c r="B46" s="689" t="s">
        <v>80</v>
      </c>
      <c r="C46" s="1147" t="s">
        <v>72</v>
      </c>
      <c r="D46" s="1147" t="s">
        <v>72</v>
      </c>
      <c r="E46" s="472" t="s">
        <v>35</v>
      </c>
      <c r="F46" s="472" t="s">
        <v>35</v>
      </c>
      <c r="G46" s="471" t="s">
        <v>35</v>
      </c>
      <c r="H46" s="471" t="s">
        <v>35</v>
      </c>
      <c r="I46" s="471" t="s">
        <v>35</v>
      </c>
      <c r="J46" s="833" t="s">
        <v>67</v>
      </c>
      <c r="K46" s="833" t="s">
        <v>67</v>
      </c>
      <c r="L46" s="833">
        <v>7</v>
      </c>
      <c r="M46" s="833">
        <v>7</v>
      </c>
      <c r="N46" s="833">
        <v>7</v>
      </c>
      <c r="O46" s="833">
        <v>7</v>
      </c>
      <c r="P46" s="833" t="s">
        <v>357</v>
      </c>
      <c r="Q46" s="826"/>
      <c r="R46" s="472"/>
      <c r="S46" s="472">
        <v>4</v>
      </c>
      <c r="T46" s="472">
        <v>4</v>
      </c>
      <c r="U46" s="472">
        <v>4</v>
      </c>
      <c r="V46" s="750">
        <v>4</v>
      </c>
      <c r="W46" s="472">
        <v>4</v>
      </c>
      <c r="X46" s="472"/>
      <c r="Y46" s="826"/>
      <c r="Z46" s="472">
        <v>3</v>
      </c>
      <c r="AA46" s="472">
        <v>3</v>
      </c>
      <c r="AB46" s="472">
        <v>3</v>
      </c>
      <c r="AC46" s="472">
        <v>3</v>
      </c>
      <c r="AD46" s="472">
        <v>3</v>
      </c>
      <c r="AE46" s="471"/>
      <c r="AF46" s="472"/>
      <c r="AG46" s="734"/>
      <c r="AH46" s="34"/>
      <c r="AI46" s="25"/>
    </row>
    <row r="47" spans="1:35" ht="24.75" customHeight="1">
      <c r="A47" s="2279">
        <v>9</v>
      </c>
      <c r="B47" s="2252" t="s">
        <v>81</v>
      </c>
      <c r="C47" s="2288" t="s">
        <v>68</v>
      </c>
      <c r="D47" s="2287" t="s">
        <v>68</v>
      </c>
      <c r="E47" s="2287" t="s">
        <v>35</v>
      </c>
      <c r="F47" s="2287" t="s">
        <v>35</v>
      </c>
      <c r="G47" s="2287" t="s">
        <v>35</v>
      </c>
      <c r="H47" s="2287" t="s">
        <v>35</v>
      </c>
      <c r="I47" s="2287" t="s">
        <v>35</v>
      </c>
      <c r="J47" s="2287" t="s">
        <v>69</v>
      </c>
      <c r="K47" s="2287" t="s">
        <v>69</v>
      </c>
      <c r="L47" s="2287">
        <v>8</v>
      </c>
      <c r="M47" s="2287">
        <v>8</v>
      </c>
      <c r="N47" s="2287">
        <v>8</v>
      </c>
      <c r="O47" s="2287">
        <v>8</v>
      </c>
      <c r="P47" s="2287">
        <v>8</v>
      </c>
      <c r="Q47" s="2288"/>
      <c r="R47" s="2287"/>
      <c r="S47" s="2287" t="s">
        <v>35</v>
      </c>
      <c r="T47" s="2287" t="s">
        <v>35</v>
      </c>
      <c r="U47" s="2287" t="s">
        <v>35</v>
      </c>
      <c r="V47" s="2287" t="s">
        <v>35</v>
      </c>
      <c r="W47" s="2287" t="s">
        <v>35</v>
      </c>
      <c r="X47" s="2287"/>
      <c r="Y47" s="2287"/>
      <c r="Z47" s="2287">
        <v>1</v>
      </c>
      <c r="AA47" s="2287">
        <v>1</v>
      </c>
      <c r="AB47" s="2287">
        <v>1</v>
      </c>
      <c r="AC47" s="2287">
        <v>1</v>
      </c>
      <c r="AD47" s="2287">
        <v>1</v>
      </c>
      <c r="AE47" s="2287"/>
      <c r="AF47" s="2287"/>
      <c r="AG47" s="2290"/>
      <c r="AH47" s="34"/>
      <c r="AI47" s="25"/>
    </row>
    <row r="48" spans="1:35" ht="24.75" customHeight="1" thickBot="1">
      <c r="A48" s="2283">
        <v>14</v>
      </c>
      <c r="B48" s="2284" t="s">
        <v>82</v>
      </c>
      <c r="C48" s="2233" t="s">
        <v>70</v>
      </c>
      <c r="D48" s="2233" t="s">
        <v>70</v>
      </c>
      <c r="E48" s="2164" t="s">
        <v>35</v>
      </c>
      <c r="F48" s="2164" t="s">
        <v>35</v>
      </c>
      <c r="G48" s="2285" t="s">
        <v>35</v>
      </c>
      <c r="H48" s="2285" t="s">
        <v>35</v>
      </c>
      <c r="I48" s="2285" t="s">
        <v>35</v>
      </c>
      <c r="J48" s="2164" t="s">
        <v>75</v>
      </c>
      <c r="K48" s="2164" t="s">
        <v>69</v>
      </c>
      <c r="L48" s="2164">
        <v>6</v>
      </c>
      <c r="M48" s="2164">
        <v>6</v>
      </c>
      <c r="N48" s="2164">
        <v>6</v>
      </c>
      <c r="O48" s="2233">
        <v>6</v>
      </c>
      <c r="P48" s="2164">
        <v>6</v>
      </c>
      <c r="Q48" s="2164"/>
      <c r="R48" s="2233"/>
      <c r="S48" s="2164" t="s">
        <v>35</v>
      </c>
      <c r="T48" s="2164" t="s">
        <v>35</v>
      </c>
      <c r="U48" s="2164" t="s">
        <v>35</v>
      </c>
      <c r="V48" s="2164" t="s">
        <v>35</v>
      </c>
      <c r="W48" s="2164" t="s">
        <v>35</v>
      </c>
      <c r="X48" s="2233"/>
      <c r="Y48" s="2164"/>
      <c r="Z48" s="2287">
        <v>8</v>
      </c>
      <c r="AA48" s="2287">
        <v>8</v>
      </c>
      <c r="AB48" s="2287">
        <v>8</v>
      </c>
      <c r="AC48" s="2287">
        <v>8</v>
      </c>
      <c r="AD48" s="2287">
        <v>8</v>
      </c>
      <c r="AE48" s="2164"/>
      <c r="AF48" s="2233"/>
      <c r="AG48" s="2234"/>
      <c r="AH48" s="34"/>
      <c r="AI48" s="25"/>
    </row>
    <row r="49" spans="1:35" ht="24.75" customHeight="1">
      <c r="A49" s="728">
        <v>5</v>
      </c>
      <c r="B49" s="2252" t="s">
        <v>83</v>
      </c>
      <c r="C49" s="472" t="s">
        <v>67</v>
      </c>
      <c r="D49" s="472" t="s">
        <v>67</v>
      </c>
      <c r="E49" s="472">
        <v>7</v>
      </c>
      <c r="F49" s="472">
        <v>7</v>
      </c>
      <c r="G49" s="472">
        <v>7</v>
      </c>
      <c r="H49" s="471">
        <v>7</v>
      </c>
      <c r="I49" s="471">
        <v>7</v>
      </c>
      <c r="J49" s="826"/>
      <c r="K49" s="472"/>
      <c r="L49" s="729">
        <v>4</v>
      </c>
      <c r="M49" s="729">
        <v>4</v>
      </c>
      <c r="N49" s="729">
        <v>4</v>
      </c>
      <c r="O49" s="732">
        <v>4</v>
      </c>
      <c r="P49" s="729">
        <v>4</v>
      </c>
      <c r="Q49" s="729"/>
      <c r="R49" s="732"/>
      <c r="S49" s="472">
        <v>3</v>
      </c>
      <c r="T49" s="472">
        <v>3</v>
      </c>
      <c r="U49" s="471">
        <v>3</v>
      </c>
      <c r="V49" s="471">
        <v>3</v>
      </c>
      <c r="W49" s="471">
        <v>3</v>
      </c>
      <c r="X49" s="471"/>
      <c r="Y49" s="471"/>
      <c r="Z49" s="471">
        <v>11</v>
      </c>
      <c r="AA49" s="471">
        <v>11</v>
      </c>
      <c r="AB49" s="471">
        <v>11</v>
      </c>
      <c r="AC49" s="471">
        <v>11</v>
      </c>
      <c r="AD49" s="472">
        <v>11</v>
      </c>
      <c r="AE49" s="472" t="s">
        <v>68</v>
      </c>
      <c r="AF49" s="759"/>
      <c r="AG49" s="760"/>
      <c r="AH49" s="34"/>
      <c r="AI49" s="25"/>
    </row>
    <row r="50" spans="1:35" ht="24.75" customHeight="1">
      <c r="A50" s="2279">
        <v>10</v>
      </c>
      <c r="B50" s="2252" t="s">
        <v>84</v>
      </c>
      <c r="C50" s="2287" t="s">
        <v>69</v>
      </c>
      <c r="D50" s="2287" t="s">
        <v>69</v>
      </c>
      <c r="E50" s="2287">
        <v>8</v>
      </c>
      <c r="F50" s="2241">
        <v>8</v>
      </c>
      <c r="G50" s="2280">
        <v>8</v>
      </c>
      <c r="H50" s="2280">
        <v>8</v>
      </c>
      <c r="I50" s="2280">
        <v>8</v>
      </c>
      <c r="J50" s="2280"/>
      <c r="K50" s="2280"/>
      <c r="L50" s="2280" t="s">
        <v>35</v>
      </c>
      <c r="M50" s="2280" t="s">
        <v>35</v>
      </c>
      <c r="N50" s="2280" t="s">
        <v>35</v>
      </c>
      <c r="O50" s="2280" t="s">
        <v>35</v>
      </c>
      <c r="P50" s="2280" t="s">
        <v>35</v>
      </c>
      <c r="Q50" s="2280"/>
      <c r="R50" s="2280"/>
      <c r="S50" s="2280">
        <v>1</v>
      </c>
      <c r="T50" s="2280">
        <v>1</v>
      </c>
      <c r="U50" s="2280">
        <v>1</v>
      </c>
      <c r="V50" s="2280">
        <v>1</v>
      </c>
      <c r="W50" s="2241">
        <v>1</v>
      </c>
      <c r="X50" s="2287"/>
      <c r="Y50" s="2288"/>
      <c r="Z50" s="2287">
        <v>9</v>
      </c>
      <c r="AA50" s="2287">
        <v>9</v>
      </c>
      <c r="AB50" s="2287">
        <v>9</v>
      </c>
      <c r="AC50" s="2287">
        <v>9</v>
      </c>
      <c r="AD50" s="2287">
        <v>9</v>
      </c>
      <c r="AE50" s="2287" t="s">
        <v>70</v>
      </c>
      <c r="AF50" s="2287"/>
      <c r="AG50" s="2290"/>
      <c r="AH50" s="34"/>
      <c r="AI50" s="25"/>
    </row>
    <row r="51" spans="1:35" ht="24.75" customHeight="1" thickBot="1">
      <c r="A51" s="2283">
        <v>15</v>
      </c>
      <c r="B51" s="2284" t="s">
        <v>85</v>
      </c>
      <c r="C51" s="2164" t="s">
        <v>75</v>
      </c>
      <c r="D51" s="2164" t="s">
        <v>69</v>
      </c>
      <c r="E51" s="2164">
        <v>6</v>
      </c>
      <c r="F51" s="2164">
        <v>6</v>
      </c>
      <c r="G51" s="2164">
        <v>6</v>
      </c>
      <c r="H51" s="2233">
        <v>6</v>
      </c>
      <c r="I51" s="2233">
        <v>6</v>
      </c>
      <c r="J51" s="2164"/>
      <c r="K51" s="2233"/>
      <c r="L51" s="2164" t="s">
        <v>35</v>
      </c>
      <c r="M51" s="2164" t="s">
        <v>35</v>
      </c>
      <c r="N51" s="2164" t="s">
        <v>35</v>
      </c>
      <c r="O51" s="2164" t="s">
        <v>35</v>
      </c>
      <c r="P51" s="2164" t="s">
        <v>35</v>
      </c>
      <c r="Q51" s="2233"/>
      <c r="R51" s="2164"/>
      <c r="S51" s="2294">
        <v>5</v>
      </c>
      <c r="T51" s="2294">
        <v>5</v>
      </c>
      <c r="U51" s="2294">
        <v>5</v>
      </c>
      <c r="V51" s="2294">
        <v>5</v>
      </c>
      <c r="W51" s="2294">
        <v>5</v>
      </c>
      <c r="X51" s="2294"/>
      <c r="Y51" s="2294"/>
      <c r="Z51" s="2164">
        <v>10</v>
      </c>
      <c r="AA51" s="2164">
        <v>10</v>
      </c>
      <c r="AB51" s="2164">
        <v>10</v>
      </c>
      <c r="AC51" s="2164">
        <v>10</v>
      </c>
      <c r="AD51" s="2164">
        <v>10</v>
      </c>
      <c r="AE51" s="2233" t="s">
        <v>72</v>
      </c>
      <c r="AF51" s="2285"/>
      <c r="AG51" s="2295"/>
      <c r="AH51" s="34"/>
      <c r="AI51" s="25"/>
    </row>
    <row r="52" spans="1:35" ht="24.75" customHeight="1">
      <c r="A52" s="29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"/>
    </row>
    <row r="53" spans="1:35" ht="24.75" customHeight="1">
      <c r="A53" s="36"/>
      <c r="B53" s="37" t="s">
        <v>86</v>
      </c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1"/>
    </row>
    <row r="54" spans="1:35" ht="24.75" customHeight="1">
      <c r="A54" s="2296" t="s">
        <v>28</v>
      </c>
      <c r="B54" s="2296"/>
      <c r="C54" s="2297"/>
      <c r="D54" s="2296" t="s">
        <v>87</v>
      </c>
      <c r="E54" s="2298"/>
      <c r="F54" s="2297"/>
      <c r="G54" s="2296" t="s">
        <v>88</v>
      </c>
      <c r="H54" s="2298"/>
      <c r="I54" s="2297"/>
      <c r="J54" s="2296" t="s">
        <v>89</v>
      </c>
      <c r="K54" s="2298"/>
      <c r="L54" s="2297"/>
      <c r="M54" s="2296" t="s">
        <v>90</v>
      </c>
      <c r="N54" s="2298"/>
      <c r="O54" s="2297"/>
      <c r="P54" s="2296" t="s">
        <v>91</v>
      </c>
      <c r="Q54" s="2298"/>
      <c r="R54" s="2185"/>
      <c r="S54" s="2299" t="s">
        <v>92</v>
      </c>
      <c r="T54" s="2298"/>
      <c r="U54" s="2297"/>
      <c r="V54" s="2296" t="s">
        <v>93</v>
      </c>
      <c r="W54" s="2298"/>
      <c r="X54" s="2300" t="s">
        <v>94</v>
      </c>
      <c r="Y54" s="2298"/>
      <c r="Z54" s="2298"/>
      <c r="AA54" s="2301"/>
      <c r="AB54" s="2217"/>
      <c r="AC54" s="2217"/>
      <c r="AD54" s="2217"/>
      <c r="AE54" s="2217"/>
      <c r="AF54" s="2217"/>
      <c r="AG54" s="2218"/>
      <c r="AH54" s="1"/>
    </row>
    <row r="55" spans="1:35" ht="24.75" customHeight="1">
      <c r="A55" s="2302">
        <v>8517</v>
      </c>
      <c r="B55" s="2247" t="s">
        <v>95</v>
      </c>
      <c r="C55" s="2303" t="s">
        <v>96</v>
      </c>
      <c r="D55" s="2114"/>
      <c r="E55" s="2216"/>
      <c r="F55" s="2303" t="s">
        <v>96</v>
      </c>
      <c r="G55" s="2114"/>
      <c r="H55" s="2216"/>
      <c r="I55" s="2303" t="s">
        <v>96</v>
      </c>
      <c r="J55" s="2114"/>
      <c r="K55" s="2216"/>
      <c r="L55" s="2303" t="s">
        <v>96</v>
      </c>
      <c r="M55" s="2114"/>
      <c r="N55" s="2216"/>
      <c r="O55" s="2303" t="s">
        <v>97</v>
      </c>
      <c r="P55" s="2114"/>
      <c r="Q55" s="2216"/>
      <c r="R55" s="2303" t="s">
        <v>96</v>
      </c>
      <c r="S55" s="2114"/>
      <c r="T55" s="2216"/>
      <c r="U55" s="2303" t="s">
        <v>96</v>
      </c>
      <c r="V55" s="2114"/>
      <c r="W55" s="2216"/>
      <c r="X55" s="2215"/>
      <c r="Y55" s="2217"/>
      <c r="Z55" s="2217"/>
      <c r="AA55" s="2217"/>
      <c r="AB55" s="2217"/>
      <c r="AC55" s="2217"/>
      <c r="AD55" s="2217"/>
      <c r="AE55" s="2217"/>
      <c r="AF55" s="2217"/>
      <c r="AG55" s="2218"/>
      <c r="AH55" s="1"/>
    </row>
    <row r="56" spans="1:35" ht="24.75" customHeight="1">
      <c r="B56" s="2304" t="s">
        <v>98</v>
      </c>
      <c r="C56" s="2305" t="s">
        <v>99</v>
      </c>
      <c r="D56" s="2306"/>
      <c r="E56" s="2307"/>
      <c r="F56" s="2305" t="s">
        <v>99</v>
      </c>
      <c r="G56" s="2308"/>
      <c r="H56" s="2307"/>
      <c r="I56" s="2303" t="s">
        <v>99</v>
      </c>
      <c r="J56" s="2114"/>
      <c r="K56" s="2309"/>
      <c r="L56" s="2303" t="s">
        <v>99</v>
      </c>
      <c r="M56" s="2114"/>
      <c r="N56" s="2309"/>
      <c r="O56" s="2303" t="s">
        <v>100</v>
      </c>
      <c r="P56" s="2114"/>
      <c r="Q56" s="2216"/>
      <c r="R56" s="2310" t="s">
        <v>0</v>
      </c>
      <c r="S56" s="2114"/>
      <c r="T56" s="2309"/>
      <c r="U56" s="2114" t="s">
        <v>0</v>
      </c>
      <c r="V56" s="2114"/>
      <c r="W56" s="2216"/>
      <c r="X56" s="781" t="s">
        <v>0</v>
      </c>
      <c r="Y56" s="17"/>
      <c r="Z56" s="17"/>
      <c r="AA56" s="17"/>
      <c r="AB56" s="17"/>
      <c r="AC56" s="17"/>
      <c r="AD56" s="17"/>
      <c r="AE56" s="17"/>
      <c r="AF56" s="17"/>
      <c r="AG56" s="39"/>
      <c r="AH56" s="1"/>
    </row>
    <row r="57" spans="1:35" ht="24.75" customHeight="1">
      <c r="A57" s="2311"/>
      <c r="B57" s="2247" t="s">
        <v>101</v>
      </c>
      <c r="C57" s="2303" t="s">
        <v>102</v>
      </c>
      <c r="D57" s="2114"/>
      <c r="E57" s="2216"/>
      <c r="F57" s="2303" t="s">
        <v>102</v>
      </c>
      <c r="G57" s="2114"/>
      <c r="H57" s="2309"/>
      <c r="I57" s="2303" t="s">
        <v>102</v>
      </c>
      <c r="J57" s="2114"/>
      <c r="K57" s="2309"/>
      <c r="L57" s="2303" t="s">
        <v>102</v>
      </c>
      <c r="M57" s="2114"/>
      <c r="N57" s="2309"/>
      <c r="O57" s="2303" t="s">
        <v>103</v>
      </c>
      <c r="P57" s="2114"/>
      <c r="Q57" s="2216"/>
      <c r="R57" s="40"/>
      <c r="S57" s="41"/>
      <c r="T57" s="2309"/>
      <c r="U57" s="2114"/>
      <c r="V57" s="2114"/>
      <c r="W57" s="2216"/>
      <c r="X57" s="2215"/>
      <c r="Y57" s="2217"/>
      <c r="Z57" s="2217"/>
      <c r="AA57" s="2217"/>
      <c r="AB57" s="2217"/>
      <c r="AC57" s="2217"/>
      <c r="AD57" s="2217"/>
      <c r="AE57" s="2217"/>
      <c r="AF57" s="2217"/>
      <c r="AG57" s="2218"/>
      <c r="AH57" s="1"/>
    </row>
    <row r="58" spans="1:35" ht="24.75" customHeight="1">
      <c r="A58" s="2296"/>
      <c r="B58" s="2304" t="s">
        <v>104</v>
      </c>
      <c r="C58" s="2312" t="s">
        <v>105</v>
      </c>
      <c r="D58" s="2312"/>
      <c r="E58" s="2313"/>
      <c r="F58" s="2312" t="s">
        <v>105</v>
      </c>
      <c r="G58" s="2312"/>
      <c r="H58" s="2313"/>
      <c r="I58" s="2312" t="s">
        <v>105</v>
      </c>
      <c r="J58" s="2312"/>
      <c r="K58" s="2313"/>
      <c r="L58" s="2312" t="s">
        <v>105</v>
      </c>
      <c r="M58" s="2312"/>
      <c r="N58" s="2313"/>
      <c r="O58" s="2312" t="s">
        <v>105</v>
      </c>
      <c r="P58" s="2312"/>
      <c r="Q58" s="2313"/>
      <c r="R58" s="2312" t="s">
        <v>105</v>
      </c>
      <c r="S58" s="2312"/>
      <c r="T58" s="2313"/>
      <c r="U58" s="2312" t="s">
        <v>105</v>
      </c>
      <c r="V58" s="2312"/>
      <c r="W58" s="2313"/>
      <c r="X58" s="2215"/>
      <c r="Y58" s="2217"/>
      <c r="Z58" s="2217"/>
      <c r="AA58" s="2217"/>
      <c r="AB58" s="2217"/>
      <c r="AC58" s="2217"/>
      <c r="AD58" s="2217"/>
      <c r="AE58" s="2217"/>
      <c r="AF58" s="2217"/>
      <c r="AG58" s="2218"/>
      <c r="AH58" s="1"/>
    </row>
    <row r="59" spans="1:35" ht="24.75" customHeight="1">
      <c r="A59" s="42"/>
      <c r="B59" s="29"/>
      <c r="C59" s="22"/>
      <c r="D59" s="22"/>
      <c r="E59" s="18"/>
      <c r="F59" s="22"/>
      <c r="G59" s="22"/>
      <c r="H59" s="18"/>
      <c r="I59" s="22"/>
      <c r="J59" s="22"/>
      <c r="K59" s="18"/>
      <c r="L59" s="22"/>
      <c r="M59" s="22"/>
      <c r="N59" s="18"/>
      <c r="O59" s="22"/>
      <c r="P59" s="22"/>
      <c r="Q59" s="18"/>
      <c r="R59" s="22"/>
      <c r="S59" s="22"/>
      <c r="T59" s="18"/>
      <c r="U59" s="22"/>
      <c r="V59" s="22"/>
      <c r="W59" s="18"/>
      <c r="X59" s="18"/>
      <c r="Y59" s="17"/>
      <c r="Z59" s="17"/>
      <c r="AA59" s="17"/>
      <c r="AB59" s="17"/>
      <c r="AC59" s="17"/>
      <c r="AD59" s="17"/>
      <c r="AE59" s="17"/>
      <c r="AF59" s="17"/>
      <c r="AG59" s="17"/>
      <c r="AH59" s="1"/>
    </row>
    <row r="60" spans="1:35" ht="24.75" customHeight="1" thickBot="1">
      <c r="A60" s="2120"/>
      <c r="B60" s="2121" t="s">
        <v>29</v>
      </c>
      <c r="C60" s="2122">
        <v>1</v>
      </c>
      <c r="D60" s="2122">
        <v>2</v>
      </c>
      <c r="E60" s="2123">
        <v>3</v>
      </c>
      <c r="F60" s="2123">
        <v>4</v>
      </c>
      <c r="G60" s="2123">
        <v>5</v>
      </c>
      <c r="H60" s="2123">
        <v>6</v>
      </c>
      <c r="I60" s="2123">
        <v>7</v>
      </c>
      <c r="J60" s="2122">
        <v>8</v>
      </c>
      <c r="K60" s="2122">
        <v>9</v>
      </c>
      <c r="L60" s="2123">
        <v>10</v>
      </c>
      <c r="M60" s="2123">
        <v>11</v>
      </c>
      <c r="N60" s="2123">
        <v>12</v>
      </c>
      <c r="O60" s="2123">
        <v>13</v>
      </c>
      <c r="P60" s="2123">
        <v>14</v>
      </c>
      <c r="Q60" s="2122">
        <v>15</v>
      </c>
      <c r="R60" s="2122">
        <v>16</v>
      </c>
      <c r="S60" s="2123">
        <v>17</v>
      </c>
      <c r="T60" s="2123">
        <v>18</v>
      </c>
      <c r="U60" s="2123">
        <v>19</v>
      </c>
      <c r="V60" s="2123">
        <v>20</v>
      </c>
      <c r="W60" s="2123">
        <v>21</v>
      </c>
      <c r="X60" s="2122">
        <v>22</v>
      </c>
      <c r="Y60" s="2122">
        <v>23</v>
      </c>
      <c r="Z60" s="2123">
        <v>24</v>
      </c>
      <c r="AA60" s="2123">
        <v>25</v>
      </c>
      <c r="AB60" s="2123">
        <v>26</v>
      </c>
      <c r="AC60" s="2123">
        <v>27</v>
      </c>
      <c r="AD60" s="2123">
        <v>28</v>
      </c>
      <c r="AE60" s="2122">
        <v>29</v>
      </c>
      <c r="AF60" s="2123"/>
      <c r="AG60" s="2124"/>
      <c r="AH60" s="1"/>
    </row>
    <row r="61" spans="1:35" ht="24.75" customHeight="1">
      <c r="A61" s="789"/>
      <c r="B61" s="1916" t="s">
        <v>106</v>
      </c>
      <c r="C61" s="790" t="s">
        <v>108</v>
      </c>
      <c r="D61" s="791" t="s">
        <v>108</v>
      </c>
      <c r="E61" s="790" t="s">
        <v>35</v>
      </c>
      <c r="F61" s="2314" t="s">
        <v>110</v>
      </c>
      <c r="G61" s="790" t="s">
        <v>35</v>
      </c>
      <c r="H61" s="817" t="s">
        <v>110</v>
      </c>
      <c r="I61" s="817" t="s">
        <v>110</v>
      </c>
      <c r="J61" s="817" t="s">
        <v>45</v>
      </c>
      <c r="K61" s="817"/>
      <c r="L61" s="1849">
        <v>26</v>
      </c>
      <c r="M61" s="1849">
        <v>26</v>
      </c>
      <c r="N61" s="1849">
        <v>26</v>
      </c>
      <c r="O61" s="1849">
        <v>26</v>
      </c>
      <c r="P61" s="1849">
        <v>26</v>
      </c>
      <c r="Q61" s="1849">
        <v>26</v>
      </c>
      <c r="R61" s="1849">
        <v>26</v>
      </c>
      <c r="S61" s="2280" t="s">
        <v>35</v>
      </c>
      <c r="T61" s="2280" t="s">
        <v>35</v>
      </c>
      <c r="U61" s="2280" t="s">
        <v>35</v>
      </c>
      <c r="V61" s="2280" t="s">
        <v>35</v>
      </c>
      <c r="W61" s="2280" t="s">
        <v>35</v>
      </c>
      <c r="X61" s="2287" t="s">
        <v>69</v>
      </c>
      <c r="Y61" s="2287" t="s">
        <v>69</v>
      </c>
      <c r="Z61" s="2288">
        <v>5</v>
      </c>
      <c r="AA61" s="2288">
        <v>5</v>
      </c>
      <c r="AB61" s="2288">
        <v>5</v>
      </c>
      <c r="AC61" s="2288">
        <v>5</v>
      </c>
      <c r="AD61" s="2288">
        <v>5</v>
      </c>
      <c r="AE61" s="1053"/>
      <c r="AF61" s="1053"/>
      <c r="AG61" s="795"/>
      <c r="AH61" s="1"/>
    </row>
    <row r="62" spans="1:35" ht="24.75" customHeight="1" thickBot="1">
      <c r="A62" s="1916"/>
      <c r="B62" s="1878" t="s">
        <v>111</v>
      </c>
      <c r="C62" s="1744"/>
      <c r="D62" s="1744"/>
      <c r="E62" s="1849">
        <v>26</v>
      </c>
      <c r="F62" s="1849">
        <v>26</v>
      </c>
      <c r="G62" s="1849">
        <v>26</v>
      </c>
      <c r="H62" s="1849">
        <v>26</v>
      </c>
      <c r="I62" s="1849">
        <v>26</v>
      </c>
      <c r="J62" s="1927">
        <v>26</v>
      </c>
      <c r="K62" s="1849">
        <v>26</v>
      </c>
      <c r="L62" s="2280" t="s">
        <v>35</v>
      </c>
      <c r="M62" s="2280" t="s">
        <v>35</v>
      </c>
      <c r="N62" s="2280" t="s">
        <v>35</v>
      </c>
      <c r="O62" s="2280" t="s">
        <v>35</v>
      </c>
      <c r="P62" s="2280" t="s">
        <v>35</v>
      </c>
      <c r="Q62" s="1744" t="s">
        <v>45</v>
      </c>
      <c r="R62" s="1744" t="s">
        <v>45</v>
      </c>
      <c r="S62" s="2315">
        <v>5</v>
      </c>
      <c r="T62" s="2164">
        <v>5</v>
      </c>
      <c r="U62" s="2164">
        <v>5</v>
      </c>
      <c r="V62" s="2315">
        <v>5</v>
      </c>
      <c r="W62" s="2164">
        <v>5</v>
      </c>
      <c r="X62" s="1854"/>
      <c r="Y62" s="1922"/>
      <c r="Z62" s="1854">
        <v>89</v>
      </c>
      <c r="AA62" s="1854">
        <v>89</v>
      </c>
      <c r="AB62" s="1923">
        <v>89</v>
      </c>
      <c r="AC62" s="1923">
        <v>89</v>
      </c>
      <c r="AD62" s="1923" t="s">
        <v>127</v>
      </c>
      <c r="AE62" s="1923"/>
      <c r="AF62" s="1923"/>
      <c r="AG62" s="1614"/>
      <c r="AH62" s="1"/>
    </row>
    <row r="63" spans="1:35" ht="24.75" customHeight="1">
      <c r="A63" s="1845"/>
      <c r="B63" s="1878" t="s">
        <v>113</v>
      </c>
      <c r="C63" s="2316" t="s">
        <v>115</v>
      </c>
      <c r="D63" s="2288"/>
      <c r="E63" s="2316" t="s">
        <v>115</v>
      </c>
      <c r="F63" s="2317" t="s">
        <v>115</v>
      </c>
      <c r="G63" s="2317" t="s">
        <v>115</v>
      </c>
      <c r="H63" s="2317" t="s">
        <v>115</v>
      </c>
      <c r="I63" s="2317" t="s">
        <v>115</v>
      </c>
      <c r="J63" s="2317" t="s">
        <v>115</v>
      </c>
      <c r="K63" s="2317"/>
      <c r="L63" s="2317" t="s">
        <v>225</v>
      </c>
      <c r="M63" s="2317" t="s">
        <v>225</v>
      </c>
      <c r="N63" s="2317" t="s">
        <v>225</v>
      </c>
      <c r="O63" s="2316" t="s">
        <v>225</v>
      </c>
      <c r="P63" s="2316">
        <v>7</v>
      </c>
      <c r="Q63" s="2317"/>
      <c r="R63" s="2317"/>
      <c r="S63" s="2288" t="s">
        <v>114</v>
      </c>
      <c r="T63" s="2288" t="s">
        <v>114</v>
      </c>
      <c r="U63" s="2288" t="s">
        <v>114</v>
      </c>
      <c r="V63" s="2288" t="s">
        <v>114</v>
      </c>
      <c r="W63" s="2288" t="s">
        <v>114</v>
      </c>
      <c r="X63" s="2317"/>
      <c r="Y63" s="2317"/>
      <c r="Z63" s="2249" t="s">
        <v>115</v>
      </c>
      <c r="AA63" s="2249" t="s">
        <v>115</v>
      </c>
      <c r="AB63" s="2249" t="s">
        <v>115</v>
      </c>
      <c r="AC63" s="2249" t="s">
        <v>115</v>
      </c>
      <c r="AD63" s="2249" t="s">
        <v>115</v>
      </c>
      <c r="AE63" s="2249" t="s">
        <v>115</v>
      </c>
      <c r="AF63" s="1849"/>
      <c r="AG63" s="1614"/>
      <c r="AH63" s="1"/>
    </row>
    <row r="64" spans="1:35" ht="24.75" customHeight="1">
      <c r="A64" s="1878"/>
      <c r="B64" s="1925" t="s">
        <v>116</v>
      </c>
      <c r="C64" s="1744"/>
      <c r="D64" s="1744"/>
      <c r="E64" s="1923" t="s">
        <v>31</v>
      </c>
      <c r="F64" s="1923" t="s">
        <v>31</v>
      </c>
      <c r="G64" s="1923" t="s">
        <v>31</v>
      </c>
      <c r="H64" s="1923" t="s">
        <v>31</v>
      </c>
      <c r="I64" s="1923" t="s">
        <v>31</v>
      </c>
      <c r="J64" s="1923"/>
      <c r="K64" s="1927" t="s">
        <v>67</v>
      </c>
      <c r="L64" s="1744">
        <v>25</v>
      </c>
      <c r="M64" s="1744">
        <v>25</v>
      </c>
      <c r="N64" s="1744">
        <v>25</v>
      </c>
      <c r="O64" s="1744">
        <v>25</v>
      </c>
      <c r="P64" s="1744">
        <v>25</v>
      </c>
      <c r="Q64" s="1923"/>
      <c r="R64" s="1923"/>
      <c r="S64" s="1744" t="s">
        <v>244</v>
      </c>
      <c r="T64" s="1744" t="s">
        <v>244</v>
      </c>
      <c r="U64" s="1744" t="s">
        <v>244</v>
      </c>
      <c r="V64" s="1744" t="s">
        <v>244</v>
      </c>
      <c r="W64" s="1744" t="s">
        <v>244</v>
      </c>
      <c r="X64" s="1928"/>
      <c r="Y64" s="1928"/>
      <c r="Z64" s="1927">
        <v>26</v>
      </c>
      <c r="AA64" s="1926">
        <v>26</v>
      </c>
      <c r="AB64" s="1762">
        <v>26</v>
      </c>
      <c r="AC64" s="1849">
        <v>26</v>
      </c>
      <c r="AD64" s="1849">
        <v>26</v>
      </c>
      <c r="AE64" s="1849"/>
      <c r="AF64" s="1744"/>
      <c r="AG64" s="1614"/>
      <c r="AH64" s="1"/>
    </row>
    <row r="65" spans="1:34" ht="24.75" customHeight="1">
      <c r="A65" s="1878"/>
      <c r="B65" s="1925" t="s">
        <v>122</v>
      </c>
      <c r="C65" s="1744">
        <v>26</v>
      </c>
      <c r="D65" s="1744">
        <v>26</v>
      </c>
      <c r="E65" s="2280" t="s">
        <v>35</v>
      </c>
      <c r="F65" s="2318" t="s">
        <v>35</v>
      </c>
      <c r="G65" s="2280" t="s">
        <v>35</v>
      </c>
      <c r="H65" s="2280" t="s">
        <v>35</v>
      </c>
      <c r="I65" s="2280" t="s">
        <v>35</v>
      </c>
      <c r="J65" s="1923"/>
      <c r="K65" s="1923"/>
      <c r="L65" s="1923">
        <v>5</v>
      </c>
      <c r="M65" s="1923">
        <v>5</v>
      </c>
      <c r="N65" s="1923">
        <v>5</v>
      </c>
      <c r="O65" s="1923">
        <v>5</v>
      </c>
      <c r="P65" s="1923">
        <v>5</v>
      </c>
      <c r="Q65" s="1923"/>
      <c r="R65" s="1923"/>
      <c r="S65" s="2319" t="s">
        <v>110</v>
      </c>
      <c r="T65" s="2319" t="s">
        <v>110</v>
      </c>
      <c r="U65" s="2319" t="s">
        <v>110</v>
      </c>
      <c r="V65" s="2316" t="s">
        <v>110</v>
      </c>
      <c r="W65" s="2320" t="s">
        <v>110</v>
      </c>
      <c r="X65" s="2319" t="s">
        <v>108</v>
      </c>
      <c r="Y65" s="2319" t="s">
        <v>108</v>
      </c>
      <c r="Z65" s="2280" t="s">
        <v>35</v>
      </c>
      <c r="AA65" s="2280" t="s">
        <v>35</v>
      </c>
      <c r="AB65" s="2280" t="s">
        <v>35</v>
      </c>
      <c r="AC65" s="1744" t="s">
        <v>35</v>
      </c>
      <c r="AD65" s="1744">
        <v>89</v>
      </c>
      <c r="AE65" s="1744" t="s">
        <v>108</v>
      </c>
      <c r="AF65" s="1744"/>
      <c r="AG65" s="1614"/>
    </row>
    <row r="66" spans="1:34" ht="24.75" customHeight="1">
      <c r="A66" s="1878"/>
      <c r="B66" s="1878" t="s">
        <v>124</v>
      </c>
      <c r="C66" s="1744"/>
      <c r="D66" s="1744" t="s">
        <v>108</v>
      </c>
      <c r="E66" s="1923">
        <v>3</v>
      </c>
      <c r="F66" s="1923">
        <v>3</v>
      </c>
      <c r="G66" s="1923">
        <v>3</v>
      </c>
      <c r="H66" s="1923">
        <v>25</v>
      </c>
      <c r="I66" s="1923">
        <v>3</v>
      </c>
      <c r="J66" s="1923"/>
      <c r="K66" s="1923"/>
      <c r="L66" s="2280">
        <v>11</v>
      </c>
      <c r="M66" s="2280">
        <v>11</v>
      </c>
      <c r="N66" s="2316">
        <v>11</v>
      </c>
      <c r="O66" s="2280">
        <v>11</v>
      </c>
      <c r="P66" s="2280">
        <v>11</v>
      </c>
      <c r="Q66" s="2280" t="s">
        <v>68</v>
      </c>
      <c r="R66" s="2280" t="s">
        <v>68</v>
      </c>
      <c r="S66" s="2280" t="s">
        <v>35</v>
      </c>
      <c r="T66" s="2280" t="s">
        <v>35</v>
      </c>
      <c r="U66" s="2280" t="s">
        <v>35</v>
      </c>
      <c r="V66" s="2280" t="s">
        <v>35</v>
      </c>
      <c r="W66" s="2280" t="s">
        <v>35</v>
      </c>
      <c r="X66" s="1928"/>
      <c r="Y66" s="1928"/>
      <c r="Z66" s="1762">
        <v>25</v>
      </c>
      <c r="AA66" s="1762">
        <v>25</v>
      </c>
      <c r="AB66" s="1762">
        <v>25</v>
      </c>
      <c r="AC66" s="1762">
        <v>25</v>
      </c>
      <c r="AD66" s="1762">
        <v>25</v>
      </c>
      <c r="AE66" s="1762"/>
      <c r="AF66" s="1744"/>
      <c r="AG66" s="1614"/>
      <c r="AH66" s="1"/>
    </row>
    <row r="67" spans="1:34" ht="24.75" customHeight="1">
      <c r="A67" s="1878"/>
      <c r="B67" s="1925" t="s">
        <v>126</v>
      </c>
      <c r="C67" s="1762" t="s">
        <v>0</v>
      </c>
      <c r="D67" s="1762" t="s">
        <v>0</v>
      </c>
      <c r="E67" s="1923" t="s">
        <v>31</v>
      </c>
      <c r="F67" s="1923" t="s">
        <v>31</v>
      </c>
      <c r="G67" s="1923" t="s">
        <v>31</v>
      </c>
      <c r="H67" s="2321" t="s">
        <v>31</v>
      </c>
      <c r="I67" s="2321" t="s">
        <v>31</v>
      </c>
      <c r="J67" s="1923"/>
      <c r="K67" s="1923"/>
      <c r="L67" s="1919" t="s">
        <v>304</v>
      </c>
      <c r="M67" s="1846" t="s">
        <v>31</v>
      </c>
      <c r="N67" s="1846" t="s">
        <v>31</v>
      </c>
      <c r="O67" s="2322" t="s">
        <v>31</v>
      </c>
      <c r="P67" s="2322" t="s">
        <v>31</v>
      </c>
      <c r="Q67" s="2322"/>
      <c r="R67" s="2322"/>
      <c r="S67" s="1744" t="s">
        <v>127</v>
      </c>
      <c r="T67" s="1744" t="s">
        <v>127</v>
      </c>
      <c r="U67" s="1744" t="s">
        <v>127</v>
      </c>
      <c r="V67" s="2322" t="s">
        <v>127</v>
      </c>
      <c r="W67" s="2322" t="s">
        <v>127</v>
      </c>
      <c r="X67" s="1923" t="s">
        <v>0</v>
      </c>
      <c r="Y67" s="1923" t="s">
        <v>0</v>
      </c>
      <c r="Z67" s="1923" t="s">
        <v>31</v>
      </c>
      <c r="AA67" s="1923" t="s">
        <v>31</v>
      </c>
      <c r="AB67" s="1923" t="s">
        <v>31</v>
      </c>
      <c r="AC67" s="1923" t="s">
        <v>31</v>
      </c>
      <c r="AD67" s="1923" t="s">
        <v>31</v>
      </c>
      <c r="AE67" s="1923" t="s">
        <v>0</v>
      </c>
      <c r="AF67" s="1744"/>
      <c r="AG67" s="1614"/>
      <c r="AH67" s="1"/>
    </row>
    <row r="68" spans="1:34" ht="24.75" customHeight="1" thickBot="1">
      <c r="A68" s="1878"/>
      <c r="B68" s="1925" t="s">
        <v>129</v>
      </c>
      <c r="C68" s="1744"/>
      <c r="D68" s="1744"/>
      <c r="E68" s="1917" t="s">
        <v>110</v>
      </c>
      <c r="F68" s="1917" t="s">
        <v>110</v>
      </c>
      <c r="G68" s="1917" t="s">
        <v>110</v>
      </c>
      <c r="H68" s="1917" t="s">
        <v>110</v>
      </c>
      <c r="I68" s="1919" t="s">
        <v>110</v>
      </c>
      <c r="J68" s="1919"/>
      <c r="K68" s="1919"/>
      <c r="L68" s="1919">
        <v>69</v>
      </c>
      <c r="M68" s="1919">
        <v>69</v>
      </c>
      <c r="N68" s="1919">
        <v>69</v>
      </c>
      <c r="O68" s="1919" t="s">
        <v>35</v>
      </c>
      <c r="P68" s="1919" t="s">
        <v>35</v>
      </c>
      <c r="Q68" s="2323" t="s">
        <v>69</v>
      </c>
      <c r="R68" s="2323" t="s">
        <v>69</v>
      </c>
      <c r="S68" s="2323">
        <v>8</v>
      </c>
      <c r="T68" s="2323">
        <v>8</v>
      </c>
      <c r="U68" s="2323">
        <v>8</v>
      </c>
      <c r="V68" s="2323" t="s">
        <v>127</v>
      </c>
      <c r="W68" s="2323" t="s">
        <v>127</v>
      </c>
      <c r="X68" s="1919"/>
      <c r="Y68" s="1919"/>
      <c r="Z68" s="1919" t="s">
        <v>31</v>
      </c>
      <c r="AA68" s="1919" t="s">
        <v>31</v>
      </c>
      <c r="AB68" s="1919" t="s">
        <v>31</v>
      </c>
      <c r="AC68" s="1919" t="s">
        <v>31</v>
      </c>
      <c r="AD68" s="1919" t="s">
        <v>31</v>
      </c>
      <c r="AE68" s="1919"/>
      <c r="AF68" s="1919"/>
      <c r="AG68" s="2324"/>
      <c r="AH68" s="1"/>
    </row>
    <row r="69" spans="1:34" ht="24.75" customHeight="1" thickBot="1">
      <c r="A69" s="1925"/>
      <c r="B69" s="1939" t="s">
        <v>130</v>
      </c>
      <c r="C69" s="471" t="s">
        <v>72</v>
      </c>
      <c r="D69" s="471" t="s">
        <v>72</v>
      </c>
      <c r="E69" s="2280" t="s">
        <v>35</v>
      </c>
      <c r="F69" s="2280" t="s">
        <v>35</v>
      </c>
      <c r="G69" s="2280" t="s">
        <v>35</v>
      </c>
      <c r="H69" s="2280" t="s">
        <v>35</v>
      </c>
      <c r="I69" s="2280" t="s">
        <v>35</v>
      </c>
      <c r="J69" s="2280" t="s">
        <v>45</v>
      </c>
      <c r="K69" s="2280" t="s">
        <v>45</v>
      </c>
      <c r="L69" s="1744">
        <v>4</v>
      </c>
      <c r="M69" s="1744">
        <v>4</v>
      </c>
      <c r="N69" s="1923">
        <v>4</v>
      </c>
      <c r="O69" s="1923">
        <v>4</v>
      </c>
      <c r="P69" s="1923">
        <v>4</v>
      </c>
      <c r="Q69" s="1744"/>
      <c r="R69" s="1744"/>
      <c r="S69" s="1744">
        <v>79</v>
      </c>
      <c r="T69" s="1744">
        <v>79</v>
      </c>
      <c r="U69" s="1744">
        <v>79</v>
      </c>
      <c r="V69" s="1930" t="s">
        <v>146</v>
      </c>
      <c r="W69" s="1930" t="s">
        <v>146</v>
      </c>
      <c r="X69" s="1744"/>
      <c r="Y69" s="1744"/>
      <c r="Z69" s="1922" t="s">
        <v>146</v>
      </c>
      <c r="AA69" s="1922" t="s">
        <v>146</v>
      </c>
      <c r="AB69" s="1922" t="s">
        <v>146</v>
      </c>
      <c r="AC69" s="1922" t="s">
        <v>146</v>
      </c>
      <c r="AD69" s="1922" t="s">
        <v>146</v>
      </c>
      <c r="AE69" s="1744"/>
      <c r="AF69" s="1744"/>
      <c r="AG69" s="1615"/>
      <c r="AH69" s="1"/>
    </row>
    <row r="70" spans="1:34" ht="24.75" customHeight="1">
      <c r="A70" s="1925"/>
      <c r="B70" s="2325" t="s">
        <v>132</v>
      </c>
      <c r="C70" s="1930" t="s">
        <v>108</v>
      </c>
      <c r="D70" s="1930" t="s">
        <v>108</v>
      </c>
      <c r="E70" s="2280" t="s">
        <v>35</v>
      </c>
      <c r="F70" s="2280" t="s">
        <v>35</v>
      </c>
      <c r="G70" s="2316" t="s">
        <v>110</v>
      </c>
      <c r="H70" s="2280" t="s">
        <v>35</v>
      </c>
      <c r="I70" s="2244" t="s">
        <v>35</v>
      </c>
      <c r="J70" s="1923"/>
      <c r="K70" s="1923"/>
      <c r="L70" s="1923" t="s">
        <v>31</v>
      </c>
      <c r="M70" s="1923" t="s">
        <v>31</v>
      </c>
      <c r="N70" s="1923" t="s">
        <v>31</v>
      </c>
      <c r="O70" s="1923" t="s">
        <v>31</v>
      </c>
      <c r="P70" s="1923" t="s">
        <v>31</v>
      </c>
      <c r="Q70" s="2287" t="s">
        <v>0</v>
      </c>
      <c r="R70" s="2287" t="s">
        <v>0</v>
      </c>
      <c r="S70" s="472">
        <v>69</v>
      </c>
      <c r="T70" s="471">
        <v>69</v>
      </c>
      <c r="U70" s="472">
        <v>69</v>
      </c>
      <c r="V70" s="472">
        <v>69</v>
      </c>
      <c r="W70" s="472">
        <v>69</v>
      </c>
      <c r="X70" s="1712"/>
      <c r="Y70" s="1712"/>
      <c r="Z70" s="2319" t="s">
        <v>110</v>
      </c>
      <c r="AA70" s="2319" t="s">
        <v>110</v>
      </c>
      <c r="AB70" s="2319" t="s">
        <v>110</v>
      </c>
      <c r="AC70" s="2319" t="s">
        <v>110</v>
      </c>
      <c r="AD70" s="2320" t="s">
        <v>110</v>
      </c>
      <c r="AE70" s="2319" t="s">
        <v>0</v>
      </c>
      <c r="AF70" s="2319" t="s">
        <v>0</v>
      </c>
      <c r="AG70" s="1934"/>
      <c r="AH70" s="1"/>
    </row>
    <row r="71" spans="1:34" ht="24.75" customHeight="1">
      <c r="A71" s="1762"/>
      <c r="B71" s="1848" t="s">
        <v>133</v>
      </c>
      <c r="C71" s="1762"/>
      <c r="D71" s="1762"/>
      <c r="E71" s="1762">
        <v>25</v>
      </c>
      <c r="F71" s="1762">
        <v>25</v>
      </c>
      <c r="G71" s="1762">
        <v>25</v>
      </c>
      <c r="H71" s="1762">
        <v>3</v>
      </c>
      <c r="I71" s="1762">
        <v>25</v>
      </c>
      <c r="J71" s="1921" t="s">
        <v>108</v>
      </c>
      <c r="K71" s="1921" t="s">
        <v>108</v>
      </c>
      <c r="L71" s="2280" t="s">
        <v>35</v>
      </c>
      <c r="M71" s="2280" t="s">
        <v>35</v>
      </c>
      <c r="N71" s="2280" t="s">
        <v>35</v>
      </c>
      <c r="O71" s="2280" t="s">
        <v>35</v>
      </c>
      <c r="P71" s="2280" t="s">
        <v>35</v>
      </c>
      <c r="Q71" s="2280" t="s">
        <v>45</v>
      </c>
      <c r="R71" s="1762" t="s">
        <v>45</v>
      </c>
      <c r="S71" s="1762">
        <v>25</v>
      </c>
      <c r="T71" s="1762">
        <v>25</v>
      </c>
      <c r="U71" s="1762">
        <v>25</v>
      </c>
      <c r="V71" s="1762">
        <v>25</v>
      </c>
      <c r="W71" s="1762">
        <v>25</v>
      </c>
      <c r="X71" s="1762"/>
      <c r="Y71" s="1762"/>
      <c r="Z71" s="1697" t="s">
        <v>31</v>
      </c>
      <c r="AA71" s="1697" t="s">
        <v>31</v>
      </c>
      <c r="AB71" s="1744" t="s">
        <v>31</v>
      </c>
      <c r="AC71" s="1744" t="s">
        <v>31</v>
      </c>
      <c r="AD71" s="1744" t="s">
        <v>261</v>
      </c>
      <c r="AE71" s="1744">
        <v>26</v>
      </c>
      <c r="AF71" s="1762"/>
      <c r="AG71" s="1938"/>
      <c r="AH71" s="1"/>
    </row>
    <row r="72" spans="1:34" ht="24.75" customHeight="1">
      <c r="A72" s="1762"/>
      <c r="B72" s="1848" t="s">
        <v>425</v>
      </c>
      <c r="C72" s="1762"/>
      <c r="D72" s="1762"/>
      <c r="E72" s="1697" t="s">
        <v>31</v>
      </c>
      <c r="F72" s="1697" t="s">
        <v>31</v>
      </c>
      <c r="G72" s="1697" t="s">
        <v>31</v>
      </c>
      <c r="H72" s="1697" t="s">
        <v>31</v>
      </c>
      <c r="I72" s="1697" t="s">
        <v>31</v>
      </c>
      <c r="J72" s="1762"/>
      <c r="K72" s="1762"/>
      <c r="L72" s="1846" t="s">
        <v>31</v>
      </c>
      <c r="M72" s="1846" t="s">
        <v>31</v>
      </c>
      <c r="N72" s="1846" t="s">
        <v>31</v>
      </c>
      <c r="O72" s="1846" t="s">
        <v>31</v>
      </c>
      <c r="P72" s="1846" t="s">
        <v>31</v>
      </c>
      <c r="Q72" s="1846"/>
      <c r="R72" s="1846"/>
      <c r="S72" s="1697" t="s">
        <v>31</v>
      </c>
      <c r="T72" s="1697" t="s">
        <v>31</v>
      </c>
      <c r="U72" s="1697" t="s">
        <v>31</v>
      </c>
      <c r="V72" s="1697" t="s">
        <v>31</v>
      </c>
      <c r="W72" s="1697" t="s">
        <v>31</v>
      </c>
      <c r="X72" s="1762"/>
      <c r="Y72" s="1762"/>
      <c r="Z72" s="1697" t="s">
        <v>31</v>
      </c>
      <c r="AA72" s="2322" t="s">
        <v>31</v>
      </c>
      <c r="AB72" s="2322" t="s">
        <v>31</v>
      </c>
      <c r="AC72" s="2322" t="s">
        <v>31</v>
      </c>
      <c r="AD72" s="2322" t="s">
        <v>31</v>
      </c>
      <c r="AE72" s="1762"/>
      <c r="AF72" s="1762"/>
      <c r="AG72" s="1938"/>
      <c r="AH72" s="1"/>
    </row>
    <row r="73" spans="1:34" ht="24.75" customHeight="1" thickBot="1">
      <c r="A73" s="1762"/>
      <c r="B73" s="1845" t="s">
        <v>137</v>
      </c>
      <c r="C73" s="1762"/>
      <c r="D73" s="1762"/>
      <c r="E73" s="2280">
        <v>11</v>
      </c>
      <c r="F73" s="2280">
        <v>11</v>
      </c>
      <c r="G73" s="2280">
        <v>11</v>
      </c>
      <c r="H73" s="2280">
        <v>11</v>
      </c>
      <c r="I73" s="2280">
        <v>11</v>
      </c>
      <c r="J73" s="2280" t="s">
        <v>68</v>
      </c>
      <c r="K73" s="2280" t="s">
        <v>68</v>
      </c>
      <c r="L73" s="2280" t="s">
        <v>35</v>
      </c>
      <c r="M73" s="2280" t="s">
        <v>35</v>
      </c>
      <c r="N73" s="2280" t="s">
        <v>35</v>
      </c>
      <c r="O73" s="2280">
        <v>69</v>
      </c>
      <c r="P73" s="2280">
        <v>69</v>
      </c>
      <c r="Q73" s="1923" t="s">
        <v>0</v>
      </c>
      <c r="R73" s="1923" t="s">
        <v>0</v>
      </c>
      <c r="S73" s="1849">
        <v>26</v>
      </c>
      <c r="T73" s="1849">
        <v>26</v>
      </c>
      <c r="U73" s="1849">
        <v>26</v>
      </c>
      <c r="V73" s="1849">
        <v>26</v>
      </c>
      <c r="W73" s="1849">
        <v>26</v>
      </c>
      <c r="X73" s="1849">
        <v>26</v>
      </c>
      <c r="Y73" s="1849">
        <v>26</v>
      </c>
      <c r="Z73" s="2280" t="s">
        <v>35</v>
      </c>
      <c r="AA73" s="2280" t="s">
        <v>35</v>
      </c>
      <c r="AB73" s="2280" t="s">
        <v>35</v>
      </c>
      <c r="AC73" s="2280" t="s">
        <v>35</v>
      </c>
      <c r="AD73" s="2280" t="s">
        <v>35</v>
      </c>
      <c r="AE73" s="1923" t="s">
        <v>0</v>
      </c>
      <c r="AF73" s="1762"/>
      <c r="AG73" s="1938"/>
      <c r="AH73" s="1"/>
    </row>
    <row r="74" spans="1:34" ht="24.75" customHeight="1" thickBot="1">
      <c r="A74" s="423"/>
      <c r="B74" s="816" t="s">
        <v>426</v>
      </c>
      <c r="C74" s="1744" t="s">
        <v>0</v>
      </c>
      <c r="D74" s="1744" t="s">
        <v>0</v>
      </c>
      <c r="E74" s="1923" t="s">
        <v>31</v>
      </c>
      <c r="F74" s="1930" t="s">
        <v>123</v>
      </c>
      <c r="G74" s="1923" t="s">
        <v>123</v>
      </c>
      <c r="H74" s="1923" t="s">
        <v>123</v>
      </c>
      <c r="I74" s="1923" t="s">
        <v>123</v>
      </c>
      <c r="J74" s="1744"/>
      <c r="K74" s="1744"/>
      <c r="L74" s="1931">
        <v>7</v>
      </c>
      <c r="M74" s="1923">
        <v>7</v>
      </c>
      <c r="N74" s="1762" t="s">
        <v>250</v>
      </c>
      <c r="O74" s="1923">
        <v>23</v>
      </c>
      <c r="P74" s="1923">
        <v>23</v>
      </c>
      <c r="Q74" s="1744">
        <v>23</v>
      </c>
      <c r="R74" s="1744" t="s">
        <v>0</v>
      </c>
      <c r="S74" s="1923" t="s">
        <v>31</v>
      </c>
      <c r="T74" s="1744" t="s">
        <v>31</v>
      </c>
      <c r="U74" s="2326" t="s">
        <v>31</v>
      </c>
      <c r="V74" s="1744">
        <v>22</v>
      </c>
      <c r="W74" s="1744" t="s">
        <v>35</v>
      </c>
      <c r="X74" s="1744"/>
      <c r="Y74" s="1744"/>
      <c r="Z74" s="1762">
        <v>23</v>
      </c>
      <c r="AA74" s="1762">
        <v>23</v>
      </c>
      <c r="AB74" s="1762">
        <v>23</v>
      </c>
      <c r="AC74" s="1762">
        <v>23</v>
      </c>
      <c r="AD74" s="1762">
        <v>23</v>
      </c>
      <c r="AE74" s="1762">
        <v>23</v>
      </c>
      <c r="AF74" s="1762" t="s">
        <v>0</v>
      </c>
      <c r="AG74" s="1762" t="s">
        <v>0</v>
      </c>
      <c r="AH74" s="1"/>
    </row>
    <row r="75" spans="1:34" ht="24.75" customHeight="1" thickBot="1">
      <c r="A75" s="818"/>
      <c r="B75" s="2327"/>
      <c r="C75" s="2328"/>
      <c r="D75" s="2328"/>
      <c r="E75" s="2328"/>
      <c r="F75" s="2328"/>
      <c r="G75" s="2328"/>
      <c r="H75" s="2328"/>
      <c r="I75" s="2328"/>
      <c r="J75" s="2328"/>
      <c r="K75" s="2328"/>
      <c r="L75" s="2328"/>
      <c r="M75" s="2328"/>
      <c r="N75" s="2328"/>
      <c r="O75" s="2328"/>
      <c r="P75" s="2328"/>
      <c r="Q75" s="2328"/>
      <c r="R75" s="2328"/>
      <c r="S75" s="2328"/>
      <c r="T75" s="2328"/>
      <c r="U75" s="2328"/>
      <c r="V75" s="2328"/>
      <c r="W75" s="2328"/>
      <c r="X75" s="2328"/>
      <c r="Y75" s="2328"/>
      <c r="Z75" s="2328"/>
      <c r="AA75" s="2328"/>
      <c r="AB75" s="2328"/>
      <c r="AC75" s="2328"/>
      <c r="AD75" s="2328"/>
      <c r="AE75" s="2328"/>
      <c r="AF75" s="2328"/>
      <c r="AG75" s="2329"/>
      <c r="AH75" s="1"/>
    </row>
    <row r="76" spans="1:34" ht="24.75" customHeight="1" thickBot="1">
      <c r="A76" s="473"/>
      <c r="B76" s="474" t="s">
        <v>138</v>
      </c>
      <c r="C76" s="2232">
        <v>1</v>
      </c>
      <c r="D76" s="2232">
        <v>2</v>
      </c>
      <c r="E76" s="2233">
        <v>3</v>
      </c>
      <c r="F76" s="2233">
        <v>4</v>
      </c>
      <c r="G76" s="2233">
        <v>5</v>
      </c>
      <c r="H76" s="2233">
        <v>6</v>
      </c>
      <c r="I76" s="2233">
        <v>7</v>
      </c>
      <c r="J76" s="2232">
        <v>8</v>
      </c>
      <c r="K76" s="2232">
        <v>9</v>
      </c>
      <c r="L76" s="2233">
        <v>10</v>
      </c>
      <c r="M76" s="2233">
        <v>11</v>
      </c>
      <c r="N76" s="2233">
        <v>12</v>
      </c>
      <c r="O76" s="2233">
        <v>13</v>
      </c>
      <c r="P76" s="2233">
        <v>14</v>
      </c>
      <c r="Q76" s="2232">
        <v>15</v>
      </c>
      <c r="R76" s="2232">
        <v>16</v>
      </c>
      <c r="S76" s="2233">
        <v>17</v>
      </c>
      <c r="T76" s="2233">
        <v>18</v>
      </c>
      <c r="U76" s="2233">
        <v>19</v>
      </c>
      <c r="V76" s="2233">
        <v>20</v>
      </c>
      <c r="W76" s="2233">
        <v>21</v>
      </c>
      <c r="X76" s="2232">
        <v>22</v>
      </c>
      <c r="Y76" s="2232">
        <v>23</v>
      </c>
      <c r="Z76" s="2233">
        <v>24</v>
      </c>
      <c r="AA76" s="2233">
        <v>25</v>
      </c>
      <c r="AB76" s="2233">
        <v>26</v>
      </c>
      <c r="AC76" s="2233">
        <v>27</v>
      </c>
      <c r="AD76" s="2233">
        <v>28</v>
      </c>
      <c r="AE76" s="2232">
        <v>29</v>
      </c>
      <c r="AF76" s="2233"/>
      <c r="AG76" s="2234"/>
      <c r="AH76" s="1"/>
    </row>
    <row r="77" spans="1:34" ht="24.75" customHeight="1">
      <c r="A77" s="816"/>
      <c r="B77" s="816" t="s">
        <v>144</v>
      </c>
      <c r="C77" s="1744" t="s">
        <v>0</v>
      </c>
      <c r="D77" s="1744"/>
      <c r="E77" s="1744"/>
      <c r="F77" s="1744"/>
      <c r="G77" s="1744"/>
      <c r="H77" s="1744"/>
      <c r="I77" s="1744"/>
      <c r="J77" s="1744"/>
      <c r="K77" s="1744"/>
      <c r="L77" s="1744"/>
      <c r="M77" s="1744"/>
      <c r="N77" s="1744"/>
      <c r="O77" s="1744"/>
      <c r="P77" s="1744"/>
      <c r="Q77" s="1744"/>
      <c r="R77" s="1744"/>
      <c r="S77" s="1744"/>
      <c r="T77" s="1744"/>
      <c r="U77" s="1744"/>
      <c r="V77" s="1744"/>
      <c r="W77" s="1744"/>
      <c r="X77" s="1744"/>
      <c r="Y77" s="1744"/>
      <c r="Z77" s="1744"/>
      <c r="AA77" s="1744"/>
      <c r="AB77" s="1744" t="s">
        <v>31</v>
      </c>
      <c r="AC77" s="1930" t="s">
        <v>118</v>
      </c>
      <c r="AD77" s="1930" t="s">
        <v>118</v>
      </c>
      <c r="AE77" s="1744"/>
      <c r="AF77" s="1744"/>
      <c r="AG77" s="1744"/>
      <c r="AH77" s="1"/>
    </row>
    <row r="78" spans="1:34" ht="24.75" customHeight="1">
      <c r="A78" s="1925"/>
      <c r="B78" s="1925" t="s">
        <v>427</v>
      </c>
      <c r="C78" s="1762"/>
      <c r="D78" s="1744"/>
      <c r="E78" s="2330">
        <v>69</v>
      </c>
      <c r="F78" s="2288">
        <v>69</v>
      </c>
      <c r="G78" s="2287">
        <v>69</v>
      </c>
      <c r="H78" s="2287">
        <v>69</v>
      </c>
      <c r="I78" s="2287">
        <v>69</v>
      </c>
      <c r="J78" s="2287"/>
      <c r="K78" s="2287"/>
      <c r="L78" s="2288">
        <v>79</v>
      </c>
      <c r="M78" s="2288">
        <v>79</v>
      </c>
      <c r="N78" s="2330">
        <v>79</v>
      </c>
      <c r="O78" s="2330">
        <v>79</v>
      </c>
      <c r="P78" s="2330">
        <v>79</v>
      </c>
      <c r="Q78" s="2330"/>
      <c r="R78" s="2330"/>
      <c r="S78" s="2288">
        <v>89</v>
      </c>
      <c r="T78" s="2331">
        <v>89</v>
      </c>
      <c r="U78" s="2330">
        <v>89</v>
      </c>
      <c r="V78" s="2330">
        <v>89</v>
      </c>
      <c r="W78" s="2330">
        <v>89</v>
      </c>
      <c r="X78" s="2330">
        <v>89</v>
      </c>
      <c r="Y78" s="2330"/>
      <c r="Z78" s="2332">
        <v>99</v>
      </c>
      <c r="AA78" s="2332">
        <v>99</v>
      </c>
      <c r="AB78" s="2330">
        <v>99</v>
      </c>
      <c r="AC78" s="2330">
        <v>99</v>
      </c>
      <c r="AD78" s="2330" t="s">
        <v>35</v>
      </c>
      <c r="AE78" s="1762"/>
      <c r="AF78" s="1762"/>
      <c r="AG78" s="1509"/>
      <c r="AH78" s="1"/>
    </row>
    <row r="79" spans="1:34" ht="24.75" customHeight="1">
      <c r="A79" s="1944"/>
      <c r="B79" s="2333" t="s">
        <v>141</v>
      </c>
      <c r="C79" s="1932">
        <v>89</v>
      </c>
      <c r="D79" s="1744"/>
      <c r="E79" s="1930">
        <v>8</v>
      </c>
      <c r="F79" s="1930">
        <v>8</v>
      </c>
      <c r="G79" s="1930">
        <v>8</v>
      </c>
      <c r="H79" s="1930">
        <v>8</v>
      </c>
      <c r="I79" s="1930">
        <v>8</v>
      </c>
      <c r="J79" s="1744"/>
      <c r="K79" s="1744"/>
      <c r="L79" s="1744">
        <v>69</v>
      </c>
      <c r="M79" s="1744">
        <v>69</v>
      </c>
      <c r="N79" s="1744">
        <v>69</v>
      </c>
      <c r="O79" s="1744" t="s">
        <v>35</v>
      </c>
      <c r="P79" s="1744" t="s">
        <v>35</v>
      </c>
      <c r="Q79" s="1744" t="s">
        <v>69</v>
      </c>
      <c r="R79" s="1744" t="s">
        <v>69</v>
      </c>
      <c r="S79" s="1762">
        <v>8</v>
      </c>
      <c r="T79" s="1762">
        <v>8</v>
      </c>
      <c r="U79" s="1762">
        <v>8</v>
      </c>
      <c r="V79" s="1744">
        <v>8</v>
      </c>
      <c r="W79" s="1744">
        <v>8</v>
      </c>
      <c r="X79" s="1744"/>
      <c r="Y79" s="1744"/>
      <c r="Z79" s="1744">
        <v>21</v>
      </c>
      <c r="AA79" s="1744">
        <v>21</v>
      </c>
      <c r="AB79" s="1854">
        <v>21</v>
      </c>
      <c r="AC79" s="1854">
        <v>21</v>
      </c>
      <c r="AD79" s="1922">
        <v>21</v>
      </c>
      <c r="AE79" s="1744">
        <v>21</v>
      </c>
      <c r="AF79" s="1744">
        <v>21</v>
      </c>
      <c r="AG79" s="1615" t="s">
        <v>0</v>
      </c>
      <c r="AH79" s="1"/>
    </row>
    <row r="80" spans="1:34" ht="24.75" customHeight="1" thickBot="1">
      <c r="A80" s="401"/>
      <c r="B80" s="2334" t="s">
        <v>142</v>
      </c>
      <c r="C80" s="418"/>
      <c r="D80" s="424"/>
      <c r="E80" s="424"/>
      <c r="F80" s="424"/>
      <c r="G80" s="424"/>
      <c r="H80" s="424"/>
      <c r="I80" s="424"/>
      <c r="J80" s="418"/>
      <c r="K80" s="424"/>
      <c r="L80" s="424"/>
      <c r="M80" s="424"/>
      <c r="N80" s="424"/>
      <c r="O80" s="424"/>
      <c r="P80" s="424"/>
      <c r="Q80" s="408"/>
      <c r="R80" s="418"/>
      <c r="S80" s="424"/>
      <c r="T80" s="424"/>
      <c r="U80" s="424"/>
      <c r="V80" s="424"/>
      <c r="W80" s="424"/>
      <c r="X80" s="418"/>
      <c r="Y80" s="408"/>
      <c r="Z80" s="424"/>
      <c r="AA80" s="424"/>
      <c r="AB80" s="424"/>
      <c r="AC80" s="424"/>
      <c r="AD80" s="424"/>
      <c r="AE80" s="408"/>
      <c r="AF80" s="418"/>
      <c r="AG80" s="28"/>
      <c r="AH80" s="1"/>
    </row>
    <row r="81" spans="1:35" ht="24.75" customHeight="1" thickBot="1">
      <c r="A81" s="44"/>
      <c r="B81" s="45" t="s">
        <v>147</v>
      </c>
      <c r="C81" s="46"/>
      <c r="D81" s="47"/>
      <c r="E81" s="47"/>
      <c r="F81" s="47"/>
      <c r="G81" s="47"/>
      <c r="H81" s="47"/>
      <c r="I81" s="46"/>
      <c r="J81" s="46"/>
      <c r="K81" s="47"/>
      <c r="L81" s="47"/>
      <c r="M81" s="47"/>
      <c r="N81" s="47"/>
      <c r="O81" s="47"/>
      <c r="P81" s="46"/>
      <c r="Q81" s="46"/>
      <c r="R81" s="46"/>
      <c r="S81" s="48"/>
      <c r="T81" s="48"/>
      <c r="U81" s="48"/>
      <c r="V81" s="49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50"/>
      <c r="AH81" s="1"/>
    </row>
    <row r="82" spans="1:35" ht="24.75" customHeight="1" thickBot="1">
      <c r="A82" s="51"/>
      <c r="B82" s="52" t="s">
        <v>148</v>
      </c>
      <c r="C82" s="132"/>
      <c r="D82" s="132"/>
      <c r="E82" s="2280">
        <v>4</v>
      </c>
      <c r="F82" s="2280">
        <v>4</v>
      </c>
      <c r="G82" s="2280">
        <v>4</v>
      </c>
      <c r="H82" s="2280">
        <v>4</v>
      </c>
      <c r="I82" s="2280">
        <v>4</v>
      </c>
      <c r="J82" s="2280"/>
      <c r="K82" s="2280"/>
      <c r="L82" s="2245">
        <v>3</v>
      </c>
      <c r="M82" s="2245">
        <v>3</v>
      </c>
      <c r="N82" s="2245">
        <v>3</v>
      </c>
      <c r="O82" s="2245">
        <v>3</v>
      </c>
      <c r="P82" s="2245">
        <v>3</v>
      </c>
      <c r="Q82" s="2245"/>
      <c r="R82" s="2245"/>
      <c r="S82" s="2280">
        <v>11</v>
      </c>
      <c r="T82" s="2280">
        <v>11</v>
      </c>
      <c r="U82" s="2280">
        <v>11</v>
      </c>
      <c r="V82" s="2280">
        <v>11</v>
      </c>
      <c r="W82" s="2280">
        <v>11</v>
      </c>
      <c r="X82" s="2280" t="s">
        <v>68</v>
      </c>
      <c r="Y82" s="2280" t="s">
        <v>68</v>
      </c>
      <c r="Z82" s="2280" t="s">
        <v>35</v>
      </c>
      <c r="AA82" s="2280" t="s">
        <v>35</v>
      </c>
      <c r="AB82" s="2280" t="s">
        <v>35</v>
      </c>
      <c r="AC82" s="2280" t="s">
        <v>35</v>
      </c>
      <c r="AD82" s="2280" t="s">
        <v>35</v>
      </c>
      <c r="AE82" s="2280" t="s">
        <v>69</v>
      </c>
      <c r="AF82" s="132"/>
      <c r="AG82" s="53"/>
      <c r="AH82" s="1"/>
    </row>
    <row r="83" spans="1:35" ht="24.75" customHeight="1">
      <c r="A83" s="37" t="s">
        <v>149</v>
      </c>
      <c r="AH83" s="1"/>
    </row>
    <row r="84" spans="1:35" ht="24.75" customHeight="1" thickBot="1">
      <c r="A84" s="2120"/>
      <c r="B84" s="2121" t="s">
        <v>29</v>
      </c>
      <c r="C84" s="2232">
        <v>1</v>
      </c>
      <c r="D84" s="2232">
        <v>2</v>
      </c>
      <c r="E84" s="2233">
        <v>3</v>
      </c>
      <c r="F84" s="2233">
        <v>4</v>
      </c>
      <c r="G84" s="2233">
        <v>5</v>
      </c>
      <c r="H84" s="2233">
        <v>6</v>
      </c>
      <c r="I84" s="2233">
        <v>7</v>
      </c>
      <c r="J84" s="2232">
        <v>8</v>
      </c>
      <c r="K84" s="2232">
        <v>9</v>
      </c>
      <c r="L84" s="2233">
        <v>10</v>
      </c>
      <c r="M84" s="2233">
        <v>11</v>
      </c>
      <c r="N84" s="2233">
        <v>12</v>
      </c>
      <c r="O84" s="2233">
        <v>13</v>
      </c>
      <c r="P84" s="2233">
        <v>14</v>
      </c>
      <c r="Q84" s="2232">
        <v>15</v>
      </c>
      <c r="R84" s="2232">
        <v>16</v>
      </c>
      <c r="S84" s="2233">
        <v>17</v>
      </c>
      <c r="T84" s="2233">
        <v>18</v>
      </c>
      <c r="U84" s="2233">
        <v>19</v>
      </c>
      <c r="V84" s="2233">
        <v>20</v>
      </c>
      <c r="W84" s="2233">
        <v>21</v>
      </c>
      <c r="X84" s="2232">
        <v>22</v>
      </c>
      <c r="Y84" s="2232">
        <v>23</v>
      </c>
      <c r="Z84" s="2233">
        <v>24</v>
      </c>
      <c r="AA84" s="2233">
        <v>25</v>
      </c>
      <c r="AB84" s="2233">
        <v>26</v>
      </c>
      <c r="AC84" s="2233">
        <v>27</v>
      </c>
      <c r="AD84" s="2233">
        <v>28</v>
      </c>
      <c r="AE84" s="2232">
        <v>29</v>
      </c>
      <c r="AF84" s="2233"/>
      <c r="AG84" s="2234"/>
      <c r="AH84" s="1"/>
    </row>
    <row r="85" spans="1:35" ht="24.75" customHeight="1" thickBot="1">
      <c r="A85" s="824"/>
      <c r="B85" s="825" t="s">
        <v>150</v>
      </c>
      <c r="C85" s="826"/>
      <c r="D85" s="750"/>
      <c r="E85" s="826"/>
      <c r="F85" s="826"/>
      <c r="G85" s="826"/>
      <c r="H85" s="826"/>
      <c r="I85" s="826"/>
      <c r="J85" s="826"/>
      <c r="K85" s="826"/>
      <c r="L85" s="826"/>
      <c r="M85" s="826"/>
      <c r="N85" s="826"/>
      <c r="O85" s="826"/>
      <c r="P85" s="826"/>
      <c r="Q85" s="826"/>
      <c r="R85" s="826"/>
      <c r="S85" s="826"/>
      <c r="T85" s="826"/>
      <c r="U85" s="826"/>
      <c r="V85" s="826"/>
      <c r="W85" s="826"/>
      <c r="X85" s="826"/>
      <c r="Y85" s="826"/>
      <c r="Z85" s="826"/>
      <c r="AA85" s="826"/>
      <c r="AB85" s="826"/>
      <c r="AC85" s="826"/>
      <c r="AD85" s="826"/>
      <c r="AE85" s="826"/>
      <c r="AF85" s="826"/>
      <c r="AG85" s="827"/>
      <c r="AH85" s="1"/>
    </row>
    <row r="86" spans="1:35" ht="24.75" customHeight="1">
      <c r="A86" s="2335">
        <v>1</v>
      </c>
      <c r="B86" s="954" t="s">
        <v>428</v>
      </c>
      <c r="C86" s="833"/>
      <c r="D86" s="833"/>
      <c r="E86" s="833">
        <v>25</v>
      </c>
      <c r="F86" s="833">
        <v>25</v>
      </c>
      <c r="G86" s="833">
        <v>25</v>
      </c>
      <c r="H86" s="833">
        <v>25</v>
      </c>
      <c r="I86" s="833">
        <v>25</v>
      </c>
      <c r="J86" s="833"/>
      <c r="K86" s="833"/>
      <c r="L86" s="833">
        <v>8</v>
      </c>
      <c r="M86" s="833">
        <v>8</v>
      </c>
      <c r="N86" s="833">
        <v>8</v>
      </c>
      <c r="O86" s="833">
        <v>8</v>
      </c>
      <c r="P86" s="833">
        <v>8</v>
      </c>
      <c r="Q86" s="833"/>
      <c r="R86" s="833"/>
      <c r="S86" s="833">
        <v>99</v>
      </c>
      <c r="T86" s="833">
        <v>99</v>
      </c>
      <c r="U86" s="833">
        <v>99</v>
      </c>
      <c r="V86" s="833">
        <v>99</v>
      </c>
      <c r="W86" s="833" t="s">
        <v>35</v>
      </c>
      <c r="X86" s="833"/>
      <c r="Y86" s="833"/>
      <c r="Z86" s="833">
        <v>22</v>
      </c>
      <c r="AA86" s="833">
        <v>22</v>
      </c>
      <c r="AB86" s="833">
        <v>22</v>
      </c>
      <c r="AC86" s="833">
        <v>22</v>
      </c>
      <c r="AD86" s="833">
        <v>22</v>
      </c>
      <c r="AE86" s="829"/>
      <c r="AF86" s="829"/>
      <c r="AG86" s="1518"/>
      <c r="AH86" s="1"/>
    </row>
    <row r="87" spans="1:35" ht="24.75" customHeight="1">
      <c r="A87" s="2335">
        <v>2</v>
      </c>
      <c r="B87" s="2336"/>
      <c r="C87" s="2123"/>
      <c r="D87" s="2123"/>
      <c r="E87" s="2337"/>
      <c r="F87" s="2337"/>
      <c r="G87" s="2337"/>
      <c r="H87" s="2337"/>
      <c r="I87" s="2337"/>
      <c r="J87" s="2337"/>
      <c r="K87" s="2337"/>
      <c r="L87" s="2337"/>
      <c r="M87" s="2337"/>
      <c r="N87" s="2337"/>
      <c r="O87" s="2337"/>
      <c r="P87" s="2337"/>
      <c r="Q87" s="2337"/>
      <c r="R87" s="2337"/>
      <c r="S87" s="2337"/>
      <c r="T87" s="2337"/>
      <c r="U87" s="2337"/>
      <c r="V87" s="2337"/>
      <c r="W87" s="2337"/>
      <c r="X87" s="2337"/>
      <c r="Y87" s="2337"/>
      <c r="Z87" s="2337"/>
      <c r="AA87" s="2337"/>
      <c r="AB87" s="2337"/>
      <c r="AC87" s="2337"/>
      <c r="AD87" s="2337"/>
      <c r="AE87" s="2123"/>
      <c r="AF87" s="2338"/>
      <c r="AG87" s="2339"/>
      <c r="AH87" s="1"/>
    </row>
    <row r="88" spans="1:35" ht="24.75" customHeight="1">
      <c r="A88" s="2340">
        <v>3</v>
      </c>
      <c r="B88" s="1845" t="s">
        <v>151</v>
      </c>
      <c r="C88" s="1744"/>
      <c r="D88" s="1744"/>
      <c r="E88" s="2341"/>
      <c r="F88" s="2341"/>
      <c r="G88" s="2341"/>
      <c r="H88" s="2341"/>
      <c r="I88" s="2341"/>
      <c r="J88" s="2341"/>
      <c r="K88" s="2341"/>
      <c r="L88" s="2342"/>
      <c r="M88" s="2343"/>
      <c r="N88" s="2343"/>
      <c r="O88" s="2343"/>
      <c r="P88" s="2344"/>
      <c r="Q88" s="1712"/>
      <c r="R88" s="1712"/>
      <c r="S88" s="1930" t="s">
        <v>107</v>
      </c>
      <c r="T88" s="1930" t="s">
        <v>107</v>
      </c>
      <c r="U88" s="1930" t="s">
        <v>107</v>
      </c>
      <c r="V88" s="1930" t="s">
        <v>107</v>
      </c>
      <c r="W88" s="1930" t="s">
        <v>107</v>
      </c>
      <c r="X88" s="2341"/>
      <c r="Y88" s="2341"/>
      <c r="Z88" s="1930" t="s">
        <v>107</v>
      </c>
      <c r="AA88" s="1930" t="s">
        <v>107</v>
      </c>
      <c r="AB88" s="1919" t="s">
        <v>107</v>
      </c>
      <c r="AC88" s="1919" t="s">
        <v>107</v>
      </c>
      <c r="AD88" s="1919" t="s">
        <v>107</v>
      </c>
      <c r="AE88" s="1744"/>
      <c r="AF88" s="1744"/>
      <c r="AG88" s="1744"/>
      <c r="AH88" s="1"/>
    </row>
    <row r="89" spans="1:35" ht="24.75" customHeight="1" thickBot="1">
      <c r="A89" s="2335">
        <v>4</v>
      </c>
      <c r="B89" s="2345"/>
      <c r="C89" s="2346"/>
      <c r="D89" s="2346"/>
      <c r="E89" s="2346"/>
      <c r="F89" s="2346"/>
      <c r="G89" s="2346"/>
      <c r="H89" s="2346"/>
      <c r="I89" s="2346"/>
      <c r="J89" s="2346"/>
      <c r="K89" s="2346"/>
      <c r="L89" s="2346"/>
      <c r="M89" s="2346"/>
      <c r="N89" s="2346"/>
      <c r="O89" s="2346"/>
      <c r="P89" s="2346"/>
      <c r="Q89" s="2346"/>
      <c r="R89" s="2347"/>
      <c r="S89" s="2347"/>
      <c r="T89" s="2347"/>
      <c r="U89" s="2346"/>
      <c r="V89" s="2346"/>
      <c r="W89" s="2346"/>
      <c r="X89" s="2346"/>
      <c r="Y89" s="2346"/>
      <c r="Z89" s="2346"/>
      <c r="AA89" s="2346"/>
      <c r="AB89" s="2346"/>
      <c r="AC89" s="2346"/>
      <c r="AD89" s="2346"/>
      <c r="AE89" s="2346"/>
      <c r="AF89" s="2346"/>
      <c r="AG89" s="2348"/>
      <c r="AH89" s="1"/>
    </row>
    <row r="90" spans="1:35" ht="24.75" customHeight="1">
      <c r="A90" s="54"/>
      <c r="B90" s="55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56"/>
      <c r="S90" s="56"/>
      <c r="T90" s="56"/>
      <c r="U90" s="30"/>
      <c r="V90" s="30"/>
      <c r="W90" s="30"/>
      <c r="X90" s="30"/>
      <c r="Y90" s="30"/>
      <c r="Z90" s="30"/>
      <c r="AA90" s="30"/>
      <c r="AB90" s="30"/>
      <c r="AC90" s="30"/>
      <c r="AD90" s="30"/>
      <c r="AE90" s="30"/>
      <c r="AF90" s="30"/>
      <c r="AG90" s="30"/>
      <c r="AH90" s="1"/>
    </row>
    <row r="91" spans="1:35" ht="24.75" customHeight="1" thickBot="1">
      <c r="A91" s="57" t="s">
        <v>154</v>
      </c>
      <c r="B91" s="58"/>
      <c r="C91" s="58"/>
      <c r="D91" s="58"/>
      <c r="E91" s="58"/>
      <c r="F91" s="58"/>
      <c r="G91" s="59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8"/>
      <c r="AI91" s="58"/>
    </row>
    <row r="92" spans="1:35" ht="24.75" customHeight="1" thickBot="1">
      <c r="A92" s="60"/>
      <c r="B92" s="836" t="s">
        <v>155</v>
      </c>
      <c r="C92" s="837"/>
      <c r="D92" s="838" t="s">
        <v>87</v>
      </c>
      <c r="E92" s="839"/>
      <c r="F92" s="840"/>
      <c r="G92" s="837"/>
      <c r="H92" s="838" t="s">
        <v>88</v>
      </c>
      <c r="I92" s="839"/>
      <c r="J92" s="840"/>
      <c r="K92" s="837"/>
      <c r="L92" s="838" t="s">
        <v>89</v>
      </c>
      <c r="M92" s="839"/>
      <c r="N92" s="840"/>
      <c r="O92" s="837"/>
      <c r="P92" s="838" t="s">
        <v>90</v>
      </c>
      <c r="Q92" s="839"/>
      <c r="R92" s="840"/>
      <c r="S92" s="841" t="s">
        <v>156</v>
      </c>
      <c r="T92" s="838"/>
      <c r="U92" s="839"/>
      <c r="V92" s="840"/>
      <c r="W92" s="837" t="s">
        <v>108</v>
      </c>
      <c r="X92" s="838" t="s">
        <v>157</v>
      </c>
      <c r="Y92" s="839"/>
      <c r="Z92" s="840"/>
      <c r="AA92" s="837" t="s">
        <v>108</v>
      </c>
      <c r="AB92" s="838" t="s">
        <v>93</v>
      </c>
      <c r="AC92" s="839"/>
      <c r="AD92" s="839"/>
      <c r="AE92" s="842" t="s">
        <v>158</v>
      </c>
      <c r="AF92" s="839"/>
      <c r="AG92" s="839"/>
      <c r="AH92" s="839"/>
      <c r="AI92" s="843"/>
    </row>
    <row r="93" spans="1:35" ht="24.75" customHeight="1">
      <c r="A93" s="60"/>
      <c r="B93" s="844" t="s">
        <v>159</v>
      </c>
      <c r="C93" s="845" t="s">
        <v>160</v>
      </c>
      <c r="D93" s="839"/>
      <c r="E93" s="846"/>
      <c r="F93" s="847"/>
      <c r="G93" s="845" t="s">
        <v>160</v>
      </c>
      <c r="H93" s="846"/>
      <c r="I93" s="846"/>
      <c r="J93" s="847"/>
      <c r="K93" s="848" t="s">
        <v>160</v>
      </c>
      <c r="L93" s="839"/>
      <c r="M93" s="839"/>
      <c r="N93" s="849"/>
      <c r="O93" s="848" t="s">
        <v>161</v>
      </c>
      <c r="P93" s="839"/>
      <c r="Q93" s="846"/>
      <c r="R93" s="847"/>
      <c r="S93" s="845" t="s">
        <v>162</v>
      </c>
      <c r="T93" s="846"/>
      <c r="U93" s="846"/>
      <c r="V93" s="850"/>
      <c r="W93" s="851"/>
      <c r="X93" s="852"/>
      <c r="Y93" s="852"/>
      <c r="Z93" s="853"/>
      <c r="AA93" s="850"/>
      <c r="AB93" s="846"/>
      <c r="AC93" s="846"/>
      <c r="AD93" s="850"/>
      <c r="AE93" s="854">
        <v>37</v>
      </c>
      <c r="AF93" s="839"/>
      <c r="AG93" s="846"/>
      <c r="AH93" s="850"/>
      <c r="AI93" s="855"/>
    </row>
    <row r="94" spans="1:35" ht="24.75" customHeight="1">
      <c r="A94" s="60"/>
      <c r="B94" s="2349" t="s">
        <v>163</v>
      </c>
      <c r="C94" s="2350" t="s">
        <v>156</v>
      </c>
      <c r="D94" s="2351"/>
      <c r="E94" s="2351"/>
      <c r="F94" s="2352"/>
      <c r="G94" s="2350" t="s">
        <v>164</v>
      </c>
      <c r="H94" s="2351"/>
      <c r="I94" s="2351"/>
      <c r="J94" s="2352"/>
      <c r="K94" s="2350" t="s">
        <v>165</v>
      </c>
      <c r="L94" s="2353" t="s">
        <v>166</v>
      </c>
      <c r="M94" s="2351"/>
      <c r="N94" s="2352"/>
      <c r="O94" s="2350" t="s">
        <v>165</v>
      </c>
      <c r="P94" s="2353" t="s">
        <v>166</v>
      </c>
      <c r="Q94" s="2351"/>
      <c r="R94" s="2352"/>
      <c r="S94" s="2350" t="s">
        <v>164</v>
      </c>
      <c r="T94" s="2353" t="s">
        <v>167</v>
      </c>
      <c r="U94" s="2351"/>
      <c r="V94" s="2352"/>
      <c r="W94" s="61" t="s">
        <v>168</v>
      </c>
      <c r="X94" s="62" t="s">
        <v>169</v>
      </c>
      <c r="Y94" s="63"/>
      <c r="Z94" s="63"/>
      <c r="AA94" s="2350" t="s">
        <v>170</v>
      </c>
      <c r="AB94" s="2354" t="s">
        <v>157</v>
      </c>
      <c r="AC94" s="2350"/>
      <c r="AD94" s="2350"/>
      <c r="AE94" s="2355">
        <v>68</v>
      </c>
      <c r="AF94" s="2351"/>
      <c r="AG94" s="2356"/>
      <c r="AH94" s="2357"/>
      <c r="AI94" s="2358"/>
    </row>
    <row r="95" spans="1:35" ht="24.75" customHeight="1">
      <c r="A95" s="60"/>
      <c r="B95" s="2349" t="s">
        <v>171</v>
      </c>
      <c r="C95" s="2359" t="s">
        <v>172</v>
      </c>
      <c r="D95" s="2351"/>
      <c r="E95" s="2351"/>
      <c r="F95" s="2352"/>
      <c r="G95" s="2351" t="s">
        <v>172</v>
      </c>
      <c r="H95" s="2351"/>
      <c r="I95" s="2351"/>
      <c r="J95" s="2352"/>
      <c r="K95" s="2351" t="s">
        <v>172</v>
      </c>
      <c r="L95" s="2351"/>
      <c r="M95" s="2351"/>
      <c r="N95" s="2352"/>
      <c r="O95" s="2351" t="s">
        <v>172</v>
      </c>
      <c r="P95" s="2351"/>
      <c r="Q95" s="2351"/>
      <c r="R95" s="2352"/>
      <c r="S95" s="2351" t="s">
        <v>172</v>
      </c>
      <c r="T95" s="2351"/>
      <c r="U95" s="2351"/>
      <c r="V95" s="2352"/>
      <c r="W95" s="2350"/>
      <c r="X95" s="2351"/>
      <c r="Y95" s="2351"/>
      <c r="Z95" s="2352"/>
      <c r="AA95" s="2350"/>
      <c r="AB95" s="2351"/>
      <c r="AC95" s="2351"/>
      <c r="AD95" s="2353"/>
      <c r="AE95" s="2355">
        <v>0</v>
      </c>
      <c r="AF95" s="2356"/>
      <c r="AG95" s="2351"/>
      <c r="AH95" s="2353"/>
      <c r="AI95" s="2360"/>
    </row>
    <row r="96" spans="1:35" ht="24.75" customHeight="1" thickBot="1">
      <c r="A96" s="60"/>
      <c r="B96" s="2361" t="s">
        <v>173</v>
      </c>
      <c r="C96" s="64"/>
      <c r="D96" s="65" t="s">
        <v>174</v>
      </c>
      <c r="E96" s="64"/>
      <c r="F96" s="64"/>
      <c r="G96" s="2362" t="s">
        <v>175</v>
      </c>
      <c r="H96" s="2363"/>
      <c r="I96" s="2364"/>
      <c r="J96" s="2365"/>
      <c r="K96" s="2362" t="s">
        <v>174</v>
      </c>
      <c r="L96" s="2363"/>
      <c r="M96" s="2364"/>
      <c r="N96" s="2365"/>
      <c r="O96" s="2362" t="s">
        <v>174</v>
      </c>
      <c r="P96" s="2363"/>
      <c r="Q96" s="2364"/>
      <c r="R96" s="2365"/>
      <c r="S96" s="2362" t="s">
        <v>174</v>
      </c>
      <c r="T96" s="2363"/>
      <c r="U96" s="2364"/>
      <c r="V96" s="2365"/>
      <c r="W96" s="2366"/>
      <c r="X96" s="2364"/>
      <c r="Y96" s="2364"/>
      <c r="Z96" s="2367"/>
      <c r="AA96" s="2368"/>
      <c r="AB96" s="2364"/>
      <c r="AC96" s="2364"/>
      <c r="AD96" s="2368"/>
      <c r="AE96" s="2369">
        <v>37</v>
      </c>
      <c r="AF96" s="2364"/>
      <c r="AG96" s="2364"/>
      <c r="AH96" s="2368"/>
      <c r="AI96" s="2370"/>
    </row>
    <row r="97" spans="1:35" ht="24.75" customHeight="1">
      <c r="A97" s="66"/>
      <c r="B97" s="60"/>
      <c r="C97" s="58"/>
      <c r="D97" s="63"/>
      <c r="E97" s="58"/>
      <c r="F97" s="58"/>
      <c r="G97" s="58"/>
      <c r="H97" s="58"/>
      <c r="I97" s="58"/>
      <c r="J97" s="58"/>
      <c r="K97" s="58"/>
      <c r="L97" s="58"/>
      <c r="M97" s="58"/>
      <c r="N97" s="58"/>
      <c r="O97" s="58"/>
      <c r="P97" s="58"/>
      <c r="Q97" s="58"/>
      <c r="R97" s="58"/>
      <c r="S97" s="58"/>
      <c r="T97" s="58"/>
      <c r="U97" s="58"/>
      <c r="V97" s="58"/>
      <c r="W97" s="58"/>
      <c r="X97" s="58"/>
      <c r="Y97" s="58"/>
      <c r="Z97" s="58"/>
      <c r="AA97" s="58"/>
      <c r="AB97" s="58"/>
      <c r="AC97" s="58"/>
      <c r="AD97" s="58"/>
      <c r="AE97" s="58"/>
      <c r="AF97" s="58"/>
      <c r="AG97" s="58"/>
      <c r="AH97" s="58"/>
      <c r="AI97" s="58"/>
    </row>
    <row r="98" spans="1:35" ht="24.75" customHeight="1" thickBot="1">
      <c r="A98" s="2371"/>
      <c r="B98" s="2372" t="s">
        <v>29</v>
      </c>
      <c r="C98" s="2232">
        <v>1</v>
      </c>
      <c r="D98" s="2232">
        <v>2</v>
      </c>
      <c r="E98" s="2233">
        <v>3</v>
      </c>
      <c r="F98" s="2233">
        <v>4</v>
      </c>
      <c r="G98" s="2233">
        <v>5</v>
      </c>
      <c r="H98" s="2233">
        <v>6</v>
      </c>
      <c r="I98" s="2233">
        <v>7</v>
      </c>
      <c r="J98" s="2232">
        <v>8</v>
      </c>
      <c r="K98" s="2232">
        <v>9</v>
      </c>
      <c r="L98" s="2233">
        <v>10</v>
      </c>
      <c r="M98" s="2233">
        <v>11</v>
      </c>
      <c r="N98" s="2233">
        <v>12</v>
      </c>
      <c r="O98" s="2233">
        <v>13</v>
      </c>
      <c r="P98" s="2233">
        <v>14</v>
      </c>
      <c r="Q98" s="2232">
        <v>15</v>
      </c>
      <c r="R98" s="2232">
        <v>16</v>
      </c>
      <c r="S98" s="2233">
        <v>17</v>
      </c>
      <c r="T98" s="2233">
        <v>18</v>
      </c>
      <c r="U98" s="2233">
        <v>19</v>
      </c>
      <c r="V98" s="2233">
        <v>20</v>
      </c>
      <c r="W98" s="2233">
        <v>21</v>
      </c>
      <c r="X98" s="2232">
        <v>22</v>
      </c>
      <c r="Y98" s="2232">
        <v>23</v>
      </c>
      <c r="Z98" s="2233">
        <v>24</v>
      </c>
      <c r="AA98" s="2233">
        <v>25</v>
      </c>
      <c r="AB98" s="2233">
        <v>26</v>
      </c>
      <c r="AC98" s="2233">
        <v>27</v>
      </c>
      <c r="AD98" s="2233">
        <v>28</v>
      </c>
      <c r="AE98" s="2232">
        <v>29</v>
      </c>
      <c r="AF98" s="2123"/>
      <c r="AG98" s="2124"/>
      <c r="AH98" s="67"/>
      <c r="AI98" s="68"/>
    </row>
    <row r="99" spans="1:35" ht="24.75" customHeight="1">
      <c r="A99" s="2373">
        <v>1</v>
      </c>
      <c r="B99" s="689"/>
      <c r="C99" s="881"/>
      <c r="D99" s="881"/>
      <c r="E99" s="881" t="s">
        <v>110</v>
      </c>
      <c r="F99" s="881" t="s">
        <v>110</v>
      </c>
      <c r="G99" s="881" t="s">
        <v>110</v>
      </c>
      <c r="H99" s="881" t="s">
        <v>110</v>
      </c>
      <c r="I99" s="881" t="s">
        <v>110</v>
      </c>
      <c r="J99" s="881" t="s">
        <v>108</v>
      </c>
      <c r="K99" s="881" t="s">
        <v>108</v>
      </c>
      <c r="L99" s="2374" t="s">
        <v>35</v>
      </c>
      <c r="M99" s="2374" t="s">
        <v>35</v>
      </c>
      <c r="N99" s="2374" t="s">
        <v>35</v>
      </c>
      <c r="O99" s="2374" t="s">
        <v>35</v>
      </c>
      <c r="P99" s="2375" t="s">
        <v>35</v>
      </c>
      <c r="Q99" s="2374"/>
      <c r="R99" s="2374"/>
      <c r="S99" s="881" t="s">
        <v>176</v>
      </c>
      <c r="T99" s="881" t="s">
        <v>176</v>
      </c>
      <c r="U99" s="881" t="s">
        <v>176</v>
      </c>
      <c r="V99" s="881" t="s">
        <v>176</v>
      </c>
      <c r="W99" s="881" t="s">
        <v>176</v>
      </c>
      <c r="X99" s="883"/>
      <c r="Y99" s="883"/>
      <c r="Z99" s="883" t="s">
        <v>176</v>
      </c>
      <c r="AA99" s="883" t="s">
        <v>176</v>
      </c>
      <c r="AB99" s="881" t="s">
        <v>176</v>
      </c>
      <c r="AC99" s="881" t="s">
        <v>176</v>
      </c>
      <c r="AD99" s="881" t="s">
        <v>176</v>
      </c>
      <c r="AE99" s="881"/>
      <c r="AF99" s="881"/>
      <c r="AG99" s="884"/>
      <c r="AH99" s="69"/>
      <c r="AI99" s="70"/>
    </row>
    <row r="100" spans="1:35" ht="24.75" customHeight="1">
      <c r="A100" s="2376">
        <v>2</v>
      </c>
      <c r="B100" s="2252" t="s">
        <v>177</v>
      </c>
      <c r="C100" s="2320"/>
      <c r="D100" s="2320"/>
      <c r="E100" s="1923" t="s">
        <v>233</v>
      </c>
      <c r="F100" s="2320" t="s">
        <v>123</v>
      </c>
      <c r="G100" s="2320" t="s">
        <v>233</v>
      </c>
      <c r="H100" s="2320" t="s">
        <v>253</v>
      </c>
      <c r="I100" s="2320" t="s">
        <v>128</v>
      </c>
      <c r="J100" s="2319"/>
      <c r="K100" s="2377"/>
      <c r="L100" s="2319" t="s">
        <v>110</v>
      </c>
      <c r="M100" s="2319" t="s">
        <v>110</v>
      </c>
      <c r="N100" s="2319" t="s">
        <v>110</v>
      </c>
      <c r="O100" s="2319" t="s">
        <v>110</v>
      </c>
      <c r="P100" s="2320" t="s">
        <v>110</v>
      </c>
      <c r="Q100" s="2319" t="s">
        <v>108</v>
      </c>
      <c r="R100" s="2319" t="s">
        <v>108</v>
      </c>
      <c r="S100" s="2319" t="s">
        <v>35</v>
      </c>
      <c r="T100" s="2319" t="s">
        <v>35</v>
      </c>
      <c r="U100" s="2378" t="s">
        <v>35</v>
      </c>
      <c r="V100" s="389" t="s">
        <v>127</v>
      </c>
      <c r="W100" s="389" t="s">
        <v>127</v>
      </c>
      <c r="X100" s="2319"/>
      <c r="Y100" s="2319"/>
      <c r="Z100" s="2379" t="s">
        <v>127</v>
      </c>
      <c r="AA100" s="2379" t="s">
        <v>127</v>
      </c>
      <c r="AB100" s="2379" t="s">
        <v>127</v>
      </c>
      <c r="AC100" s="2379" t="s">
        <v>127</v>
      </c>
      <c r="AD100" s="2249" t="s">
        <v>127</v>
      </c>
      <c r="AE100" s="2320"/>
      <c r="AF100" s="2320"/>
      <c r="AG100" s="2380"/>
      <c r="AH100" s="69"/>
      <c r="AI100" s="70"/>
    </row>
    <row r="101" spans="1:35" ht="24.75" customHeight="1">
      <c r="A101" s="2376">
        <v>3</v>
      </c>
      <c r="B101" s="2381" t="s">
        <v>178</v>
      </c>
      <c r="C101" s="2382"/>
      <c r="D101" s="2382"/>
      <c r="E101" s="2243" t="s">
        <v>127</v>
      </c>
      <c r="F101" s="2243" t="s">
        <v>127</v>
      </c>
      <c r="G101" s="2243" t="s">
        <v>127</v>
      </c>
      <c r="H101" s="2243" t="s">
        <v>127</v>
      </c>
      <c r="I101" s="2243" t="s">
        <v>127</v>
      </c>
      <c r="J101" s="2320"/>
      <c r="K101" s="2320"/>
      <c r="L101" s="2243" t="s">
        <v>127</v>
      </c>
      <c r="M101" s="2243" t="s">
        <v>127</v>
      </c>
      <c r="N101" s="2243" t="s">
        <v>127</v>
      </c>
      <c r="O101" s="2379" t="s">
        <v>127</v>
      </c>
      <c r="P101" s="2243" t="s">
        <v>127</v>
      </c>
      <c r="Q101" s="91"/>
      <c r="R101" s="293"/>
      <c r="S101" s="2249" t="s">
        <v>110</v>
      </c>
      <c r="T101" s="2249" t="s">
        <v>110</v>
      </c>
      <c r="U101" s="2249" t="s">
        <v>110</v>
      </c>
      <c r="V101" s="2249" t="s">
        <v>110</v>
      </c>
      <c r="W101" s="2249" t="s">
        <v>110</v>
      </c>
      <c r="X101" s="2249" t="s">
        <v>108</v>
      </c>
      <c r="Y101" s="2249" t="s">
        <v>108</v>
      </c>
      <c r="Z101" s="2383" t="s">
        <v>237</v>
      </c>
      <c r="AA101" s="2316" t="s">
        <v>237</v>
      </c>
      <c r="AB101" s="2378" t="s">
        <v>35</v>
      </c>
      <c r="AC101" s="293" t="s">
        <v>35</v>
      </c>
      <c r="AD101" s="2378" t="s">
        <v>35</v>
      </c>
      <c r="AE101" s="293"/>
      <c r="AF101" s="2319"/>
      <c r="AG101" s="2384"/>
      <c r="AH101" s="69"/>
      <c r="AI101" s="70"/>
    </row>
    <row r="102" spans="1:35" ht="24.75" customHeight="1" thickBot="1">
      <c r="A102" s="2385">
        <v>4</v>
      </c>
      <c r="B102" s="2386"/>
      <c r="C102" s="2387" t="s">
        <v>108</v>
      </c>
      <c r="D102" s="2387" t="s">
        <v>108</v>
      </c>
      <c r="E102" s="2387" t="s">
        <v>35</v>
      </c>
      <c r="F102" s="2387" t="s">
        <v>35</v>
      </c>
      <c r="G102" s="2387" t="s">
        <v>35</v>
      </c>
      <c r="H102" s="2387" t="s">
        <v>35</v>
      </c>
      <c r="I102" s="2387" t="s">
        <v>35</v>
      </c>
      <c r="J102" s="2387"/>
      <c r="K102" s="2387"/>
      <c r="L102" s="2387" t="s">
        <v>176</v>
      </c>
      <c r="M102" s="2387" t="s">
        <v>176</v>
      </c>
      <c r="N102" s="2387" t="s">
        <v>176</v>
      </c>
      <c r="O102" s="2387" t="s">
        <v>176</v>
      </c>
      <c r="P102" s="2387" t="s">
        <v>176</v>
      </c>
      <c r="Q102" s="2387"/>
      <c r="R102" s="2387"/>
      <c r="S102" s="2387" t="s">
        <v>176</v>
      </c>
      <c r="T102" s="2387" t="s">
        <v>176</v>
      </c>
      <c r="U102" s="2387" t="s">
        <v>176</v>
      </c>
      <c r="V102" s="2387" t="s">
        <v>176</v>
      </c>
      <c r="W102" s="2387" t="s">
        <v>176</v>
      </c>
      <c r="X102" s="2387" t="s">
        <v>0</v>
      </c>
      <c r="Y102" s="2387" t="s">
        <v>0</v>
      </c>
      <c r="Z102" s="2387" t="s">
        <v>110</v>
      </c>
      <c r="AA102" s="2387" t="s">
        <v>110</v>
      </c>
      <c r="AB102" s="2387" t="s">
        <v>110</v>
      </c>
      <c r="AC102" s="2387" t="s">
        <v>110</v>
      </c>
      <c r="AD102" s="2387" t="s">
        <v>110</v>
      </c>
      <c r="AE102" s="2387" t="s">
        <v>108</v>
      </c>
      <c r="AF102" s="2387"/>
      <c r="AG102" s="2388"/>
      <c r="AH102" s="69"/>
      <c r="AI102" s="70"/>
    </row>
    <row r="103" spans="1:35" ht="24.75" customHeight="1" thickBot="1">
      <c r="A103" s="71"/>
      <c r="B103" s="72"/>
      <c r="C103" s="73"/>
      <c r="D103" s="73"/>
      <c r="E103" s="73"/>
      <c r="F103" s="73"/>
      <c r="G103" s="73"/>
      <c r="H103" s="73"/>
      <c r="I103" s="73"/>
      <c r="J103" s="73"/>
      <c r="K103" s="73"/>
      <c r="L103" s="73"/>
      <c r="M103" s="73"/>
      <c r="N103" s="73"/>
      <c r="O103" s="73"/>
      <c r="P103" s="73"/>
      <c r="Q103" s="73"/>
      <c r="R103" s="73"/>
      <c r="S103" s="73"/>
      <c r="T103" s="73"/>
      <c r="U103" s="73"/>
      <c r="V103" s="73"/>
      <c r="W103" s="73"/>
      <c r="X103" s="73"/>
      <c r="Y103" s="73"/>
      <c r="Z103" s="73"/>
      <c r="AA103" s="73"/>
      <c r="AB103" s="73"/>
      <c r="AC103" s="73"/>
      <c r="AD103" s="73"/>
      <c r="AE103" s="73"/>
      <c r="AF103" s="73"/>
      <c r="AG103" s="74"/>
      <c r="AH103" s="75"/>
      <c r="AI103" s="70"/>
    </row>
    <row r="104" spans="1:35" ht="24.75" customHeight="1">
      <c r="A104" s="17"/>
      <c r="B104" s="900" t="s">
        <v>179</v>
      </c>
      <c r="C104" s="901"/>
      <c r="D104" s="902" t="s">
        <v>87</v>
      </c>
      <c r="E104" s="903"/>
      <c r="F104" s="901"/>
      <c r="G104" s="904" t="s">
        <v>88</v>
      </c>
      <c r="H104" s="905"/>
      <c r="I104" s="906"/>
      <c r="J104" s="904" t="s">
        <v>89</v>
      </c>
      <c r="K104" s="907"/>
      <c r="L104" s="906"/>
      <c r="M104" s="908" t="s">
        <v>90</v>
      </c>
      <c r="N104" s="907"/>
      <c r="O104" s="906"/>
      <c r="P104" s="904" t="s">
        <v>91</v>
      </c>
      <c r="Q104" s="909"/>
      <c r="R104" s="906"/>
      <c r="S104" s="904" t="s">
        <v>92</v>
      </c>
      <c r="T104" s="910"/>
      <c r="U104" s="906"/>
      <c r="V104" s="904" t="s">
        <v>93</v>
      </c>
      <c r="W104" s="909"/>
      <c r="X104" s="911" t="s">
        <v>158</v>
      </c>
      <c r="Y104" s="912"/>
      <c r="Z104" s="912"/>
      <c r="AA104" s="913"/>
      <c r="AB104" s="914" t="s">
        <v>94</v>
      </c>
      <c r="AC104" s="915"/>
      <c r="AD104" s="915"/>
      <c r="AE104" s="916"/>
      <c r="AF104" s="916"/>
      <c r="AG104" s="917"/>
      <c r="AH104" s="75"/>
      <c r="AI104" s="70"/>
    </row>
    <row r="105" spans="1:35" ht="24.75" customHeight="1">
      <c r="A105" s="17"/>
      <c r="B105" s="2389" t="s">
        <v>180</v>
      </c>
      <c r="C105" s="2390" t="s">
        <v>181</v>
      </c>
      <c r="D105" s="2217"/>
      <c r="E105" s="2218"/>
      <c r="F105" s="2390" t="s">
        <v>181</v>
      </c>
      <c r="G105" s="2217"/>
      <c r="H105" s="2218"/>
      <c r="I105" s="2390" t="s">
        <v>181</v>
      </c>
      <c r="J105" s="2217"/>
      <c r="K105" s="2218"/>
      <c r="L105" s="2390" t="s">
        <v>181</v>
      </c>
      <c r="M105" s="2217"/>
      <c r="N105" s="2218"/>
      <c r="O105" s="2390" t="s">
        <v>182</v>
      </c>
      <c r="P105" s="2217"/>
      <c r="Q105" s="2218"/>
      <c r="R105" s="2390"/>
      <c r="S105" s="2217"/>
      <c r="T105" s="2218"/>
      <c r="U105" s="2390"/>
      <c r="V105" s="2217"/>
      <c r="W105" s="2218"/>
      <c r="X105" s="2390"/>
      <c r="Y105" s="2391"/>
      <c r="Z105" s="2391"/>
      <c r="AA105" s="2391"/>
      <c r="AB105" s="2215"/>
      <c r="AC105" s="2391"/>
      <c r="AD105" s="2391"/>
      <c r="AE105" s="2391"/>
      <c r="AF105" s="2391"/>
      <c r="AG105" s="2392"/>
      <c r="AH105" s="75"/>
      <c r="AI105" s="70"/>
    </row>
    <row r="106" spans="1:35" ht="24.75" customHeight="1">
      <c r="A106" s="17"/>
      <c r="B106" s="16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75"/>
      <c r="AI106" s="70"/>
    </row>
    <row r="107" spans="1:35" ht="24.75" customHeight="1" thickBot="1">
      <c r="A107" s="2120" t="s">
        <v>28</v>
      </c>
      <c r="B107" s="2121" t="s">
        <v>29</v>
      </c>
      <c r="C107" s="2232">
        <v>1</v>
      </c>
      <c r="D107" s="2232">
        <v>2</v>
      </c>
      <c r="E107" s="2233">
        <v>3</v>
      </c>
      <c r="F107" s="2233">
        <v>4</v>
      </c>
      <c r="G107" s="2233">
        <v>5</v>
      </c>
      <c r="H107" s="2233">
        <v>6</v>
      </c>
      <c r="I107" s="2233">
        <v>7</v>
      </c>
      <c r="J107" s="2232">
        <v>8</v>
      </c>
      <c r="K107" s="2232">
        <v>9</v>
      </c>
      <c r="L107" s="2233">
        <v>10</v>
      </c>
      <c r="M107" s="2233">
        <v>11</v>
      </c>
      <c r="N107" s="2233">
        <v>12</v>
      </c>
      <c r="O107" s="2233">
        <v>13</v>
      </c>
      <c r="P107" s="2233">
        <v>14</v>
      </c>
      <c r="Q107" s="2232">
        <v>15</v>
      </c>
      <c r="R107" s="2232">
        <v>16</v>
      </c>
      <c r="S107" s="2233">
        <v>17</v>
      </c>
      <c r="T107" s="2233">
        <v>18</v>
      </c>
      <c r="U107" s="2233">
        <v>19</v>
      </c>
      <c r="V107" s="2233">
        <v>20</v>
      </c>
      <c r="W107" s="2233">
        <v>21</v>
      </c>
      <c r="X107" s="2232">
        <v>22</v>
      </c>
      <c r="Y107" s="2232">
        <v>23</v>
      </c>
      <c r="Z107" s="2233">
        <v>24</v>
      </c>
      <c r="AA107" s="2233">
        <v>25</v>
      </c>
      <c r="AB107" s="2233">
        <v>26</v>
      </c>
      <c r="AC107" s="2233">
        <v>27</v>
      </c>
      <c r="AD107" s="2233">
        <v>28</v>
      </c>
      <c r="AE107" s="2232">
        <v>29</v>
      </c>
      <c r="AF107" s="2233"/>
      <c r="AG107" s="2234"/>
      <c r="AH107" s="75"/>
      <c r="AI107" s="70"/>
    </row>
    <row r="108" spans="1:35" ht="24.75" customHeight="1">
      <c r="A108" s="922">
        <v>8520</v>
      </c>
      <c r="B108" s="923" t="s">
        <v>183</v>
      </c>
      <c r="C108" s="826"/>
      <c r="D108" s="826"/>
      <c r="E108" s="826" t="s">
        <v>118</v>
      </c>
      <c r="F108" s="826" t="s">
        <v>118</v>
      </c>
      <c r="G108" s="826" t="s">
        <v>118</v>
      </c>
      <c r="H108" s="826" t="s">
        <v>118</v>
      </c>
      <c r="I108" s="826" t="s">
        <v>118</v>
      </c>
      <c r="J108" s="826"/>
      <c r="K108" s="826"/>
      <c r="L108" s="826" t="s">
        <v>118</v>
      </c>
      <c r="M108" s="826" t="s">
        <v>118</v>
      </c>
      <c r="N108" s="826" t="s">
        <v>118</v>
      </c>
      <c r="O108" s="826" t="s">
        <v>118</v>
      </c>
      <c r="P108" s="826" t="s">
        <v>118</v>
      </c>
      <c r="Q108" s="826"/>
      <c r="R108" s="826"/>
      <c r="S108" s="826" t="s">
        <v>118</v>
      </c>
      <c r="T108" s="826" t="s">
        <v>118</v>
      </c>
      <c r="U108" s="826" t="s">
        <v>118</v>
      </c>
      <c r="V108" s="826" t="s">
        <v>118</v>
      </c>
      <c r="W108" s="826" t="s">
        <v>118</v>
      </c>
      <c r="X108" s="826"/>
      <c r="Y108" s="826"/>
      <c r="Z108" s="826" t="s">
        <v>118</v>
      </c>
      <c r="AA108" s="826" t="s">
        <v>118</v>
      </c>
      <c r="AB108" s="826" t="s">
        <v>118</v>
      </c>
      <c r="AC108" s="826" t="s">
        <v>118</v>
      </c>
      <c r="AD108" s="826" t="s">
        <v>118</v>
      </c>
      <c r="AE108" s="826"/>
      <c r="AF108" s="826"/>
      <c r="AG108" s="827"/>
      <c r="AH108" s="75"/>
      <c r="AI108" s="70"/>
    </row>
    <row r="109" spans="1:35" ht="24.75" customHeight="1">
      <c r="AH109" s="76"/>
      <c r="AI109" s="76"/>
    </row>
    <row r="110" spans="1:35" ht="24.75" customHeight="1" thickBot="1">
      <c r="A110" s="77" t="s">
        <v>185</v>
      </c>
      <c r="B110" s="78"/>
      <c r="C110" s="78"/>
      <c r="D110" s="79"/>
      <c r="E110" s="79"/>
      <c r="F110" s="79"/>
      <c r="G110" s="80"/>
      <c r="H110" s="79"/>
      <c r="I110" s="79"/>
      <c r="J110" s="79"/>
      <c r="K110" s="79"/>
      <c r="L110" s="79"/>
      <c r="M110" s="79"/>
      <c r="N110" s="79"/>
      <c r="O110" s="79"/>
      <c r="P110" s="79"/>
      <c r="Q110" s="79"/>
      <c r="R110" s="79"/>
      <c r="S110" s="79"/>
      <c r="T110" s="79"/>
      <c r="U110" s="79"/>
      <c r="V110" s="79"/>
      <c r="W110" s="79"/>
      <c r="X110" s="79"/>
      <c r="Y110" s="79"/>
      <c r="Z110" s="79"/>
      <c r="AA110" s="79"/>
      <c r="AB110" s="79"/>
      <c r="AC110" s="79"/>
      <c r="AD110" s="79"/>
      <c r="AE110" s="79"/>
      <c r="AF110" s="79"/>
      <c r="AG110" s="79"/>
      <c r="AH110" s="78"/>
      <c r="AI110" s="78"/>
    </row>
    <row r="111" spans="1:35" ht="24.75" customHeight="1">
      <c r="A111" s="77"/>
      <c r="B111" s="900" t="s">
        <v>186</v>
      </c>
      <c r="C111" s="924"/>
      <c r="D111" s="925" t="s">
        <v>87</v>
      </c>
      <c r="E111" s="926"/>
      <c r="F111" s="927"/>
      <c r="G111" s="924"/>
      <c r="H111" s="925" t="s">
        <v>88</v>
      </c>
      <c r="I111" s="926"/>
      <c r="J111" s="927"/>
      <c r="K111" s="924"/>
      <c r="L111" s="925" t="s">
        <v>89</v>
      </c>
      <c r="M111" s="926"/>
      <c r="N111" s="927"/>
      <c r="O111" s="924"/>
      <c r="P111" s="925" t="s">
        <v>90</v>
      </c>
      <c r="Q111" s="926"/>
      <c r="R111" s="927"/>
      <c r="S111" s="924"/>
      <c r="T111" s="925" t="s">
        <v>91</v>
      </c>
      <c r="U111" s="926"/>
      <c r="V111" s="927"/>
      <c r="W111" s="924"/>
      <c r="X111" s="925" t="s">
        <v>92</v>
      </c>
      <c r="Y111" s="926"/>
      <c r="Z111" s="927"/>
      <c r="AA111" s="924"/>
      <c r="AB111" s="925" t="s">
        <v>93</v>
      </c>
      <c r="AC111" s="926"/>
      <c r="AD111" s="926"/>
      <c r="AE111" s="928" t="s">
        <v>94</v>
      </c>
      <c r="AF111" s="926"/>
      <c r="AG111" s="926"/>
      <c r="AH111" s="926"/>
      <c r="AI111" s="929"/>
    </row>
    <row r="112" spans="1:35" ht="24.75" customHeight="1">
      <c r="A112" s="77"/>
      <c r="B112" s="2393" t="s">
        <v>159</v>
      </c>
      <c r="C112" s="2098">
        <v>69</v>
      </c>
      <c r="D112" s="2394" t="s">
        <v>187</v>
      </c>
      <c r="E112" s="2394"/>
      <c r="F112" s="2113"/>
      <c r="G112" s="2098">
        <v>69</v>
      </c>
      <c r="H112" s="2394" t="s">
        <v>187</v>
      </c>
      <c r="I112" s="2394"/>
      <c r="J112" s="2113"/>
      <c r="K112" s="2098">
        <v>69</v>
      </c>
      <c r="L112" s="2394" t="s">
        <v>187</v>
      </c>
      <c r="M112" s="2394"/>
      <c r="N112" s="2113"/>
      <c r="O112" s="2098">
        <v>69</v>
      </c>
      <c r="P112" s="2394" t="s">
        <v>187</v>
      </c>
      <c r="Q112" s="2394"/>
      <c r="R112" s="2113"/>
      <c r="S112" s="2098">
        <v>69</v>
      </c>
      <c r="T112" s="2394" t="s">
        <v>187</v>
      </c>
      <c r="U112" s="2394"/>
      <c r="V112" s="2113"/>
      <c r="W112" s="2098"/>
      <c r="X112" s="2395"/>
      <c r="Y112" s="2395"/>
      <c r="Z112" s="2396"/>
      <c r="AA112" s="2098"/>
      <c r="AB112" s="2394"/>
      <c r="AC112" s="2394"/>
      <c r="AD112" s="2114"/>
      <c r="AE112" s="2397">
        <v>35</v>
      </c>
      <c r="AF112" s="2394"/>
      <c r="AG112" s="2394"/>
      <c r="AH112" s="2114"/>
      <c r="AI112" s="2398"/>
    </row>
    <row r="113" spans="1:36" ht="24.75" customHeight="1">
      <c r="A113" s="77"/>
      <c r="B113" s="2393" t="s">
        <v>163</v>
      </c>
      <c r="C113" s="2098">
        <v>79</v>
      </c>
      <c r="D113" s="2394" t="s">
        <v>188</v>
      </c>
      <c r="E113" s="2394"/>
      <c r="F113" s="2113"/>
      <c r="G113" s="2098">
        <v>79</v>
      </c>
      <c r="H113" s="2394" t="s">
        <v>188</v>
      </c>
      <c r="I113" s="2394"/>
      <c r="J113" s="2113"/>
      <c r="K113" s="2098">
        <v>79</v>
      </c>
      <c r="L113" s="2394" t="s">
        <v>188</v>
      </c>
      <c r="M113" s="2394"/>
      <c r="N113" s="2113"/>
      <c r="O113" s="2098">
        <v>79</v>
      </c>
      <c r="P113" s="2394" t="s">
        <v>188</v>
      </c>
      <c r="Q113" s="2394"/>
      <c r="R113" s="2113"/>
      <c r="S113" s="2098">
        <v>79</v>
      </c>
      <c r="T113" s="2394" t="s">
        <v>188</v>
      </c>
      <c r="U113" s="2394"/>
      <c r="V113" s="2113"/>
      <c r="W113" s="2098"/>
      <c r="X113" s="2394"/>
      <c r="Y113" s="2394"/>
      <c r="Z113" s="2113"/>
      <c r="AA113" s="2394"/>
      <c r="AB113" s="2394"/>
      <c r="AC113" s="2394"/>
      <c r="AD113" s="2114"/>
      <c r="AE113" s="2397">
        <v>40</v>
      </c>
      <c r="AF113" s="2394"/>
      <c r="AG113" s="2394"/>
      <c r="AH113" s="2114"/>
      <c r="AI113" s="2398"/>
    </row>
    <row r="114" spans="1:36" ht="24.75" customHeight="1">
      <c r="A114" s="77"/>
      <c r="B114" s="2393" t="s">
        <v>171</v>
      </c>
      <c r="C114" s="2098">
        <v>89</v>
      </c>
      <c r="D114" s="2394" t="s">
        <v>189</v>
      </c>
      <c r="E114" s="2394"/>
      <c r="F114" s="2113"/>
      <c r="G114" s="2098">
        <v>89</v>
      </c>
      <c r="H114" s="2394" t="s">
        <v>189</v>
      </c>
      <c r="I114" s="2394"/>
      <c r="J114" s="2113"/>
      <c r="K114" s="2098">
        <v>89</v>
      </c>
      <c r="L114" s="2394" t="s">
        <v>189</v>
      </c>
      <c r="M114" s="2394"/>
      <c r="N114" s="2113"/>
      <c r="O114" s="2098">
        <v>89</v>
      </c>
      <c r="P114" s="2394" t="s">
        <v>189</v>
      </c>
      <c r="Q114" s="2394"/>
      <c r="R114" s="2113"/>
      <c r="S114" s="2098">
        <v>89</v>
      </c>
      <c r="T114" s="2394" t="s">
        <v>190</v>
      </c>
      <c r="U114" s="2394"/>
      <c r="V114" s="2113"/>
      <c r="W114" s="2399"/>
      <c r="X114" s="2400" t="s">
        <v>191</v>
      </c>
      <c r="Y114" s="2400"/>
      <c r="Z114" s="2401"/>
      <c r="AA114" s="2399"/>
      <c r="AB114" s="2400"/>
      <c r="AC114" s="2400"/>
      <c r="AD114" s="2306"/>
      <c r="AE114" s="2397">
        <v>44</v>
      </c>
      <c r="AF114" s="2394"/>
      <c r="AG114" s="2394"/>
      <c r="AH114" s="2114"/>
      <c r="AI114" s="2398"/>
    </row>
    <row r="115" spans="1:36" ht="24.75" customHeight="1">
      <c r="A115" s="77"/>
      <c r="B115" s="81" t="s">
        <v>173</v>
      </c>
      <c r="C115" s="2399">
        <v>99</v>
      </c>
      <c r="D115" s="2400" t="s">
        <v>192</v>
      </c>
      <c r="E115" s="2400"/>
      <c r="F115" s="2401"/>
      <c r="G115" s="2399">
        <v>99</v>
      </c>
      <c r="H115" s="2400" t="s">
        <v>192</v>
      </c>
      <c r="I115" s="2400"/>
      <c r="J115" s="2401"/>
      <c r="K115" s="2399">
        <v>99</v>
      </c>
      <c r="L115" s="2400" t="s">
        <v>192</v>
      </c>
      <c r="M115" s="2400"/>
      <c r="N115" s="2401"/>
      <c r="O115" s="2399">
        <v>99</v>
      </c>
      <c r="P115" s="2400" t="s">
        <v>192</v>
      </c>
      <c r="Q115" s="2400"/>
      <c r="R115" s="2401"/>
      <c r="S115" s="2399">
        <v>99</v>
      </c>
      <c r="T115" s="2400" t="s">
        <v>172</v>
      </c>
      <c r="U115" s="2400"/>
      <c r="V115" s="2306"/>
      <c r="W115" s="2305"/>
      <c r="X115" s="2306"/>
      <c r="Y115" s="2400"/>
      <c r="Z115" s="2401"/>
      <c r="AA115" s="2305"/>
      <c r="AB115" s="2306"/>
      <c r="AC115" s="2400"/>
      <c r="AD115" s="2401"/>
      <c r="AE115" s="2402">
        <v>28</v>
      </c>
      <c r="AF115" s="2400"/>
      <c r="AG115" s="2400"/>
      <c r="AH115" s="2306"/>
      <c r="AI115" s="2403"/>
    </row>
    <row r="116" spans="1:36" ht="24.75" customHeight="1" thickBot="1">
      <c r="A116" s="77"/>
      <c r="B116" s="2404" t="s">
        <v>193</v>
      </c>
      <c r="C116" s="2405" t="s">
        <v>47</v>
      </c>
      <c r="D116" s="2406" t="s">
        <v>194</v>
      </c>
      <c r="E116" s="2407"/>
      <c r="F116" s="2272"/>
      <c r="G116" s="2405" t="s">
        <v>47</v>
      </c>
      <c r="H116" s="2406" t="s">
        <v>194</v>
      </c>
      <c r="I116" s="2270"/>
      <c r="J116" s="2407"/>
      <c r="K116" s="2405" t="s">
        <v>47</v>
      </c>
      <c r="L116" s="2406" t="s">
        <v>194</v>
      </c>
      <c r="M116" s="2407"/>
      <c r="N116" s="2408"/>
      <c r="O116" s="2405" t="s">
        <v>47</v>
      </c>
      <c r="P116" s="2406" t="s">
        <v>194</v>
      </c>
      <c r="Q116" s="2407"/>
      <c r="R116" s="2406"/>
      <c r="S116" s="2405" t="s">
        <v>47</v>
      </c>
      <c r="T116" s="2274" t="s">
        <v>195</v>
      </c>
      <c r="U116" s="2406"/>
      <c r="V116" s="2408"/>
      <c r="W116" s="2407"/>
      <c r="X116" s="2406"/>
      <c r="Y116" s="2406"/>
      <c r="Z116" s="2406"/>
      <c r="AA116" s="2409"/>
      <c r="AB116" s="2410"/>
      <c r="AC116" s="2406"/>
      <c r="AD116" s="2411"/>
      <c r="AE116" s="2406"/>
      <c r="AF116" s="2406"/>
      <c r="AG116" s="2406"/>
      <c r="AH116" s="2412"/>
      <c r="AI116" s="2413"/>
    </row>
    <row r="117" spans="1:36" ht="24.75" customHeight="1">
      <c r="A117" s="82"/>
      <c r="B117" s="77"/>
      <c r="C117" s="79"/>
      <c r="D117" s="79"/>
      <c r="E117" s="79"/>
      <c r="F117" s="79"/>
      <c r="G117" s="79"/>
      <c r="H117" s="79"/>
      <c r="I117" s="79"/>
      <c r="J117" s="79"/>
      <c r="K117" s="79"/>
      <c r="L117" s="79"/>
      <c r="M117" s="79"/>
      <c r="N117" s="79"/>
      <c r="O117" s="79"/>
      <c r="P117" s="79"/>
      <c r="Q117" s="79"/>
      <c r="R117" s="79"/>
      <c r="S117" s="79"/>
      <c r="T117" s="79"/>
      <c r="U117" s="79"/>
      <c r="V117" s="79"/>
      <c r="W117" s="79"/>
      <c r="X117" s="79"/>
      <c r="Y117" s="79"/>
      <c r="Z117" s="79"/>
      <c r="AA117" s="79"/>
      <c r="AB117" s="79"/>
      <c r="AC117" s="79"/>
      <c r="AD117" s="79"/>
      <c r="AE117" s="79"/>
      <c r="AF117" s="79"/>
      <c r="AG117" s="79"/>
      <c r="AH117" s="78"/>
      <c r="AI117" s="78"/>
    </row>
    <row r="118" spans="1:36" ht="24.75" customHeight="1" thickBot="1">
      <c r="A118" s="2120"/>
      <c r="B118" s="2121" t="s">
        <v>29</v>
      </c>
      <c r="C118" s="2232">
        <v>1</v>
      </c>
      <c r="D118" s="2232">
        <v>2</v>
      </c>
      <c r="E118" s="2233">
        <v>3</v>
      </c>
      <c r="F118" s="2233">
        <v>4</v>
      </c>
      <c r="G118" s="2233">
        <v>5</v>
      </c>
      <c r="H118" s="2233">
        <v>6</v>
      </c>
      <c r="I118" s="2233">
        <v>7</v>
      </c>
      <c r="J118" s="2232">
        <v>8</v>
      </c>
      <c r="K118" s="2232">
        <v>9</v>
      </c>
      <c r="L118" s="2233">
        <v>10</v>
      </c>
      <c r="M118" s="2233">
        <v>11</v>
      </c>
      <c r="N118" s="2233">
        <v>12</v>
      </c>
      <c r="O118" s="2233">
        <v>13</v>
      </c>
      <c r="P118" s="2233">
        <v>14</v>
      </c>
      <c r="Q118" s="2232">
        <v>15</v>
      </c>
      <c r="R118" s="2232">
        <v>16</v>
      </c>
      <c r="S118" s="2233">
        <v>17</v>
      </c>
      <c r="T118" s="2233">
        <v>18</v>
      </c>
      <c r="U118" s="2233">
        <v>19</v>
      </c>
      <c r="V118" s="2233">
        <v>20</v>
      </c>
      <c r="W118" s="2233">
        <v>21</v>
      </c>
      <c r="X118" s="2232">
        <v>22</v>
      </c>
      <c r="Y118" s="2232">
        <v>23</v>
      </c>
      <c r="Z118" s="2233">
        <v>24</v>
      </c>
      <c r="AA118" s="2233">
        <v>25</v>
      </c>
      <c r="AB118" s="2233">
        <v>26</v>
      </c>
      <c r="AC118" s="2233">
        <v>27</v>
      </c>
      <c r="AD118" s="2233">
        <v>28</v>
      </c>
      <c r="AE118" s="2232">
        <v>29</v>
      </c>
      <c r="AF118" s="2233"/>
      <c r="AG118" s="2234"/>
      <c r="AH118" s="23"/>
      <c r="AI118" s="24"/>
    </row>
    <row r="119" spans="1:36" ht="24.75" customHeight="1">
      <c r="A119" s="953">
        <v>1</v>
      </c>
      <c r="B119" s="954" t="s">
        <v>196</v>
      </c>
      <c r="C119" s="472"/>
      <c r="D119" s="472"/>
      <c r="E119" s="826">
        <v>89</v>
      </c>
      <c r="F119" s="826">
        <v>89</v>
      </c>
      <c r="G119" s="471">
        <v>89</v>
      </c>
      <c r="H119" s="472">
        <v>89</v>
      </c>
      <c r="I119" s="471">
        <v>89</v>
      </c>
      <c r="J119" s="471">
        <v>89</v>
      </c>
      <c r="K119" s="472"/>
      <c r="L119" s="471">
        <v>99</v>
      </c>
      <c r="M119" s="826">
        <v>99</v>
      </c>
      <c r="N119" s="472">
        <v>99</v>
      </c>
      <c r="O119" s="472">
        <v>99</v>
      </c>
      <c r="P119" s="472" t="s">
        <v>35</v>
      </c>
      <c r="Q119" s="472"/>
      <c r="R119" s="472"/>
      <c r="S119" s="826" t="s">
        <v>47</v>
      </c>
      <c r="T119" s="826" t="s">
        <v>47</v>
      </c>
      <c r="U119" s="826" t="s">
        <v>47</v>
      </c>
      <c r="V119" s="472" t="s">
        <v>47</v>
      </c>
      <c r="W119" s="472" t="s">
        <v>47</v>
      </c>
      <c r="X119" s="472"/>
      <c r="Y119" s="472"/>
      <c r="Z119" s="472">
        <v>69</v>
      </c>
      <c r="AA119" s="471">
        <v>69</v>
      </c>
      <c r="AB119" s="472">
        <v>69</v>
      </c>
      <c r="AC119" s="472">
        <v>69</v>
      </c>
      <c r="AD119" s="472">
        <v>69</v>
      </c>
      <c r="AE119" s="472"/>
      <c r="AF119" s="472"/>
      <c r="AG119" s="734"/>
      <c r="AH119" s="83"/>
      <c r="AI119" s="76"/>
    </row>
    <row r="120" spans="1:36" ht="24.75" customHeight="1">
      <c r="A120" s="2414">
        <v>2</v>
      </c>
      <c r="B120" s="2333" t="s">
        <v>197</v>
      </c>
      <c r="C120" s="2323" t="s">
        <v>362</v>
      </c>
      <c r="D120" s="2287"/>
      <c r="E120" s="2288">
        <v>99</v>
      </c>
      <c r="F120" s="2288">
        <v>99</v>
      </c>
      <c r="G120" s="2287">
        <v>99</v>
      </c>
      <c r="H120" s="2287">
        <v>99</v>
      </c>
      <c r="I120" s="2287" t="s">
        <v>35</v>
      </c>
      <c r="J120" s="2287"/>
      <c r="K120" s="2287"/>
      <c r="L120" s="2288" t="s">
        <v>47</v>
      </c>
      <c r="M120" s="2288" t="s">
        <v>47</v>
      </c>
      <c r="N120" s="2415" t="s">
        <v>47</v>
      </c>
      <c r="O120" s="2287" t="s">
        <v>47</v>
      </c>
      <c r="P120" s="2287" t="s">
        <v>47</v>
      </c>
      <c r="Q120" s="2287"/>
      <c r="R120" s="2241"/>
      <c r="S120" s="2416">
        <v>69</v>
      </c>
      <c r="T120" s="2417">
        <v>69</v>
      </c>
      <c r="U120" s="2289">
        <v>69</v>
      </c>
      <c r="V120" s="2289">
        <v>69</v>
      </c>
      <c r="W120" s="2289">
        <v>69</v>
      </c>
      <c r="X120" s="2289"/>
      <c r="Y120" s="2289"/>
      <c r="Z120" s="2288">
        <v>79</v>
      </c>
      <c r="AA120" s="2288">
        <v>79</v>
      </c>
      <c r="AB120" s="2241">
        <v>79</v>
      </c>
      <c r="AC120" s="2287">
        <v>79</v>
      </c>
      <c r="AD120" s="2241">
        <v>79</v>
      </c>
      <c r="AE120" s="2241"/>
      <c r="AF120" s="2287"/>
      <c r="AG120" s="2418"/>
      <c r="AH120" s="84"/>
      <c r="AI120" s="85"/>
      <c r="AJ120" t="s">
        <v>429</v>
      </c>
    </row>
    <row r="121" spans="1:36" ht="24.75" customHeight="1">
      <c r="A121" s="2414">
        <v>3</v>
      </c>
      <c r="B121" s="2333" t="s">
        <v>198</v>
      </c>
      <c r="C121" s="2287"/>
      <c r="D121" s="2287"/>
      <c r="E121" s="2331" t="s">
        <v>47</v>
      </c>
      <c r="F121" s="2288" t="s">
        <v>47</v>
      </c>
      <c r="G121" s="2419">
        <v>4</v>
      </c>
      <c r="H121" s="2288">
        <v>4</v>
      </c>
      <c r="I121" s="2287" t="s">
        <v>47</v>
      </c>
      <c r="J121" s="2241"/>
      <c r="K121" s="2287"/>
      <c r="L121" s="2254">
        <v>69</v>
      </c>
      <c r="M121" s="2417">
        <v>69</v>
      </c>
      <c r="N121" s="2416">
        <v>69</v>
      </c>
      <c r="O121" s="2416">
        <v>69</v>
      </c>
      <c r="P121" s="2416">
        <v>69</v>
      </c>
      <c r="Q121" s="2416"/>
      <c r="R121" s="2416"/>
      <c r="S121" s="2288">
        <v>79</v>
      </c>
      <c r="T121" s="2288">
        <v>79</v>
      </c>
      <c r="U121" s="2288">
        <v>79</v>
      </c>
      <c r="V121" s="2288">
        <v>79</v>
      </c>
      <c r="W121" s="2288">
        <v>79</v>
      </c>
      <c r="X121" s="2241"/>
      <c r="Y121" s="2241"/>
      <c r="Z121" s="2288">
        <v>89</v>
      </c>
      <c r="AA121" s="2288">
        <v>89</v>
      </c>
      <c r="AB121" s="2288">
        <v>89</v>
      </c>
      <c r="AC121" s="2288">
        <v>89</v>
      </c>
      <c r="AD121" s="2288">
        <v>89</v>
      </c>
      <c r="AE121" s="2287">
        <v>89</v>
      </c>
      <c r="AF121" s="2287"/>
      <c r="AG121" s="2290"/>
      <c r="AH121" s="83"/>
      <c r="AI121" s="76"/>
    </row>
    <row r="122" spans="1:36" ht="24.75" customHeight="1">
      <c r="A122" s="2414">
        <v>4</v>
      </c>
      <c r="B122" s="2333"/>
      <c r="C122" s="2330"/>
      <c r="D122" s="2330"/>
      <c r="E122" s="2330">
        <v>69</v>
      </c>
      <c r="F122" s="2288">
        <v>69</v>
      </c>
      <c r="G122" s="2287">
        <v>69</v>
      </c>
      <c r="H122" s="2287">
        <v>69</v>
      </c>
      <c r="I122" s="2287">
        <v>69</v>
      </c>
      <c r="J122" s="2287"/>
      <c r="K122" s="2287"/>
      <c r="L122" s="2288">
        <v>79</v>
      </c>
      <c r="M122" s="2288">
        <v>79</v>
      </c>
      <c r="N122" s="2330">
        <v>79</v>
      </c>
      <c r="O122" s="2330">
        <v>79</v>
      </c>
      <c r="P122" s="2330">
        <v>79</v>
      </c>
      <c r="Q122" s="2330"/>
      <c r="R122" s="2330"/>
      <c r="S122" s="2288" t="s">
        <v>253</v>
      </c>
      <c r="T122" s="2288" t="s">
        <v>253</v>
      </c>
      <c r="U122" s="2288" t="s">
        <v>253</v>
      </c>
      <c r="V122" s="2288" t="s">
        <v>253</v>
      </c>
      <c r="W122" s="2288" t="s">
        <v>253</v>
      </c>
      <c r="X122" s="2330" t="s">
        <v>0</v>
      </c>
      <c r="Y122" s="2330"/>
      <c r="Z122" s="2332">
        <v>99</v>
      </c>
      <c r="AA122" s="2332">
        <v>99</v>
      </c>
      <c r="AB122" s="2330">
        <v>99</v>
      </c>
      <c r="AC122" s="2330">
        <v>99</v>
      </c>
      <c r="AD122" s="2330" t="s">
        <v>35</v>
      </c>
      <c r="AE122" s="2330"/>
      <c r="AF122" s="2330"/>
      <c r="AG122" s="2420"/>
      <c r="AH122" s="83"/>
      <c r="AI122" s="76"/>
    </row>
    <row r="123" spans="1:36" ht="24.75" customHeight="1" thickBot="1">
      <c r="A123" s="2421">
        <v>5</v>
      </c>
      <c r="B123" s="2422" t="s">
        <v>200</v>
      </c>
      <c r="C123" s="2423"/>
      <c r="D123" s="2423"/>
      <c r="E123" s="2423">
        <v>79</v>
      </c>
      <c r="F123" s="2233">
        <v>79</v>
      </c>
      <c r="G123" s="2164">
        <v>79</v>
      </c>
      <c r="H123" s="2164">
        <v>79</v>
      </c>
      <c r="I123" s="2164">
        <v>79</v>
      </c>
      <c r="J123" s="2315"/>
      <c r="K123" s="2315"/>
      <c r="L123" s="2233">
        <v>89</v>
      </c>
      <c r="M123" s="2233">
        <v>89</v>
      </c>
      <c r="N123" s="2423">
        <v>89</v>
      </c>
      <c r="O123" s="2423">
        <v>89</v>
      </c>
      <c r="P123" s="2423">
        <v>89</v>
      </c>
      <c r="Q123" s="2423">
        <v>89</v>
      </c>
      <c r="R123" s="2423"/>
      <c r="S123" s="2233">
        <v>99</v>
      </c>
      <c r="T123" s="2424">
        <v>99</v>
      </c>
      <c r="U123" s="2423">
        <v>99</v>
      </c>
      <c r="V123" s="2423">
        <v>99</v>
      </c>
      <c r="W123" s="2423" t="s">
        <v>35</v>
      </c>
      <c r="X123" s="293"/>
      <c r="Y123" s="293"/>
      <c r="Z123" s="2425" t="s">
        <v>47</v>
      </c>
      <c r="AA123" s="2425" t="s">
        <v>47</v>
      </c>
      <c r="AB123" s="2423" t="s">
        <v>47</v>
      </c>
      <c r="AC123" s="2423" t="s">
        <v>47</v>
      </c>
      <c r="AD123" s="2423" t="s">
        <v>47</v>
      </c>
      <c r="AE123" s="2423"/>
      <c r="AF123" s="2423"/>
      <c r="AG123" s="2426"/>
      <c r="AH123" s="83"/>
      <c r="AI123" s="76"/>
    </row>
    <row r="124" spans="1:36" ht="24.75" customHeight="1">
      <c r="A124" s="36"/>
      <c r="B124" s="87"/>
      <c r="C124" s="38"/>
      <c r="D124" s="38"/>
      <c r="E124" s="38"/>
      <c r="F124" s="38"/>
      <c r="G124" s="38"/>
      <c r="H124" s="38"/>
      <c r="I124" s="38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76"/>
      <c r="AI124" s="76"/>
    </row>
    <row r="125" spans="1:36" ht="24.75" customHeight="1" thickBot="1">
      <c r="A125" s="77" t="s">
        <v>202</v>
      </c>
      <c r="B125" s="78"/>
      <c r="C125" s="78"/>
      <c r="D125" s="79"/>
      <c r="E125" s="79"/>
      <c r="F125" s="79"/>
      <c r="G125" s="80"/>
      <c r="H125" s="79"/>
      <c r="I125" s="79"/>
      <c r="J125" s="79"/>
      <c r="K125" s="79"/>
      <c r="L125" s="79"/>
      <c r="M125" s="79"/>
      <c r="N125" s="79"/>
      <c r="O125" s="79"/>
      <c r="P125" s="79"/>
      <c r="Q125" s="79"/>
      <c r="R125" s="79"/>
      <c r="S125" s="58"/>
      <c r="T125" s="79"/>
      <c r="U125" s="79"/>
      <c r="V125" s="79"/>
      <c r="W125" s="79"/>
      <c r="X125" s="79"/>
      <c r="Y125" s="79"/>
      <c r="Z125" s="79"/>
      <c r="AA125" s="79"/>
      <c r="AB125" s="79"/>
      <c r="AC125" s="79"/>
      <c r="AD125" s="79"/>
      <c r="AE125" s="79"/>
      <c r="AF125" s="79"/>
      <c r="AG125" s="79"/>
      <c r="AH125" s="78"/>
      <c r="AI125" s="78"/>
    </row>
    <row r="126" spans="1:36" ht="24.75" customHeight="1">
      <c r="A126" s="77"/>
      <c r="B126" s="900" t="s">
        <v>186</v>
      </c>
      <c r="C126" s="924"/>
      <c r="D126" s="925" t="s">
        <v>87</v>
      </c>
      <c r="E126" s="926"/>
      <c r="F126" s="927"/>
      <c r="G126" s="924"/>
      <c r="H126" s="925" t="s">
        <v>88</v>
      </c>
      <c r="I126" s="926"/>
      <c r="J126" s="927"/>
      <c r="K126" s="924"/>
      <c r="L126" s="925" t="s">
        <v>89</v>
      </c>
      <c r="M126" s="926"/>
      <c r="N126" s="927"/>
      <c r="O126" s="924"/>
      <c r="P126" s="925" t="s">
        <v>90</v>
      </c>
      <c r="Q126" s="926"/>
      <c r="R126" s="927"/>
      <c r="S126" s="924"/>
      <c r="T126" s="925" t="s">
        <v>91</v>
      </c>
      <c r="U126" s="926"/>
      <c r="V126" s="927"/>
      <c r="W126" s="924"/>
      <c r="X126" s="925" t="s">
        <v>92</v>
      </c>
      <c r="Y126" s="926"/>
      <c r="Z126" s="927"/>
      <c r="AA126" s="924"/>
      <c r="AB126" s="925" t="s">
        <v>93</v>
      </c>
      <c r="AC126" s="926"/>
      <c r="AD126" s="926"/>
      <c r="AE126" s="928" t="s">
        <v>94</v>
      </c>
      <c r="AF126" s="926"/>
      <c r="AG126" s="926"/>
      <c r="AH126" s="926"/>
      <c r="AI126" s="929"/>
    </row>
    <row r="127" spans="1:36" ht="24.75" customHeight="1">
      <c r="A127" s="77"/>
      <c r="B127" s="2393" t="s">
        <v>203</v>
      </c>
      <c r="C127" s="2303" t="s">
        <v>204</v>
      </c>
      <c r="D127" s="2394"/>
      <c r="E127" s="2394"/>
      <c r="F127" s="2113"/>
      <c r="G127" s="2303" t="s">
        <v>204</v>
      </c>
      <c r="H127" s="2394"/>
      <c r="I127" s="2394"/>
      <c r="J127" s="2113"/>
      <c r="K127" s="2303" t="s">
        <v>204</v>
      </c>
      <c r="L127" s="2394"/>
      <c r="M127" s="2394"/>
      <c r="N127" s="2113"/>
      <c r="O127" s="2303" t="s">
        <v>204</v>
      </c>
      <c r="P127" s="2394"/>
      <c r="Q127" s="2394"/>
      <c r="R127" s="2113"/>
      <c r="S127" s="2303" t="s">
        <v>204</v>
      </c>
      <c r="T127" s="2394"/>
      <c r="U127" s="2394"/>
      <c r="V127" s="2113"/>
      <c r="W127" s="2303" t="s">
        <v>205</v>
      </c>
      <c r="X127" s="2395"/>
      <c r="Y127" s="2395"/>
      <c r="Z127" s="2396"/>
      <c r="AA127" s="2303" t="s">
        <v>205</v>
      </c>
      <c r="AB127" s="2394"/>
      <c r="AC127" s="2394"/>
      <c r="AD127" s="2114"/>
      <c r="AE127" s="2397">
        <v>68</v>
      </c>
      <c r="AF127" s="88"/>
      <c r="AG127" s="88"/>
      <c r="AH127" s="88"/>
      <c r="AI127" s="89"/>
    </row>
    <row r="128" spans="1:36" ht="24.75" customHeight="1">
      <c r="A128" s="77"/>
      <c r="B128" s="2393" t="s">
        <v>163</v>
      </c>
      <c r="C128" s="2303" t="s">
        <v>172</v>
      </c>
      <c r="D128" s="2394"/>
      <c r="E128" s="2394"/>
      <c r="F128" s="2113"/>
      <c r="G128" s="2303" t="s">
        <v>172</v>
      </c>
      <c r="H128" s="2394"/>
      <c r="I128" s="2394"/>
      <c r="J128" s="2113"/>
      <c r="K128" s="2303" t="s">
        <v>172</v>
      </c>
      <c r="L128" s="2394"/>
      <c r="M128" s="2394"/>
      <c r="N128" s="2113"/>
      <c r="O128" s="2303" t="s">
        <v>172</v>
      </c>
      <c r="P128" s="2394"/>
      <c r="Q128" s="2394"/>
      <c r="R128" s="2113"/>
      <c r="S128" s="2303" t="s">
        <v>172</v>
      </c>
      <c r="T128" s="2394"/>
      <c r="U128" s="2394"/>
      <c r="V128" s="2113"/>
      <c r="W128" s="2303" t="s">
        <v>172</v>
      </c>
      <c r="X128" s="2394"/>
      <c r="Y128" s="2394"/>
      <c r="Z128" s="2113"/>
      <c r="AA128" s="2394" t="s">
        <v>172</v>
      </c>
      <c r="AB128" s="2394"/>
      <c r="AC128" s="2394"/>
      <c r="AD128" s="2114"/>
      <c r="AE128" s="2397">
        <v>0</v>
      </c>
      <c r="AF128" s="88"/>
      <c r="AG128" s="88"/>
      <c r="AH128" s="88"/>
      <c r="AI128" s="89"/>
    </row>
    <row r="129" spans="1:35" ht="24.75" customHeight="1">
      <c r="A129" s="77"/>
      <c r="B129" s="2393" t="s">
        <v>206</v>
      </c>
      <c r="C129" s="2303" t="s">
        <v>204</v>
      </c>
      <c r="D129" s="2394"/>
      <c r="E129" s="2394"/>
      <c r="F129" s="2113"/>
      <c r="G129" s="2303" t="s">
        <v>204</v>
      </c>
      <c r="H129" s="2394"/>
      <c r="I129" s="2394"/>
      <c r="J129" s="2113"/>
      <c r="K129" s="2303" t="s">
        <v>204</v>
      </c>
      <c r="L129" s="2394"/>
      <c r="M129" s="2394"/>
      <c r="N129" s="2113"/>
      <c r="O129" s="2303" t="s">
        <v>204</v>
      </c>
      <c r="P129" s="2394"/>
      <c r="Q129" s="2394"/>
      <c r="R129" s="2113"/>
      <c r="S129" s="2303" t="s">
        <v>204</v>
      </c>
      <c r="T129" s="2394"/>
      <c r="U129" s="2394"/>
      <c r="V129" s="2113"/>
      <c r="W129" s="2303" t="s">
        <v>205</v>
      </c>
      <c r="X129" s="2395"/>
      <c r="Y129" s="2395"/>
      <c r="Z129" s="2396"/>
      <c r="AA129" s="2303" t="s">
        <v>205</v>
      </c>
      <c r="AB129" s="2394"/>
      <c r="AC129" s="2394"/>
      <c r="AD129" s="2114"/>
      <c r="AE129" s="2397">
        <v>68</v>
      </c>
      <c r="AF129" s="2394"/>
      <c r="AG129" s="2394" t="s">
        <v>0</v>
      </c>
      <c r="AH129" s="2114"/>
      <c r="AI129" s="2398"/>
    </row>
    <row r="130" spans="1:35" ht="24.75" customHeight="1">
      <c r="A130" s="77"/>
      <c r="B130" s="2393" t="s">
        <v>173</v>
      </c>
      <c r="C130" s="2303" t="s">
        <v>172</v>
      </c>
      <c r="D130" s="2394"/>
      <c r="E130" s="2394"/>
      <c r="F130" s="2113"/>
      <c r="G130" s="2303" t="s">
        <v>172</v>
      </c>
      <c r="H130" s="2394"/>
      <c r="I130" s="2394"/>
      <c r="J130" s="2113"/>
      <c r="K130" s="2303" t="s">
        <v>172</v>
      </c>
      <c r="L130" s="2394"/>
      <c r="M130" s="2394"/>
      <c r="N130" s="2113"/>
      <c r="O130" s="2303" t="s">
        <v>172</v>
      </c>
      <c r="P130" s="2394"/>
      <c r="Q130" s="2394"/>
      <c r="R130" s="2113"/>
      <c r="S130" s="2303" t="s">
        <v>172</v>
      </c>
      <c r="T130" s="2394"/>
      <c r="U130" s="2394"/>
      <c r="V130" s="2113"/>
      <c r="W130" s="2303" t="s">
        <v>172</v>
      </c>
      <c r="X130" s="2394"/>
      <c r="Y130" s="2394"/>
      <c r="Z130" s="2113"/>
      <c r="AA130" s="2394" t="s">
        <v>172</v>
      </c>
      <c r="AB130" s="2394"/>
      <c r="AC130" s="2394"/>
      <c r="AD130" s="2114"/>
      <c r="AE130" s="2397">
        <v>0</v>
      </c>
      <c r="AF130" s="2394"/>
      <c r="AG130" s="2394"/>
      <c r="AH130" s="2114"/>
      <c r="AI130" s="2398"/>
    </row>
    <row r="131" spans="1:35" ht="24.75" customHeight="1">
      <c r="A131" s="77"/>
      <c r="B131" s="2393" t="s">
        <v>207</v>
      </c>
      <c r="C131" s="2303" t="s">
        <v>204</v>
      </c>
      <c r="D131" s="2394"/>
      <c r="E131" s="2394"/>
      <c r="F131" s="2113"/>
      <c r="G131" s="2303" t="s">
        <v>204</v>
      </c>
      <c r="H131" s="2394"/>
      <c r="I131" s="2394"/>
      <c r="J131" s="2113"/>
      <c r="K131" s="2303" t="s">
        <v>204</v>
      </c>
      <c r="L131" s="2394"/>
      <c r="M131" s="2394"/>
      <c r="N131" s="2113"/>
      <c r="O131" s="2303" t="s">
        <v>204</v>
      </c>
      <c r="P131" s="2394"/>
      <c r="Q131" s="2394"/>
      <c r="R131" s="2113"/>
      <c r="S131" s="2303" t="s">
        <v>204</v>
      </c>
      <c r="T131" s="2394"/>
      <c r="U131" s="2394"/>
      <c r="V131" s="2113"/>
      <c r="W131" s="2303" t="s">
        <v>208</v>
      </c>
      <c r="X131" s="2400"/>
      <c r="Y131" s="2400"/>
      <c r="Z131" s="2401"/>
      <c r="AA131" s="2303" t="s">
        <v>208</v>
      </c>
      <c r="AB131" s="2400"/>
      <c r="AC131" s="2400"/>
      <c r="AD131" s="2306"/>
      <c r="AE131" s="2397">
        <v>68</v>
      </c>
      <c r="AF131" s="2394"/>
      <c r="AG131" s="2394"/>
      <c r="AH131" s="2114"/>
      <c r="AI131" s="2398"/>
    </row>
    <row r="132" spans="1:35" ht="24.75" customHeight="1" thickBot="1">
      <c r="A132" s="77"/>
      <c r="B132" s="2393" t="s">
        <v>209</v>
      </c>
      <c r="C132" s="2427" t="s">
        <v>172</v>
      </c>
      <c r="D132" s="2428"/>
      <c r="E132" s="2428"/>
      <c r="F132" s="2429"/>
      <c r="G132" s="2427" t="s">
        <v>172</v>
      </c>
      <c r="H132" s="2428"/>
      <c r="I132" s="2428"/>
      <c r="J132" s="2429"/>
      <c r="K132" s="2427" t="s">
        <v>172</v>
      </c>
      <c r="L132" s="2428"/>
      <c r="M132" s="2428"/>
      <c r="N132" s="2429"/>
      <c r="O132" s="2427" t="s">
        <v>172</v>
      </c>
      <c r="P132" s="2428"/>
      <c r="Q132" s="2428"/>
      <c r="R132" s="2429"/>
      <c r="S132" s="2427" t="s">
        <v>172</v>
      </c>
      <c r="T132" s="2428"/>
      <c r="U132" s="2428"/>
      <c r="V132" s="2412"/>
      <c r="W132" s="2427" t="s">
        <v>172</v>
      </c>
      <c r="X132" s="2412"/>
      <c r="Y132" s="2428"/>
      <c r="Z132" s="2429"/>
      <c r="AA132" s="2427" t="s">
        <v>172</v>
      </c>
      <c r="AB132" s="2412"/>
      <c r="AC132" s="2428"/>
      <c r="AD132" s="2429"/>
      <c r="AE132" s="2430" t="s">
        <v>210</v>
      </c>
      <c r="AF132" s="2428"/>
      <c r="AG132" s="2428"/>
      <c r="AH132" s="2412"/>
      <c r="AI132" s="2413"/>
    </row>
    <row r="133" spans="1:35" ht="24.75" customHeight="1">
      <c r="A133" s="82"/>
      <c r="B133" s="77"/>
      <c r="C133" s="79"/>
      <c r="D133" s="79"/>
      <c r="E133" s="79"/>
      <c r="F133" s="79"/>
      <c r="G133" s="79"/>
      <c r="H133" s="79"/>
      <c r="I133" s="79"/>
      <c r="J133" s="79"/>
      <c r="K133" s="79"/>
      <c r="L133" s="79"/>
      <c r="M133" s="79"/>
      <c r="N133" s="79"/>
      <c r="O133" s="79"/>
      <c r="P133" s="79"/>
      <c r="Q133" s="79"/>
      <c r="R133" s="79"/>
      <c r="S133" s="79"/>
      <c r="T133" s="79"/>
      <c r="U133" s="79"/>
      <c r="V133" s="79"/>
      <c r="W133" s="79"/>
      <c r="X133" s="79"/>
      <c r="Y133" s="79"/>
      <c r="Z133" s="79"/>
      <c r="AA133" s="79"/>
      <c r="AB133" s="79"/>
      <c r="AC133" s="79"/>
      <c r="AD133" s="79"/>
      <c r="AE133" s="79"/>
      <c r="AF133" s="79"/>
      <c r="AG133" s="79"/>
      <c r="AH133" s="78"/>
      <c r="AI133" s="78"/>
    </row>
    <row r="134" spans="1:35" ht="24.75" customHeight="1" thickBot="1">
      <c r="A134" s="2120"/>
      <c r="B134" s="2121" t="s">
        <v>29</v>
      </c>
      <c r="C134" s="2232">
        <v>1</v>
      </c>
      <c r="D134" s="2232">
        <v>2</v>
      </c>
      <c r="E134" s="2233">
        <v>3</v>
      </c>
      <c r="F134" s="2233">
        <v>4</v>
      </c>
      <c r="G134" s="2233">
        <v>5</v>
      </c>
      <c r="H134" s="2233">
        <v>6</v>
      </c>
      <c r="I134" s="2233">
        <v>7</v>
      </c>
      <c r="J134" s="2232">
        <v>8</v>
      </c>
      <c r="K134" s="2232">
        <v>9</v>
      </c>
      <c r="L134" s="2233">
        <v>10</v>
      </c>
      <c r="M134" s="2233">
        <v>11</v>
      </c>
      <c r="N134" s="2233">
        <v>12</v>
      </c>
      <c r="O134" s="2233">
        <v>13</v>
      </c>
      <c r="P134" s="2233">
        <v>14</v>
      </c>
      <c r="Q134" s="2232">
        <v>15</v>
      </c>
      <c r="R134" s="2232">
        <v>16</v>
      </c>
      <c r="S134" s="2233">
        <v>17</v>
      </c>
      <c r="T134" s="2233">
        <v>18</v>
      </c>
      <c r="U134" s="2233">
        <v>19</v>
      </c>
      <c r="V134" s="2233">
        <v>20</v>
      </c>
      <c r="W134" s="2233">
        <v>21</v>
      </c>
      <c r="X134" s="2232">
        <v>22</v>
      </c>
      <c r="Y134" s="2232">
        <v>23</v>
      </c>
      <c r="Z134" s="2233">
        <v>24</v>
      </c>
      <c r="AA134" s="2233">
        <v>25</v>
      </c>
      <c r="AB134" s="2233">
        <v>26</v>
      </c>
      <c r="AC134" s="2233">
        <v>27</v>
      </c>
      <c r="AD134" s="2233">
        <v>28</v>
      </c>
      <c r="AE134" s="2232">
        <v>29</v>
      </c>
      <c r="AF134" s="2233"/>
      <c r="AG134" s="2234"/>
      <c r="AH134" s="23"/>
      <c r="AI134" s="24"/>
    </row>
    <row r="135" spans="1:35" ht="24.75" customHeight="1">
      <c r="A135" s="970">
        <v>1</v>
      </c>
      <c r="B135" s="2043" t="s">
        <v>211</v>
      </c>
      <c r="C135" s="1053"/>
      <c r="D135" s="1053"/>
      <c r="E135" s="1053">
        <v>21</v>
      </c>
      <c r="F135" s="1053">
        <v>21</v>
      </c>
      <c r="G135" s="971">
        <v>21</v>
      </c>
      <c r="H135" s="1053">
        <v>21</v>
      </c>
      <c r="I135" s="972">
        <v>21</v>
      </c>
      <c r="J135" s="971">
        <v>21</v>
      </c>
      <c r="K135" s="1053">
        <v>21</v>
      </c>
      <c r="L135" s="972" t="s">
        <v>35</v>
      </c>
      <c r="M135" s="971" t="s">
        <v>35</v>
      </c>
      <c r="N135" s="971" t="s">
        <v>35</v>
      </c>
      <c r="O135" s="1053" t="s">
        <v>35</v>
      </c>
      <c r="P135" s="1053" t="s">
        <v>35</v>
      </c>
      <c r="Q135" s="1053"/>
      <c r="R135" s="1053"/>
      <c r="S135" s="1053">
        <v>22</v>
      </c>
      <c r="T135" s="1053">
        <v>22</v>
      </c>
      <c r="U135" s="1053">
        <v>22</v>
      </c>
      <c r="V135" s="791">
        <v>22</v>
      </c>
      <c r="W135" s="972">
        <v>22</v>
      </c>
      <c r="X135" s="1053">
        <v>22</v>
      </c>
      <c r="Y135" s="1053">
        <v>22</v>
      </c>
      <c r="Z135" s="972" t="s">
        <v>35</v>
      </c>
      <c r="AA135" s="1053" t="s">
        <v>35</v>
      </c>
      <c r="AB135" s="1053" t="s">
        <v>35</v>
      </c>
      <c r="AC135" s="1053" t="s">
        <v>35</v>
      </c>
      <c r="AD135" s="1053" t="s">
        <v>35</v>
      </c>
      <c r="AE135" s="1053"/>
      <c r="AF135" s="1053"/>
      <c r="AG135" s="795"/>
      <c r="AH135" s="76"/>
      <c r="AI135" s="76"/>
    </row>
    <row r="136" spans="1:35" ht="24.75" customHeight="1">
      <c r="A136" s="2044">
        <v>2</v>
      </c>
      <c r="B136" s="1845" t="s">
        <v>212</v>
      </c>
      <c r="C136" s="1744"/>
      <c r="D136" s="1744"/>
      <c r="E136" s="1744">
        <v>22</v>
      </c>
      <c r="F136" s="1744">
        <v>22</v>
      </c>
      <c r="G136" s="1744">
        <v>22</v>
      </c>
      <c r="H136" s="1744">
        <v>22</v>
      </c>
      <c r="I136" s="1922">
        <v>22</v>
      </c>
      <c r="J136" s="1744">
        <v>22</v>
      </c>
      <c r="K136" s="1744">
        <v>22</v>
      </c>
      <c r="L136" s="1922" t="s">
        <v>35</v>
      </c>
      <c r="M136" s="1744" t="s">
        <v>35</v>
      </c>
      <c r="N136" s="1744" t="s">
        <v>35</v>
      </c>
      <c r="O136" s="1744" t="s">
        <v>35</v>
      </c>
      <c r="P136" s="1744" t="s">
        <v>35</v>
      </c>
      <c r="Q136" s="1744"/>
      <c r="R136" s="1744"/>
      <c r="S136" s="2326">
        <v>23</v>
      </c>
      <c r="T136" s="2431">
        <v>23</v>
      </c>
      <c r="U136" s="2431">
        <v>23</v>
      </c>
      <c r="V136" s="2431">
        <v>23</v>
      </c>
      <c r="W136" s="2077">
        <v>23</v>
      </c>
      <c r="X136" s="2326">
        <v>23</v>
      </c>
      <c r="Y136" s="2326">
        <v>23</v>
      </c>
      <c r="Z136" s="1922" t="s">
        <v>35</v>
      </c>
      <c r="AA136" s="1744" t="s">
        <v>35</v>
      </c>
      <c r="AB136" s="1744" t="s">
        <v>35</v>
      </c>
      <c r="AC136" s="1744" t="s">
        <v>35</v>
      </c>
      <c r="AD136" s="1744" t="s">
        <v>35</v>
      </c>
      <c r="AE136" s="1744"/>
      <c r="AF136" s="1744"/>
      <c r="AG136" s="1614"/>
      <c r="AH136" s="76"/>
      <c r="AI136" s="76"/>
    </row>
    <row r="137" spans="1:35" ht="24.75" customHeight="1">
      <c r="A137" s="2044">
        <v>3</v>
      </c>
      <c r="B137" s="1845" t="s">
        <v>213</v>
      </c>
      <c r="C137" s="1744"/>
      <c r="D137" s="1744"/>
      <c r="E137" s="1744">
        <v>23</v>
      </c>
      <c r="F137" s="1744">
        <v>23</v>
      </c>
      <c r="G137" s="1854">
        <v>23</v>
      </c>
      <c r="H137" s="1854">
        <v>23</v>
      </c>
      <c r="I137" s="1922">
        <v>23</v>
      </c>
      <c r="J137" s="1744">
        <v>23</v>
      </c>
      <c r="K137" s="1744">
        <v>23</v>
      </c>
      <c r="L137" s="2432" t="s">
        <v>35</v>
      </c>
      <c r="M137" s="1744" t="s">
        <v>35</v>
      </c>
      <c r="N137" s="1744" t="s">
        <v>35</v>
      </c>
      <c r="O137" s="1744" t="s">
        <v>35</v>
      </c>
      <c r="P137" s="1744" t="s">
        <v>35</v>
      </c>
      <c r="Q137" s="1744"/>
      <c r="R137" s="1744"/>
      <c r="S137" s="1744">
        <v>21</v>
      </c>
      <c r="T137" s="1744">
        <v>21</v>
      </c>
      <c r="U137" s="1854">
        <v>21</v>
      </c>
      <c r="V137" s="1854">
        <v>21</v>
      </c>
      <c r="W137" s="1922">
        <v>21</v>
      </c>
      <c r="X137" s="1744">
        <v>21</v>
      </c>
      <c r="Y137" s="1744">
        <v>21</v>
      </c>
      <c r="Z137" s="1922" t="s">
        <v>35</v>
      </c>
      <c r="AA137" s="1744" t="s">
        <v>35</v>
      </c>
      <c r="AB137" s="1744" t="s">
        <v>35</v>
      </c>
      <c r="AC137" s="1744" t="s">
        <v>35</v>
      </c>
      <c r="AD137" s="1744" t="s">
        <v>35</v>
      </c>
      <c r="AE137" s="1744"/>
      <c r="AF137" s="1744"/>
      <c r="AG137" s="1614"/>
      <c r="AH137" s="76"/>
      <c r="AI137" s="76"/>
    </row>
    <row r="138" spans="1:35" ht="24.75" customHeight="1">
      <c r="A138" s="2044">
        <v>4</v>
      </c>
      <c r="B138" s="1845" t="s">
        <v>214</v>
      </c>
      <c r="C138" s="1744">
        <v>23</v>
      </c>
      <c r="D138" s="1744">
        <v>23</v>
      </c>
      <c r="E138" s="1922" t="s">
        <v>35</v>
      </c>
      <c r="F138" s="1744" t="s">
        <v>35</v>
      </c>
      <c r="G138" s="1744" t="s">
        <v>35</v>
      </c>
      <c r="H138" s="1744" t="s">
        <v>35</v>
      </c>
      <c r="I138" s="1744" t="s">
        <v>35</v>
      </c>
      <c r="J138" s="1744"/>
      <c r="K138" s="1744"/>
      <c r="L138" s="1946">
        <v>21</v>
      </c>
      <c r="M138" s="1744">
        <v>21</v>
      </c>
      <c r="N138" s="1744">
        <v>21</v>
      </c>
      <c r="O138" s="2433">
        <v>21</v>
      </c>
      <c r="P138" s="1922">
        <v>21</v>
      </c>
      <c r="Q138" s="1744">
        <v>21</v>
      </c>
      <c r="R138" s="1744">
        <v>21</v>
      </c>
      <c r="S138" s="1922" t="s">
        <v>35</v>
      </c>
      <c r="T138" s="1744" t="s">
        <v>35</v>
      </c>
      <c r="U138" s="1744" t="s">
        <v>35</v>
      </c>
      <c r="V138" s="1744" t="s">
        <v>35</v>
      </c>
      <c r="W138" s="1744" t="s">
        <v>35</v>
      </c>
      <c r="X138" s="1744"/>
      <c r="Y138" s="1744"/>
      <c r="Z138" s="1744">
        <v>22</v>
      </c>
      <c r="AA138" s="1744">
        <v>22</v>
      </c>
      <c r="AB138" s="1744">
        <v>22</v>
      </c>
      <c r="AC138" s="1744">
        <v>22</v>
      </c>
      <c r="AD138" s="1922">
        <v>22</v>
      </c>
      <c r="AE138" s="1744">
        <v>22</v>
      </c>
      <c r="AF138" s="1744"/>
      <c r="AG138" s="1615"/>
      <c r="AH138" s="76"/>
      <c r="AI138" s="76"/>
    </row>
    <row r="139" spans="1:35" ht="24.75" customHeight="1">
      <c r="A139" s="2044">
        <v>5</v>
      </c>
      <c r="B139" s="1845" t="s">
        <v>216</v>
      </c>
      <c r="C139" s="1744">
        <v>21</v>
      </c>
      <c r="D139" s="1744">
        <v>21</v>
      </c>
      <c r="E139" s="1922" t="s">
        <v>35</v>
      </c>
      <c r="F139" s="1744" t="s">
        <v>35</v>
      </c>
      <c r="G139" s="1744" t="s">
        <v>35</v>
      </c>
      <c r="H139" s="1744" t="s">
        <v>35</v>
      </c>
      <c r="I139" s="1744" t="s">
        <v>35</v>
      </c>
      <c r="J139" s="1744"/>
      <c r="K139" s="1744"/>
      <c r="L139" s="1744">
        <v>22</v>
      </c>
      <c r="M139" s="1744">
        <v>22</v>
      </c>
      <c r="N139" s="1744">
        <v>22</v>
      </c>
      <c r="O139" s="1744">
        <v>22</v>
      </c>
      <c r="P139" s="1922">
        <v>22</v>
      </c>
      <c r="Q139" s="1744">
        <v>22</v>
      </c>
      <c r="R139" s="1744">
        <v>22</v>
      </c>
      <c r="S139" s="1922" t="s">
        <v>35</v>
      </c>
      <c r="T139" s="1744" t="s">
        <v>35</v>
      </c>
      <c r="U139" s="1744" t="s">
        <v>35</v>
      </c>
      <c r="V139" s="1744" t="s">
        <v>35</v>
      </c>
      <c r="W139" s="1744" t="s">
        <v>35</v>
      </c>
      <c r="X139" s="1744"/>
      <c r="Y139" s="1744"/>
      <c r="Z139" s="1846">
        <v>23</v>
      </c>
      <c r="AA139" s="1846">
        <v>23</v>
      </c>
      <c r="AB139" s="1846">
        <v>23</v>
      </c>
      <c r="AC139" s="1846">
        <v>23</v>
      </c>
      <c r="AD139" s="1846">
        <v>23</v>
      </c>
      <c r="AE139" s="1846">
        <v>23</v>
      </c>
      <c r="AF139" s="1744"/>
      <c r="AG139" s="1615"/>
      <c r="AH139" s="76"/>
      <c r="AI139" s="76"/>
    </row>
    <row r="140" spans="1:35" ht="24.75" customHeight="1" thickBot="1">
      <c r="A140" s="405">
        <v>6</v>
      </c>
      <c r="B140" s="406" t="s">
        <v>217</v>
      </c>
      <c r="C140" s="418">
        <v>22</v>
      </c>
      <c r="D140" s="418">
        <v>22</v>
      </c>
      <c r="E140" s="408" t="s">
        <v>35</v>
      </c>
      <c r="F140" s="418" t="s">
        <v>35</v>
      </c>
      <c r="G140" s="418" t="s">
        <v>35</v>
      </c>
      <c r="H140" s="409" t="s">
        <v>35</v>
      </c>
      <c r="I140" s="409" t="s">
        <v>35</v>
      </c>
      <c r="J140" s="409"/>
      <c r="K140" s="409"/>
      <c r="L140" s="427">
        <v>23</v>
      </c>
      <c r="M140" s="427">
        <v>23</v>
      </c>
      <c r="N140" s="428">
        <v>23</v>
      </c>
      <c r="O140" s="428">
        <v>23</v>
      </c>
      <c r="P140" s="429">
        <v>23</v>
      </c>
      <c r="Q140" s="430">
        <v>23</v>
      </c>
      <c r="R140" s="430">
        <v>23</v>
      </c>
      <c r="S140" s="408" t="s">
        <v>35</v>
      </c>
      <c r="T140" s="418" t="s">
        <v>35</v>
      </c>
      <c r="U140" s="418" t="s">
        <v>35</v>
      </c>
      <c r="V140" s="418" t="s">
        <v>35</v>
      </c>
      <c r="W140" s="418" t="s">
        <v>35</v>
      </c>
      <c r="X140" s="418"/>
      <c r="Y140" s="418"/>
      <c r="Z140" s="407">
        <v>21</v>
      </c>
      <c r="AA140" s="407">
        <v>21</v>
      </c>
      <c r="AB140" s="407">
        <v>21</v>
      </c>
      <c r="AC140" s="407">
        <v>21</v>
      </c>
      <c r="AD140" s="407">
        <v>21</v>
      </c>
      <c r="AE140" s="407">
        <v>21</v>
      </c>
      <c r="AF140" s="418"/>
      <c r="AG140" s="90"/>
      <c r="AH140" s="76"/>
      <c r="AI140" s="76"/>
    </row>
    <row r="141" spans="1:35" ht="24.75" customHeight="1">
      <c r="A141" s="36"/>
      <c r="B141" s="87"/>
      <c r="C141" s="91"/>
      <c r="D141" s="91"/>
      <c r="E141" s="85"/>
      <c r="F141" s="91"/>
      <c r="G141" s="91"/>
      <c r="H141" s="91"/>
      <c r="I141" s="91"/>
      <c r="J141" s="91"/>
      <c r="K141" s="91"/>
      <c r="L141" s="91"/>
      <c r="M141" s="91"/>
      <c r="N141" s="91"/>
      <c r="O141" s="91"/>
      <c r="P141" s="85"/>
      <c r="Q141" s="91"/>
      <c r="R141" s="91"/>
      <c r="S141" s="85"/>
      <c r="T141" s="91"/>
      <c r="U141" s="91"/>
      <c r="V141" s="91"/>
      <c r="W141" s="91"/>
      <c r="X141" s="91"/>
      <c r="Y141" s="91"/>
      <c r="Z141" s="91"/>
      <c r="AA141" s="91"/>
      <c r="AB141" s="91"/>
      <c r="AC141" s="92"/>
      <c r="AD141" s="92"/>
      <c r="AE141" s="92"/>
      <c r="AF141" s="91"/>
      <c r="AG141" s="85"/>
      <c r="AH141" s="76"/>
      <c r="AI141" s="76"/>
    </row>
    <row r="142" spans="1:35" ht="24.75" customHeight="1" thickBot="1">
      <c r="A142" s="14" t="s">
        <v>218</v>
      </c>
      <c r="D142" s="17"/>
      <c r="E142" s="17"/>
      <c r="F142" s="17"/>
      <c r="G142" s="80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</row>
    <row r="143" spans="1:35" ht="24.75" customHeight="1">
      <c r="A143" s="1"/>
      <c r="B143" s="900" t="s">
        <v>186</v>
      </c>
      <c r="C143" s="901"/>
      <c r="D143" s="925" t="s">
        <v>87</v>
      </c>
      <c r="E143" s="705"/>
      <c r="F143" s="905"/>
      <c r="G143" s="901"/>
      <c r="H143" s="925" t="s">
        <v>88</v>
      </c>
      <c r="I143" s="705"/>
      <c r="J143" s="905"/>
      <c r="K143" s="901"/>
      <c r="L143" s="925" t="s">
        <v>89</v>
      </c>
      <c r="M143" s="705"/>
      <c r="N143" s="905"/>
      <c r="O143" s="901"/>
      <c r="P143" s="925" t="s">
        <v>90</v>
      </c>
      <c r="Q143" s="705"/>
      <c r="R143" s="905"/>
      <c r="S143" s="901"/>
      <c r="T143" s="925" t="s">
        <v>91</v>
      </c>
      <c r="U143" s="705"/>
      <c r="V143" s="905"/>
      <c r="W143" s="901"/>
      <c r="X143" s="925" t="s">
        <v>92</v>
      </c>
      <c r="Y143" s="705"/>
      <c r="Z143" s="905"/>
      <c r="AA143" s="901"/>
      <c r="AB143" s="925" t="s">
        <v>93</v>
      </c>
      <c r="AC143" s="705"/>
      <c r="AD143" s="705"/>
      <c r="AE143" s="928" t="s">
        <v>94</v>
      </c>
      <c r="AF143" s="705"/>
      <c r="AG143" s="705"/>
      <c r="AH143" s="705"/>
      <c r="AI143" s="706"/>
    </row>
    <row r="144" spans="1:35" ht="24.75" customHeight="1">
      <c r="A144" s="1"/>
      <c r="B144" s="2393" t="s">
        <v>159</v>
      </c>
      <c r="C144" s="2303" t="s">
        <v>187</v>
      </c>
      <c r="D144" s="2179"/>
      <c r="E144" s="2179"/>
      <c r="F144" s="2113"/>
      <c r="G144" s="2303" t="s">
        <v>187</v>
      </c>
      <c r="H144" s="2179"/>
      <c r="I144" s="2179"/>
      <c r="J144" s="2113"/>
      <c r="K144" s="2303" t="s">
        <v>187</v>
      </c>
      <c r="L144" s="2179"/>
      <c r="M144" s="2179"/>
      <c r="N144" s="2113"/>
      <c r="O144" s="2303" t="s">
        <v>219</v>
      </c>
      <c r="P144" s="2179"/>
      <c r="Q144" s="2179"/>
      <c r="R144" s="2113"/>
      <c r="S144" s="2303" t="s">
        <v>172</v>
      </c>
      <c r="T144" s="2179"/>
      <c r="U144" s="2179"/>
      <c r="V144" s="2113"/>
      <c r="W144" s="2434"/>
      <c r="X144" s="2435"/>
      <c r="Y144" s="2435"/>
      <c r="Z144" s="2396"/>
      <c r="AA144" s="2098"/>
      <c r="AB144" s="2179"/>
      <c r="AC144" s="2179"/>
      <c r="AD144" s="2114"/>
      <c r="AE144" s="2397">
        <v>27</v>
      </c>
      <c r="AF144" s="2179"/>
      <c r="AG144" s="2179"/>
      <c r="AH144" s="2114"/>
      <c r="AI144" s="2099"/>
    </row>
    <row r="145" spans="1:35" ht="24.75" customHeight="1">
      <c r="A145" s="1"/>
      <c r="B145" s="2393" t="s">
        <v>163</v>
      </c>
      <c r="C145" s="2303" t="s">
        <v>220</v>
      </c>
      <c r="D145" s="2179"/>
      <c r="E145" s="2179"/>
      <c r="F145" s="2113"/>
      <c r="G145" s="2303" t="s">
        <v>220</v>
      </c>
      <c r="H145" s="2179"/>
      <c r="I145" s="2179"/>
      <c r="J145" s="2113"/>
      <c r="K145" s="2303" t="s">
        <v>220</v>
      </c>
      <c r="L145" s="2179"/>
      <c r="M145" s="2179"/>
      <c r="N145" s="2113"/>
      <c r="O145" s="2303" t="s">
        <v>220</v>
      </c>
      <c r="P145" s="2179"/>
      <c r="Q145" s="2179"/>
      <c r="R145" s="2113"/>
      <c r="S145" s="2303" t="s">
        <v>187</v>
      </c>
      <c r="T145" s="2179"/>
      <c r="U145" s="2179"/>
      <c r="V145" s="2113"/>
      <c r="W145" s="2303"/>
      <c r="X145" s="2179"/>
      <c r="Y145" s="2179"/>
      <c r="Z145" s="2113"/>
      <c r="AA145" s="2179"/>
      <c r="AB145" s="2179"/>
      <c r="AC145" s="2179"/>
      <c r="AD145" s="2114"/>
      <c r="AE145" s="2397">
        <v>39</v>
      </c>
      <c r="AF145" s="2179"/>
      <c r="AG145" s="2179"/>
      <c r="AH145" s="2114"/>
      <c r="AI145" s="2099"/>
    </row>
    <row r="146" spans="1:35" ht="24.75" customHeight="1">
      <c r="A146" s="1"/>
      <c r="B146" s="2393" t="s">
        <v>171</v>
      </c>
      <c r="C146" s="2303" t="s">
        <v>220</v>
      </c>
      <c r="D146" s="2179"/>
      <c r="E146" s="2179"/>
      <c r="F146" s="2113"/>
      <c r="G146" s="2303" t="s">
        <v>220</v>
      </c>
      <c r="H146" s="2179"/>
      <c r="I146" s="2179"/>
      <c r="J146" s="2113"/>
      <c r="K146" s="2303" t="s">
        <v>220</v>
      </c>
      <c r="L146" s="2179"/>
      <c r="M146" s="2179"/>
      <c r="N146" s="2113"/>
      <c r="O146" s="2303" t="s">
        <v>220</v>
      </c>
      <c r="P146" s="2179"/>
      <c r="Q146" s="2179"/>
      <c r="R146" s="2113"/>
      <c r="S146" s="2303" t="s">
        <v>220</v>
      </c>
      <c r="T146" s="2179"/>
      <c r="U146" s="2179"/>
      <c r="V146" s="2113"/>
      <c r="W146" s="2305" t="s">
        <v>221</v>
      </c>
      <c r="X146" s="2227"/>
      <c r="Y146" s="2227"/>
      <c r="Z146" s="2401"/>
      <c r="AA146" s="2399"/>
      <c r="AB146" s="2227"/>
      <c r="AC146" s="2227"/>
      <c r="AD146" s="2306"/>
      <c r="AE146" s="2397">
        <v>45</v>
      </c>
      <c r="AF146" s="2179"/>
      <c r="AG146" s="2179"/>
      <c r="AH146" s="2114"/>
      <c r="AI146" s="2099"/>
    </row>
    <row r="147" spans="1:35" ht="24.75" customHeight="1" thickBot="1">
      <c r="A147" s="1"/>
      <c r="B147" s="2048" t="s">
        <v>173</v>
      </c>
      <c r="C147" s="2427"/>
      <c r="D147" s="2270"/>
      <c r="E147" s="2270"/>
      <c r="F147" s="2429"/>
      <c r="G147" s="2427"/>
      <c r="H147" s="2270"/>
      <c r="I147" s="2270"/>
      <c r="J147" s="2429"/>
      <c r="K147" s="2427"/>
      <c r="L147" s="2270"/>
      <c r="M147" s="2270"/>
      <c r="N147" s="2429"/>
      <c r="O147" s="2427"/>
      <c r="P147" s="2270"/>
      <c r="Q147" s="2270"/>
      <c r="R147" s="2429"/>
      <c r="S147" s="2427"/>
      <c r="T147" s="2270"/>
      <c r="U147" s="2270"/>
      <c r="V147" s="2412"/>
      <c r="W147" s="2427"/>
      <c r="X147" s="2412"/>
      <c r="Y147" s="2270"/>
      <c r="Z147" s="2429"/>
      <c r="AA147" s="2427"/>
      <c r="AB147" s="2412"/>
      <c r="AC147" s="2270"/>
      <c r="AD147" s="2429"/>
      <c r="AE147" s="2436"/>
      <c r="AF147" s="2270"/>
      <c r="AG147" s="2270"/>
      <c r="AH147" s="2412"/>
      <c r="AI147" s="2277"/>
    </row>
    <row r="148" spans="1:35" ht="24.75" customHeight="1">
      <c r="A148" s="82"/>
      <c r="B148" s="1" t="s">
        <v>430</v>
      </c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</row>
    <row r="149" spans="1:35" ht="24.75" customHeight="1" thickBot="1">
      <c r="A149" s="2120"/>
      <c r="B149" s="2121" t="s">
        <v>29</v>
      </c>
      <c r="C149" s="2232">
        <v>1</v>
      </c>
      <c r="D149" s="2232">
        <v>2</v>
      </c>
      <c r="E149" s="2233">
        <v>3</v>
      </c>
      <c r="F149" s="2233">
        <v>4</v>
      </c>
      <c r="G149" s="2233">
        <v>5</v>
      </c>
      <c r="H149" s="2233">
        <v>6</v>
      </c>
      <c r="I149" s="2233">
        <v>7</v>
      </c>
      <c r="J149" s="2232">
        <v>8</v>
      </c>
      <c r="K149" s="2232">
        <v>9</v>
      </c>
      <c r="L149" s="2233">
        <v>10</v>
      </c>
      <c r="M149" s="2233">
        <v>11</v>
      </c>
      <c r="N149" s="2233">
        <v>12</v>
      </c>
      <c r="O149" s="2233">
        <v>13</v>
      </c>
      <c r="P149" s="2233">
        <v>14</v>
      </c>
      <c r="Q149" s="2232">
        <v>15</v>
      </c>
      <c r="R149" s="2232">
        <v>16</v>
      </c>
      <c r="S149" s="2233">
        <v>17</v>
      </c>
      <c r="T149" s="2233">
        <v>18</v>
      </c>
      <c r="U149" s="2233">
        <v>19</v>
      </c>
      <c r="V149" s="2233">
        <v>20</v>
      </c>
      <c r="W149" s="2233">
        <v>21</v>
      </c>
      <c r="X149" s="2232">
        <v>22</v>
      </c>
      <c r="Y149" s="2232">
        <v>23</v>
      </c>
      <c r="Z149" s="2233">
        <v>24</v>
      </c>
      <c r="AA149" s="2233">
        <v>25</v>
      </c>
      <c r="AB149" s="2233">
        <v>26</v>
      </c>
      <c r="AC149" s="2233">
        <v>27</v>
      </c>
      <c r="AD149" s="2233">
        <v>28</v>
      </c>
      <c r="AE149" s="2232">
        <v>29</v>
      </c>
      <c r="AF149" s="2233"/>
      <c r="AG149" s="2234"/>
      <c r="AH149" s="23"/>
      <c r="AI149" s="24"/>
    </row>
    <row r="150" spans="1:35" ht="24.75" customHeight="1">
      <c r="A150" s="953">
        <v>1</v>
      </c>
      <c r="B150" s="978" t="s">
        <v>223</v>
      </c>
      <c r="C150" s="979"/>
      <c r="D150" s="979"/>
      <c r="E150" s="979" t="s">
        <v>31</v>
      </c>
      <c r="F150" s="979" t="s">
        <v>31</v>
      </c>
      <c r="G150" s="979" t="s">
        <v>31</v>
      </c>
      <c r="H150" s="979" t="s">
        <v>31</v>
      </c>
      <c r="I150" s="1103" t="s">
        <v>31</v>
      </c>
      <c r="J150" s="979"/>
      <c r="K150" s="979"/>
      <c r="L150" s="979" t="s">
        <v>31</v>
      </c>
      <c r="M150" s="979" t="s">
        <v>31</v>
      </c>
      <c r="N150" s="979" t="s">
        <v>31</v>
      </c>
      <c r="O150" s="1103" t="s">
        <v>31</v>
      </c>
      <c r="P150" s="1103" t="s">
        <v>31</v>
      </c>
      <c r="Q150" s="979"/>
      <c r="R150" s="979"/>
      <c r="S150" s="1103" t="s">
        <v>31</v>
      </c>
      <c r="T150" s="979" t="s">
        <v>31</v>
      </c>
      <c r="U150" s="979" t="s">
        <v>31</v>
      </c>
      <c r="V150" s="979" t="s">
        <v>31</v>
      </c>
      <c r="W150" s="979" t="s">
        <v>31</v>
      </c>
      <c r="X150" s="979"/>
      <c r="Y150" s="979"/>
      <c r="Z150" s="979" t="s">
        <v>31</v>
      </c>
      <c r="AA150" s="979" t="s">
        <v>31</v>
      </c>
      <c r="AB150" s="979" t="s">
        <v>31</v>
      </c>
      <c r="AC150" s="979" t="s">
        <v>31</v>
      </c>
      <c r="AD150" s="1103" t="s">
        <v>31</v>
      </c>
      <c r="AE150" s="979"/>
      <c r="AF150" s="979"/>
      <c r="AG150" s="980"/>
      <c r="AH150" s="34"/>
      <c r="AI150" s="25"/>
    </row>
    <row r="151" spans="1:35" ht="24.75" customHeight="1">
      <c r="A151" s="2414">
        <v>2</v>
      </c>
      <c r="B151" s="2437" t="s">
        <v>224</v>
      </c>
      <c r="C151" s="2317"/>
      <c r="D151" s="2438"/>
      <c r="E151" s="2323" t="s">
        <v>114</v>
      </c>
      <c r="F151" s="2323" t="s">
        <v>114</v>
      </c>
      <c r="G151" s="2323" t="s">
        <v>114</v>
      </c>
      <c r="H151" s="2323" t="s">
        <v>431</v>
      </c>
      <c r="I151" s="2297" t="s">
        <v>114</v>
      </c>
      <c r="J151" s="2317"/>
      <c r="K151" s="2317"/>
      <c r="L151" s="2248" t="s">
        <v>115</v>
      </c>
      <c r="M151" s="2248" t="s">
        <v>115</v>
      </c>
      <c r="N151" s="2248" t="s">
        <v>115</v>
      </c>
      <c r="O151" s="2248" t="s">
        <v>115</v>
      </c>
      <c r="P151" s="2317" t="s">
        <v>115</v>
      </c>
      <c r="Q151" s="2317" t="s">
        <v>115</v>
      </c>
      <c r="R151" s="2317"/>
      <c r="S151" s="2317" t="s">
        <v>225</v>
      </c>
      <c r="T151" s="2317" t="s">
        <v>225</v>
      </c>
      <c r="U151" s="2317" t="s">
        <v>225</v>
      </c>
      <c r="V151" s="2317" t="s">
        <v>225</v>
      </c>
      <c r="W151" s="2317" t="s">
        <v>35</v>
      </c>
      <c r="X151" s="2317"/>
      <c r="Y151" s="2438"/>
      <c r="Z151" s="2288" t="s">
        <v>114</v>
      </c>
      <c r="AA151" s="2288" t="s">
        <v>114</v>
      </c>
      <c r="AB151" s="2288" t="s">
        <v>114</v>
      </c>
      <c r="AC151" s="2288" t="s">
        <v>114</v>
      </c>
      <c r="AD151" s="2288" t="s">
        <v>114</v>
      </c>
      <c r="AE151" s="2317"/>
      <c r="AF151" s="2317"/>
      <c r="AG151" s="2439"/>
      <c r="AH151" s="34"/>
      <c r="AI151" s="25"/>
    </row>
    <row r="152" spans="1:35" ht="24.75" customHeight="1">
      <c r="A152" s="2414">
        <v>3</v>
      </c>
      <c r="B152" s="2440" t="s">
        <v>226</v>
      </c>
      <c r="C152" s="2317"/>
      <c r="D152" s="2317"/>
      <c r="E152" s="2317" t="s">
        <v>115</v>
      </c>
      <c r="F152" s="2317" t="s">
        <v>115</v>
      </c>
      <c r="G152" s="2317" t="s">
        <v>115</v>
      </c>
      <c r="H152" s="2317" t="s">
        <v>115</v>
      </c>
      <c r="I152" s="2317" t="s">
        <v>115</v>
      </c>
      <c r="J152" s="2317" t="s">
        <v>115</v>
      </c>
      <c r="K152" s="2317"/>
      <c r="L152" s="2317" t="s">
        <v>225</v>
      </c>
      <c r="M152" s="2317" t="s">
        <v>225</v>
      </c>
      <c r="N152" s="2317" t="s">
        <v>225</v>
      </c>
      <c r="O152" s="2317" t="s">
        <v>225</v>
      </c>
      <c r="P152" s="2317" t="s">
        <v>35</v>
      </c>
      <c r="Q152" s="2317"/>
      <c r="R152" s="2317"/>
      <c r="S152" s="2288" t="s">
        <v>114</v>
      </c>
      <c r="T152" s="2288" t="s">
        <v>114</v>
      </c>
      <c r="U152" s="2288" t="s">
        <v>114</v>
      </c>
      <c r="V152" s="2288" t="s">
        <v>114</v>
      </c>
      <c r="W152" s="2288" t="s">
        <v>114</v>
      </c>
      <c r="X152" s="2317"/>
      <c r="Y152" s="2317"/>
      <c r="Z152" s="2249" t="s">
        <v>115</v>
      </c>
      <c r="AA152" s="2249" t="s">
        <v>115</v>
      </c>
      <c r="AB152" s="2249" t="s">
        <v>115</v>
      </c>
      <c r="AC152" s="2249" t="s">
        <v>115</v>
      </c>
      <c r="AD152" s="2249" t="s">
        <v>115</v>
      </c>
      <c r="AE152" s="2249" t="s">
        <v>115</v>
      </c>
      <c r="AF152" s="2317"/>
      <c r="AG152" s="2439"/>
      <c r="AH152" s="34"/>
      <c r="AI152" s="25"/>
    </row>
    <row r="153" spans="1:35" ht="24.75" customHeight="1">
      <c r="A153" s="2414">
        <v>4</v>
      </c>
      <c r="B153" s="2440" t="s">
        <v>227</v>
      </c>
      <c r="C153" s="2249" t="s">
        <v>115</v>
      </c>
      <c r="D153" s="2249"/>
      <c r="E153" s="2249"/>
      <c r="F153" s="2249" t="s">
        <v>31</v>
      </c>
      <c r="G153" s="2249" t="s">
        <v>31</v>
      </c>
      <c r="H153" s="2249"/>
      <c r="I153" s="2249" t="s">
        <v>31</v>
      </c>
      <c r="J153" s="2249"/>
      <c r="K153" s="2249"/>
      <c r="L153" s="2249"/>
      <c r="M153" s="2249" t="s">
        <v>31</v>
      </c>
      <c r="N153" s="2249" t="s">
        <v>31</v>
      </c>
      <c r="O153" s="2249"/>
      <c r="P153" s="2249" t="s">
        <v>31</v>
      </c>
      <c r="Q153" s="2249"/>
      <c r="R153" s="2249"/>
      <c r="S153" s="2249"/>
      <c r="T153" s="2249" t="s">
        <v>31</v>
      </c>
      <c r="U153" s="2249"/>
      <c r="V153" s="2249"/>
      <c r="W153" s="2249" t="s">
        <v>31</v>
      </c>
      <c r="X153" s="2249" t="s">
        <v>115</v>
      </c>
      <c r="Y153" s="2249"/>
      <c r="Z153" s="2249"/>
      <c r="AA153" s="2249" t="s">
        <v>31</v>
      </c>
      <c r="AB153" s="2249" t="s">
        <v>31</v>
      </c>
      <c r="AC153" s="2249"/>
      <c r="AD153" s="2249" t="s">
        <v>31</v>
      </c>
      <c r="AE153" s="2249"/>
      <c r="AF153" s="2317"/>
      <c r="AG153" s="2439"/>
      <c r="AH153" s="34"/>
      <c r="AI153" s="25"/>
    </row>
    <row r="154" spans="1:35" ht="24.75" customHeight="1">
      <c r="A154" s="2414">
        <v>5</v>
      </c>
      <c r="B154" s="2440" t="s">
        <v>228</v>
      </c>
      <c r="C154" s="2317"/>
      <c r="D154" s="2317"/>
      <c r="E154" s="2317" t="s">
        <v>31</v>
      </c>
      <c r="F154" s="2317"/>
      <c r="G154" s="2317"/>
      <c r="H154" s="2317" t="s">
        <v>31</v>
      </c>
      <c r="I154" s="2317"/>
      <c r="J154" s="2317"/>
      <c r="K154" s="2317"/>
      <c r="L154" s="2245" t="s">
        <v>31</v>
      </c>
      <c r="M154" s="2317"/>
      <c r="N154" s="2317"/>
      <c r="O154" s="2245" t="s">
        <v>31</v>
      </c>
      <c r="P154" s="2317"/>
      <c r="Q154" s="2317"/>
      <c r="R154" s="2317"/>
      <c r="S154" s="2323" t="s">
        <v>31</v>
      </c>
      <c r="T154" s="2323"/>
      <c r="U154" s="2323"/>
      <c r="V154" s="2323" t="s">
        <v>304</v>
      </c>
      <c r="W154" s="2323"/>
      <c r="X154" s="2317"/>
      <c r="Y154" s="2317"/>
      <c r="Z154" s="2297" t="s">
        <v>31</v>
      </c>
      <c r="AA154" s="2317"/>
      <c r="AB154" s="2317"/>
      <c r="AC154" s="2317" t="s">
        <v>31</v>
      </c>
      <c r="AD154" s="2317"/>
      <c r="AE154" s="2317"/>
      <c r="AF154" s="2317"/>
      <c r="AG154" s="2439"/>
      <c r="AH154" s="34"/>
      <c r="AI154" s="25"/>
    </row>
    <row r="155" spans="1:35" ht="24.75" customHeight="1" thickBot="1">
      <c r="A155" s="2421">
        <v>6</v>
      </c>
      <c r="B155" s="2441" t="s">
        <v>229</v>
      </c>
      <c r="C155" s="2442"/>
      <c r="D155" s="2442"/>
      <c r="E155" s="2442" t="s">
        <v>31</v>
      </c>
      <c r="F155" s="2442" t="s">
        <v>31</v>
      </c>
      <c r="G155" s="2442" t="s">
        <v>31</v>
      </c>
      <c r="H155" s="2442" t="s">
        <v>31</v>
      </c>
      <c r="I155" s="2442" t="s">
        <v>31</v>
      </c>
      <c r="J155" s="2442"/>
      <c r="K155" s="2442"/>
      <c r="L155" s="2442" t="s">
        <v>31</v>
      </c>
      <c r="M155" s="2442" t="s">
        <v>31</v>
      </c>
      <c r="N155" s="2442" t="s">
        <v>31</v>
      </c>
      <c r="O155" s="2442" t="s">
        <v>31</v>
      </c>
      <c r="P155" s="2442" t="s">
        <v>31</v>
      </c>
      <c r="Q155" s="2442"/>
      <c r="R155" s="2442"/>
      <c r="S155" s="2442" t="s">
        <v>31</v>
      </c>
      <c r="T155" s="2442" t="s">
        <v>31</v>
      </c>
      <c r="U155" s="2442" t="s">
        <v>31</v>
      </c>
      <c r="V155" s="2442" t="s">
        <v>31</v>
      </c>
      <c r="W155" s="2442" t="s">
        <v>31</v>
      </c>
      <c r="X155" s="2442"/>
      <c r="Y155" s="2442"/>
      <c r="Z155" s="2442" t="s">
        <v>31</v>
      </c>
      <c r="AA155" s="2442" t="s">
        <v>31</v>
      </c>
      <c r="AB155" s="2442" t="s">
        <v>31</v>
      </c>
      <c r="AC155" s="2442" t="s">
        <v>31</v>
      </c>
      <c r="AD155" s="2443" t="s">
        <v>31</v>
      </c>
      <c r="AE155" s="2442"/>
      <c r="AF155" s="2442"/>
      <c r="AG155" s="2444"/>
      <c r="AH155" s="93"/>
      <c r="AI155" s="76"/>
    </row>
    <row r="156" spans="1:35" ht="24.75" customHeight="1">
      <c r="A156" s="36"/>
      <c r="B156" s="1845" t="s">
        <v>432</v>
      </c>
      <c r="C156" s="2445"/>
      <c r="D156" s="2445"/>
      <c r="E156" s="2445"/>
      <c r="F156" s="2445"/>
      <c r="G156" s="2445"/>
      <c r="H156" s="2445"/>
      <c r="I156" s="2445"/>
      <c r="J156" s="2445"/>
      <c r="K156" s="2445"/>
      <c r="L156" s="2445"/>
      <c r="M156" s="2445"/>
      <c r="N156" s="2445"/>
      <c r="O156" s="2445"/>
      <c r="P156" s="2445"/>
      <c r="Q156" s="2445"/>
      <c r="R156" s="2445"/>
      <c r="S156" s="2445"/>
      <c r="T156" s="2445"/>
      <c r="U156" s="2445"/>
      <c r="V156" s="2445"/>
      <c r="W156" s="2445"/>
      <c r="X156" s="2445" t="s">
        <v>115</v>
      </c>
      <c r="Y156" s="2445"/>
      <c r="Z156" s="2445"/>
      <c r="AA156" s="2445"/>
      <c r="AB156" s="2445"/>
      <c r="AC156" s="2445"/>
      <c r="AD156" s="2445"/>
      <c r="AE156" s="2445" t="s">
        <v>115</v>
      </c>
      <c r="AF156" s="2445"/>
      <c r="AG156" s="2445"/>
      <c r="AH156" s="76"/>
      <c r="AI156" s="76"/>
    </row>
    <row r="157" spans="1:35" ht="24.75" customHeight="1">
      <c r="A157" s="94" t="s">
        <v>230</v>
      </c>
      <c r="B157" s="17"/>
      <c r="C157" s="38"/>
      <c r="D157" s="17"/>
      <c r="E157" s="17"/>
      <c r="F157" s="38"/>
      <c r="G157" s="17"/>
      <c r="H157" s="17"/>
      <c r="I157" s="38"/>
      <c r="J157" s="38"/>
      <c r="K157" s="17"/>
      <c r="L157" s="38"/>
      <c r="M157" s="17"/>
      <c r="N157" s="17"/>
      <c r="O157" s="38"/>
      <c r="P157" s="17"/>
      <c r="Q157" s="38"/>
      <c r="R157" s="38"/>
      <c r="S157" s="17"/>
      <c r="T157" s="17"/>
      <c r="U157" s="38"/>
      <c r="V157" s="17"/>
      <c r="W157" s="38"/>
      <c r="X157" s="38"/>
      <c r="Y157" s="17"/>
      <c r="Z157" s="17"/>
      <c r="AA157" s="17"/>
      <c r="AB157" s="17"/>
      <c r="AC157" s="17"/>
      <c r="AD157" s="17"/>
      <c r="AE157" s="38"/>
      <c r="AF157" s="17"/>
      <c r="AG157" s="17"/>
      <c r="AH157" s="76"/>
      <c r="AI157" s="76"/>
    </row>
    <row r="158" spans="1:35" ht="24.75" customHeight="1">
      <c r="A158" s="36"/>
      <c r="B158" s="2078" t="s">
        <v>231</v>
      </c>
      <c r="C158" s="2446"/>
      <c r="D158" s="2447" t="s">
        <v>87</v>
      </c>
      <c r="E158" s="1712"/>
      <c r="F158" s="1712"/>
      <c r="G158" s="1712"/>
      <c r="H158" s="2447" t="s">
        <v>88</v>
      </c>
      <c r="I158" s="1712"/>
      <c r="J158" s="1712"/>
      <c r="K158" s="1712"/>
      <c r="L158" s="2447" t="s">
        <v>89</v>
      </c>
      <c r="M158" s="1712"/>
      <c r="N158" s="1712"/>
      <c r="O158" s="1712"/>
      <c r="P158" s="2447" t="s">
        <v>90</v>
      </c>
      <c r="Q158" s="1712"/>
      <c r="R158" s="1712"/>
      <c r="S158" s="1712"/>
      <c r="T158" s="2447" t="s">
        <v>91</v>
      </c>
      <c r="U158" s="1712"/>
      <c r="V158" s="1712"/>
      <c r="W158" s="271"/>
      <c r="X158" s="292"/>
      <c r="Y158" s="271"/>
      <c r="Z158" s="271"/>
      <c r="AA158" s="271"/>
      <c r="AB158" s="292"/>
      <c r="AC158" s="271"/>
      <c r="AD158" s="271"/>
      <c r="AE158" s="292"/>
      <c r="AF158" s="271"/>
      <c r="AG158" s="271"/>
      <c r="AH158" s="271"/>
      <c r="AI158" s="271"/>
    </row>
    <row r="159" spans="1:35" ht="24.75" customHeight="1">
      <c r="A159" s="36"/>
      <c r="B159" s="1712" t="s">
        <v>232</v>
      </c>
      <c r="C159" s="2448" t="s">
        <v>233</v>
      </c>
      <c r="D159" s="2449" t="s">
        <v>234</v>
      </c>
      <c r="E159" s="2450"/>
      <c r="F159" s="2450"/>
      <c r="G159" s="2448"/>
      <c r="H159" s="2449" t="s">
        <v>234</v>
      </c>
      <c r="I159" s="2450"/>
      <c r="J159" s="2450"/>
      <c r="K159" s="2448"/>
      <c r="L159" s="2449" t="s">
        <v>234</v>
      </c>
      <c r="M159" s="2450"/>
      <c r="N159" s="2450"/>
      <c r="O159" s="2448"/>
      <c r="P159" s="2449" t="s">
        <v>235</v>
      </c>
      <c r="Q159" s="2450"/>
      <c r="R159" s="2450"/>
      <c r="S159" s="2448"/>
      <c r="T159" s="2449" t="s">
        <v>236</v>
      </c>
      <c r="U159" s="2450"/>
      <c r="V159" s="2451"/>
      <c r="W159" s="288"/>
      <c r="X159" s="287"/>
      <c r="Y159" s="287"/>
      <c r="Z159" s="287"/>
      <c r="AA159" s="288"/>
      <c r="AB159" s="287"/>
      <c r="AC159" s="287"/>
      <c r="AD159" s="287"/>
      <c r="AE159" s="288"/>
      <c r="AF159" s="287"/>
      <c r="AG159" s="287"/>
      <c r="AH159" s="83"/>
      <c r="AI159" s="83"/>
    </row>
    <row r="160" spans="1:35" ht="24.75" customHeight="1">
      <c r="A160" s="36"/>
      <c r="B160" s="1712" t="s">
        <v>232</v>
      </c>
      <c r="C160" s="2448" t="s">
        <v>237</v>
      </c>
      <c r="D160" s="2449" t="s">
        <v>234</v>
      </c>
      <c r="E160" s="2450"/>
      <c r="F160" s="2450"/>
      <c r="G160" s="2448"/>
      <c r="H160" s="2449" t="s">
        <v>234</v>
      </c>
      <c r="I160" s="2450"/>
      <c r="J160" s="2450"/>
      <c r="K160" s="2448"/>
      <c r="L160" s="2449" t="s">
        <v>234</v>
      </c>
      <c r="M160" s="2450"/>
      <c r="N160" s="2450"/>
      <c r="O160" s="2448"/>
      <c r="P160" s="2449" t="s">
        <v>235</v>
      </c>
      <c r="Q160" s="2450"/>
      <c r="R160" s="2450"/>
      <c r="S160" s="2448"/>
      <c r="T160" s="2449" t="s">
        <v>236</v>
      </c>
      <c r="U160" s="2450"/>
      <c r="V160" s="2451"/>
      <c r="W160" s="288"/>
      <c r="X160" s="287"/>
      <c r="Y160" s="287"/>
      <c r="Z160" s="287"/>
      <c r="AA160" s="288"/>
      <c r="AB160" s="287"/>
      <c r="AC160" s="287"/>
      <c r="AD160" s="287"/>
      <c r="AE160" s="288"/>
      <c r="AF160" s="287"/>
      <c r="AG160" s="287"/>
      <c r="AH160" s="83"/>
      <c r="AI160" s="83"/>
    </row>
    <row r="161" spans="1:35" ht="24.75" customHeight="1">
      <c r="A161" s="36"/>
      <c r="B161" s="1712" t="s">
        <v>238</v>
      </c>
      <c r="C161" s="2448" t="s">
        <v>201</v>
      </c>
      <c r="D161" s="2449" t="s">
        <v>234</v>
      </c>
      <c r="E161" s="2450"/>
      <c r="F161" s="2450"/>
      <c r="G161" s="2448"/>
      <c r="H161" s="2449" t="s">
        <v>234</v>
      </c>
      <c r="I161" s="2450"/>
      <c r="J161" s="2450"/>
      <c r="K161" s="2448"/>
      <c r="L161" s="2449" t="s">
        <v>234</v>
      </c>
      <c r="M161" s="2450"/>
      <c r="N161" s="2450"/>
      <c r="O161" s="2448"/>
      <c r="P161" s="2449" t="s">
        <v>235</v>
      </c>
      <c r="Q161" s="2450"/>
      <c r="R161" s="2450"/>
      <c r="S161" s="2448"/>
      <c r="T161" s="2449" t="s">
        <v>236</v>
      </c>
      <c r="U161" s="2450"/>
      <c r="V161" s="2451"/>
      <c r="W161" s="288"/>
      <c r="X161" s="287"/>
      <c r="Y161" s="287"/>
      <c r="Z161" s="287"/>
      <c r="AA161" s="288"/>
      <c r="AB161" s="287"/>
      <c r="AC161" s="287"/>
      <c r="AD161" s="287"/>
      <c r="AE161" s="288"/>
      <c r="AF161" s="287"/>
      <c r="AG161" s="287"/>
      <c r="AH161" s="83"/>
      <c r="AI161" s="83"/>
    </row>
    <row r="162" spans="1:35" ht="24.75" customHeight="1">
      <c r="A162" s="36"/>
      <c r="B162" s="1712" t="s">
        <v>239</v>
      </c>
      <c r="C162" s="2448" t="s">
        <v>121</v>
      </c>
      <c r="D162" s="2449" t="s">
        <v>240</v>
      </c>
      <c r="E162" s="2450"/>
      <c r="F162" s="2450"/>
      <c r="G162" s="2448"/>
      <c r="H162" s="2449" t="s">
        <v>240</v>
      </c>
      <c r="I162" s="2450"/>
      <c r="J162" s="2450"/>
      <c r="K162" s="2448"/>
      <c r="L162" s="2449" t="s">
        <v>240</v>
      </c>
      <c r="M162" s="2450"/>
      <c r="N162" s="2450"/>
      <c r="O162" s="2448"/>
      <c r="P162" s="2449" t="s">
        <v>241</v>
      </c>
      <c r="Q162" s="2450"/>
      <c r="R162" s="2450"/>
      <c r="S162" s="2448"/>
      <c r="T162" s="2449" t="s">
        <v>242</v>
      </c>
      <c r="U162" s="2450"/>
      <c r="V162" s="2451"/>
      <c r="W162" s="288"/>
      <c r="X162" s="287"/>
      <c r="Y162" s="287"/>
      <c r="Z162" s="287"/>
      <c r="AA162" s="288"/>
      <c r="AB162" s="287"/>
      <c r="AC162" s="287"/>
      <c r="AD162" s="287"/>
      <c r="AE162" s="288"/>
      <c r="AF162" s="287"/>
      <c r="AG162" s="287"/>
      <c r="AH162" s="83"/>
      <c r="AI162" s="83"/>
    </row>
    <row r="163" spans="1:35" ht="24.75" customHeight="1">
      <c r="A163" s="36"/>
      <c r="B163" s="1712" t="s">
        <v>243</v>
      </c>
      <c r="C163" s="2448" t="s">
        <v>244</v>
      </c>
      <c r="D163" s="2449" t="s">
        <v>245</v>
      </c>
      <c r="E163" s="2450"/>
      <c r="F163" s="2450"/>
      <c r="G163" s="2448"/>
      <c r="H163" s="2449" t="s">
        <v>245</v>
      </c>
      <c r="I163" s="2450"/>
      <c r="J163" s="2450"/>
      <c r="K163" s="2448"/>
      <c r="L163" s="2449" t="s">
        <v>246</v>
      </c>
      <c r="M163" s="2450"/>
      <c r="N163" s="2450"/>
      <c r="O163" s="2448"/>
      <c r="P163" s="2449" t="s">
        <v>247</v>
      </c>
      <c r="Q163" s="2450"/>
      <c r="R163" s="2450"/>
      <c r="S163" s="2448"/>
      <c r="T163" s="2449" t="s">
        <v>242</v>
      </c>
      <c r="U163" s="2450"/>
      <c r="V163" s="2451"/>
      <c r="W163" s="288"/>
      <c r="X163" s="287"/>
      <c r="Y163" s="287"/>
      <c r="Z163" s="287"/>
      <c r="AA163" s="288"/>
      <c r="AB163" s="287"/>
      <c r="AC163" s="287"/>
      <c r="AD163" s="287"/>
      <c r="AE163" s="288"/>
      <c r="AF163" s="287"/>
      <c r="AG163" s="287"/>
      <c r="AH163" s="83"/>
      <c r="AI163" s="83"/>
    </row>
    <row r="164" spans="1:35" ht="24.75" customHeight="1">
      <c r="A164" s="36"/>
      <c r="B164" s="1712" t="s">
        <v>248</v>
      </c>
      <c r="C164" s="2448" t="s">
        <v>128</v>
      </c>
      <c r="D164" s="2449" t="s">
        <v>234</v>
      </c>
      <c r="E164" s="2450"/>
      <c r="F164" s="2450"/>
      <c r="G164" s="2448"/>
      <c r="H164" s="2449" t="s">
        <v>234</v>
      </c>
      <c r="I164" s="2450"/>
      <c r="J164" s="2450"/>
      <c r="K164" s="2448"/>
      <c r="L164" s="2449" t="s">
        <v>234</v>
      </c>
      <c r="M164" s="2450"/>
      <c r="N164" s="2450"/>
      <c r="O164" s="2448"/>
      <c r="P164" s="2449" t="s">
        <v>234</v>
      </c>
      <c r="Q164" s="2450"/>
      <c r="R164" s="2450"/>
      <c r="S164" s="2448"/>
      <c r="T164" s="1845" t="s">
        <v>245</v>
      </c>
      <c r="U164" s="2450"/>
      <c r="V164" s="2451"/>
      <c r="W164" s="288"/>
      <c r="X164" s="287"/>
      <c r="Y164" s="287"/>
      <c r="Z164" s="287"/>
      <c r="AA164" s="288"/>
      <c r="AB164" s="287"/>
      <c r="AC164" s="287"/>
      <c r="AD164" s="287"/>
      <c r="AE164" s="288"/>
      <c r="AF164" s="287"/>
      <c r="AG164" s="287"/>
      <c r="AH164" s="83"/>
      <c r="AI164" s="83"/>
    </row>
    <row r="165" spans="1:35" ht="24.75" customHeight="1">
      <c r="A165" s="36"/>
      <c r="B165" s="1712" t="s">
        <v>249</v>
      </c>
      <c r="C165" s="2448" t="s">
        <v>250</v>
      </c>
      <c r="D165" s="2449" t="s">
        <v>234</v>
      </c>
      <c r="E165" s="2450"/>
      <c r="F165" s="2450"/>
      <c r="G165" s="2448"/>
      <c r="H165" s="2449" t="s">
        <v>234</v>
      </c>
      <c r="I165" s="2450"/>
      <c r="J165" s="2450"/>
      <c r="K165" s="2448"/>
      <c r="L165" s="2449" t="s">
        <v>234</v>
      </c>
      <c r="M165" s="2450"/>
      <c r="N165" s="2450"/>
      <c r="O165" s="2448"/>
      <c r="P165" s="2449" t="s">
        <v>235</v>
      </c>
      <c r="Q165" s="2450"/>
      <c r="R165" s="2450"/>
      <c r="S165" s="2448"/>
      <c r="T165" s="2449" t="s">
        <v>236</v>
      </c>
      <c r="U165" s="2450"/>
      <c r="V165" s="2451"/>
      <c r="W165" s="288"/>
      <c r="X165" s="287"/>
      <c r="Y165" s="287"/>
      <c r="Z165" s="287"/>
      <c r="AA165" s="288"/>
      <c r="AB165" s="287"/>
      <c r="AC165" s="287"/>
      <c r="AD165" s="287"/>
      <c r="AE165" s="288"/>
      <c r="AF165" s="287"/>
      <c r="AG165" s="287"/>
      <c r="AH165" s="83"/>
      <c r="AI165" s="83"/>
    </row>
    <row r="166" spans="1:35" ht="24.75" customHeight="1">
      <c r="A166" s="36"/>
      <c r="B166" s="1712" t="s">
        <v>249</v>
      </c>
      <c r="C166" s="2448" t="s">
        <v>251</v>
      </c>
      <c r="D166" s="2449" t="s">
        <v>234</v>
      </c>
      <c r="E166" s="2450"/>
      <c r="F166" s="2450"/>
      <c r="G166" s="2448"/>
      <c r="H166" s="2449" t="s">
        <v>234</v>
      </c>
      <c r="I166" s="2450"/>
      <c r="J166" s="2450"/>
      <c r="K166" s="2448"/>
      <c r="L166" s="2449" t="s">
        <v>234</v>
      </c>
      <c r="M166" s="2450"/>
      <c r="N166" s="2450"/>
      <c r="O166" s="2448"/>
      <c r="P166" s="2449" t="s">
        <v>235</v>
      </c>
      <c r="Q166" s="2450"/>
      <c r="R166" s="2450"/>
      <c r="S166" s="2448"/>
      <c r="T166" s="2449" t="s">
        <v>236</v>
      </c>
      <c r="U166" s="2450"/>
      <c r="V166" s="2451"/>
      <c r="W166" s="288"/>
      <c r="X166" s="287"/>
      <c r="Y166" s="287"/>
      <c r="Z166" s="287"/>
      <c r="AA166" s="288"/>
      <c r="AB166" s="287"/>
      <c r="AC166" s="287"/>
      <c r="AD166" s="287"/>
      <c r="AE166" s="288"/>
      <c r="AF166" s="287"/>
      <c r="AG166" s="287"/>
      <c r="AH166" s="83"/>
      <c r="AI166" s="83"/>
    </row>
    <row r="167" spans="1:35" ht="24.75" customHeight="1">
      <c r="A167" s="36"/>
      <c r="B167" s="1712" t="s">
        <v>252</v>
      </c>
      <c r="C167" s="2448" t="s">
        <v>253</v>
      </c>
      <c r="D167" s="2449" t="s">
        <v>234</v>
      </c>
      <c r="E167" s="2450"/>
      <c r="F167" s="2450"/>
      <c r="G167" s="2448"/>
      <c r="H167" s="2449" t="s">
        <v>234</v>
      </c>
      <c r="I167" s="2450"/>
      <c r="J167" s="2450"/>
      <c r="K167" s="2448"/>
      <c r="L167" s="2449" t="s">
        <v>234</v>
      </c>
      <c r="M167" s="2450"/>
      <c r="N167" s="2450"/>
      <c r="O167" s="2448"/>
      <c r="P167" s="2449" t="s">
        <v>254</v>
      </c>
      <c r="Q167" s="2450"/>
      <c r="R167" s="2450"/>
      <c r="S167" s="2448"/>
      <c r="T167" s="2449" t="s">
        <v>242</v>
      </c>
      <c r="U167" s="2450"/>
      <c r="V167" s="2451"/>
      <c r="W167" s="288"/>
      <c r="X167" s="287"/>
      <c r="Y167" s="287"/>
      <c r="Z167" s="287"/>
      <c r="AA167" s="288"/>
      <c r="AB167" s="287"/>
      <c r="AC167" s="287"/>
      <c r="AD167" s="287"/>
      <c r="AE167" s="288"/>
      <c r="AF167" s="287"/>
      <c r="AG167" s="287"/>
      <c r="AH167" s="83"/>
      <c r="AI167" s="83"/>
    </row>
    <row r="168" spans="1:35" ht="24.75" customHeight="1">
      <c r="A168" s="36"/>
      <c r="B168" s="1712" t="s">
        <v>255</v>
      </c>
      <c r="C168" s="2448" t="s">
        <v>123</v>
      </c>
      <c r="D168" s="2449" t="s">
        <v>234</v>
      </c>
      <c r="E168" s="2450"/>
      <c r="F168" s="2450"/>
      <c r="G168" s="2448"/>
      <c r="H168" s="2449" t="s">
        <v>234</v>
      </c>
      <c r="I168" s="2450"/>
      <c r="J168" s="2450"/>
      <c r="K168" s="2448"/>
      <c r="L168" s="2449" t="s">
        <v>234</v>
      </c>
      <c r="M168" s="2450"/>
      <c r="N168" s="2450"/>
      <c r="O168" s="2448"/>
      <c r="P168" s="2449" t="s">
        <v>235</v>
      </c>
      <c r="Q168" s="2450"/>
      <c r="R168" s="2450"/>
      <c r="S168" s="2448"/>
      <c r="T168" s="2449" t="s">
        <v>236</v>
      </c>
      <c r="U168" s="2450"/>
      <c r="V168" s="2451"/>
      <c r="W168" s="288"/>
      <c r="X168" s="287"/>
      <c r="Y168" s="287"/>
      <c r="Z168" s="287"/>
      <c r="AA168" s="288"/>
      <c r="AB168" s="287"/>
      <c r="AC168" s="287"/>
      <c r="AD168" s="287"/>
      <c r="AE168" s="288"/>
      <c r="AF168" s="287"/>
      <c r="AG168" s="287"/>
      <c r="AH168" s="83"/>
      <c r="AI168" s="83"/>
    </row>
    <row r="169" spans="1:35" ht="24.75" customHeight="1">
      <c r="A169" s="36"/>
      <c r="B169" s="1712" t="s">
        <v>256</v>
      </c>
      <c r="C169" s="2448" t="s">
        <v>146</v>
      </c>
      <c r="D169" s="2449" t="s">
        <v>234</v>
      </c>
      <c r="E169" s="2450"/>
      <c r="F169" s="2450"/>
      <c r="G169" s="2448"/>
      <c r="H169" s="2449" t="s">
        <v>234</v>
      </c>
      <c r="I169" s="2450"/>
      <c r="J169" s="2450"/>
      <c r="K169" s="2448"/>
      <c r="L169" s="2449" t="s">
        <v>234</v>
      </c>
      <c r="M169" s="2450"/>
      <c r="N169" s="2450"/>
      <c r="O169" s="2448"/>
      <c r="P169" s="2449" t="s">
        <v>235</v>
      </c>
      <c r="Q169" s="2450"/>
      <c r="R169" s="2450"/>
      <c r="S169" s="2448"/>
      <c r="T169" s="2449" t="s">
        <v>236</v>
      </c>
      <c r="U169" s="2450"/>
      <c r="V169" s="2451"/>
      <c r="W169" s="288"/>
      <c r="X169" s="287"/>
      <c r="Y169" s="287"/>
      <c r="Z169" s="287"/>
      <c r="AA169" s="288"/>
      <c r="AB169" s="287"/>
      <c r="AC169" s="287"/>
      <c r="AD169" s="287"/>
      <c r="AE169" s="288"/>
      <c r="AF169" s="287"/>
      <c r="AG169" s="287" t="s">
        <v>0</v>
      </c>
      <c r="AH169" s="83"/>
      <c r="AI169" s="83"/>
    </row>
    <row r="170" spans="1:35" ht="24.75" customHeight="1">
      <c r="A170" s="36"/>
      <c r="B170" s="1712" t="s">
        <v>257</v>
      </c>
      <c r="C170" s="2452" t="s">
        <v>136</v>
      </c>
      <c r="D170" s="2449" t="s">
        <v>258</v>
      </c>
      <c r="E170" s="2450"/>
      <c r="F170" s="2450"/>
      <c r="G170" s="2448"/>
      <c r="H170" s="2449" t="s">
        <v>258</v>
      </c>
      <c r="I170" s="2450"/>
      <c r="J170" s="2450"/>
      <c r="K170" s="2448"/>
      <c r="L170" s="2449" t="s">
        <v>258</v>
      </c>
      <c r="M170" s="2450"/>
      <c r="N170" s="2450"/>
      <c r="O170" s="2448"/>
      <c r="P170" s="2449" t="s">
        <v>258</v>
      </c>
      <c r="Q170" s="2450"/>
      <c r="R170" s="2450"/>
      <c r="S170" s="2448"/>
      <c r="T170" s="2449" t="s">
        <v>242</v>
      </c>
      <c r="U170" s="2450"/>
      <c r="V170" s="2451"/>
      <c r="W170" s="287"/>
      <c r="X170" s="287"/>
      <c r="Y170" s="287"/>
      <c r="Z170" s="287"/>
      <c r="AA170" s="288"/>
      <c r="AB170" s="287"/>
      <c r="AC170" s="287"/>
      <c r="AD170" s="287"/>
      <c r="AE170" s="288"/>
      <c r="AF170" s="287"/>
      <c r="AG170" s="287"/>
      <c r="AH170" s="83"/>
      <c r="AI170" s="83"/>
    </row>
    <row r="171" spans="1:35" ht="24.75" customHeight="1">
      <c r="A171" s="36"/>
      <c r="B171" s="1712" t="s">
        <v>259</v>
      </c>
      <c r="C171" s="2452" t="s">
        <v>112</v>
      </c>
      <c r="D171" s="2449" t="s">
        <v>258</v>
      </c>
      <c r="E171" s="2450"/>
      <c r="F171" s="2450"/>
      <c r="G171" s="2448"/>
      <c r="H171" s="2449" t="s">
        <v>258</v>
      </c>
      <c r="I171" s="2450"/>
      <c r="J171" s="2450"/>
      <c r="K171" s="2448"/>
      <c r="L171" s="2449" t="s">
        <v>258</v>
      </c>
      <c r="M171" s="2450"/>
      <c r="N171" s="2450"/>
      <c r="O171" s="2448"/>
      <c r="P171" s="2449" t="s">
        <v>258</v>
      </c>
      <c r="Q171" s="2450"/>
      <c r="R171" s="2450"/>
      <c r="S171" s="2448"/>
      <c r="T171" s="2449" t="s">
        <v>242</v>
      </c>
      <c r="U171" s="2450"/>
      <c r="V171" s="2451"/>
      <c r="W171" s="287"/>
      <c r="X171" s="287"/>
      <c r="Y171" s="287"/>
      <c r="Z171" s="287"/>
      <c r="AA171" s="288"/>
      <c r="AB171" s="287"/>
      <c r="AC171" s="287"/>
      <c r="AD171" s="287"/>
      <c r="AE171" s="288"/>
      <c r="AF171" s="287"/>
      <c r="AG171" s="287"/>
      <c r="AH171" s="83"/>
      <c r="AI171" s="83"/>
    </row>
    <row r="172" spans="1:35" ht="24.75" customHeight="1">
      <c r="A172" s="36"/>
      <c r="B172" s="1712" t="s">
        <v>260</v>
      </c>
      <c r="C172" s="2452" t="s">
        <v>261</v>
      </c>
      <c r="D172" s="2449" t="s">
        <v>258</v>
      </c>
      <c r="E172" s="2450"/>
      <c r="F172" s="2450"/>
      <c r="G172" s="2448"/>
      <c r="H172" s="2449" t="s">
        <v>258</v>
      </c>
      <c r="I172" s="2450"/>
      <c r="J172" s="2450"/>
      <c r="K172" s="2448"/>
      <c r="L172" s="2449" t="s">
        <v>258</v>
      </c>
      <c r="M172" s="2450"/>
      <c r="N172" s="2450"/>
      <c r="O172" s="2448"/>
      <c r="P172" s="2449" t="s">
        <v>258</v>
      </c>
      <c r="Q172" s="2450"/>
      <c r="R172" s="2450"/>
      <c r="S172" s="2448"/>
      <c r="T172" s="2449" t="s">
        <v>242</v>
      </c>
      <c r="U172" s="2450"/>
      <c r="V172" s="2451"/>
      <c r="W172" s="38"/>
      <c r="X172" s="38"/>
      <c r="Y172" s="17"/>
      <c r="Z172" s="17"/>
      <c r="AA172" s="17"/>
      <c r="AB172" s="17"/>
      <c r="AC172" s="17"/>
      <c r="AD172" s="17"/>
      <c r="AE172" s="38"/>
      <c r="AF172" s="17"/>
      <c r="AG172" s="17"/>
      <c r="AH172" s="76"/>
      <c r="AI172" s="76"/>
    </row>
    <row r="173" spans="1:35" ht="24.75" customHeight="1" thickBot="1">
      <c r="A173" s="96"/>
      <c r="B173" s="995" t="s">
        <v>29</v>
      </c>
      <c r="C173" s="2453">
        <v>1</v>
      </c>
      <c r="D173" s="2453">
        <v>2</v>
      </c>
      <c r="E173" s="2346">
        <v>3</v>
      </c>
      <c r="F173" s="2346">
        <v>4</v>
      </c>
      <c r="G173" s="2346">
        <v>5</v>
      </c>
      <c r="H173" s="2346">
        <v>6</v>
      </c>
      <c r="I173" s="2346">
        <v>7</v>
      </c>
      <c r="J173" s="2453">
        <v>8</v>
      </c>
      <c r="K173" s="2453">
        <v>9</v>
      </c>
      <c r="L173" s="2346">
        <v>10</v>
      </c>
      <c r="M173" s="2346">
        <v>11</v>
      </c>
      <c r="N173" s="2346">
        <v>12</v>
      </c>
      <c r="O173" s="2346">
        <v>13</v>
      </c>
      <c r="P173" s="2346">
        <v>14</v>
      </c>
      <c r="Q173" s="2453">
        <v>15</v>
      </c>
      <c r="R173" s="2453">
        <v>16</v>
      </c>
      <c r="S173" s="2346">
        <v>17</v>
      </c>
      <c r="T173" s="2346">
        <v>18</v>
      </c>
      <c r="U173" s="2346">
        <v>19</v>
      </c>
      <c r="V173" s="2346">
        <v>20</v>
      </c>
      <c r="W173" s="2233">
        <v>21</v>
      </c>
      <c r="X173" s="2232">
        <v>22</v>
      </c>
      <c r="Y173" s="2232">
        <v>23</v>
      </c>
      <c r="Z173" s="2233">
        <v>24</v>
      </c>
      <c r="AA173" s="2233">
        <v>25</v>
      </c>
      <c r="AB173" s="2233">
        <v>26</v>
      </c>
      <c r="AC173" s="2233">
        <v>27</v>
      </c>
      <c r="AD173" s="2233">
        <v>28</v>
      </c>
      <c r="AE173" s="2232">
        <v>29</v>
      </c>
      <c r="AF173" s="2233"/>
      <c r="AG173" s="2234"/>
      <c r="AH173" s="97"/>
      <c r="AI173" s="24"/>
    </row>
    <row r="174" spans="1:35" ht="24.75" customHeight="1">
      <c r="A174" s="36"/>
      <c r="B174" s="998" t="s">
        <v>262</v>
      </c>
      <c r="C174" s="1648"/>
      <c r="D174" s="1648"/>
      <c r="E174" s="1648" t="s">
        <v>233</v>
      </c>
      <c r="F174" s="1648" t="s">
        <v>233</v>
      </c>
      <c r="G174" s="1648" t="s">
        <v>233</v>
      </c>
      <c r="H174" s="972" t="s">
        <v>233</v>
      </c>
      <c r="I174" s="972" t="s">
        <v>233</v>
      </c>
      <c r="J174" s="972"/>
      <c r="K174" s="972"/>
      <c r="L174" s="972" t="s">
        <v>233</v>
      </c>
      <c r="M174" s="972" t="s">
        <v>233</v>
      </c>
      <c r="N174" s="972" t="s">
        <v>233</v>
      </c>
      <c r="O174" s="972" t="s">
        <v>233</v>
      </c>
      <c r="P174" s="389" t="s">
        <v>233</v>
      </c>
      <c r="Q174" s="972"/>
      <c r="R174" s="972"/>
      <c r="S174" s="972" t="s">
        <v>233</v>
      </c>
      <c r="T174" s="972" t="s">
        <v>233</v>
      </c>
      <c r="U174" s="972" t="s">
        <v>233</v>
      </c>
      <c r="V174" s="972" t="s">
        <v>233</v>
      </c>
      <c r="W174" s="972" t="s">
        <v>233</v>
      </c>
      <c r="X174" s="972"/>
      <c r="Y174" s="972"/>
      <c r="Z174" s="973" t="s">
        <v>233</v>
      </c>
      <c r="AA174" s="972" t="s">
        <v>233</v>
      </c>
      <c r="AB174" s="972" t="s">
        <v>233</v>
      </c>
      <c r="AC174" s="972" t="s">
        <v>233</v>
      </c>
      <c r="AD174" s="972" t="s">
        <v>233</v>
      </c>
      <c r="AE174" s="972"/>
      <c r="AF174" s="972"/>
      <c r="AG174" s="999"/>
      <c r="AH174" s="25"/>
      <c r="AI174" s="25"/>
    </row>
    <row r="175" spans="1:35" ht="24.75" customHeight="1">
      <c r="A175" s="36"/>
      <c r="B175" s="2074" t="s">
        <v>263</v>
      </c>
      <c r="C175" s="1922"/>
      <c r="D175" s="1922"/>
      <c r="E175" s="1922" t="s">
        <v>233</v>
      </c>
      <c r="F175" s="1922" t="s">
        <v>233</v>
      </c>
      <c r="G175" s="1922" t="s">
        <v>233</v>
      </c>
      <c r="H175" s="1922" t="s">
        <v>233</v>
      </c>
      <c r="I175" s="1922" t="s">
        <v>233</v>
      </c>
      <c r="J175" s="1922"/>
      <c r="K175" s="293"/>
      <c r="L175" s="1922" t="s">
        <v>233</v>
      </c>
      <c r="M175" s="1922" t="s">
        <v>233</v>
      </c>
      <c r="N175" s="1922" t="s">
        <v>233</v>
      </c>
      <c r="O175" s="1922" t="s">
        <v>233</v>
      </c>
      <c r="P175" s="1922" t="s">
        <v>250</v>
      </c>
      <c r="Q175" s="1922"/>
      <c r="R175" s="1922"/>
      <c r="S175" s="1922" t="s">
        <v>233</v>
      </c>
      <c r="T175" s="1922" t="s">
        <v>233</v>
      </c>
      <c r="U175" s="1922" t="s">
        <v>233</v>
      </c>
      <c r="V175" s="1922" t="s">
        <v>233</v>
      </c>
      <c r="W175" s="293" t="s">
        <v>233</v>
      </c>
      <c r="X175" s="293"/>
      <c r="Y175" s="1922"/>
      <c r="Z175" s="1846" t="s">
        <v>233</v>
      </c>
      <c r="AA175" s="1846" t="s">
        <v>233</v>
      </c>
      <c r="AB175" s="1846" t="s">
        <v>233</v>
      </c>
      <c r="AC175" s="1846" t="s">
        <v>233</v>
      </c>
      <c r="AD175" s="1846" t="s">
        <v>233</v>
      </c>
      <c r="AE175" s="1922"/>
      <c r="AF175" s="1922"/>
      <c r="AG175" s="1615"/>
      <c r="AH175" s="25"/>
      <c r="AI175" s="25"/>
    </row>
    <row r="176" spans="1:35" ht="24.75" customHeight="1">
      <c r="A176" s="36"/>
      <c r="B176" s="2074" t="s">
        <v>265</v>
      </c>
      <c r="C176" s="1922"/>
      <c r="D176" s="1922"/>
      <c r="E176" s="1846" t="s">
        <v>237</v>
      </c>
      <c r="F176" s="1922" t="s">
        <v>237</v>
      </c>
      <c r="G176" s="1922" t="s">
        <v>237</v>
      </c>
      <c r="H176" s="1922" t="s">
        <v>237</v>
      </c>
      <c r="I176" s="1922" t="s">
        <v>237</v>
      </c>
      <c r="J176" s="1922"/>
      <c r="K176" s="1922"/>
      <c r="L176" s="1922" t="s">
        <v>237</v>
      </c>
      <c r="M176" s="1922" t="s">
        <v>237</v>
      </c>
      <c r="N176" s="1922" t="s">
        <v>237</v>
      </c>
      <c r="O176" s="1922" t="s">
        <v>237</v>
      </c>
      <c r="P176" s="1922" t="s">
        <v>237</v>
      </c>
      <c r="Q176" s="1922"/>
      <c r="R176" s="1922"/>
      <c r="S176" s="1922" t="s">
        <v>237</v>
      </c>
      <c r="T176" s="1922" t="s">
        <v>237</v>
      </c>
      <c r="U176" s="1922" t="s">
        <v>237</v>
      </c>
      <c r="V176" s="1922" t="s">
        <v>237</v>
      </c>
      <c r="W176" s="1922" t="s">
        <v>237</v>
      </c>
      <c r="X176" s="1922"/>
      <c r="Y176" s="1922"/>
      <c r="Z176" s="1919" t="s">
        <v>237</v>
      </c>
      <c r="AA176" s="1919" t="s">
        <v>396</v>
      </c>
      <c r="AB176" s="1762" t="s">
        <v>237</v>
      </c>
      <c r="AC176" s="1762" t="s">
        <v>237</v>
      </c>
      <c r="AD176" s="1762" t="s">
        <v>237</v>
      </c>
      <c r="AE176" s="1922"/>
      <c r="AF176" s="1922"/>
      <c r="AG176" s="1615"/>
      <c r="AH176" s="25"/>
      <c r="AI176" s="25"/>
    </row>
    <row r="177" spans="1:35" ht="24.75" customHeight="1">
      <c r="A177" s="36"/>
      <c r="B177" s="2074" t="s">
        <v>266</v>
      </c>
      <c r="C177" s="1922"/>
      <c r="D177" s="1749"/>
      <c r="E177" s="1749" t="s">
        <v>201</v>
      </c>
      <c r="F177" s="1749" t="s">
        <v>201</v>
      </c>
      <c r="G177" s="1749" t="s">
        <v>201</v>
      </c>
      <c r="H177" s="1749" t="s">
        <v>201</v>
      </c>
      <c r="I177" s="1749" t="s">
        <v>201</v>
      </c>
      <c r="J177" s="1749"/>
      <c r="K177" s="1749"/>
      <c r="L177" s="1749" t="s">
        <v>201</v>
      </c>
      <c r="M177" s="1749" t="s">
        <v>201</v>
      </c>
      <c r="N177" s="1749" t="s">
        <v>201</v>
      </c>
      <c r="O177" s="1749" t="s">
        <v>201</v>
      </c>
      <c r="P177" s="1749" t="s">
        <v>201</v>
      </c>
      <c r="Q177" s="1749"/>
      <c r="R177" s="1749"/>
      <c r="S177" s="1749" t="s">
        <v>201</v>
      </c>
      <c r="T177" s="1749" t="s">
        <v>201</v>
      </c>
      <c r="U177" s="1749" t="s">
        <v>201</v>
      </c>
      <c r="V177" s="1749" t="s">
        <v>201</v>
      </c>
      <c r="W177" s="1749" t="s">
        <v>201</v>
      </c>
      <c r="X177" s="1749"/>
      <c r="Y177" s="1749"/>
      <c r="Z177" s="1749" t="s">
        <v>201</v>
      </c>
      <c r="AA177" s="1749" t="s">
        <v>201</v>
      </c>
      <c r="AB177" s="1749" t="s">
        <v>201</v>
      </c>
      <c r="AC177" s="1922" t="s">
        <v>201</v>
      </c>
      <c r="AD177" s="1922" t="s">
        <v>201</v>
      </c>
      <c r="AE177" s="1922"/>
      <c r="AF177" s="1922"/>
      <c r="AG177" s="1615"/>
      <c r="AH177" s="25"/>
      <c r="AI177" s="25"/>
    </row>
    <row r="178" spans="1:35" ht="24.75" customHeight="1">
      <c r="A178" s="36"/>
      <c r="B178" s="1878" t="s">
        <v>267</v>
      </c>
      <c r="C178" s="1922"/>
      <c r="D178" s="1922"/>
      <c r="E178" s="1922" t="s">
        <v>121</v>
      </c>
      <c r="F178" s="1922" t="s">
        <v>121</v>
      </c>
      <c r="G178" s="1922" t="s">
        <v>121</v>
      </c>
      <c r="H178" s="1922" t="s">
        <v>121</v>
      </c>
      <c r="I178" s="2454" t="s">
        <v>121</v>
      </c>
      <c r="J178" s="1922"/>
      <c r="K178" s="1922"/>
      <c r="L178" s="1922" t="s">
        <v>121</v>
      </c>
      <c r="M178" s="1922" t="s">
        <v>121</v>
      </c>
      <c r="N178" s="1922" t="s">
        <v>121</v>
      </c>
      <c r="O178" s="1846" t="s">
        <v>121</v>
      </c>
      <c r="P178" s="1922" t="s">
        <v>121</v>
      </c>
      <c r="Q178" s="1922"/>
      <c r="R178" s="1922"/>
      <c r="S178" s="1922" t="s">
        <v>121</v>
      </c>
      <c r="T178" s="1922" t="s">
        <v>121</v>
      </c>
      <c r="U178" s="1922" t="s">
        <v>121</v>
      </c>
      <c r="V178" s="1922" t="s">
        <v>121</v>
      </c>
      <c r="W178" s="1922" t="s">
        <v>121</v>
      </c>
      <c r="X178" s="1922"/>
      <c r="Y178" s="1922"/>
      <c r="Z178" s="1922" t="s">
        <v>121</v>
      </c>
      <c r="AA178" s="1922" t="s">
        <v>121</v>
      </c>
      <c r="AB178" s="1922" t="s">
        <v>121</v>
      </c>
      <c r="AC178" s="1922" t="s">
        <v>121</v>
      </c>
      <c r="AD178" s="1922" t="s">
        <v>121</v>
      </c>
      <c r="AE178" s="1922"/>
      <c r="AF178" s="1922"/>
      <c r="AG178" s="1615"/>
      <c r="AH178" s="25"/>
      <c r="AI178" s="25"/>
    </row>
    <row r="179" spans="1:35" ht="24.75" customHeight="1">
      <c r="A179" s="36"/>
      <c r="B179" s="2074" t="s">
        <v>268</v>
      </c>
      <c r="C179" s="1922"/>
      <c r="D179" s="1922"/>
      <c r="E179" s="1922" t="s">
        <v>244</v>
      </c>
      <c r="F179" s="1922" t="s">
        <v>244</v>
      </c>
      <c r="G179" s="1922" t="s">
        <v>244</v>
      </c>
      <c r="H179" s="1922" t="s">
        <v>244</v>
      </c>
      <c r="I179" s="1922" t="s">
        <v>244</v>
      </c>
      <c r="J179" s="1922"/>
      <c r="K179" s="1922"/>
      <c r="L179" s="1922" t="s">
        <v>244</v>
      </c>
      <c r="M179" s="1922" t="s">
        <v>244</v>
      </c>
      <c r="N179" s="2330" t="s">
        <v>244</v>
      </c>
      <c r="O179" s="1922" t="s">
        <v>244</v>
      </c>
      <c r="P179" s="1922" t="s">
        <v>244</v>
      </c>
      <c r="Q179" s="1922"/>
      <c r="R179" s="1922"/>
      <c r="S179" s="1922" t="s">
        <v>253</v>
      </c>
      <c r="T179" s="1922" t="s">
        <v>253</v>
      </c>
      <c r="U179" s="1922" t="s">
        <v>253</v>
      </c>
      <c r="V179" s="1922" t="s">
        <v>253</v>
      </c>
      <c r="W179" s="1922" t="s">
        <v>253</v>
      </c>
      <c r="X179" s="1922"/>
      <c r="Y179" s="389"/>
      <c r="Z179" s="1922" t="s">
        <v>253</v>
      </c>
      <c r="AA179" s="1922" t="s">
        <v>253</v>
      </c>
      <c r="AB179" s="1922" t="s">
        <v>253</v>
      </c>
      <c r="AC179" s="1922" t="s">
        <v>253</v>
      </c>
      <c r="AD179" s="1922" t="s">
        <v>244</v>
      </c>
      <c r="AE179" s="1699"/>
      <c r="AF179" s="1922"/>
      <c r="AG179" s="1615"/>
      <c r="AH179" s="25"/>
      <c r="AI179" s="25"/>
    </row>
    <row r="180" spans="1:35" ht="24.75" customHeight="1">
      <c r="A180" s="36"/>
      <c r="B180" s="2074" t="s">
        <v>269</v>
      </c>
      <c r="C180" s="1922"/>
      <c r="D180" s="1922"/>
      <c r="E180" s="1922" t="s">
        <v>128</v>
      </c>
      <c r="F180" s="1922" t="s">
        <v>128</v>
      </c>
      <c r="G180" s="1922" t="s">
        <v>128</v>
      </c>
      <c r="H180" s="1922" t="s">
        <v>128</v>
      </c>
      <c r="I180" s="2455" t="s">
        <v>128</v>
      </c>
      <c r="J180" s="1922"/>
      <c r="K180" s="1922"/>
      <c r="L180" s="1922" t="s">
        <v>128</v>
      </c>
      <c r="M180" s="1922" t="s">
        <v>128</v>
      </c>
      <c r="N180" s="1922" t="s">
        <v>128</v>
      </c>
      <c r="O180" s="1922" t="s">
        <v>128</v>
      </c>
      <c r="P180" s="1922" t="s">
        <v>128</v>
      </c>
      <c r="Q180" s="1922"/>
      <c r="R180" s="1922"/>
      <c r="S180" s="1922" t="s">
        <v>128</v>
      </c>
      <c r="T180" s="1922" t="s">
        <v>128</v>
      </c>
      <c r="U180" s="1922" t="s">
        <v>128</v>
      </c>
      <c r="V180" s="1922" t="s">
        <v>128</v>
      </c>
      <c r="W180" s="1922" t="s">
        <v>128</v>
      </c>
      <c r="X180" s="1922"/>
      <c r="Y180" s="1922"/>
      <c r="Z180" s="1922" t="s">
        <v>128</v>
      </c>
      <c r="AA180" s="1922" t="s">
        <v>128</v>
      </c>
      <c r="AB180" s="1922" t="s">
        <v>128</v>
      </c>
      <c r="AC180" s="1922" t="s">
        <v>128</v>
      </c>
      <c r="AD180" s="1922" t="s">
        <v>128</v>
      </c>
      <c r="AE180" s="1922"/>
      <c r="AF180" s="1855"/>
      <c r="AG180" s="1615"/>
      <c r="AH180" s="25"/>
      <c r="AI180" s="25"/>
    </row>
    <row r="181" spans="1:35" ht="24.75" customHeight="1">
      <c r="A181" s="36"/>
      <c r="B181" s="1925" t="s">
        <v>271</v>
      </c>
      <c r="C181" s="1922"/>
      <c r="D181" s="1922"/>
      <c r="E181" s="1922" t="s">
        <v>250</v>
      </c>
      <c r="F181" s="1922" t="s">
        <v>250</v>
      </c>
      <c r="G181" s="1922" t="s">
        <v>250</v>
      </c>
      <c r="H181" s="1922" t="s">
        <v>250</v>
      </c>
      <c r="I181" s="1922" t="s">
        <v>250</v>
      </c>
      <c r="J181" s="1922"/>
      <c r="K181" s="1922"/>
      <c r="L181" s="1922" t="s">
        <v>250</v>
      </c>
      <c r="M181" s="1922" t="s">
        <v>250</v>
      </c>
      <c r="N181" s="1922" t="s">
        <v>250</v>
      </c>
      <c r="O181" s="1846" t="s">
        <v>250</v>
      </c>
      <c r="P181" s="1846" t="s">
        <v>250</v>
      </c>
      <c r="Q181" s="1922"/>
      <c r="R181" s="1922"/>
      <c r="S181" s="1922" t="s">
        <v>250</v>
      </c>
      <c r="T181" s="1922" t="s">
        <v>250</v>
      </c>
      <c r="U181" s="1922" t="s">
        <v>250</v>
      </c>
      <c r="V181" s="1922" t="s">
        <v>250</v>
      </c>
      <c r="W181" s="1922" t="s">
        <v>250</v>
      </c>
      <c r="X181" s="1922"/>
      <c r="Y181" s="1922"/>
      <c r="Z181" s="1922" t="s">
        <v>250</v>
      </c>
      <c r="AA181" s="1922" t="s">
        <v>250</v>
      </c>
      <c r="AB181" s="1922" t="s">
        <v>250</v>
      </c>
      <c r="AC181" s="1922" t="s">
        <v>250</v>
      </c>
      <c r="AD181" s="1922" t="s">
        <v>250</v>
      </c>
      <c r="AE181" s="1922"/>
      <c r="AF181" s="1922"/>
      <c r="AG181" s="1615"/>
      <c r="AH181" s="25"/>
      <c r="AI181" s="25"/>
    </row>
    <row r="182" spans="1:35" ht="24.75" customHeight="1">
      <c r="A182" s="36"/>
      <c r="B182" s="2074" t="s">
        <v>273</v>
      </c>
      <c r="C182" s="1922"/>
      <c r="D182" s="1922"/>
      <c r="E182" s="1922" t="s">
        <v>251</v>
      </c>
      <c r="F182" s="1922" t="s">
        <v>251</v>
      </c>
      <c r="G182" s="1922" t="s">
        <v>251</v>
      </c>
      <c r="H182" s="1922" t="s">
        <v>251</v>
      </c>
      <c r="I182" s="1922" t="s">
        <v>251</v>
      </c>
      <c r="J182" s="1922"/>
      <c r="K182" s="1922"/>
      <c r="L182" s="1922" t="s">
        <v>251</v>
      </c>
      <c r="M182" s="1922" t="s">
        <v>251</v>
      </c>
      <c r="N182" s="1922" t="s">
        <v>251</v>
      </c>
      <c r="O182" s="1922" t="s">
        <v>251</v>
      </c>
      <c r="P182" s="1922" t="s">
        <v>251</v>
      </c>
      <c r="Q182" s="1922"/>
      <c r="R182" s="1922"/>
      <c r="S182" s="1846" t="s">
        <v>251</v>
      </c>
      <c r="T182" s="1922" t="s">
        <v>251</v>
      </c>
      <c r="U182" s="1922" t="s">
        <v>251</v>
      </c>
      <c r="V182" s="1922" t="s">
        <v>251</v>
      </c>
      <c r="W182" s="1922" t="s">
        <v>251</v>
      </c>
      <c r="X182" s="1922"/>
      <c r="Y182" s="1922"/>
      <c r="Z182" s="1922" t="s">
        <v>251</v>
      </c>
      <c r="AA182" s="1922" t="s">
        <v>251</v>
      </c>
      <c r="AB182" s="1922" t="s">
        <v>251</v>
      </c>
      <c r="AC182" s="1922" t="s">
        <v>251</v>
      </c>
      <c r="AD182" s="1922" t="s">
        <v>251</v>
      </c>
      <c r="AE182" s="1922"/>
      <c r="AF182" s="1922"/>
      <c r="AG182" s="1615"/>
      <c r="AH182" s="25"/>
      <c r="AI182" s="25"/>
    </row>
    <row r="183" spans="1:35" ht="24.75" customHeight="1">
      <c r="A183" s="36"/>
      <c r="B183" s="2074" t="s">
        <v>274</v>
      </c>
      <c r="C183" s="1922"/>
      <c r="D183" s="1922"/>
      <c r="E183" s="1922" t="s">
        <v>253</v>
      </c>
      <c r="F183" s="1922" t="s">
        <v>253</v>
      </c>
      <c r="G183" s="1922" t="s">
        <v>253</v>
      </c>
      <c r="H183" s="1922" t="s">
        <v>253</v>
      </c>
      <c r="I183" s="1922" t="s">
        <v>253</v>
      </c>
      <c r="J183" s="1922"/>
      <c r="K183" s="1922"/>
      <c r="L183" s="1922" t="s">
        <v>253</v>
      </c>
      <c r="M183" s="1922" t="s">
        <v>253</v>
      </c>
      <c r="N183" s="1922" t="s">
        <v>253</v>
      </c>
      <c r="O183" s="1922" t="s">
        <v>253</v>
      </c>
      <c r="P183" s="1922" t="s">
        <v>253</v>
      </c>
      <c r="Q183" s="1922"/>
      <c r="R183" s="1922"/>
      <c r="S183" s="2455" t="s">
        <v>253</v>
      </c>
      <c r="T183" s="2455" t="s">
        <v>253</v>
      </c>
      <c r="U183" s="2455" t="s">
        <v>253</v>
      </c>
      <c r="V183" s="2455" t="s">
        <v>253</v>
      </c>
      <c r="W183" s="2455" t="s">
        <v>253</v>
      </c>
      <c r="X183" s="2455"/>
      <c r="Y183" s="2455"/>
      <c r="Z183" s="1712" t="s">
        <v>253</v>
      </c>
      <c r="AA183" s="1918" t="s">
        <v>253</v>
      </c>
      <c r="AB183" s="1918" t="s">
        <v>253</v>
      </c>
      <c r="AC183" s="1918" t="s">
        <v>410</v>
      </c>
      <c r="AD183" s="1922" t="s">
        <v>253</v>
      </c>
      <c r="AE183" s="1922"/>
      <c r="AF183" s="1922"/>
      <c r="AG183" s="1615"/>
      <c r="AH183" s="25"/>
      <c r="AI183" s="25"/>
    </row>
    <row r="184" spans="1:35" ht="24.75" customHeight="1">
      <c r="A184" s="36"/>
      <c r="B184" s="1925" t="s">
        <v>275</v>
      </c>
      <c r="C184" s="1922"/>
      <c r="D184" s="1922"/>
      <c r="E184" s="1922" t="s">
        <v>123</v>
      </c>
      <c r="F184" s="1919" t="s">
        <v>123</v>
      </c>
      <c r="G184" s="1919" t="s">
        <v>123</v>
      </c>
      <c r="H184" s="1919" t="s">
        <v>123</v>
      </c>
      <c r="I184" s="1919" t="s">
        <v>123</v>
      </c>
      <c r="J184" s="1919" t="s">
        <v>109</v>
      </c>
      <c r="K184" s="1922"/>
      <c r="L184" s="1922" t="s">
        <v>123</v>
      </c>
      <c r="M184" s="1922" t="s">
        <v>123</v>
      </c>
      <c r="N184" s="1922" t="s">
        <v>123</v>
      </c>
      <c r="O184" s="1922" t="s">
        <v>123</v>
      </c>
      <c r="P184" s="1922" t="s">
        <v>123</v>
      </c>
      <c r="Q184" s="1922"/>
      <c r="R184" s="1922"/>
      <c r="S184" s="1922" t="s">
        <v>123</v>
      </c>
      <c r="T184" s="1922" t="s">
        <v>123</v>
      </c>
      <c r="U184" s="1922" t="s">
        <v>123</v>
      </c>
      <c r="V184" s="1922" t="s">
        <v>123</v>
      </c>
      <c r="W184" s="1922" t="s">
        <v>123</v>
      </c>
      <c r="X184" s="1922"/>
      <c r="Y184" s="1922"/>
      <c r="Z184" s="1922" t="s">
        <v>123</v>
      </c>
      <c r="AA184" s="1922" t="s">
        <v>123</v>
      </c>
      <c r="AB184" s="1922" t="s">
        <v>123</v>
      </c>
      <c r="AC184" s="1922" t="s">
        <v>123</v>
      </c>
      <c r="AD184" s="1922" t="s">
        <v>123</v>
      </c>
      <c r="AE184" s="1854"/>
      <c r="AF184" s="1922"/>
      <c r="AG184" s="1615"/>
      <c r="AH184" s="25"/>
      <c r="AI184" s="25"/>
    </row>
    <row r="185" spans="1:35" ht="24.75" customHeight="1">
      <c r="A185" s="36"/>
      <c r="B185" s="2074" t="s">
        <v>276</v>
      </c>
      <c r="C185" s="1922"/>
      <c r="D185" s="1922"/>
      <c r="E185" s="1922" t="s">
        <v>146</v>
      </c>
      <c r="F185" s="1922" t="s">
        <v>146</v>
      </c>
      <c r="G185" s="1922" t="s">
        <v>146</v>
      </c>
      <c r="H185" s="1922" t="s">
        <v>146</v>
      </c>
      <c r="I185" s="1922" t="s">
        <v>146</v>
      </c>
      <c r="J185" s="1922"/>
      <c r="K185" s="1922"/>
      <c r="L185" s="1922" t="s">
        <v>146</v>
      </c>
      <c r="M185" s="1922" t="s">
        <v>146</v>
      </c>
      <c r="N185" s="1922" t="s">
        <v>146</v>
      </c>
      <c r="O185" s="1922" t="s">
        <v>146</v>
      </c>
      <c r="P185" s="1922" t="s">
        <v>146</v>
      </c>
      <c r="Q185" s="1922"/>
      <c r="R185" s="1922"/>
      <c r="S185" s="1922" t="s">
        <v>146</v>
      </c>
      <c r="T185" s="1922" t="s">
        <v>146</v>
      </c>
      <c r="U185" s="1922" t="s">
        <v>146</v>
      </c>
      <c r="V185" s="1922" t="s">
        <v>146</v>
      </c>
      <c r="W185" s="1922" t="s">
        <v>146</v>
      </c>
      <c r="X185" s="1922"/>
      <c r="Y185" s="1922"/>
      <c r="Z185" s="2455" t="s">
        <v>146</v>
      </c>
      <c r="AA185" s="2455" t="s">
        <v>146</v>
      </c>
      <c r="AB185" s="2455" t="s">
        <v>146</v>
      </c>
      <c r="AC185" s="2455" t="s">
        <v>146</v>
      </c>
      <c r="AD185" s="2455" t="s">
        <v>146</v>
      </c>
      <c r="AE185" s="2455"/>
      <c r="AF185" s="1922"/>
      <c r="AG185" s="1615"/>
      <c r="AH185" s="25"/>
      <c r="AI185" s="25"/>
    </row>
    <row r="186" spans="1:35" ht="24.75" customHeight="1">
      <c r="A186" s="36"/>
      <c r="B186" s="2456" t="s">
        <v>277</v>
      </c>
      <c r="C186" s="2457"/>
      <c r="D186" s="2457"/>
      <c r="E186" s="2457" t="s">
        <v>136</v>
      </c>
      <c r="F186" s="2457" t="s">
        <v>136</v>
      </c>
      <c r="G186" s="2457" t="s">
        <v>136</v>
      </c>
      <c r="H186" s="2457" t="s">
        <v>136</v>
      </c>
      <c r="I186" s="2457" t="s">
        <v>136</v>
      </c>
      <c r="J186" s="2457"/>
      <c r="K186" s="2457"/>
      <c r="L186" s="2457" t="s">
        <v>136</v>
      </c>
      <c r="M186" s="2457" t="s">
        <v>136</v>
      </c>
      <c r="N186" s="2457" t="s">
        <v>136</v>
      </c>
      <c r="O186" s="2457" t="s">
        <v>136</v>
      </c>
      <c r="P186" s="2457" t="s">
        <v>136</v>
      </c>
      <c r="Q186" s="2457"/>
      <c r="R186" s="2457"/>
      <c r="S186" s="2457" t="s">
        <v>136</v>
      </c>
      <c r="T186" s="2457" t="s">
        <v>136</v>
      </c>
      <c r="U186" s="2457" t="s">
        <v>136</v>
      </c>
      <c r="V186" s="2457" t="s">
        <v>136</v>
      </c>
      <c r="W186" s="2457" t="s">
        <v>136</v>
      </c>
      <c r="X186" s="2457"/>
      <c r="Y186" s="2457"/>
      <c r="Z186" s="2457" t="s">
        <v>136</v>
      </c>
      <c r="AA186" s="2457" t="s">
        <v>136</v>
      </c>
      <c r="AB186" s="2457" t="s">
        <v>136</v>
      </c>
      <c r="AC186" s="2457" t="s">
        <v>136</v>
      </c>
      <c r="AD186" s="2457" t="s">
        <v>136</v>
      </c>
      <c r="AE186" s="2457"/>
      <c r="AF186" s="2457"/>
      <c r="AG186" s="2458"/>
      <c r="AH186" s="25"/>
      <c r="AI186" s="25"/>
    </row>
    <row r="187" spans="1:35" ht="24.75" customHeight="1">
      <c r="A187" s="36"/>
      <c r="B187" s="1925" t="s">
        <v>278</v>
      </c>
      <c r="C187" s="2446"/>
      <c r="D187" s="2446"/>
      <c r="E187" s="2446" t="s">
        <v>112</v>
      </c>
      <c r="F187" s="2446" t="s">
        <v>112</v>
      </c>
      <c r="G187" s="2446" t="s">
        <v>112</v>
      </c>
      <c r="H187" s="2446" t="s">
        <v>112</v>
      </c>
      <c r="I187" s="2446" t="s">
        <v>112</v>
      </c>
      <c r="J187" s="2446"/>
      <c r="K187" s="2446"/>
      <c r="L187" s="2446" t="s">
        <v>112</v>
      </c>
      <c r="M187" s="2446" t="s">
        <v>112</v>
      </c>
      <c r="N187" s="2446" t="s">
        <v>112</v>
      </c>
      <c r="O187" s="2446" t="s">
        <v>112</v>
      </c>
      <c r="P187" s="2446" t="s">
        <v>112</v>
      </c>
      <c r="Q187" s="2446"/>
      <c r="R187" s="2446"/>
      <c r="S187" s="2446" t="s">
        <v>112</v>
      </c>
      <c r="T187" s="2446" t="s">
        <v>112</v>
      </c>
      <c r="U187" s="2446" t="s">
        <v>112</v>
      </c>
      <c r="V187" s="2446" t="s">
        <v>112</v>
      </c>
      <c r="W187" s="2446" t="s">
        <v>112</v>
      </c>
      <c r="X187" s="2446"/>
      <c r="Y187" s="2446"/>
      <c r="Z187" s="2446" t="s">
        <v>112</v>
      </c>
      <c r="AA187" s="2446" t="s">
        <v>112</v>
      </c>
      <c r="AB187" s="2446" t="s">
        <v>112</v>
      </c>
      <c r="AC187" s="2446" t="s">
        <v>112</v>
      </c>
      <c r="AD187" s="2446" t="s">
        <v>112</v>
      </c>
      <c r="AE187" s="2446"/>
      <c r="AF187" s="2446"/>
      <c r="AG187" s="2446"/>
      <c r="AH187" s="76"/>
      <c r="AI187" s="76"/>
    </row>
    <row r="188" spans="1:35" ht="24.75" customHeight="1" thickBot="1">
      <c r="A188" s="96"/>
      <c r="B188" s="402" t="s">
        <v>279</v>
      </c>
      <c r="C188" s="1917"/>
      <c r="D188" s="1917"/>
      <c r="E188" s="1917" t="s">
        <v>433</v>
      </c>
      <c r="F188" s="1744" t="s">
        <v>261</v>
      </c>
      <c r="G188" s="1744" t="s">
        <v>261</v>
      </c>
      <c r="H188" s="1744" t="s">
        <v>261</v>
      </c>
      <c r="I188" s="1744" t="s">
        <v>261</v>
      </c>
      <c r="J188" s="1744"/>
      <c r="K188" s="1744"/>
      <c r="L188" s="1846" t="s">
        <v>261</v>
      </c>
      <c r="M188" s="1846" t="s">
        <v>261</v>
      </c>
      <c r="N188" s="1846" t="s">
        <v>261</v>
      </c>
      <c r="O188" s="1846" t="s">
        <v>261</v>
      </c>
      <c r="P188" s="1846" t="s">
        <v>261</v>
      </c>
      <c r="Q188" s="1744"/>
      <c r="R188" s="1744"/>
      <c r="S188" s="1744" t="s">
        <v>261</v>
      </c>
      <c r="T188" s="1744" t="s">
        <v>261</v>
      </c>
      <c r="U188" s="1744" t="s">
        <v>261</v>
      </c>
      <c r="V188" s="1744" t="s">
        <v>261</v>
      </c>
      <c r="W188" s="1744" t="s">
        <v>261</v>
      </c>
      <c r="X188" s="1744"/>
      <c r="Y188" s="1744"/>
      <c r="Z188" s="1744" t="s">
        <v>261</v>
      </c>
      <c r="AA188" s="1744" t="s">
        <v>261</v>
      </c>
      <c r="AB188" s="1744" t="s">
        <v>261</v>
      </c>
      <c r="AC188" s="1744" t="s">
        <v>261</v>
      </c>
      <c r="AD188" s="2454" t="s">
        <v>261</v>
      </c>
      <c r="AE188" s="1744"/>
      <c r="AF188" s="1744"/>
      <c r="AG188" s="1744"/>
      <c r="AH188" s="99"/>
    </row>
    <row r="189" spans="1:35" ht="24.75" customHeight="1" thickBot="1">
      <c r="A189" s="1" t="s">
        <v>280</v>
      </c>
      <c r="B189" s="42"/>
      <c r="C189" s="100"/>
      <c r="D189" s="100"/>
      <c r="E189" s="100"/>
      <c r="F189" s="100"/>
      <c r="G189" s="100"/>
      <c r="H189" s="100"/>
      <c r="I189" s="100"/>
      <c r="J189" s="100"/>
      <c r="K189" s="100"/>
      <c r="L189" s="100"/>
      <c r="M189" s="100"/>
      <c r="N189" s="100"/>
      <c r="O189" s="100"/>
      <c r="P189" s="100"/>
      <c r="Q189" s="100"/>
      <c r="R189" s="100"/>
      <c r="S189" s="100"/>
      <c r="T189" s="100"/>
      <c r="U189" s="100"/>
      <c r="V189" s="100"/>
      <c r="W189" s="100"/>
      <c r="X189" s="100"/>
      <c r="Y189" s="100"/>
      <c r="Z189" s="100"/>
      <c r="AA189" s="100"/>
      <c r="AB189" s="100"/>
      <c r="AC189" s="100"/>
      <c r="AD189" s="100"/>
      <c r="AE189" s="100"/>
      <c r="AF189" s="100"/>
      <c r="AG189" s="100"/>
    </row>
    <row r="190" spans="1:35" ht="24.75" customHeight="1">
      <c r="A190" s="1"/>
      <c r="B190" s="2078" t="s">
        <v>281</v>
      </c>
      <c r="C190" s="2459" t="s">
        <v>87</v>
      </c>
      <c r="D190" s="2459"/>
      <c r="E190" s="2459"/>
      <c r="F190" s="2459"/>
      <c r="G190" s="2460" t="s">
        <v>88</v>
      </c>
      <c r="H190" s="2459"/>
      <c r="I190" s="2459"/>
      <c r="J190" s="2459"/>
      <c r="K190" s="2460" t="s">
        <v>89</v>
      </c>
      <c r="L190" s="2459"/>
      <c r="M190" s="2459"/>
      <c r="N190" s="2459"/>
      <c r="O190" s="2460" t="s">
        <v>90</v>
      </c>
      <c r="P190" s="2459"/>
      <c r="Q190" s="2459"/>
      <c r="R190" s="2459"/>
      <c r="S190" s="2460" t="s">
        <v>91</v>
      </c>
      <c r="T190" s="2459"/>
      <c r="U190" s="2459"/>
      <c r="V190" s="2459"/>
      <c r="W190" s="2461" t="s">
        <v>92</v>
      </c>
      <c r="X190" s="705"/>
      <c r="Y190" s="2459"/>
      <c r="Z190" s="2462"/>
      <c r="AA190" s="2461" t="s">
        <v>93</v>
      </c>
      <c r="AB190" s="705"/>
      <c r="AC190" s="2459"/>
      <c r="AD190" s="2462"/>
      <c r="AE190" s="2463" t="s">
        <v>94</v>
      </c>
      <c r="AF190" s="2459"/>
      <c r="AG190" s="2459"/>
      <c r="AH190" s="2459"/>
      <c r="AI190" s="706"/>
    </row>
    <row r="191" spans="1:35" ht="24.75" customHeight="1">
      <c r="A191" s="1"/>
      <c r="B191" s="1665">
        <v>3701</v>
      </c>
      <c r="C191" s="87" t="s">
        <v>282</v>
      </c>
      <c r="D191" s="87"/>
      <c r="E191" s="87"/>
      <c r="F191" s="87"/>
      <c r="G191" s="1012" t="s">
        <v>283</v>
      </c>
      <c r="H191" s="87"/>
      <c r="I191" s="87"/>
      <c r="J191" s="87"/>
      <c r="K191" s="1012" t="s">
        <v>283</v>
      </c>
      <c r="L191" s="87"/>
      <c r="M191" s="87"/>
      <c r="N191" s="87"/>
      <c r="O191" s="1012" t="s">
        <v>283</v>
      </c>
      <c r="P191" s="87"/>
      <c r="Q191" s="87"/>
      <c r="R191" s="87"/>
      <c r="S191" s="1012" t="s">
        <v>284</v>
      </c>
      <c r="T191" s="87"/>
      <c r="U191" s="87"/>
      <c r="V191" s="87"/>
      <c r="W191" s="2094"/>
      <c r="X191" s="2095"/>
      <c r="Y191" s="2096"/>
      <c r="Z191" s="2097"/>
      <c r="AA191" s="2094"/>
      <c r="AB191" s="2095"/>
      <c r="AC191" s="2096"/>
      <c r="AD191" s="2097"/>
      <c r="AE191" s="2098"/>
      <c r="AF191" s="2096"/>
      <c r="AG191" s="2096"/>
      <c r="AH191" s="2096"/>
      <c r="AI191" s="2099"/>
    </row>
    <row r="192" spans="1:35" ht="24.75" customHeight="1">
      <c r="A192" s="2464"/>
      <c r="B192" s="2078"/>
      <c r="C192" s="2465"/>
      <c r="D192" s="2466"/>
      <c r="E192" s="2466"/>
      <c r="F192" s="2084"/>
      <c r="G192" s="2465"/>
      <c r="H192" s="2466"/>
      <c r="I192" s="2466"/>
      <c r="J192" s="2084"/>
      <c r="K192" s="2465"/>
      <c r="L192" s="2466"/>
      <c r="M192" s="2466"/>
      <c r="N192" s="2084"/>
      <c r="O192" s="2465"/>
      <c r="P192" s="2466"/>
      <c r="Q192" s="2466"/>
      <c r="R192" s="2084"/>
      <c r="S192" s="2465"/>
      <c r="T192" s="2466"/>
      <c r="U192" s="2466"/>
      <c r="V192" s="2466"/>
      <c r="W192" s="2094"/>
      <c r="X192" s="2095"/>
      <c r="Y192" s="2096"/>
      <c r="Z192" s="2097"/>
      <c r="AA192" s="2094"/>
      <c r="AB192" s="2095"/>
      <c r="AC192" s="2096"/>
      <c r="AD192" s="2097"/>
      <c r="AE192" s="2098"/>
      <c r="AF192" s="2096"/>
      <c r="AG192" s="2096"/>
      <c r="AH192" s="2096"/>
      <c r="AI192" s="2099"/>
    </row>
    <row r="193" spans="1:35" ht="24.75" customHeight="1">
      <c r="A193" s="2464"/>
      <c r="B193" s="2078"/>
      <c r="C193" s="2465"/>
      <c r="D193" s="2466"/>
      <c r="E193" s="2466"/>
      <c r="F193" s="2084"/>
      <c r="G193" s="2465"/>
      <c r="H193" s="2466"/>
      <c r="I193" s="2466"/>
      <c r="J193" s="2084"/>
      <c r="K193" s="2465"/>
      <c r="L193" s="2466"/>
      <c r="M193" s="2466"/>
      <c r="N193" s="2084"/>
      <c r="O193" s="2465"/>
      <c r="P193" s="2466"/>
      <c r="Q193" s="2466"/>
      <c r="R193" s="2084"/>
      <c r="S193" s="2465"/>
      <c r="T193" s="2466"/>
      <c r="U193" s="2466"/>
      <c r="V193" s="2466"/>
      <c r="W193" s="2094"/>
      <c r="X193" s="2095"/>
      <c r="Y193" s="2096"/>
      <c r="Z193" s="2097"/>
      <c r="AA193" s="2094"/>
      <c r="AB193" s="2095"/>
      <c r="AC193" s="2096"/>
      <c r="AD193" s="2097"/>
      <c r="AE193" s="2098"/>
      <c r="AF193" s="2096"/>
      <c r="AG193" s="2096"/>
      <c r="AH193" s="2096"/>
      <c r="AI193" s="2099"/>
    </row>
    <row r="194" spans="1:35" ht="24.75" customHeight="1" thickBot="1">
      <c r="A194" s="411"/>
      <c r="B194" s="412"/>
      <c r="C194" s="2467"/>
      <c r="D194" s="1642"/>
      <c r="E194" s="1642"/>
      <c r="F194" s="2468"/>
      <c r="G194" s="2467"/>
      <c r="H194" s="1642"/>
      <c r="I194" s="1642"/>
      <c r="J194" s="2468"/>
      <c r="K194" s="2467"/>
      <c r="L194" s="1642"/>
      <c r="M194" s="1642"/>
      <c r="N194" s="2468"/>
      <c r="O194" s="2467"/>
      <c r="P194" s="1642"/>
      <c r="Q194" s="1642"/>
      <c r="R194" s="2468"/>
      <c r="S194" s="2467"/>
      <c r="T194" s="1642"/>
      <c r="U194" s="1642"/>
      <c r="V194" s="1642"/>
      <c r="W194" s="2469"/>
      <c r="X194" s="2470"/>
      <c r="Y194" s="2471"/>
      <c r="Z194" s="2472"/>
      <c r="AA194" s="2469"/>
      <c r="AB194" s="2470"/>
      <c r="AC194" s="2471"/>
      <c r="AD194" s="2472"/>
      <c r="AE194" s="2405"/>
      <c r="AF194" s="2274"/>
      <c r="AG194" s="2274"/>
      <c r="AH194" s="2274"/>
      <c r="AI194" s="2277"/>
    </row>
    <row r="195" spans="1:35" ht="24.75" customHeight="1">
      <c r="A195" s="1"/>
      <c r="B195" s="42"/>
      <c r="C195" s="87"/>
      <c r="D195" s="87"/>
      <c r="E195" s="87"/>
      <c r="F195" s="87"/>
      <c r="G195" s="87"/>
      <c r="H195" s="87"/>
      <c r="I195" s="87"/>
      <c r="J195" s="87"/>
      <c r="K195" s="87"/>
      <c r="L195" s="87"/>
      <c r="M195" s="87"/>
      <c r="N195" s="87"/>
      <c r="O195" s="87"/>
      <c r="P195" s="87"/>
      <c r="Q195" s="87"/>
      <c r="R195" s="87"/>
      <c r="S195" s="87"/>
      <c r="T195" s="87"/>
      <c r="U195" s="87"/>
      <c r="V195" s="87"/>
      <c r="W195" s="87"/>
      <c r="X195" s="37"/>
      <c r="Y195" s="87"/>
      <c r="Z195" s="87"/>
      <c r="AA195" s="87"/>
      <c r="AB195" s="37"/>
      <c r="AC195" s="87"/>
      <c r="AD195" s="87"/>
      <c r="AE195" s="37"/>
      <c r="AF195" s="87"/>
      <c r="AG195" s="87"/>
      <c r="AH195" s="87"/>
    </row>
    <row r="196" spans="1:35" ht="24.75" customHeight="1">
      <c r="AG196" s="87"/>
      <c r="AH196" s="87"/>
    </row>
    <row r="197" spans="1:35" ht="24.75" customHeight="1">
      <c r="B197" s="2078">
        <v>3700</v>
      </c>
      <c r="C197" s="2096" t="s">
        <v>181</v>
      </c>
      <c r="D197" s="2096"/>
      <c r="E197" s="2096"/>
      <c r="F197" s="2096"/>
      <c r="G197" s="2473" t="s">
        <v>181</v>
      </c>
      <c r="H197" s="2096"/>
      <c r="I197" s="2096"/>
      <c r="J197" s="2096"/>
      <c r="K197" s="2473" t="s">
        <v>181</v>
      </c>
      <c r="L197" s="2096"/>
      <c r="M197" s="2096"/>
      <c r="N197" s="2096"/>
      <c r="O197" s="2473" t="s">
        <v>181</v>
      </c>
      <c r="P197" s="2096"/>
      <c r="Q197" s="2096"/>
      <c r="R197" s="2096"/>
      <c r="S197" s="2473" t="s">
        <v>182</v>
      </c>
      <c r="T197" s="2096"/>
      <c r="U197" s="2096"/>
      <c r="V197" s="2096"/>
      <c r="W197" s="2096"/>
      <c r="X197" s="2473"/>
      <c r="Y197" s="2096"/>
      <c r="Z197" s="2113"/>
      <c r="AA197" s="2098"/>
      <c r="AB197" s="2096"/>
      <c r="AC197" s="2096"/>
      <c r="AD197" s="2114"/>
      <c r="AE197" s="2474"/>
      <c r="AF197" s="2096"/>
      <c r="AG197" s="2096"/>
      <c r="AH197" s="2114"/>
      <c r="AI197" s="2099"/>
    </row>
    <row r="198" spans="1:35" ht="24.75" customHeight="1">
      <c r="A198" s="1"/>
      <c r="B198" s="2078">
        <v>8514</v>
      </c>
      <c r="C198" s="2096" t="s">
        <v>283</v>
      </c>
      <c r="D198" s="2096"/>
      <c r="E198" s="2096"/>
      <c r="F198" s="2096"/>
      <c r="G198" s="2473" t="s">
        <v>283</v>
      </c>
      <c r="H198" s="2096"/>
      <c r="I198" s="2096"/>
      <c r="J198" s="2096"/>
      <c r="K198" s="2473" t="s">
        <v>283</v>
      </c>
      <c r="L198" s="2096"/>
      <c r="M198" s="2096"/>
      <c r="N198" s="2096"/>
      <c r="O198" s="2473" t="s">
        <v>283</v>
      </c>
      <c r="P198" s="2096"/>
      <c r="Q198" s="2096"/>
      <c r="R198" s="2096"/>
      <c r="S198" s="2473" t="s">
        <v>285</v>
      </c>
      <c r="T198" s="2096"/>
      <c r="U198" s="2096"/>
      <c r="V198" s="2096"/>
      <c r="W198" s="2096"/>
      <c r="X198" s="2473"/>
      <c r="Y198" s="2096"/>
      <c r="Z198" s="2113"/>
      <c r="AA198" s="2303"/>
      <c r="AB198" s="2096"/>
      <c r="AC198" s="2096"/>
      <c r="AD198" s="2114"/>
      <c r="AE198" s="2303"/>
      <c r="AF198" s="2096"/>
      <c r="AG198" s="2096"/>
      <c r="AH198" s="2114"/>
      <c r="AI198" s="2099"/>
    </row>
    <row r="199" spans="1:35" ht="24.75" customHeight="1">
      <c r="A199" s="1"/>
      <c r="B199" s="2078">
        <v>8500</v>
      </c>
      <c r="C199" s="101" t="s">
        <v>286</v>
      </c>
      <c r="D199" s="101"/>
      <c r="E199" s="101"/>
      <c r="F199" s="101"/>
      <c r="G199" s="102" t="s">
        <v>286</v>
      </c>
      <c r="H199" s="101"/>
      <c r="I199" s="101"/>
      <c r="J199" s="101"/>
      <c r="K199" s="102" t="s">
        <v>286</v>
      </c>
      <c r="L199" s="101"/>
      <c r="M199" s="101"/>
      <c r="N199" s="101"/>
      <c r="O199" s="102" t="s">
        <v>286</v>
      </c>
      <c r="P199" s="101"/>
      <c r="Q199" s="101"/>
      <c r="R199" s="101"/>
      <c r="S199" s="102" t="s">
        <v>287</v>
      </c>
      <c r="T199" s="101"/>
      <c r="U199" s="101"/>
      <c r="V199" s="101"/>
      <c r="W199" s="101"/>
      <c r="X199" s="102"/>
      <c r="Y199" s="101"/>
      <c r="Z199" s="103"/>
      <c r="AA199" s="104"/>
      <c r="AB199" s="101"/>
      <c r="AC199" s="101"/>
      <c r="AD199" s="103"/>
      <c r="AE199" s="104"/>
      <c r="AF199" s="101"/>
      <c r="AG199" s="101"/>
      <c r="AH199" s="41"/>
      <c r="AI199" s="105"/>
    </row>
    <row r="200" spans="1:35" ht="24.75" customHeight="1">
      <c r="A200" s="1"/>
      <c r="B200" s="2078">
        <v>8514</v>
      </c>
      <c r="C200" s="106" t="s">
        <v>283</v>
      </c>
      <c r="D200" s="106"/>
      <c r="E200" s="106"/>
      <c r="F200" s="106"/>
      <c r="G200" s="107" t="s">
        <v>283</v>
      </c>
      <c r="H200" s="106"/>
      <c r="I200" s="106"/>
      <c r="J200" s="106"/>
      <c r="K200" s="107" t="s">
        <v>283</v>
      </c>
      <c r="L200" s="106"/>
      <c r="M200" s="106"/>
      <c r="N200" s="106"/>
      <c r="O200" s="107" t="s">
        <v>283</v>
      </c>
      <c r="P200" s="106"/>
      <c r="Q200" s="106"/>
      <c r="R200" s="106"/>
      <c r="S200" s="107" t="s">
        <v>285</v>
      </c>
      <c r="T200" s="106"/>
      <c r="U200" s="106"/>
      <c r="V200" s="106"/>
      <c r="W200" s="106"/>
      <c r="X200" s="108"/>
      <c r="Y200" s="101"/>
      <c r="Z200" s="109"/>
      <c r="AA200" s="110"/>
      <c r="AB200" s="111"/>
      <c r="AC200" s="101"/>
      <c r="AD200" s="101"/>
      <c r="AE200" s="112"/>
      <c r="AF200" s="101"/>
      <c r="AG200" s="101"/>
      <c r="AH200" s="101"/>
      <c r="AI200" s="105"/>
    </row>
    <row r="201" spans="1:35" ht="24.75" customHeight="1" thickBot="1">
      <c r="A201" s="1"/>
      <c r="B201" s="1686" t="s">
        <v>288</v>
      </c>
      <c r="C201" s="2274" t="s">
        <v>289</v>
      </c>
      <c r="D201" s="2274"/>
      <c r="E201" s="2274"/>
      <c r="F201" s="2274"/>
      <c r="G201" s="2475" t="s">
        <v>289</v>
      </c>
      <c r="H201" s="2274"/>
      <c r="I201" s="2274"/>
      <c r="J201" s="2274"/>
      <c r="K201" s="2476" t="s">
        <v>289</v>
      </c>
      <c r="L201" s="2274"/>
      <c r="M201" s="2274"/>
      <c r="N201" s="2274"/>
      <c r="O201" s="2475" t="s">
        <v>289</v>
      </c>
      <c r="P201" s="2274"/>
      <c r="Q201" s="2274"/>
      <c r="R201" s="2274"/>
      <c r="S201" s="2475" t="s">
        <v>290</v>
      </c>
      <c r="T201" s="2274"/>
      <c r="U201" s="2274"/>
      <c r="V201" s="2274"/>
      <c r="W201" s="2274"/>
      <c r="X201" s="2475"/>
      <c r="Y201" s="2274"/>
      <c r="Z201" s="2429"/>
      <c r="AA201" s="2405"/>
      <c r="AB201" s="2274"/>
      <c r="AC201" s="2274"/>
      <c r="AD201" s="2412"/>
      <c r="AE201" s="2477"/>
      <c r="AF201" s="2274"/>
      <c r="AG201" s="2274"/>
      <c r="AH201" s="2412"/>
      <c r="AI201" s="2277"/>
    </row>
    <row r="202" spans="1:35" ht="24.75" customHeight="1">
      <c r="A202" s="1"/>
      <c r="B202" s="113"/>
      <c r="C202" s="37"/>
      <c r="D202" s="87"/>
      <c r="E202" s="87"/>
      <c r="F202" s="22"/>
      <c r="G202" s="37"/>
      <c r="H202" s="87"/>
      <c r="I202" s="87"/>
      <c r="J202" s="22"/>
      <c r="K202" s="37"/>
      <c r="L202" s="87"/>
      <c r="M202" s="87"/>
      <c r="N202" s="22"/>
      <c r="O202" s="37"/>
      <c r="P202" s="87"/>
      <c r="Q202" s="87"/>
      <c r="R202" s="22"/>
      <c r="S202" s="37"/>
      <c r="T202" s="87"/>
      <c r="U202" s="87"/>
      <c r="V202" s="22"/>
      <c r="W202" s="22"/>
      <c r="Z202" s="22"/>
      <c r="AA202" s="22"/>
      <c r="AD202" s="22"/>
      <c r="AE202" s="22"/>
      <c r="AH202" s="22"/>
    </row>
    <row r="203" spans="1:35" ht="24.75" customHeight="1">
      <c r="A203" s="1" t="s">
        <v>291</v>
      </c>
      <c r="B203" s="113"/>
      <c r="C203" s="37"/>
      <c r="D203" s="87"/>
      <c r="E203" s="87"/>
      <c r="F203" s="22"/>
      <c r="G203" s="37"/>
      <c r="H203" s="87"/>
      <c r="I203" s="87"/>
      <c r="J203" s="22"/>
      <c r="K203" s="37"/>
      <c r="L203" s="87"/>
      <c r="M203" s="87"/>
      <c r="N203" s="22"/>
      <c r="O203" s="37"/>
      <c r="P203" s="87"/>
      <c r="Q203" s="87"/>
      <c r="R203" s="22"/>
      <c r="S203" s="37"/>
      <c r="T203" s="87"/>
      <c r="U203" s="87"/>
      <c r="V203" s="22"/>
      <c r="W203" s="22"/>
      <c r="Z203" s="22"/>
      <c r="AA203" s="22"/>
      <c r="AD203" s="22"/>
      <c r="AE203" s="22"/>
      <c r="AH203" s="22"/>
    </row>
    <row r="204" spans="1:35" ht="24.75" customHeight="1" thickBot="1">
      <c r="A204" s="2120"/>
      <c r="B204" s="2121" t="s">
        <v>29</v>
      </c>
      <c r="C204" s="2122">
        <v>1</v>
      </c>
      <c r="D204" s="2122">
        <v>2</v>
      </c>
      <c r="E204" s="2123">
        <v>3</v>
      </c>
      <c r="F204" s="2123">
        <v>4</v>
      </c>
      <c r="G204" s="2123">
        <v>5</v>
      </c>
      <c r="H204" s="2123">
        <v>6</v>
      </c>
      <c r="I204" s="2123">
        <v>7</v>
      </c>
      <c r="J204" s="2122">
        <v>8</v>
      </c>
      <c r="K204" s="2122">
        <v>9</v>
      </c>
      <c r="L204" s="2123">
        <v>10</v>
      </c>
      <c r="M204" s="2123">
        <v>11</v>
      </c>
      <c r="N204" s="2123">
        <v>12</v>
      </c>
      <c r="O204" s="2123">
        <v>13</v>
      </c>
      <c r="P204" s="2123">
        <v>14</v>
      </c>
      <c r="Q204" s="2122">
        <v>15</v>
      </c>
      <c r="R204" s="2122">
        <v>16</v>
      </c>
      <c r="S204" s="2123">
        <v>17</v>
      </c>
      <c r="T204" s="2123">
        <v>18</v>
      </c>
      <c r="U204" s="2123">
        <v>19</v>
      </c>
      <c r="V204" s="2123">
        <v>20</v>
      </c>
      <c r="W204" s="2123">
        <v>21</v>
      </c>
      <c r="X204" s="2122">
        <v>22</v>
      </c>
      <c r="Y204" s="2122">
        <v>23</v>
      </c>
      <c r="Z204" s="2123">
        <v>24</v>
      </c>
      <c r="AA204" s="2123">
        <v>25</v>
      </c>
      <c r="AB204" s="2123">
        <v>26</v>
      </c>
      <c r="AC204" s="2123">
        <v>27</v>
      </c>
      <c r="AD204" s="2123">
        <v>28</v>
      </c>
      <c r="AE204" s="2122">
        <v>29</v>
      </c>
      <c r="AF204" s="2123"/>
      <c r="AG204" s="2124"/>
      <c r="AH204" s="23"/>
      <c r="AI204" s="24"/>
    </row>
    <row r="205" spans="1:35" ht="24.75" customHeight="1">
      <c r="A205" s="2478"/>
      <c r="B205" s="2479" t="s">
        <v>292</v>
      </c>
      <c r="C205" s="1053"/>
      <c r="D205" s="2480"/>
      <c r="E205" s="1053" t="s">
        <v>31</v>
      </c>
      <c r="F205" s="2481" t="s">
        <v>31</v>
      </c>
      <c r="G205" s="1053" t="s">
        <v>31</v>
      </c>
      <c r="H205" s="1053" t="s">
        <v>31</v>
      </c>
      <c r="I205" s="1053" t="s">
        <v>31</v>
      </c>
      <c r="J205" s="1053"/>
      <c r="K205" s="1053"/>
      <c r="L205" s="1053" t="s">
        <v>31</v>
      </c>
      <c r="M205" s="1053" t="s">
        <v>31</v>
      </c>
      <c r="N205" s="1053" t="s">
        <v>31</v>
      </c>
      <c r="O205" s="1648" t="s">
        <v>31</v>
      </c>
      <c r="P205" s="1053" t="s">
        <v>31</v>
      </c>
      <c r="Q205" s="1053"/>
      <c r="R205" s="1053"/>
      <c r="S205" s="1648" t="s">
        <v>31</v>
      </c>
      <c r="T205" s="1053" t="s">
        <v>31</v>
      </c>
      <c r="U205" s="1053" t="s">
        <v>31</v>
      </c>
      <c r="V205" s="1053" t="s">
        <v>31</v>
      </c>
      <c r="W205" s="1053" t="s">
        <v>31</v>
      </c>
      <c r="X205" s="1053"/>
      <c r="Y205" s="1053"/>
      <c r="Z205" s="1053" t="s">
        <v>31</v>
      </c>
      <c r="AA205" s="1053" t="s">
        <v>31</v>
      </c>
      <c r="AB205" s="1053" t="s">
        <v>31</v>
      </c>
      <c r="AC205" s="1053" t="s">
        <v>31</v>
      </c>
      <c r="AD205" s="1053" t="s">
        <v>31</v>
      </c>
      <c r="AE205" s="1053"/>
      <c r="AF205" s="1053"/>
      <c r="AG205" s="397"/>
      <c r="AH205" s="23"/>
      <c r="AI205" s="24"/>
    </row>
    <row r="206" spans="1:35" ht="24.75" customHeight="1">
      <c r="A206" s="1692"/>
      <c r="B206" s="1693" t="s">
        <v>293</v>
      </c>
      <c r="C206" s="1744"/>
      <c r="D206" s="1694"/>
      <c r="E206" s="1744" t="s">
        <v>31</v>
      </c>
      <c r="F206" s="1919" t="s">
        <v>304</v>
      </c>
      <c r="G206" s="1712" t="s">
        <v>31</v>
      </c>
      <c r="H206" s="1712" t="s">
        <v>31</v>
      </c>
      <c r="I206" s="1712" t="s">
        <v>31</v>
      </c>
      <c r="J206" s="1744"/>
      <c r="K206" s="1744"/>
      <c r="L206" s="1744" t="s">
        <v>31</v>
      </c>
      <c r="M206" s="1744" t="s">
        <v>31</v>
      </c>
      <c r="N206" s="1744" t="s">
        <v>31</v>
      </c>
      <c r="O206" s="1744" t="s">
        <v>31</v>
      </c>
      <c r="P206" s="1744" t="s">
        <v>31</v>
      </c>
      <c r="Q206" s="1744"/>
      <c r="R206" s="1744"/>
      <c r="S206" s="1744" t="s">
        <v>31</v>
      </c>
      <c r="T206" s="1744" t="s">
        <v>31</v>
      </c>
      <c r="U206" s="1744" t="s">
        <v>31</v>
      </c>
      <c r="V206" s="1744" t="s">
        <v>31</v>
      </c>
      <c r="W206" s="1744" t="s">
        <v>31</v>
      </c>
      <c r="X206" s="1744"/>
      <c r="Y206" s="1744"/>
      <c r="Z206" s="1744" t="s">
        <v>31</v>
      </c>
      <c r="AA206" s="1744" t="s">
        <v>31</v>
      </c>
      <c r="AB206" s="1744" t="s">
        <v>31</v>
      </c>
      <c r="AC206" s="1744" t="s">
        <v>31</v>
      </c>
      <c r="AD206" s="1744" t="s">
        <v>31</v>
      </c>
      <c r="AE206" s="1744"/>
      <c r="AF206" s="1744"/>
      <c r="AG206" s="1695"/>
      <c r="AH206" s="23"/>
      <c r="AI206" s="24"/>
    </row>
    <row r="207" spans="1:35" ht="24.75" customHeight="1">
      <c r="A207" s="1696">
        <v>8514</v>
      </c>
      <c r="B207" s="1878" t="s">
        <v>393</v>
      </c>
      <c r="C207" s="1744"/>
      <c r="D207" s="1694"/>
      <c r="E207" s="1744" t="s">
        <v>31</v>
      </c>
      <c r="F207" s="1744" t="s">
        <v>31</v>
      </c>
      <c r="G207" s="1744" t="s">
        <v>31</v>
      </c>
      <c r="H207" s="1744" t="s">
        <v>31</v>
      </c>
      <c r="I207" s="1744" t="s">
        <v>31</v>
      </c>
      <c r="J207" s="1744"/>
      <c r="K207" s="1744"/>
      <c r="L207" s="1744" t="s">
        <v>31</v>
      </c>
      <c r="M207" s="1744" t="s">
        <v>31</v>
      </c>
      <c r="N207" s="1744" t="s">
        <v>31</v>
      </c>
      <c r="O207" s="1846" t="s">
        <v>31</v>
      </c>
      <c r="P207" s="1846" t="s">
        <v>31</v>
      </c>
      <c r="Q207" s="1744"/>
      <c r="R207" s="1744"/>
      <c r="S207" s="1744" t="s">
        <v>31</v>
      </c>
      <c r="T207" s="1744" t="s">
        <v>31</v>
      </c>
      <c r="U207" s="1744" t="s">
        <v>31</v>
      </c>
      <c r="V207" s="1744" t="s">
        <v>31</v>
      </c>
      <c r="W207" s="1744" t="s">
        <v>31</v>
      </c>
      <c r="X207" s="1744"/>
      <c r="Y207" s="1744"/>
      <c r="Z207" s="1744" t="s">
        <v>31</v>
      </c>
      <c r="AA207" s="1744" t="s">
        <v>31</v>
      </c>
      <c r="AB207" s="1744" t="s">
        <v>31</v>
      </c>
      <c r="AC207" s="1744" t="s">
        <v>31</v>
      </c>
      <c r="AD207" s="1744" t="s">
        <v>31</v>
      </c>
      <c r="AE207" s="1744"/>
      <c r="AF207" s="1744"/>
      <c r="AG207" s="1695"/>
      <c r="AH207" s="34"/>
      <c r="AI207" s="25"/>
    </row>
    <row r="208" spans="1:35" ht="24.75" customHeight="1">
      <c r="A208" s="1696">
        <v>3701</v>
      </c>
      <c r="B208" s="1878" t="s">
        <v>295</v>
      </c>
      <c r="C208" s="1744"/>
      <c r="D208" s="1744"/>
      <c r="E208" s="1744" t="s">
        <v>31</v>
      </c>
      <c r="F208" s="1744" t="s">
        <v>31</v>
      </c>
      <c r="G208" s="1744" t="s">
        <v>31</v>
      </c>
      <c r="H208" s="1744" t="s">
        <v>31</v>
      </c>
      <c r="I208" s="1697" t="s">
        <v>31</v>
      </c>
      <c r="J208" s="1744"/>
      <c r="K208" s="1744"/>
      <c r="L208" s="1697" t="s">
        <v>31</v>
      </c>
      <c r="M208" s="1697" t="s">
        <v>31</v>
      </c>
      <c r="N208" s="1697" t="s">
        <v>31</v>
      </c>
      <c r="O208" s="1744" t="s">
        <v>31</v>
      </c>
      <c r="P208" s="1744" t="s">
        <v>31</v>
      </c>
      <c r="Q208" s="1744"/>
      <c r="R208" s="1744"/>
      <c r="S208" s="1744" t="s">
        <v>31</v>
      </c>
      <c r="T208" s="1744" t="s">
        <v>31</v>
      </c>
      <c r="U208" s="1744" t="s">
        <v>31</v>
      </c>
      <c r="V208" s="1919" t="s">
        <v>304</v>
      </c>
      <c r="W208" s="1712" t="s">
        <v>31</v>
      </c>
      <c r="X208" s="1712"/>
      <c r="Y208" s="1712"/>
      <c r="Z208" s="1744" t="s">
        <v>31</v>
      </c>
      <c r="AA208" s="1744" t="s">
        <v>31</v>
      </c>
      <c r="AB208" s="1744" t="s">
        <v>31</v>
      </c>
      <c r="AC208" s="1744" t="s">
        <v>31</v>
      </c>
      <c r="AD208" s="1744" t="s">
        <v>31</v>
      </c>
      <c r="AE208" s="1744"/>
      <c r="AF208" s="1744"/>
      <c r="AG208" s="1695"/>
      <c r="AH208" s="34"/>
      <c r="AI208" s="25"/>
    </row>
    <row r="209" spans="1:35" ht="24.75" customHeight="1">
      <c r="A209" s="1696">
        <v>3701</v>
      </c>
      <c r="B209" s="1878" t="s">
        <v>296</v>
      </c>
      <c r="C209" s="1744"/>
      <c r="D209" s="1744"/>
      <c r="E209" s="1744" t="s">
        <v>31</v>
      </c>
      <c r="F209" s="1744" t="s">
        <v>31</v>
      </c>
      <c r="G209" s="1744" t="s">
        <v>31</v>
      </c>
      <c r="H209" s="1744" t="s">
        <v>31</v>
      </c>
      <c r="I209" s="1744" t="s">
        <v>31</v>
      </c>
      <c r="J209" s="1744"/>
      <c r="K209" s="1744"/>
      <c r="L209" s="1744" t="s">
        <v>31</v>
      </c>
      <c r="M209" s="1744" t="s">
        <v>31</v>
      </c>
      <c r="N209" s="1744" t="s">
        <v>31</v>
      </c>
      <c r="O209" s="1846" t="s">
        <v>31</v>
      </c>
      <c r="P209" s="1744" t="s">
        <v>31</v>
      </c>
      <c r="Q209" s="1744"/>
      <c r="R209" s="1744"/>
      <c r="S209" s="1744" t="s">
        <v>31</v>
      </c>
      <c r="T209" s="1744" t="s">
        <v>31</v>
      </c>
      <c r="U209" s="1744" t="s">
        <v>31</v>
      </c>
      <c r="V209" s="1744" t="s">
        <v>31</v>
      </c>
      <c r="W209" s="1744" t="s">
        <v>31</v>
      </c>
      <c r="X209" s="1744"/>
      <c r="Y209" s="1744"/>
      <c r="Z209" s="1744">
        <v>19</v>
      </c>
      <c r="AA209" s="1744">
        <v>19</v>
      </c>
      <c r="AB209" s="1744">
        <v>19</v>
      </c>
      <c r="AC209" s="1744">
        <v>19</v>
      </c>
      <c r="AD209" s="1744">
        <v>19</v>
      </c>
      <c r="AE209" s="1744"/>
      <c r="AF209" s="1744"/>
      <c r="AG209" s="1695"/>
      <c r="AH209" s="34"/>
      <c r="AI209" s="25"/>
    </row>
    <row r="210" spans="1:35" ht="24.75" customHeight="1">
      <c r="A210" s="1696">
        <v>3701</v>
      </c>
      <c r="B210" s="1878" t="s">
        <v>297</v>
      </c>
      <c r="C210" s="1744"/>
      <c r="D210" s="1699"/>
      <c r="E210" s="1744">
        <v>19</v>
      </c>
      <c r="F210" s="1744">
        <v>19</v>
      </c>
      <c r="G210" s="1744">
        <v>19</v>
      </c>
      <c r="H210" s="1744">
        <v>19</v>
      </c>
      <c r="I210" s="1744">
        <v>19</v>
      </c>
      <c r="J210" s="1744"/>
      <c r="K210" s="1744"/>
      <c r="L210" s="1744" t="s">
        <v>31</v>
      </c>
      <c r="M210" s="1697" t="s">
        <v>31</v>
      </c>
      <c r="N210" s="1697" t="s">
        <v>31</v>
      </c>
      <c r="O210" s="1697" t="s">
        <v>31</v>
      </c>
      <c r="P210" s="1697" t="s">
        <v>31</v>
      </c>
      <c r="Q210" s="1744"/>
      <c r="R210" s="1744"/>
      <c r="S210" s="1744" t="s">
        <v>31</v>
      </c>
      <c r="T210" s="1744" t="s">
        <v>31</v>
      </c>
      <c r="U210" s="1744" t="s">
        <v>31</v>
      </c>
      <c r="V210" s="1744" t="s">
        <v>31</v>
      </c>
      <c r="W210" s="1744" t="s">
        <v>31</v>
      </c>
      <c r="X210" s="1744"/>
      <c r="Y210" s="1744"/>
      <c r="Z210" s="1744" t="s">
        <v>31</v>
      </c>
      <c r="AA210" s="1744" t="s">
        <v>31</v>
      </c>
      <c r="AB210" s="1744" t="s">
        <v>31</v>
      </c>
      <c r="AC210" s="1854" t="s">
        <v>31</v>
      </c>
      <c r="AD210" s="1744" t="s">
        <v>31</v>
      </c>
      <c r="AE210" s="1744"/>
      <c r="AF210" s="1744"/>
      <c r="AG210" s="1695"/>
      <c r="AH210" s="34"/>
      <c r="AI210" s="25"/>
    </row>
    <row r="211" spans="1:35" ht="24.75" customHeight="1">
      <c r="A211" s="1696">
        <v>3701</v>
      </c>
      <c r="B211" s="1878" t="s">
        <v>298</v>
      </c>
      <c r="C211" s="1744"/>
      <c r="D211" s="1744"/>
      <c r="E211" s="1744" t="s">
        <v>31</v>
      </c>
      <c r="F211" s="1744" t="s">
        <v>31</v>
      </c>
      <c r="G211" s="1744" t="s">
        <v>31</v>
      </c>
      <c r="H211" s="1744" t="s">
        <v>31</v>
      </c>
      <c r="I211" s="1744" t="s">
        <v>31</v>
      </c>
      <c r="J211" s="1744"/>
      <c r="K211" s="1744"/>
      <c r="L211" s="1744" t="s">
        <v>31</v>
      </c>
      <c r="M211" s="1697" t="s">
        <v>31</v>
      </c>
      <c r="N211" s="1744" t="s">
        <v>31</v>
      </c>
      <c r="O211" s="1744" t="s">
        <v>31</v>
      </c>
      <c r="P211" s="2322" t="s">
        <v>31</v>
      </c>
      <c r="Q211" s="1744"/>
      <c r="R211" s="1744"/>
      <c r="S211" s="1744">
        <v>19</v>
      </c>
      <c r="T211" s="1744">
        <v>19</v>
      </c>
      <c r="U211" s="1744">
        <v>19</v>
      </c>
      <c r="V211" s="1744">
        <v>19</v>
      </c>
      <c r="W211" s="1744">
        <v>19</v>
      </c>
      <c r="X211" s="1744"/>
      <c r="Y211" s="1744"/>
      <c r="Z211" s="1744" t="s">
        <v>31</v>
      </c>
      <c r="AA211" s="1744" t="s">
        <v>31</v>
      </c>
      <c r="AB211" s="1744" t="s">
        <v>31</v>
      </c>
      <c r="AC211" s="1744" t="s">
        <v>31</v>
      </c>
      <c r="AD211" s="1744" t="s">
        <v>31</v>
      </c>
      <c r="AE211" s="1744"/>
      <c r="AF211" s="1744"/>
      <c r="AG211" s="1695"/>
      <c r="AH211" s="34"/>
      <c r="AI211" s="25"/>
    </row>
    <row r="212" spans="1:35" ht="24.75" customHeight="1">
      <c r="A212" s="1696">
        <v>3701</v>
      </c>
      <c r="B212" s="1878" t="s">
        <v>299</v>
      </c>
      <c r="C212" s="1744"/>
      <c r="D212" s="1744"/>
      <c r="E212" s="1744" t="s">
        <v>31</v>
      </c>
      <c r="F212" s="1744" t="s">
        <v>31</v>
      </c>
      <c r="G212" s="1744" t="s">
        <v>31</v>
      </c>
      <c r="H212" s="1744" t="s">
        <v>31</v>
      </c>
      <c r="I212" s="1744" t="s">
        <v>31</v>
      </c>
      <c r="J212" s="1744"/>
      <c r="K212" s="1744"/>
      <c r="L212" s="1744">
        <v>19</v>
      </c>
      <c r="M212" s="1744">
        <v>19</v>
      </c>
      <c r="N212" s="1744">
        <v>19</v>
      </c>
      <c r="O212" s="1744">
        <v>19</v>
      </c>
      <c r="P212" s="2322">
        <v>19</v>
      </c>
      <c r="Q212" s="1744"/>
      <c r="R212" s="1854"/>
      <c r="S212" s="1854" t="s">
        <v>31</v>
      </c>
      <c r="T212" s="1854" t="s">
        <v>31</v>
      </c>
      <c r="U212" s="1744" t="s">
        <v>31</v>
      </c>
      <c r="V212" s="1744" t="s">
        <v>31</v>
      </c>
      <c r="W212" s="1744" t="s">
        <v>31</v>
      </c>
      <c r="X212" s="1744"/>
      <c r="Y212" s="1744"/>
      <c r="Z212" s="1744" t="s">
        <v>31</v>
      </c>
      <c r="AA212" s="1744" t="s">
        <v>31</v>
      </c>
      <c r="AB212" s="1744" t="s">
        <v>31</v>
      </c>
      <c r="AC212" s="1744" t="s">
        <v>31</v>
      </c>
      <c r="AD212" s="1697" t="s">
        <v>31</v>
      </c>
      <c r="AE212" s="1744"/>
      <c r="AF212" s="1744"/>
      <c r="AG212" s="1695"/>
      <c r="AH212" s="34"/>
      <c r="AI212" s="25"/>
    </row>
    <row r="213" spans="1:35" ht="24.75" customHeight="1">
      <c r="A213" s="1696">
        <v>3701</v>
      </c>
      <c r="B213" s="1878" t="s">
        <v>300</v>
      </c>
      <c r="C213" s="1744"/>
      <c r="D213" s="1744"/>
      <c r="E213" s="1744" t="s">
        <v>31</v>
      </c>
      <c r="F213" s="1744" t="s">
        <v>31</v>
      </c>
      <c r="G213" s="1744" t="s">
        <v>31</v>
      </c>
      <c r="H213" s="1744" t="s">
        <v>31</v>
      </c>
      <c r="I213" s="1744" t="s">
        <v>31</v>
      </c>
      <c r="J213" s="1744"/>
      <c r="K213" s="1744"/>
      <c r="L213" s="1846" t="s">
        <v>31</v>
      </c>
      <c r="M213" s="1846" t="s">
        <v>31</v>
      </c>
      <c r="N213" s="1846" t="s">
        <v>31</v>
      </c>
      <c r="O213" s="1846" t="s">
        <v>31</v>
      </c>
      <c r="P213" s="1846" t="s">
        <v>31</v>
      </c>
      <c r="Q213" s="1846"/>
      <c r="R213" s="1846"/>
      <c r="S213" s="1846" t="s">
        <v>31</v>
      </c>
      <c r="T213" s="1846" t="s">
        <v>31</v>
      </c>
      <c r="U213" s="1846" t="s">
        <v>31</v>
      </c>
      <c r="V213" s="1846" t="s">
        <v>31</v>
      </c>
      <c r="W213" s="1846" t="s">
        <v>31</v>
      </c>
      <c r="X213" s="1744"/>
      <c r="Y213" s="1744"/>
      <c r="Z213" s="1744" t="s">
        <v>31</v>
      </c>
      <c r="AA213" s="1744" t="s">
        <v>31</v>
      </c>
      <c r="AB213" s="1744" t="s">
        <v>31</v>
      </c>
      <c r="AC213" s="1917" t="s">
        <v>31</v>
      </c>
      <c r="AD213" s="1917" t="s">
        <v>336</v>
      </c>
      <c r="AE213" s="1744"/>
      <c r="AF213" s="1744"/>
      <c r="AG213" s="1695"/>
      <c r="AH213" s="34"/>
      <c r="AI213" s="25"/>
    </row>
    <row r="214" spans="1:35" ht="24.75" customHeight="1">
      <c r="A214" s="1696">
        <v>3701</v>
      </c>
      <c r="B214" s="1878" t="s">
        <v>301</v>
      </c>
      <c r="C214" s="1744"/>
      <c r="D214" s="1744"/>
      <c r="E214" s="1744" t="s">
        <v>31</v>
      </c>
      <c r="F214" s="1744" t="s">
        <v>31</v>
      </c>
      <c r="G214" s="1744" t="s">
        <v>31</v>
      </c>
      <c r="H214" s="1744" t="s">
        <v>31</v>
      </c>
      <c r="I214" s="1744" t="s">
        <v>31</v>
      </c>
      <c r="J214" s="1749"/>
      <c r="K214" s="1749"/>
      <c r="L214" s="1744" t="s">
        <v>31</v>
      </c>
      <c r="M214" s="1697" t="s">
        <v>31</v>
      </c>
      <c r="N214" s="1697" t="s">
        <v>31</v>
      </c>
      <c r="O214" s="1697" t="s">
        <v>31</v>
      </c>
      <c r="P214" s="1697" t="s">
        <v>31</v>
      </c>
      <c r="Q214" s="1744"/>
      <c r="R214" s="1744"/>
      <c r="S214" s="1744" t="s">
        <v>31</v>
      </c>
      <c r="T214" s="1744" t="s">
        <v>31</v>
      </c>
      <c r="U214" s="1744" t="s">
        <v>31</v>
      </c>
      <c r="V214" s="1744" t="s">
        <v>31</v>
      </c>
      <c r="W214" s="1744" t="s">
        <v>31</v>
      </c>
      <c r="X214" s="1744"/>
      <c r="Y214" s="1744"/>
      <c r="Z214" s="1744" t="s">
        <v>31</v>
      </c>
      <c r="AA214" s="1744" t="s">
        <v>31</v>
      </c>
      <c r="AB214" s="1744" t="s">
        <v>31</v>
      </c>
      <c r="AC214" s="1917" t="s">
        <v>31</v>
      </c>
      <c r="AD214" s="1917" t="s">
        <v>336</v>
      </c>
      <c r="AE214" s="1744"/>
      <c r="AF214" s="1744"/>
      <c r="AG214" s="1695"/>
      <c r="AH214" s="34"/>
      <c r="AI214" s="25"/>
    </row>
    <row r="215" spans="1:35" ht="24.75" customHeight="1">
      <c r="A215" s="1700">
        <v>3701</v>
      </c>
      <c r="B215" s="1878" t="s">
        <v>302</v>
      </c>
      <c r="C215" s="1744"/>
      <c r="D215" s="1744"/>
      <c r="E215" s="1744" t="s">
        <v>31</v>
      </c>
      <c r="F215" s="1744" t="s">
        <v>31</v>
      </c>
      <c r="G215" s="1744" t="s">
        <v>31</v>
      </c>
      <c r="H215" s="2454" t="s">
        <v>31</v>
      </c>
      <c r="I215" s="1744" t="s">
        <v>31</v>
      </c>
      <c r="J215" s="1744"/>
      <c r="K215" s="1744"/>
      <c r="L215" s="1744" t="s">
        <v>31</v>
      </c>
      <c r="M215" s="1744" t="s">
        <v>31</v>
      </c>
      <c r="N215" s="1744" t="s">
        <v>31</v>
      </c>
      <c r="O215" s="1744" t="s">
        <v>31</v>
      </c>
      <c r="P215" s="2454" t="s">
        <v>31</v>
      </c>
      <c r="Q215" s="1744"/>
      <c r="R215" s="1744"/>
      <c r="S215" s="1854" t="s">
        <v>31</v>
      </c>
      <c r="T215" s="1854" t="s">
        <v>31</v>
      </c>
      <c r="U215" s="2482" t="s">
        <v>31</v>
      </c>
      <c r="V215" s="2454" t="s">
        <v>31</v>
      </c>
      <c r="W215" s="2482" t="s">
        <v>31</v>
      </c>
      <c r="X215" s="1744"/>
      <c r="Y215" s="1744"/>
      <c r="Z215" s="2322" t="s">
        <v>31</v>
      </c>
      <c r="AA215" s="2322" t="s">
        <v>31</v>
      </c>
      <c r="AB215" s="2322" t="s">
        <v>31</v>
      </c>
      <c r="AC215" s="1744" t="s">
        <v>31</v>
      </c>
      <c r="AD215" s="1744" t="s">
        <v>31</v>
      </c>
      <c r="AE215" s="1744"/>
      <c r="AF215" s="1744"/>
      <c r="AG215" s="1695"/>
      <c r="AH215" s="34"/>
      <c r="AI215" s="25"/>
    </row>
    <row r="216" spans="1:35" ht="24.75" customHeight="1">
      <c r="A216" s="1696">
        <v>3701</v>
      </c>
      <c r="B216" s="1878" t="s">
        <v>303</v>
      </c>
      <c r="C216" s="1744"/>
      <c r="D216" s="1744"/>
      <c r="E216" s="1744" t="s">
        <v>31</v>
      </c>
      <c r="F216" s="1744" t="s">
        <v>31</v>
      </c>
      <c r="G216" s="1744" t="s">
        <v>31</v>
      </c>
      <c r="H216" s="1744" t="s">
        <v>31</v>
      </c>
      <c r="I216" s="1744" t="s">
        <v>31</v>
      </c>
      <c r="J216" s="1744"/>
      <c r="K216" s="1744"/>
      <c r="L216" s="1744" t="s">
        <v>31</v>
      </c>
      <c r="M216" s="1744" t="s">
        <v>31</v>
      </c>
      <c r="N216" s="1744" t="s">
        <v>31</v>
      </c>
      <c r="O216" s="1744" t="s">
        <v>31</v>
      </c>
      <c r="P216" s="1744" t="s">
        <v>31</v>
      </c>
      <c r="Q216" s="1744"/>
      <c r="R216" s="1702"/>
      <c r="S216" s="1702" t="s">
        <v>31</v>
      </c>
      <c r="T216" s="1702" t="s">
        <v>31</v>
      </c>
      <c r="U216" s="1702" t="s">
        <v>31</v>
      </c>
      <c r="V216" s="1702" t="s">
        <v>31</v>
      </c>
      <c r="W216" s="1699" t="s">
        <v>31</v>
      </c>
      <c r="X216" s="1699"/>
      <c r="Y216" s="1744"/>
      <c r="Z216" s="1744" t="s">
        <v>31</v>
      </c>
      <c r="AA216" s="1744" t="s">
        <v>31</v>
      </c>
      <c r="AB216" s="1744" t="s">
        <v>31</v>
      </c>
      <c r="AC216" s="1744" t="s">
        <v>31</v>
      </c>
      <c r="AD216" s="1699" t="s">
        <v>31</v>
      </c>
      <c r="AE216" s="1699"/>
      <c r="AF216" s="1699"/>
      <c r="AG216" s="1703"/>
      <c r="AH216" s="34"/>
      <c r="AI216" s="25"/>
    </row>
    <row r="217" spans="1:35" ht="24.75" customHeight="1">
      <c r="A217" s="1696">
        <v>3701</v>
      </c>
      <c r="B217" s="1878" t="s">
        <v>305</v>
      </c>
      <c r="C217" s="1704"/>
      <c r="D217" s="1704"/>
      <c r="E217" s="2483" t="s">
        <v>31</v>
      </c>
      <c r="F217" s="1704" t="s">
        <v>31</v>
      </c>
      <c r="G217" s="1704" t="s">
        <v>31</v>
      </c>
      <c r="H217" s="1704" t="s">
        <v>31</v>
      </c>
      <c r="I217" s="1704" t="s">
        <v>31</v>
      </c>
      <c r="J217" s="1704"/>
      <c r="K217" s="1704"/>
      <c r="L217" s="1704" t="s">
        <v>31</v>
      </c>
      <c r="M217" s="1704" t="s">
        <v>31</v>
      </c>
      <c r="N217" s="1704" t="s">
        <v>31</v>
      </c>
      <c r="O217" s="2483" t="s">
        <v>31</v>
      </c>
      <c r="P217" s="2483" t="s">
        <v>31</v>
      </c>
      <c r="Q217" s="1704"/>
      <c r="R217" s="1704"/>
      <c r="S217" s="1704" t="s">
        <v>31</v>
      </c>
      <c r="T217" s="1704" t="s">
        <v>31</v>
      </c>
      <c r="U217" s="1704" t="s">
        <v>31</v>
      </c>
      <c r="V217" s="1704" t="s">
        <v>31</v>
      </c>
      <c r="W217" s="1704" t="s">
        <v>31</v>
      </c>
      <c r="X217" s="1704"/>
      <c r="Y217" s="1704"/>
      <c r="Z217" s="1704" t="s">
        <v>31</v>
      </c>
      <c r="AA217" s="1704" t="s">
        <v>31</v>
      </c>
      <c r="AB217" s="1744" t="s">
        <v>31</v>
      </c>
      <c r="AC217" s="1744" t="s">
        <v>31</v>
      </c>
      <c r="AD217" s="1744" t="s">
        <v>31</v>
      </c>
      <c r="AE217" s="1744"/>
      <c r="AF217" s="1744"/>
      <c r="AG217" s="1705"/>
      <c r="AH217" s="34"/>
      <c r="AI217" s="25"/>
    </row>
    <row r="218" spans="1:35" ht="24.75" customHeight="1">
      <c r="A218" s="1696"/>
      <c r="B218" s="1706"/>
      <c r="C218" s="1744"/>
      <c r="D218" s="1744"/>
      <c r="E218" s="1744"/>
      <c r="F218" s="1744"/>
      <c r="G218" s="1744"/>
      <c r="H218" s="1744"/>
      <c r="I218" s="1744"/>
      <c r="J218" s="1744"/>
      <c r="K218" s="1744"/>
      <c r="L218" s="1744"/>
      <c r="M218" s="1744"/>
      <c r="N218" s="1744"/>
      <c r="O218" s="1744"/>
      <c r="P218" s="1744"/>
      <c r="Q218" s="1744"/>
      <c r="R218" s="1744"/>
      <c r="S218" s="1744"/>
      <c r="T218" s="1744"/>
      <c r="U218" s="1744"/>
      <c r="V218" s="1744"/>
      <c r="W218" s="1744"/>
      <c r="X218" s="1744"/>
      <c r="Y218" s="1744"/>
      <c r="Z218" s="1744"/>
      <c r="AA218" s="1744"/>
      <c r="AB218" s="1744"/>
      <c r="AC218" s="1744"/>
      <c r="AD218" s="1744"/>
      <c r="AE218" s="1744"/>
      <c r="AF218" s="1744"/>
      <c r="AG218" s="1695"/>
      <c r="AH218" s="34"/>
      <c r="AI218" s="25"/>
    </row>
    <row r="219" spans="1:35" ht="24.75" customHeight="1">
      <c r="A219" s="1696"/>
      <c r="B219" s="1878" t="s">
        <v>306</v>
      </c>
      <c r="C219" s="1704"/>
      <c r="D219" s="1704"/>
      <c r="E219" s="1704" t="s">
        <v>31</v>
      </c>
      <c r="F219" s="1704" t="s">
        <v>31</v>
      </c>
      <c r="G219" s="1704" t="s">
        <v>31</v>
      </c>
      <c r="H219" s="1704" t="s">
        <v>31</v>
      </c>
      <c r="I219" s="1704" t="s">
        <v>31</v>
      </c>
      <c r="J219" s="1704"/>
      <c r="K219" s="1704"/>
      <c r="L219" s="1704" t="s">
        <v>31</v>
      </c>
      <c r="M219" s="1704" t="s">
        <v>31</v>
      </c>
      <c r="N219" s="1704" t="s">
        <v>31</v>
      </c>
      <c r="O219" s="1704" t="s">
        <v>31</v>
      </c>
      <c r="P219" s="1704" t="s">
        <v>31</v>
      </c>
      <c r="Q219" s="1704"/>
      <c r="R219" s="1704"/>
      <c r="S219" s="1704" t="s">
        <v>31</v>
      </c>
      <c r="T219" s="1704" t="s">
        <v>31</v>
      </c>
      <c r="U219" s="1704" t="s">
        <v>31</v>
      </c>
      <c r="V219" s="1704" t="s">
        <v>31</v>
      </c>
      <c r="W219" s="1704" t="s">
        <v>31</v>
      </c>
      <c r="X219" s="1704"/>
      <c r="Y219" s="1704"/>
      <c r="Z219" s="1704" t="s">
        <v>31</v>
      </c>
      <c r="AA219" s="1704" t="s">
        <v>31</v>
      </c>
      <c r="AB219" s="1704" t="s">
        <v>31</v>
      </c>
      <c r="AC219" s="1704" t="s">
        <v>31</v>
      </c>
      <c r="AD219" s="1704" t="s">
        <v>31</v>
      </c>
      <c r="AE219" s="1704"/>
      <c r="AF219" s="1744"/>
      <c r="AG219" s="1695"/>
      <c r="AH219" s="34"/>
      <c r="AI219" s="25"/>
    </row>
    <row r="220" spans="1:35" ht="24.75" customHeight="1">
      <c r="A220" s="1696"/>
      <c r="B220" s="1878" t="s">
        <v>307</v>
      </c>
      <c r="C220" s="1744"/>
      <c r="D220" s="1749"/>
      <c r="E220" s="1749" t="s">
        <v>31</v>
      </c>
      <c r="F220" s="1749" t="s">
        <v>31</v>
      </c>
      <c r="G220" s="1749" t="s">
        <v>31</v>
      </c>
      <c r="H220" s="1749" t="s">
        <v>31</v>
      </c>
      <c r="I220" s="1744" t="s">
        <v>31</v>
      </c>
      <c r="J220" s="1744"/>
      <c r="K220" s="1744"/>
      <c r="L220" s="1846" t="s">
        <v>31</v>
      </c>
      <c r="M220" s="1846" t="s">
        <v>31</v>
      </c>
      <c r="N220" s="2322" t="s">
        <v>31</v>
      </c>
      <c r="O220" s="2322" t="s">
        <v>31</v>
      </c>
      <c r="P220" s="2322" t="s">
        <v>31</v>
      </c>
      <c r="Q220" s="1744"/>
      <c r="R220" s="1744"/>
      <c r="S220" s="1744" t="s">
        <v>31</v>
      </c>
      <c r="T220" s="1744" t="s">
        <v>31</v>
      </c>
      <c r="U220" s="1744" t="s">
        <v>31</v>
      </c>
      <c r="V220" s="1744" t="s">
        <v>31</v>
      </c>
      <c r="W220" s="1744" t="s">
        <v>31</v>
      </c>
      <c r="X220" s="1744"/>
      <c r="Y220" s="1744"/>
      <c r="Z220" s="1744" t="s">
        <v>31</v>
      </c>
      <c r="AA220" s="1744" t="s">
        <v>31</v>
      </c>
      <c r="AB220" s="1744" t="s">
        <v>31</v>
      </c>
      <c r="AC220" s="1744" t="s">
        <v>31</v>
      </c>
      <c r="AD220" s="1744" t="s">
        <v>31</v>
      </c>
      <c r="AE220" s="1744"/>
      <c r="AF220" s="1744"/>
      <c r="AG220" s="1695"/>
      <c r="AH220" s="34"/>
      <c r="AI220" s="25"/>
    </row>
    <row r="221" spans="1:35" ht="24.75" customHeight="1">
      <c r="A221" s="1696"/>
      <c r="B221" s="1878" t="s">
        <v>308</v>
      </c>
      <c r="C221" s="1744"/>
      <c r="D221" s="1744"/>
      <c r="E221" s="1744" t="s">
        <v>31</v>
      </c>
      <c r="F221" s="1744" t="s">
        <v>31</v>
      </c>
      <c r="G221" s="1744" t="s">
        <v>31</v>
      </c>
      <c r="H221" s="1744" t="s">
        <v>31</v>
      </c>
      <c r="I221" s="1744" t="s">
        <v>31</v>
      </c>
      <c r="J221" s="1744"/>
      <c r="K221" s="1744"/>
      <c r="L221" s="1846" t="s">
        <v>31</v>
      </c>
      <c r="M221" s="1846" t="s">
        <v>31</v>
      </c>
      <c r="N221" s="1846" t="s">
        <v>31</v>
      </c>
      <c r="O221" s="1846" t="s">
        <v>31</v>
      </c>
      <c r="P221" s="1846" t="s">
        <v>31</v>
      </c>
      <c r="Q221" s="1744"/>
      <c r="R221" s="1744"/>
      <c r="S221" s="1744" t="s">
        <v>31</v>
      </c>
      <c r="T221" s="1699" t="s">
        <v>31</v>
      </c>
      <c r="U221" s="1744" t="s">
        <v>31</v>
      </c>
      <c r="V221" s="114" t="s">
        <v>31</v>
      </c>
      <c r="W221" s="1744" t="s">
        <v>31</v>
      </c>
      <c r="X221" s="1744"/>
      <c r="Y221" s="1744"/>
      <c r="Z221" s="1744" t="s">
        <v>31</v>
      </c>
      <c r="AA221" s="1744" t="s">
        <v>31</v>
      </c>
      <c r="AB221" s="1744" t="s">
        <v>31</v>
      </c>
      <c r="AC221" s="1744" t="s">
        <v>31</v>
      </c>
      <c r="AD221" s="1744" t="s">
        <v>31</v>
      </c>
      <c r="AE221" s="1744"/>
      <c r="AF221" s="1744"/>
      <c r="AG221" s="1695"/>
      <c r="AH221" s="34"/>
      <c r="AI221" s="25"/>
    </row>
    <row r="222" spans="1:35" ht="24.75" customHeight="1">
      <c r="A222" s="1696"/>
      <c r="B222" s="1878" t="s">
        <v>309</v>
      </c>
      <c r="C222" s="1744"/>
      <c r="D222" s="1744"/>
      <c r="E222" s="1919" t="s">
        <v>31</v>
      </c>
      <c r="F222" s="1919" t="s">
        <v>31</v>
      </c>
      <c r="G222" s="1919" t="s">
        <v>31</v>
      </c>
      <c r="H222" s="1919" t="s">
        <v>31</v>
      </c>
      <c r="I222" s="1919" t="s">
        <v>31</v>
      </c>
      <c r="J222" s="1919"/>
      <c r="K222" s="1919"/>
      <c r="L222" s="1919" t="s">
        <v>31</v>
      </c>
      <c r="M222" s="1919" t="s">
        <v>31</v>
      </c>
      <c r="N222" s="1919" t="s">
        <v>31</v>
      </c>
      <c r="O222" s="1919" t="s">
        <v>31</v>
      </c>
      <c r="P222" s="1919" t="s">
        <v>31</v>
      </c>
      <c r="Q222" s="1919"/>
      <c r="R222" s="1919"/>
      <c r="S222" s="1919" t="s">
        <v>31</v>
      </c>
      <c r="T222" s="1919" t="s">
        <v>304</v>
      </c>
      <c r="U222" s="1712" t="s">
        <v>31</v>
      </c>
      <c r="V222" s="1712" t="s">
        <v>31</v>
      </c>
      <c r="W222" s="1712" t="s">
        <v>31</v>
      </c>
      <c r="X222" s="1712"/>
      <c r="Y222" s="1712"/>
      <c r="Z222" s="1712" t="s">
        <v>31</v>
      </c>
      <c r="AA222" s="1712" t="s">
        <v>31</v>
      </c>
      <c r="AB222" s="1712" t="s">
        <v>31</v>
      </c>
      <c r="AC222" s="1712" t="s">
        <v>31</v>
      </c>
      <c r="AD222" s="1712" t="s">
        <v>31</v>
      </c>
      <c r="AE222" s="1712"/>
      <c r="AF222" s="1712"/>
      <c r="AG222" s="1709"/>
      <c r="AH222" s="34"/>
      <c r="AI222" s="25"/>
    </row>
    <row r="223" spans="1:35" ht="24.75" customHeight="1">
      <c r="A223" s="1696"/>
      <c r="B223" s="1710" t="s">
        <v>310</v>
      </c>
      <c r="C223" s="1744"/>
      <c r="D223" s="1744"/>
      <c r="E223" s="1744"/>
      <c r="F223" s="1744"/>
      <c r="G223" s="1744"/>
      <c r="H223" s="1744"/>
      <c r="I223" s="1744"/>
      <c r="J223" s="1744"/>
      <c r="K223" s="1744"/>
      <c r="L223" s="1744"/>
      <c r="M223" s="1744"/>
      <c r="N223" s="1744"/>
      <c r="O223" s="1744"/>
      <c r="P223" s="1744"/>
      <c r="Q223" s="1744"/>
      <c r="R223" s="1744"/>
      <c r="S223" s="1744"/>
      <c r="T223" s="1744"/>
      <c r="U223" s="1744"/>
      <c r="V223" s="1744"/>
      <c r="W223" s="1744"/>
      <c r="X223" s="1744"/>
      <c r="Y223" s="1744"/>
      <c r="Z223" s="1744"/>
      <c r="AA223" s="1744"/>
      <c r="AB223" s="1744"/>
      <c r="AC223" s="1744"/>
      <c r="AD223" s="1744"/>
      <c r="AE223" s="1744"/>
      <c r="AF223" s="1744"/>
      <c r="AG223" s="1695"/>
      <c r="AH223" s="93"/>
      <c r="AI223" s="76"/>
    </row>
    <row r="224" spans="1:35" ht="24.75" customHeight="1">
      <c r="A224" s="1696"/>
      <c r="B224" s="1878"/>
      <c r="C224" s="1744"/>
      <c r="D224" s="1744"/>
      <c r="E224" s="1744"/>
      <c r="F224" s="1744"/>
      <c r="G224" s="1744"/>
      <c r="H224" s="1744"/>
      <c r="I224" s="1744"/>
      <c r="J224" s="1744"/>
      <c r="K224" s="1744"/>
      <c r="L224" s="1744"/>
      <c r="M224" s="1744"/>
      <c r="N224" s="1744"/>
      <c r="O224" s="1744"/>
      <c r="P224" s="1744"/>
      <c r="Q224" s="1744"/>
      <c r="R224" s="1744"/>
      <c r="S224" s="1744"/>
      <c r="T224" s="1744"/>
      <c r="U224" s="1744"/>
      <c r="V224" s="1744"/>
      <c r="W224" s="1744"/>
      <c r="X224" s="1744"/>
      <c r="Y224" s="1744"/>
      <c r="Z224" s="1744"/>
      <c r="AA224" s="1744"/>
      <c r="AB224" s="1744"/>
      <c r="AC224" s="1744"/>
      <c r="AD224" s="1744"/>
      <c r="AE224" s="1744"/>
      <c r="AF224" s="1744"/>
      <c r="AG224" s="1711"/>
      <c r="AH224" s="93"/>
      <c r="AI224" s="76"/>
    </row>
    <row r="225" spans="1:35" ht="24.75" customHeight="1">
      <c r="A225" s="1712"/>
      <c r="B225" s="1712"/>
      <c r="C225" s="1744"/>
      <c r="D225" s="1744"/>
      <c r="E225" s="1744"/>
      <c r="F225" s="1744"/>
      <c r="G225" s="1744"/>
      <c r="H225" s="1744"/>
      <c r="I225" s="1744"/>
      <c r="J225" s="1744"/>
      <c r="K225" s="1744"/>
      <c r="L225" s="1744"/>
      <c r="M225" s="1744"/>
      <c r="N225" s="1744"/>
      <c r="O225" s="1744"/>
      <c r="P225" s="1744"/>
      <c r="Q225" s="1744"/>
      <c r="R225" s="1744"/>
      <c r="S225" s="1744"/>
      <c r="T225" s="1744"/>
      <c r="U225" s="1744"/>
      <c r="V225" s="1744"/>
      <c r="W225" s="1744"/>
      <c r="X225" s="1744"/>
      <c r="Y225" s="1744"/>
      <c r="Z225" s="1744"/>
      <c r="AA225" s="1744"/>
      <c r="AB225" s="1744"/>
      <c r="AC225" s="1744"/>
      <c r="AD225" s="1744"/>
      <c r="AE225" s="1744"/>
      <c r="AF225" s="1744"/>
      <c r="AG225" s="1695"/>
      <c r="AH225" s="93"/>
      <c r="AI225" s="76"/>
    </row>
    <row r="226" spans="1:35" ht="24.75" customHeight="1">
      <c r="A226" s="1712"/>
      <c r="B226" s="1712"/>
      <c r="C226" s="1744"/>
      <c r="D226" s="1744"/>
      <c r="E226" s="1744"/>
      <c r="F226" s="1744"/>
      <c r="G226" s="1744"/>
      <c r="H226" s="2484"/>
      <c r="I226" s="1744"/>
      <c r="J226" s="1744"/>
      <c r="K226" s="1744"/>
      <c r="L226" s="1744"/>
      <c r="M226" s="1744"/>
      <c r="N226" s="1744"/>
      <c r="O226" s="1744"/>
      <c r="P226" s="1744"/>
      <c r="Q226" s="1744"/>
      <c r="R226" s="1744"/>
      <c r="S226" s="1744"/>
      <c r="T226" s="1744"/>
      <c r="U226" s="1744"/>
      <c r="V226" s="1744"/>
      <c r="W226" s="1744"/>
      <c r="X226" s="1744"/>
      <c r="Y226" s="1744"/>
      <c r="Z226" s="1744"/>
      <c r="AA226" s="1744"/>
      <c r="AB226" s="1744"/>
      <c r="AC226" s="1744"/>
      <c r="AD226" s="1744"/>
      <c r="AE226" s="1744"/>
      <c r="AF226" s="1744"/>
      <c r="AG226" s="1711"/>
      <c r="AH226" s="93"/>
      <c r="AI226" s="76"/>
    </row>
    <row r="227" spans="1:35" ht="24.75" customHeight="1">
      <c r="A227" s="1712"/>
      <c r="B227" s="1712"/>
      <c r="C227" s="1744"/>
      <c r="D227" s="1744"/>
      <c r="E227" s="1744"/>
      <c r="F227" s="1744"/>
      <c r="G227" s="1744"/>
      <c r="H227" s="1744"/>
      <c r="I227" s="1744"/>
      <c r="J227" s="1744"/>
      <c r="K227" s="1744"/>
      <c r="L227" s="1744"/>
      <c r="M227" s="1744"/>
      <c r="N227" s="1744"/>
      <c r="O227" s="1744"/>
      <c r="P227" s="1744"/>
      <c r="Q227" s="1744"/>
      <c r="R227" s="1744"/>
      <c r="S227" s="1744"/>
      <c r="T227" s="1744"/>
      <c r="U227" s="1744"/>
      <c r="V227" s="1744"/>
      <c r="W227" s="1744"/>
      <c r="X227" s="1744"/>
      <c r="Y227" s="1744"/>
      <c r="Z227" s="1744"/>
      <c r="AA227" s="1744"/>
      <c r="AB227" s="1744"/>
      <c r="AC227" s="1744"/>
      <c r="AD227" s="1744"/>
      <c r="AE227" s="1744"/>
      <c r="AF227" s="1744"/>
      <c r="AG227" s="1695"/>
      <c r="AH227" s="93"/>
      <c r="AI227" s="76"/>
    </row>
    <row r="228" spans="1:35" ht="24.75" customHeight="1">
      <c r="A228" s="1712"/>
      <c r="B228" s="1712"/>
      <c r="C228" s="1744"/>
      <c r="D228" s="1744"/>
      <c r="E228" s="1744"/>
      <c r="F228" s="1744"/>
      <c r="G228" s="1744"/>
      <c r="H228" s="2484"/>
      <c r="I228" s="1744"/>
      <c r="J228" s="1744"/>
      <c r="K228" s="1744"/>
      <c r="L228" s="1744"/>
      <c r="M228" s="1744"/>
      <c r="N228" s="1744"/>
      <c r="O228" s="1744"/>
      <c r="P228" s="1744"/>
      <c r="Q228" s="1744"/>
      <c r="R228" s="1744"/>
      <c r="S228" s="1744"/>
      <c r="T228" s="1744"/>
      <c r="U228" s="1744"/>
      <c r="V228" s="1744"/>
      <c r="W228" s="1744"/>
      <c r="X228" s="1744"/>
      <c r="Y228" s="1744"/>
      <c r="Z228" s="1744"/>
      <c r="AA228" s="1744"/>
      <c r="AB228" s="1744"/>
      <c r="AC228" s="1744"/>
      <c r="AD228" s="1744"/>
      <c r="AE228" s="1744"/>
      <c r="AF228" s="1744"/>
      <c r="AG228" s="1711"/>
      <c r="AH228" s="93"/>
      <c r="AI228" s="76"/>
    </row>
    <row r="229" spans="1:35" ht="24.75" customHeight="1">
      <c r="A229" s="1696"/>
      <c r="B229" s="1706"/>
      <c r="C229" s="1744"/>
      <c r="D229" s="1744"/>
      <c r="E229" s="1744"/>
      <c r="F229" s="1744"/>
      <c r="G229" s="1744"/>
      <c r="H229" s="1744"/>
      <c r="I229" s="1744"/>
      <c r="J229" s="1744"/>
      <c r="K229" s="1744"/>
      <c r="L229" s="1744"/>
      <c r="M229" s="1744"/>
      <c r="N229" s="1744"/>
      <c r="O229" s="1744"/>
      <c r="P229" s="1744"/>
      <c r="Q229" s="1744"/>
      <c r="R229" s="1744"/>
      <c r="S229" s="1744"/>
      <c r="T229" s="1744"/>
      <c r="U229" s="1744"/>
      <c r="V229" s="1744"/>
      <c r="W229" s="1744"/>
      <c r="X229" s="1744"/>
      <c r="Y229" s="1744"/>
      <c r="Z229" s="1744"/>
      <c r="AA229" s="1744"/>
      <c r="AB229" s="1744"/>
      <c r="AC229" s="1744"/>
      <c r="AD229" s="1744"/>
      <c r="AE229" s="1744"/>
      <c r="AF229" s="1744"/>
      <c r="AG229" s="1711"/>
      <c r="AH229" s="93"/>
      <c r="AI229" s="76"/>
    </row>
    <row r="230" spans="1:35" ht="24.75" customHeight="1">
      <c r="A230" s="1696"/>
      <c r="B230" s="1713"/>
      <c r="C230" s="1744"/>
      <c r="D230" s="1744"/>
      <c r="E230" s="1744"/>
      <c r="F230" s="1744"/>
      <c r="G230" s="1744"/>
      <c r="H230" s="1744"/>
      <c r="I230" s="1744"/>
      <c r="J230" s="1744"/>
      <c r="K230" s="1744"/>
      <c r="L230" s="1744"/>
      <c r="M230" s="1744"/>
      <c r="N230" s="1744"/>
      <c r="O230" s="1744"/>
      <c r="P230" s="1744"/>
      <c r="Q230" s="1744"/>
      <c r="R230" s="1744"/>
      <c r="S230" s="1744"/>
      <c r="T230" s="1744"/>
      <c r="U230" s="1744"/>
      <c r="V230" s="1744"/>
      <c r="W230" s="1744"/>
      <c r="X230" s="1744"/>
      <c r="Y230" s="1744"/>
      <c r="Z230" s="1744"/>
      <c r="AA230" s="1744"/>
      <c r="AB230" s="1744"/>
      <c r="AC230" s="1744"/>
      <c r="AD230" s="1744"/>
      <c r="AE230" s="1744"/>
      <c r="AF230" s="1744"/>
      <c r="AG230" s="1711"/>
      <c r="AH230" s="93"/>
      <c r="AI230" s="76"/>
    </row>
    <row r="231" spans="1:35" ht="24.75" customHeight="1">
      <c r="A231" s="82"/>
      <c r="B231" s="115"/>
      <c r="C231" s="38"/>
      <c r="D231" s="38"/>
      <c r="E231" s="38"/>
      <c r="F231" s="38"/>
      <c r="G231" s="38"/>
      <c r="H231" s="38"/>
      <c r="I231" s="38"/>
      <c r="J231" s="38"/>
      <c r="L231" s="38"/>
      <c r="M231" s="38"/>
      <c r="N231" s="38"/>
      <c r="O231" s="38"/>
      <c r="P231" s="17"/>
      <c r="Q231" s="17"/>
      <c r="R231" s="17"/>
      <c r="S231" s="38"/>
      <c r="T231" s="38"/>
      <c r="U231" s="38"/>
      <c r="V231" s="38"/>
      <c r="W231" s="38"/>
      <c r="X231" s="38"/>
      <c r="Y231" s="38"/>
      <c r="Z231" s="38"/>
      <c r="AA231" s="38"/>
      <c r="AB231" s="38"/>
      <c r="AC231" s="38"/>
      <c r="AD231" s="38"/>
      <c r="AE231" s="38"/>
      <c r="AF231" s="38"/>
      <c r="AG231" s="38"/>
      <c r="AH231" s="76"/>
      <c r="AI231" s="76"/>
    </row>
    <row r="232" spans="1:35" ht="24.75" customHeight="1"/>
    <row r="233" spans="1:35" ht="24.75" customHeight="1"/>
    <row r="234" spans="1:35" ht="24.75" customHeight="1"/>
    <row r="235" spans="1:35" ht="24.75" customHeight="1" thickBot="1">
      <c r="A235" s="14" t="s">
        <v>311</v>
      </c>
    </row>
    <row r="236" spans="1:35" ht="24.75" customHeight="1">
      <c r="B236" s="1714" t="s">
        <v>281</v>
      </c>
      <c r="C236" s="901"/>
      <c r="D236" s="925" t="s">
        <v>87</v>
      </c>
      <c r="E236" s="705"/>
      <c r="F236" s="905"/>
      <c r="G236" s="901"/>
      <c r="H236" s="925" t="s">
        <v>88</v>
      </c>
      <c r="I236" s="705"/>
      <c r="J236" s="905"/>
      <c r="K236" s="901"/>
      <c r="L236" s="925" t="s">
        <v>89</v>
      </c>
      <c r="M236" s="705"/>
      <c r="N236" s="905"/>
      <c r="O236" s="901"/>
      <c r="P236" s="925" t="s">
        <v>90</v>
      </c>
      <c r="Q236" s="705"/>
      <c r="R236" s="905"/>
      <c r="S236" s="901"/>
      <c r="T236" s="925" t="s">
        <v>91</v>
      </c>
      <c r="U236" s="705"/>
      <c r="V236" s="905"/>
      <c r="W236" s="901"/>
      <c r="X236" s="925" t="s">
        <v>92</v>
      </c>
      <c r="Y236" s="705"/>
      <c r="Z236" s="905"/>
      <c r="AA236" s="901"/>
      <c r="AB236" s="925" t="s">
        <v>93</v>
      </c>
      <c r="AC236" s="705"/>
      <c r="AD236" s="705"/>
      <c r="AE236" s="928" t="s">
        <v>94</v>
      </c>
      <c r="AF236" s="705"/>
      <c r="AG236" s="705"/>
      <c r="AH236" s="705"/>
      <c r="AI236" s="706"/>
    </row>
    <row r="237" spans="1:35" ht="24.75" customHeight="1">
      <c r="B237" s="116"/>
      <c r="C237" s="110"/>
      <c r="D237" s="111"/>
      <c r="E237" s="101"/>
      <c r="F237" s="109"/>
      <c r="G237" s="110"/>
      <c r="H237" s="111"/>
      <c r="I237" s="101"/>
      <c r="J237" s="109"/>
      <c r="K237" s="110"/>
      <c r="L237" s="111"/>
      <c r="M237" s="101"/>
      <c r="N237" s="109"/>
      <c r="O237" s="110"/>
      <c r="P237" s="111"/>
      <c r="Q237" s="101"/>
      <c r="R237" s="109"/>
      <c r="S237" s="110"/>
      <c r="T237" s="111"/>
      <c r="U237" s="101"/>
      <c r="V237" s="109"/>
      <c r="W237" s="110"/>
      <c r="X237" s="111"/>
      <c r="Y237" s="101"/>
      <c r="Z237" s="109"/>
      <c r="AA237" s="110"/>
      <c r="AB237" s="111"/>
      <c r="AC237" s="101"/>
      <c r="AD237" s="101"/>
      <c r="AE237" s="112"/>
      <c r="AF237" s="101"/>
      <c r="AG237" s="8"/>
      <c r="AH237" s="8"/>
      <c r="AI237" s="105"/>
    </row>
    <row r="238" spans="1:35" ht="24.75" customHeight="1">
      <c r="A238" s="87"/>
      <c r="B238" s="2485">
        <v>3701</v>
      </c>
      <c r="C238" s="2303" t="s">
        <v>286</v>
      </c>
      <c r="D238" s="2114"/>
      <c r="E238" s="101"/>
      <c r="F238" s="109"/>
      <c r="G238" s="2303" t="s">
        <v>286</v>
      </c>
      <c r="H238" s="111"/>
      <c r="I238" s="101"/>
      <c r="J238" s="109"/>
      <c r="K238" s="2303" t="s">
        <v>286</v>
      </c>
      <c r="L238" s="111"/>
      <c r="M238" s="101"/>
      <c r="N238" s="109"/>
      <c r="O238" s="2303" t="s">
        <v>286</v>
      </c>
      <c r="P238" s="111"/>
      <c r="Q238" s="101"/>
      <c r="R238" s="109"/>
      <c r="S238" s="110" t="s">
        <v>287</v>
      </c>
      <c r="T238" s="111"/>
      <c r="U238" s="101"/>
      <c r="V238" s="109"/>
      <c r="W238" s="110"/>
      <c r="X238" s="111"/>
      <c r="Y238" s="101"/>
      <c r="Z238" s="109"/>
      <c r="AA238" s="110"/>
      <c r="AB238" s="111"/>
      <c r="AC238" s="101"/>
      <c r="AD238" s="101"/>
      <c r="AE238" s="112"/>
      <c r="AF238" s="101"/>
      <c r="AG238" s="8"/>
      <c r="AH238" s="8"/>
      <c r="AI238" s="105"/>
    </row>
    <row r="239" spans="1:35" ht="24.75" customHeight="1">
      <c r="B239" s="2485"/>
      <c r="C239" s="2303"/>
      <c r="D239" s="2114"/>
      <c r="E239" s="101"/>
      <c r="F239" s="109"/>
      <c r="G239" s="2303"/>
      <c r="H239" s="111"/>
      <c r="I239" s="101"/>
      <c r="J239" s="109"/>
      <c r="K239" s="2303"/>
      <c r="L239" s="111"/>
      <c r="M239" s="101"/>
      <c r="N239" s="109"/>
      <c r="O239" s="2303"/>
      <c r="P239" s="111"/>
      <c r="Q239" s="101"/>
      <c r="R239" s="109"/>
      <c r="S239" s="2303"/>
      <c r="T239" s="111"/>
      <c r="U239" s="101"/>
      <c r="V239" s="109"/>
      <c r="W239" s="110"/>
      <c r="X239" s="111"/>
      <c r="Y239" s="101"/>
      <c r="Z239" s="109"/>
      <c r="AA239" s="110"/>
      <c r="AB239" s="111"/>
      <c r="AC239" s="101"/>
      <c r="AD239" s="101"/>
      <c r="AE239" s="112"/>
      <c r="AF239" s="101"/>
      <c r="AG239" s="8"/>
      <c r="AH239" s="8"/>
      <c r="AI239" s="105"/>
    </row>
    <row r="240" spans="1:35" ht="24.75" customHeight="1">
      <c r="B240" s="2485">
        <v>3702</v>
      </c>
      <c r="C240" s="2303" t="s">
        <v>312</v>
      </c>
      <c r="D240" s="2114"/>
      <c r="E240" s="101"/>
      <c r="F240" s="109"/>
      <c r="G240" s="2303" t="s">
        <v>312</v>
      </c>
      <c r="H240" s="2114"/>
      <c r="I240" s="101"/>
      <c r="J240" s="109"/>
      <c r="K240" s="2303" t="s">
        <v>312</v>
      </c>
      <c r="L240" s="2114"/>
      <c r="M240" s="101"/>
      <c r="N240" s="109"/>
      <c r="O240" s="2303" t="s">
        <v>312</v>
      </c>
      <c r="P240" s="2114"/>
      <c r="Q240" s="101"/>
      <c r="R240" s="109"/>
      <c r="S240" s="2303" t="s">
        <v>313</v>
      </c>
      <c r="T240" s="2114"/>
      <c r="U240" s="101"/>
      <c r="V240" s="109"/>
      <c r="W240" s="110"/>
      <c r="X240" s="111"/>
      <c r="Y240" s="101"/>
      <c r="Z240" s="109"/>
      <c r="AA240" s="110"/>
      <c r="AB240" s="111"/>
      <c r="AC240" s="101"/>
      <c r="AD240" s="101"/>
      <c r="AE240" s="112"/>
      <c r="AF240" s="101"/>
      <c r="AG240" s="8"/>
      <c r="AH240" s="8"/>
      <c r="AI240" s="105"/>
    </row>
    <row r="241" spans="1:35" ht="24.75" customHeight="1">
      <c r="B241" s="2485"/>
      <c r="C241" s="2098"/>
      <c r="D241" s="2114"/>
      <c r="E241" s="101"/>
      <c r="F241" s="109"/>
      <c r="G241" s="111"/>
      <c r="H241" s="111"/>
      <c r="I241" s="101"/>
      <c r="J241" s="109"/>
      <c r="K241" s="111"/>
      <c r="L241" s="111"/>
      <c r="M241" s="101"/>
      <c r="N241" s="109"/>
      <c r="O241" s="111"/>
      <c r="P241" s="111"/>
      <c r="Q241" s="101"/>
      <c r="R241" s="109"/>
      <c r="S241" s="111"/>
      <c r="T241" s="111"/>
      <c r="U241" s="101"/>
      <c r="V241" s="109"/>
      <c r="W241" s="110"/>
      <c r="X241" s="111"/>
      <c r="Y241" s="101"/>
      <c r="Z241" s="109"/>
      <c r="AA241" s="110"/>
      <c r="AB241" s="111"/>
      <c r="AC241" s="101"/>
      <c r="AD241" s="101"/>
      <c r="AE241" s="112"/>
      <c r="AF241" s="101"/>
      <c r="AG241" s="8"/>
      <c r="AH241" s="8"/>
      <c r="AI241" s="105"/>
    </row>
    <row r="242" spans="1:35" ht="24.75" customHeight="1">
      <c r="B242" s="2485" t="s">
        <v>159</v>
      </c>
      <c r="C242" s="2098" t="s">
        <v>314</v>
      </c>
      <c r="D242" s="2114"/>
      <c r="E242" s="101"/>
      <c r="F242" s="109"/>
      <c r="G242" s="2098" t="s">
        <v>314</v>
      </c>
      <c r="H242" s="2114"/>
      <c r="I242" s="101"/>
      <c r="J242" s="109"/>
      <c r="K242" s="2098" t="s">
        <v>314</v>
      </c>
      <c r="L242" s="2114"/>
      <c r="M242" s="101"/>
      <c r="N242" s="109"/>
      <c r="O242" s="2098" t="s">
        <v>314</v>
      </c>
      <c r="P242" s="2114"/>
      <c r="Q242" s="101"/>
      <c r="R242" s="109"/>
      <c r="S242" s="111" t="s">
        <v>315</v>
      </c>
      <c r="T242" s="111"/>
      <c r="U242" s="101"/>
      <c r="V242" s="109"/>
      <c r="W242" s="110"/>
      <c r="X242" s="111"/>
      <c r="Y242" s="101"/>
      <c r="Z242" s="109"/>
      <c r="AA242" s="110"/>
      <c r="AB242" s="111"/>
      <c r="AC242" s="101"/>
      <c r="AD242" s="101"/>
      <c r="AE242" s="112"/>
      <c r="AF242" s="101"/>
      <c r="AG242" s="8"/>
      <c r="AH242" s="8"/>
      <c r="AI242" s="105"/>
    </row>
    <row r="243" spans="1:35" ht="24.75" customHeight="1">
      <c r="B243" s="2485" t="s">
        <v>163</v>
      </c>
      <c r="C243" s="2098" t="s">
        <v>316</v>
      </c>
      <c r="D243" s="2114"/>
      <c r="E243" s="101"/>
      <c r="F243" s="109"/>
      <c r="G243" s="2098" t="s">
        <v>316</v>
      </c>
      <c r="H243" s="2114"/>
      <c r="I243" s="101"/>
      <c r="J243" s="109"/>
      <c r="K243" s="2098" t="s">
        <v>316</v>
      </c>
      <c r="L243" s="2114"/>
      <c r="M243" s="101"/>
      <c r="N243" s="109"/>
      <c r="O243" s="2098" t="s">
        <v>316</v>
      </c>
      <c r="P243" s="2114"/>
      <c r="Q243" s="101"/>
      <c r="R243" s="109"/>
      <c r="S243" s="111" t="s">
        <v>317</v>
      </c>
      <c r="T243" s="111"/>
      <c r="U243" s="101"/>
      <c r="V243" s="109"/>
      <c r="W243" s="110"/>
      <c r="X243" s="111"/>
      <c r="Y243" s="101"/>
      <c r="Z243" s="109"/>
      <c r="AA243" s="110"/>
      <c r="AB243" s="111"/>
      <c r="AC243" s="101"/>
      <c r="AD243" s="101"/>
      <c r="AE243" s="112"/>
      <c r="AF243" s="101"/>
      <c r="AG243" s="8"/>
      <c r="AH243" s="8"/>
      <c r="AI243" s="105"/>
    </row>
    <row r="244" spans="1:35" ht="24.75" customHeight="1" thickBot="1">
      <c r="B244" s="2141" t="s">
        <v>171</v>
      </c>
      <c r="C244" s="2405" t="s">
        <v>318</v>
      </c>
      <c r="D244" s="2142"/>
      <c r="E244" s="2486"/>
      <c r="F244" s="2487"/>
      <c r="G244" s="2405" t="s">
        <v>318</v>
      </c>
      <c r="H244" s="2142"/>
      <c r="I244" s="2486"/>
      <c r="J244" s="2487"/>
      <c r="K244" s="2405" t="s">
        <v>318</v>
      </c>
      <c r="L244" s="2142"/>
      <c r="M244" s="2486"/>
      <c r="N244" s="2487"/>
      <c r="O244" s="2405" t="s">
        <v>318</v>
      </c>
      <c r="P244" s="2142"/>
      <c r="Q244" s="2486"/>
      <c r="R244" s="2487"/>
      <c r="S244" s="2488" t="s">
        <v>319</v>
      </c>
      <c r="T244" s="2488"/>
      <c r="U244" s="2486"/>
      <c r="V244" s="2487"/>
      <c r="W244" s="2489"/>
      <c r="X244" s="2488"/>
      <c r="Y244" s="2490"/>
      <c r="Z244" s="2491"/>
      <c r="AA244" s="2492"/>
      <c r="AB244" s="2488"/>
      <c r="AC244" s="2490"/>
      <c r="AD244" s="2490"/>
      <c r="AE244" s="2493"/>
      <c r="AF244" s="2490"/>
      <c r="AG244" s="2486"/>
      <c r="AH244" s="2486"/>
      <c r="AI244" s="2494"/>
    </row>
    <row r="245" spans="1:35" ht="24.75" customHeight="1">
      <c r="B245" s="42"/>
      <c r="C245" s="37"/>
      <c r="D245" s="113"/>
      <c r="G245" s="37"/>
      <c r="H245" s="113"/>
      <c r="K245" s="37"/>
      <c r="L245" s="113"/>
      <c r="O245" s="37"/>
      <c r="P245" s="113"/>
      <c r="S245" s="37"/>
      <c r="T245" s="37"/>
      <c r="X245" s="37"/>
      <c r="AB245" s="37"/>
      <c r="AE245" s="37"/>
    </row>
    <row r="246" spans="1:35" ht="24.75" customHeight="1">
      <c r="A246" s="117" t="s">
        <v>320</v>
      </c>
    </row>
    <row r="247" spans="1:35" ht="24.75" customHeight="1" thickBot="1">
      <c r="A247" s="2152"/>
      <c r="B247" s="2153" t="s">
        <v>29</v>
      </c>
      <c r="C247" s="2232">
        <v>1</v>
      </c>
      <c r="D247" s="2232">
        <v>2</v>
      </c>
      <c r="E247" s="2233">
        <v>3</v>
      </c>
      <c r="F247" s="2233">
        <v>4</v>
      </c>
      <c r="G247" s="2233">
        <v>5</v>
      </c>
      <c r="H247" s="2233">
        <v>6</v>
      </c>
      <c r="I247" s="2233">
        <v>7</v>
      </c>
      <c r="J247" s="2232">
        <v>8</v>
      </c>
      <c r="K247" s="2232">
        <v>9</v>
      </c>
      <c r="L247" s="2233">
        <v>10</v>
      </c>
      <c r="M247" s="2233">
        <v>11</v>
      </c>
      <c r="N247" s="2233">
        <v>12</v>
      </c>
      <c r="O247" s="2233">
        <v>13</v>
      </c>
      <c r="P247" s="2233">
        <v>14</v>
      </c>
      <c r="Q247" s="2232">
        <v>15</v>
      </c>
      <c r="R247" s="2232">
        <v>16</v>
      </c>
      <c r="S247" s="2233">
        <v>17</v>
      </c>
      <c r="T247" s="2233">
        <v>18</v>
      </c>
      <c r="U247" s="2233">
        <v>19</v>
      </c>
      <c r="V247" s="2233">
        <v>20</v>
      </c>
      <c r="W247" s="2233">
        <v>21</v>
      </c>
      <c r="X247" s="2232">
        <v>22</v>
      </c>
      <c r="Y247" s="2232">
        <v>23</v>
      </c>
      <c r="Z247" s="2233">
        <v>24</v>
      </c>
      <c r="AA247" s="2233">
        <v>25</v>
      </c>
      <c r="AB247" s="2233">
        <v>26</v>
      </c>
      <c r="AC247" s="2233">
        <v>27</v>
      </c>
      <c r="AD247" s="2233">
        <v>28</v>
      </c>
      <c r="AE247" s="2232">
        <v>29</v>
      </c>
      <c r="AF247" s="2233"/>
      <c r="AG247" s="2234"/>
      <c r="AH247" s="23"/>
      <c r="AI247" s="24"/>
    </row>
    <row r="248" spans="1:35" ht="24.75" customHeight="1">
      <c r="A248" s="2495"/>
      <c r="B248" s="2252"/>
      <c r="C248" s="2287"/>
      <c r="D248" s="2287"/>
      <c r="E248" s="2287" t="s">
        <v>31</v>
      </c>
      <c r="F248" s="2287" t="s">
        <v>31</v>
      </c>
      <c r="G248" s="1694" t="s">
        <v>31</v>
      </c>
      <c r="H248" s="2287" t="s">
        <v>31</v>
      </c>
      <c r="I248" s="2287" t="s">
        <v>31</v>
      </c>
      <c r="J248" s="2287"/>
      <c r="K248" s="2332"/>
      <c r="L248" s="2332" t="s">
        <v>31</v>
      </c>
      <c r="M248" s="2332" t="s">
        <v>31</v>
      </c>
      <c r="N248" s="2332" t="s">
        <v>31</v>
      </c>
      <c r="O248" s="2332" t="s">
        <v>31</v>
      </c>
      <c r="P248" s="2332" t="s">
        <v>31</v>
      </c>
      <c r="Q248" s="2332"/>
      <c r="R248" s="2332"/>
      <c r="S248" s="2332" t="s">
        <v>31</v>
      </c>
      <c r="T248" s="2332" t="s">
        <v>31</v>
      </c>
      <c r="U248" s="2332" t="s">
        <v>31</v>
      </c>
      <c r="V248" s="2332" t="s">
        <v>31</v>
      </c>
      <c r="W248" s="2287" t="s">
        <v>31</v>
      </c>
      <c r="X248" s="2287"/>
      <c r="Y248" s="2287"/>
      <c r="Z248" s="2287" t="s">
        <v>31</v>
      </c>
      <c r="AA248" s="2287" t="s">
        <v>31</v>
      </c>
      <c r="AB248" s="2287" t="s">
        <v>31</v>
      </c>
      <c r="AC248" s="2288" t="s">
        <v>31</v>
      </c>
      <c r="AD248" s="2496" t="s">
        <v>31</v>
      </c>
      <c r="AE248" s="2496"/>
      <c r="AF248" s="2496"/>
      <c r="AG248" s="2155"/>
      <c r="AH248" s="34"/>
      <c r="AI248" s="25"/>
    </row>
    <row r="249" spans="1:35" ht="24.75" customHeight="1">
      <c r="A249" s="2495">
        <v>3702</v>
      </c>
      <c r="B249" s="2252" t="s">
        <v>321</v>
      </c>
      <c r="C249" s="2287"/>
      <c r="D249" s="2287"/>
      <c r="E249" s="2287" t="s">
        <v>31</v>
      </c>
      <c r="F249" s="2287" t="s">
        <v>31</v>
      </c>
      <c r="G249" s="2287" t="s">
        <v>31</v>
      </c>
      <c r="H249" s="2287" t="s">
        <v>31</v>
      </c>
      <c r="I249" s="2287" t="s">
        <v>31</v>
      </c>
      <c r="J249" s="2287"/>
      <c r="K249" s="2287"/>
      <c r="L249" s="2287" t="s">
        <v>31</v>
      </c>
      <c r="M249" s="2287" t="s">
        <v>31</v>
      </c>
      <c r="N249" s="2287" t="s">
        <v>31</v>
      </c>
      <c r="O249" s="2287" t="s">
        <v>31</v>
      </c>
      <c r="P249" s="2287" t="s">
        <v>31</v>
      </c>
      <c r="Q249" s="2287"/>
      <c r="R249" s="2287"/>
      <c r="S249" s="2287" t="s">
        <v>31</v>
      </c>
      <c r="T249" s="2287" t="s">
        <v>31</v>
      </c>
      <c r="U249" s="2287" t="s">
        <v>31</v>
      </c>
      <c r="V249" s="2287" t="s">
        <v>31</v>
      </c>
      <c r="W249" s="2287" t="s">
        <v>31</v>
      </c>
      <c r="X249" s="2287"/>
      <c r="Y249" s="2287"/>
      <c r="Z249" s="2287" t="s">
        <v>31</v>
      </c>
      <c r="AA249" s="2287" t="s">
        <v>31</v>
      </c>
      <c r="AB249" s="2287" t="s">
        <v>31</v>
      </c>
      <c r="AC249" s="2287" t="s">
        <v>31</v>
      </c>
      <c r="AD249" s="2287" t="s">
        <v>31</v>
      </c>
      <c r="AE249" s="2287"/>
      <c r="AF249" s="2287"/>
      <c r="AG249" s="2155"/>
      <c r="AH249" s="34"/>
      <c r="AI249" s="25"/>
    </row>
    <row r="250" spans="1:35" ht="24.75" customHeight="1">
      <c r="A250" s="2495"/>
      <c r="B250" s="2252"/>
      <c r="C250" s="2287"/>
      <c r="D250" s="2287"/>
      <c r="E250" s="2287"/>
      <c r="F250" s="2287"/>
      <c r="G250" s="2287"/>
      <c r="H250" s="2287"/>
      <c r="I250" s="2287"/>
      <c r="J250" s="2287"/>
      <c r="K250" s="2287"/>
      <c r="L250" s="2287"/>
      <c r="M250" s="2497"/>
      <c r="N250" s="2287"/>
      <c r="O250" s="2287"/>
      <c r="P250" s="2287"/>
      <c r="Q250" s="2287"/>
      <c r="R250" s="2287"/>
      <c r="S250" s="2287"/>
      <c r="T250" s="2287"/>
      <c r="U250" s="2287"/>
      <c r="V250" s="2287"/>
      <c r="W250" s="2287"/>
      <c r="X250" s="2287"/>
      <c r="Y250" s="2287"/>
      <c r="Z250" s="2287"/>
      <c r="AA250" s="2287"/>
      <c r="AB250" s="2287"/>
      <c r="AC250" s="2287"/>
      <c r="AD250" s="2287"/>
      <c r="AE250" s="2287"/>
      <c r="AF250" s="2287"/>
      <c r="AG250" s="2155"/>
      <c r="AH250" s="34"/>
      <c r="AI250" s="25"/>
    </row>
    <row r="251" spans="1:35" ht="24.75" customHeight="1">
      <c r="A251" s="2498"/>
      <c r="B251" s="118"/>
      <c r="C251" s="2288"/>
      <c r="D251" s="2288"/>
      <c r="E251" s="2288"/>
      <c r="F251" s="2288"/>
      <c r="G251" s="2288"/>
      <c r="H251" s="2288"/>
      <c r="I251" s="2288"/>
      <c r="J251" s="2288"/>
      <c r="K251" s="2288"/>
      <c r="L251" s="2288"/>
      <c r="M251" s="2288"/>
      <c r="N251" s="2288"/>
      <c r="O251" s="2288"/>
      <c r="P251" s="2288"/>
      <c r="Q251" s="2288"/>
      <c r="R251" s="2288"/>
      <c r="S251" s="2288"/>
      <c r="T251" s="2288"/>
      <c r="U251" s="2288"/>
      <c r="V251" s="2288"/>
      <c r="W251" s="2288"/>
      <c r="X251" s="2288"/>
      <c r="Y251" s="2288"/>
      <c r="Z251" s="2288"/>
      <c r="AA251" s="2288"/>
      <c r="AB251" s="2288"/>
      <c r="AC251" s="2288"/>
      <c r="AD251" s="2288"/>
      <c r="AE251" s="2288"/>
      <c r="AF251" s="2288"/>
      <c r="AG251" s="2158"/>
      <c r="AH251" s="34"/>
      <c r="AI251" s="25"/>
    </row>
    <row r="252" spans="1:35" ht="24.75" customHeight="1">
      <c r="A252" s="2499"/>
      <c r="B252" s="2160" t="s">
        <v>322</v>
      </c>
      <c r="C252" s="2161"/>
      <c r="D252" s="2161"/>
      <c r="E252" s="2161"/>
      <c r="F252" s="2161"/>
      <c r="G252" s="2161"/>
      <c r="H252" s="2161"/>
      <c r="I252" s="2161"/>
      <c r="J252" s="2161"/>
      <c r="K252" s="2161"/>
      <c r="L252" s="2161"/>
      <c r="M252" s="2161"/>
      <c r="N252" s="2161"/>
      <c r="O252" s="2161"/>
      <c r="P252" s="2161"/>
      <c r="Q252" s="2161"/>
      <c r="R252" s="2161"/>
      <c r="S252" s="2161"/>
      <c r="T252" s="2161"/>
      <c r="U252" s="2161"/>
      <c r="V252" s="2161"/>
      <c r="W252" s="2161"/>
      <c r="X252" s="2161"/>
      <c r="Y252" s="2161"/>
      <c r="Z252" s="2161"/>
      <c r="AA252" s="2161"/>
      <c r="AB252" s="2161"/>
      <c r="AC252" s="2161"/>
      <c r="AD252" s="2161"/>
      <c r="AE252" s="2161"/>
      <c r="AF252" s="2161"/>
      <c r="AG252" s="2162"/>
      <c r="AH252" s="119"/>
      <c r="AI252" s="26"/>
    </row>
    <row r="253" spans="1:35" ht="24.75" customHeight="1">
      <c r="A253" s="2495">
        <v>3702</v>
      </c>
      <c r="B253" s="2465" t="s">
        <v>323</v>
      </c>
      <c r="C253" s="2287"/>
      <c r="D253" s="2287"/>
      <c r="E253" s="2287" t="s">
        <v>152</v>
      </c>
      <c r="F253" s="2287" t="s">
        <v>152</v>
      </c>
      <c r="G253" s="2287" t="s">
        <v>152</v>
      </c>
      <c r="H253" s="2287" t="s">
        <v>152</v>
      </c>
      <c r="I253" s="2287" t="s">
        <v>152</v>
      </c>
      <c r="J253" s="2287"/>
      <c r="K253" s="2287"/>
      <c r="L253" s="2287" t="s">
        <v>152</v>
      </c>
      <c r="M253" s="2287" t="s">
        <v>152</v>
      </c>
      <c r="N253" s="2287" t="s">
        <v>152</v>
      </c>
      <c r="O253" s="2287" t="s">
        <v>152</v>
      </c>
      <c r="P253" s="2287" t="s">
        <v>152</v>
      </c>
      <c r="Q253" s="2287"/>
      <c r="R253" s="2287"/>
      <c r="S253" s="2287" t="s">
        <v>152</v>
      </c>
      <c r="T253" s="2287" t="s">
        <v>152</v>
      </c>
      <c r="U253" s="2249" t="s">
        <v>152</v>
      </c>
      <c r="V253" s="2249" t="s">
        <v>152</v>
      </c>
      <c r="W253" s="2249" t="s">
        <v>152</v>
      </c>
      <c r="X253" s="2249"/>
      <c r="Y253" s="2249"/>
      <c r="Z253" s="2249" t="s">
        <v>152</v>
      </c>
      <c r="AA253" s="2249" t="s">
        <v>152</v>
      </c>
      <c r="AB253" s="2287" t="s">
        <v>152</v>
      </c>
      <c r="AC253" s="2287" t="s">
        <v>152</v>
      </c>
      <c r="AD253" s="2287" t="s">
        <v>152</v>
      </c>
      <c r="AE253" s="2287"/>
      <c r="AF253" s="2287"/>
      <c r="AG253" s="2155"/>
      <c r="AH253" s="34"/>
      <c r="AI253" s="25"/>
    </row>
    <row r="254" spans="1:35" ht="24.75" customHeight="1">
      <c r="A254" s="2495"/>
      <c r="B254" s="2094" t="s">
        <v>325</v>
      </c>
      <c r="C254" s="2287"/>
      <c r="D254" s="2287"/>
      <c r="E254" s="2287" t="s">
        <v>326</v>
      </c>
      <c r="F254" s="2287" t="s">
        <v>326</v>
      </c>
      <c r="G254" s="2287" t="s">
        <v>326</v>
      </c>
      <c r="H254" s="2287" t="s">
        <v>326</v>
      </c>
      <c r="I254" s="2287" t="s">
        <v>326</v>
      </c>
      <c r="J254" s="2287"/>
      <c r="K254" s="2287"/>
      <c r="L254" s="2249" t="s">
        <v>326</v>
      </c>
      <c r="M254" s="2249" t="s">
        <v>326</v>
      </c>
      <c r="N254" s="2249" t="s">
        <v>326</v>
      </c>
      <c r="O254" s="2249" t="s">
        <v>326</v>
      </c>
      <c r="P254" s="2249" t="s">
        <v>326</v>
      </c>
      <c r="Q254" s="2287"/>
      <c r="R254" s="2287"/>
      <c r="S254" s="2287" t="s">
        <v>326</v>
      </c>
      <c r="T254" s="2287" t="s">
        <v>326</v>
      </c>
      <c r="U254" s="2287" t="s">
        <v>326</v>
      </c>
      <c r="V254" s="2287" t="s">
        <v>326</v>
      </c>
      <c r="W254" s="2287" t="s">
        <v>326</v>
      </c>
      <c r="X254" s="2287"/>
      <c r="Y254" s="2287"/>
      <c r="Z254" s="2287" t="s">
        <v>326</v>
      </c>
      <c r="AA254" s="2287" t="s">
        <v>326</v>
      </c>
      <c r="AB254" s="2287" t="s">
        <v>326</v>
      </c>
      <c r="AC254" s="2287" t="s">
        <v>326</v>
      </c>
      <c r="AD254" s="2287" t="s">
        <v>326</v>
      </c>
      <c r="AE254" s="2287"/>
      <c r="AF254" s="2287"/>
      <c r="AG254" s="2155"/>
      <c r="AH254" s="34"/>
      <c r="AI254" s="25"/>
    </row>
    <row r="255" spans="1:35" ht="24.75" customHeight="1" thickBot="1">
      <c r="A255" s="2163"/>
      <c r="B255" s="2469" t="s">
        <v>327</v>
      </c>
      <c r="C255" s="2164"/>
      <c r="D255" s="2164"/>
      <c r="E255" s="2164" t="s">
        <v>328</v>
      </c>
      <c r="F255" s="2164" t="s">
        <v>328</v>
      </c>
      <c r="G255" s="2164" t="s">
        <v>328</v>
      </c>
      <c r="H255" s="2164" t="s">
        <v>328</v>
      </c>
      <c r="I255" s="2164" t="s">
        <v>328</v>
      </c>
      <c r="J255" s="2164"/>
      <c r="K255" s="2164"/>
      <c r="L255" s="2164" t="s">
        <v>328</v>
      </c>
      <c r="M255" s="2164" t="s">
        <v>328</v>
      </c>
      <c r="N255" s="2164" t="s">
        <v>328</v>
      </c>
      <c r="O255" s="2164" t="s">
        <v>328</v>
      </c>
      <c r="P255" s="2164" t="s">
        <v>328</v>
      </c>
      <c r="Q255" s="2164"/>
      <c r="R255" s="2164"/>
      <c r="S255" s="2164" t="s">
        <v>328</v>
      </c>
      <c r="T255" s="2164" t="s">
        <v>328</v>
      </c>
      <c r="U255" s="2164" t="s">
        <v>328</v>
      </c>
      <c r="V255" s="2164" t="s">
        <v>328</v>
      </c>
      <c r="W255" s="2164" t="s">
        <v>328</v>
      </c>
      <c r="X255" s="2164"/>
      <c r="Y255" s="2164"/>
      <c r="Z255" s="2164" t="s">
        <v>328</v>
      </c>
      <c r="AA255" s="2164" t="s">
        <v>328</v>
      </c>
      <c r="AB255" s="2500" t="s">
        <v>328</v>
      </c>
      <c r="AC255" s="2500" t="s">
        <v>328</v>
      </c>
      <c r="AD255" s="2165" t="s">
        <v>328</v>
      </c>
      <c r="AE255" s="2164"/>
      <c r="AF255" s="2164"/>
      <c r="AG255" s="2166"/>
      <c r="AH255" s="34"/>
      <c r="AI255" s="25"/>
    </row>
    <row r="256" spans="1:35" ht="24.75" customHeight="1"/>
    <row r="257" spans="1:35" ht="24.75" customHeight="1"/>
    <row r="258" spans="1:35" ht="24.75" customHeight="1" thickBot="1">
      <c r="A258" s="14" t="s">
        <v>329</v>
      </c>
    </row>
    <row r="259" spans="1:35" ht="24.75" customHeight="1">
      <c r="B259" s="1714" t="s">
        <v>281</v>
      </c>
      <c r="C259" s="901"/>
      <c r="D259" s="925" t="s">
        <v>87</v>
      </c>
      <c r="E259" s="705"/>
      <c r="F259" s="905"/>
      <c r="G259" s="901"/>
      <c r="H259" s="925" t="s">
        <v>88</v>
      </c>
      <c r="I259" s="705"/>
      <c r="J259" s="905"/>
      <c r="K259" s="901"/>
      <c r="L259" s="925" t="s">
        <v>89</v>
      </c>
      <c r="M259" s="705"/>
      <c r="N259" s="905"/>
      <c r="O259" s="901"/>
      <c r="P259" s="925" t="s">
        <v>90</v>
      </c>
      <c r="Q259" s="705"/>
      <c r="R259" s="905"/>
      <c r="S259" s="901"/>
      <c r="T259" s="925" t="s">
        <v>91</v>
      </c>
      <c r="U259" s="705"/>
      <c r="V259" s="905"/>
      <c r="W259" s="901"/>
      <c r="X259" s="925" t="s">
        <v>92</v>
      </c>
      <c r="Y259" s="705"/>
      <c r="Z259" s="905"/>
      <c r="AA259" s="901"/>
      <c r="AB259" s="925" t="s">
        <v>93</v>
      </c>
      <c r="AC259" s="705"/>
      <c r="AD259" s="705"/>
      <c r="AE259" s="928" t="s">
        <v>94</v>
      </c>
      <c r="AF259" s="705"/>
      <c r="AG259" s="705"/>
      <c r="AH259" s="705"/>
      <c r="AI259" s="706"/>
    </row>
    <row r="260" spans="1:35" ht="24.75" customHeight="1">
      <c r="B260" s="116">
        <v>8500</v>
      </c>
      <c r="C260" s="2303" t="s">
        <v>330</v>
      </c>
      <c r="D260" s="111"/>
      <c r="E260" s="8"/>
      <c r="F260" s="120"/>
      <c r="G260" s="2303" t="s">
        <v>330</v>
      </c>
      <c r="H260" s="111"/>
      <c r="I260" s="8"/>
      <c r="J260" s="120"/>
      <c r="K260" s="2303" t="s">
        <v>330</v>
      </c>
      <c r="L260" s="111"/>
      <c r="M260" s="8"/>
      <c r="N260" s="120"/>
      <c r="O260" s="2303" t="s">
        <v>330</v>
      </c>
      <c r="P260" s="111"/>
      <c r="Q260" s="8"/>
      <c r="R260" s="120"/>
      <c r="S260" s="2303" t="s">
        <v>331</v>
      </c>
      <c r="T260" s="111"/>
      <c r="U260" s="8"/>
      <c r="V260" s="120"/>
      <c r="W260" s="121"/>
      <c r="X260" s="111"/>
      <c r="Y260" s="8"/>
      <c r="Z260" s="120"/>
      <c r="AA260" s="121"/>
      <c r="AB260" s="111"/>
      <c r="AC260" s="8"/>
      <c r="AD260" s="8"/>
      <c r="AE260" s="112"/>
      <c r="AF260" s="8"/>
      <c r="AG260" s="8"/>
      <c r="AH260" s="8"/>
      <c r="AI260" s="105"/>
    </row>
    <row r="261" spans="1:35" ht="24.75" customHeight="1" thickBot="1">
      <c r="A261" s="87"/>
      <c r="B261" s="2167"/>
      <c r="C261" s="2501"/>
      <c r="D261" s="2502"/>
      <c r="E261" s="2486"/>
      <c r="F261" s="2487"/>
      <c r="G261" s="2501"/>
      <c r="H261" s="2488"/>
      <c r="I261" s="2486"/>
      <c r="J261" s="2487"/>
      <c r="K261" s="2501"/>
      <c r="L261" s="2488"/>
      <c r="M261" s="2486"/>
      <c r="N261" s="2487"/>
      <c r="O261" s="2501"/>
      <c r="P261" s="2488"/>
      <c r="Q261" s="2486"/>
      <c r="R261" s="2487"/>
      <c r="S261" s="2501"/>
      <c r="T261" s="2488"/>
      <c r="U261" s="2486"/>
      <c r="V261" s="2487"/>
      <c r="W261" s="2489"/>
      <c r="X261" s="2488"/>
      <c r="Y261" s="2486"/>
      <c r="Z261" s="2487"/>
      <c r="AA261" s="2489"/>
      <c r="AB261" s="2488"/>
      <c r="AC261" s="2486"/>
      <c r="AD261" s="2486"/>
      <c r="AE261" s="2493"/>
      <c r="AF261" s="2486"/>
      <c r="AG261" s="2486"/>
      <c r="AH261" s="2486"/>
      <c r="AI261" s="2494"/>
    </row>
    <row r="262" spans="1:35" ht="24.75" customHeight="1">
      <c r="A262" s="122" t="s">
        <v>332</v>
      </c>
    </row>
    <row r="263" spans="1:35" ht="24.75" customHeight="1" thickBot="1">
      <c r="A263" s="2503"/>
      <c r="B263" s="2153" t="s">
        <v>29</v>
      </c>
      <c r="C263" s="2232">
        <v>1</v>
      </c>
      <c r="D263" s="2232">
        <v>2</v>
      </c>
      <c r="E263" s="2233">
        <v>3</v>
      </c>
      <c r="F263" s="2233">
        <v>4</v>
      </c>
      <c r="G263" s="2233">
        <v>5</v>
      </c>
      <c r="H263" s="2233">
        <v>6</v>
      </c>
      <c r="I263" s="2233">
        <v>7</v>
      </c>
      <c r="J263" s="2232">
        <v>8</v>
      </c>
      <c r="K263" s="2232">
        <v>9</v>
      </c>
      <c r="L263" s="2233">
        <v>10</v>
      </c>
      <c r="M263" s="2233">
        <v>11</v>
      </c>
      <c r="N263" s="2233">
        <v>12</v>
      </c>
      <c r="O263" s="2233">
        <v>13</v>
      </c>
      <c r="P263" s="2233">
        <v>14</v>
      </c>
      <c r="Q263" s="2232">
        <v>15</v>
      </c>
      <c r="R263" s="2232">
        <v>16</v>
      </c>
      <c r="S263" s="2233">
        <v>17</v>
      </c>
      <c r="T263" s="2233">
        <v>18</v>
      </c>
      <c r="U263" s="2233">
        <v>19</v>
      </c>
      <c r="V263" s="2233">
        <v>20</v>
      </c>
      <c r="W263" s="2233">
        <v>21</v>
      </c>
      <c r="X263" s="2232">
        <v>22</v>
      </c>
      <c r="Y263" s="2232">
        <v>23</v>
      </c>
      <c r="Z263" s="2233">
        <v>24</v>
      </c>
      <c r="AA263" s="2233">
        <v>25</v>
      </c>
      <c r="AB263" s="2233">
        <v>26</v>
      </c>
      <c r="AC263" s="2233">
        <v>27</v>
      </c>
      <c r="AD263" s="2233">
        <v>28</v>
      </c>
      <c r="AE263" s="2232">
        <v>29</v>
      </c>
      <c r="AF263" s="2233"/>
      <c r="AG263" s="2234"/>
      <c r="AH263" s="23"/>
      <c r="AI263" s="24"/>
    </row>
    <row r="264" spans="1:35" ht="24.75" customHeight="1">
      <c r="A264" s="121">
        <v>8500</v>
      </c>
      <c r="B264" s="123" t="s">
        <v>333</v>
      </c>
      <c r="C264" s="1053"/>
      <c r="D264" s="2480"/>
      <c r="E264" s="1053" t="s">
        <v>31</v>
      </c>
      <c r="F264" s="1053" t="s">
        <v>31</v>
      </c>
      <c r="G264" s="1053" t="s">
        <v>31</v>
      </c>
      <c r="H264" s="1053" t="s">
        <v>31</v>
      </c>
      <c r="I264" s="1053" t="s">
        <v>31</v>
      </c>
      <c r="J264" s="1053"/>
      <c r="K264" s="1053"/>
      <c r="L264" s="1053" t="s">
        <v>31</v>
      </c>
      <c r="M264" s="1053" t="s">
        <v>31</v>
      </c>
      <c r="N264" s="1053" t="s">
        <v>31</v>
      </c>
      <c r="O264" s="1053" t="s">
        <v>31</v>
      </c>
      <c r="P264" s="1053" t="s">
        <v>31</v>
      </c>
      <c r="Q264" s="1053"/>
      <c r="R264" s="1053"/>
      <c r="S264" s="1053" t="s">
        <v>31</v>
      </c>
      <c r="T264" s="1053" t="s">
        <v>31</v>
      </c>
      <c r="U264" s="1053" t="s">
        <v>31</v>
      </c>
      <c r="V264" s="1053" t="s">
        <v>31</v>
      </c>
      <c r="W264" s="1053" t="s">
        <v>31</v>
      </c>
      <c r="X264" s="1053"/>
      <c r="Y264" s="1053"/>
      <c r="Z264" s="1053" t="s">
        <v>31</v>
      </c>
      <c r="AA264" s="1053" t="s">
        <v>31</v>
      </c>
      <c r="AB264" s="1053" t="s">
        <v>31</v>
      </c>
      <c r="AC264" s="1053" t="s">
        <v>31</v>
      </c>
      <c r="AD264" s="1053" t="s">
        <v>31</v>
      </c>
      <c r="AE264" s="1053"/>
      <c r="AF264" s="1053"/>
      <c r="AG264" s="1744"/>
      <c r="AH264" s="124"/>
      <c r="AI264" s="125"/>
    </row>
    <row r="265" spans="1:35" ht="24.75" customHeight="1">
      <c r="A265" s="2304"/>
      <c r="B265" s="2171" t="s">
        <v>334</v>
      </c>
      <c r="C265" s="1744"/>
      <c r="D265" s="1744"/>
      <c r="E265" s="1744" t="s">
        <v>31</v>
      </c>
      <c r="F265" s="1744" t="s">
        <v>31</v>
      </c>
      <c r="G265" s="1744" t="s">
        <v>31</v>
      </c>
      <c r="H265" s="1744" t="s">
        <v>31</v>
      </c>
      <c r="I265" s="1744" t="s">
        <v>31</v>
      </c>
      <c r="J265" s="1744"/>
      <c r="K265" s="1744"/>
      <c r="L265" s="1744" t="s">
        <v>31</v>
      </c>
      <c r="M265" s="1744" t="s">
        <v>31</v>
      </c>
      <c r="N265" s="1744" t="s">
        <v>31</v>
      </c>
      <c r="O265" s="1744" t="s">
        <v>31</v>
      </c>
      <c r="P265" s="1744" t="s">
        <v>31</v>
      </c>
      <c r="Q265" s="1744"/>
      <c r="R265" s="1744"/>
      <c r="S265" s="1744" t="s">
        <v>31</v>
      </c>
      <c r="T265" s="1744" t="s">
        <v>31</v>
      </c>
      <c r="U265" s="1744" t="s">
        <v>31</v>
      </c>
      <c r="V265" s="1744" t="s">
        <v>31</v>
      </c>
      <c r="W265" s="1744" t="s">
        <v>31</v>
      </c>
      <c r="X265" s="1744"/>
      <c r="Y265" s="1744"/>
      <c r="Z265" s="1744" t="s">
        <v>31</v>
      </c>
      <c r="AA265" s="1744" t="s">
        <v>31</v>
      </c>
      <c r="AB265" s="1744" t="s">
        <v>31</v>
      </c>
      <c r="AC265" s="1744" t="s">
        <v>31</v>
      </c>
      <c r="AD265" s="1744" t="s">
        <v>31</v>
      </c>
      <c r="AE265" s="1744"/>
      <c r="AF265" s="1744"/>
      <c r="AG265" s="1744"/>
      <c r="AH265" s="124"/>
      <c r="AI265" s="125"/>
    </row>
    <row r="266" spans="1:35" ht="24.75" customHeight="1">
      <c r="A266" s="2504"/>
      <c r="B266" s="2171" t="s">
        <v>335</v>
      </c>
      <c r="C266" s="1744"/>
      <c r="D266" s="1744"/>
      <c r="E266" s="1744" t="s">
        <v>31</v>
      </c>
      <c r="F266" s="1744" t="s">
        <v>31</v>
      </c>
      <c r="G266" s="1744" t="s">
        <v>31</v>
      </c>
      <c r="H266" s="1744" t="s">
        <v>31</v>
      </c>
      <c r="I266" s="1744" t="s">
        <v>31</v>
      </c>
      <c r="J266" s="1744"/>
      <c r="K266" s="1744"/>
      <c r="L266" s="1744" t="s">
        <v>31</v>
      </c>
      <c r="M266" s="1744" t="s">
        <v>31</v>
      </c>
      <c r="N266" s="1744" t="s">
        <v>31</v>
      </c>
      <c r="O266" s="1919" t="s">
        <v>31</v>
      </c>
      <c r="P266" s="1919" t="s">
        <v>304</v>
      </c>
      <c r="Q266" s="1744"/>
      <c r="R266" s="1744"/>
      <c r="S266" s="1744" t="s">
        <v>31</v>
      </c>
      <c r="T266" s="1744" t="s">
        <v>31</v>
      </c>
      <c r="U266" s="1919" t="s">
        <v>31</v>
      </c>
      <c r="V266" s="1919" t="s">
        <v>31</v>
      </c>
      <c r="W266" s="1919" t="s">
        <v>304</v>
      </c>
      <c r="X266" s="1712"/>
      <c r="Y266" s="1712"/>
      <c r="Z266" s="1712" t="s">
        <v>31</v>
      </c>
      <c r="AA266" s="1712" t="s">
        <v>31</v>
      </c>
      <c r="AB266" s="1712" t="s">
        <v>31</v>
      </c>
      <c r="AC266" s="1712" t="s">
        <v>31</v>
      </c>
      <c r="AD266" s="1712" t="s">
        <v>31</v>
      </c>
      <c r="AE266" s="1744"/>
      <c r="AF266" s="1744"/>
      <c r="AG266" s="1744"/>
      <c r="AH266" s="124"/>
      <c r="AI266" s="125"/>
    </row>
    <row r="267" spans="1:35" ht="24.75" customHeight="1">
      <c r="A267" s="29"/>
      <c r="B267" s="2173"/>
      <c r="C267" s="1744"/>
      <c r="D267" s="1744"/>
      <c r="E267" s="1744"/>
      <c r="F267" s="1744"/>
      <c r="G267" s="1744"/>
      <c r="H267" s="1744"/>
      <c r="I267" s="1744"/>
      <c r="J267" s="1744"/>
      <c r="K267" s="1744"/>
      <c r="L267" s="1744"/>
      <c r="M267" s="1744"/>
      <c r="N267" s="1744"/>
      <c r="O267" s="1744"/>
      <c r="P267" s="1744"/>
      <c r="Q267" s="1744"/>
      <c r="R267" s="1744"/>
      <c r="S267" s="1744"/>
      <c r="T267" s="1744"/>
      <c r="U267" s="1744"/>
      <c r="V267" s="1744"/>
      <c r="W267" s="1744"/>
      <c r="X267" s="1744"/>
      <c r="Y267" s="1744"/>
      <c r="Z267" s="1744"/>
      <c r="AA267" s="1744"/>
      <c r="AB267" s="1744"/>
      <c r="AC267" s="1744"/>
      <c r="AD267" s="1744"/>
      <c r="AE267" s="1744"/>
      <c r="AF267" s="1744"/>
      <c r="AG267" s="1749"/>
      <c r="AH267" s="124"/>
      <c r="AI267" s="125"/>
    </row>
    <row r="268" spans="1:35" ht="24.75" customHeight="1">
      <c r="A268" s="1750"/>
      <c r="B268" s="2173"/>
      <c r="C268" s="2287"/>
      <c r="D268" s="2287"/>
      <c r="E268" s="2287"/>
      <c r="F268" s="2287"/>
      <c r="G268" s="2287"/>
      <c r="H268" s="2287"/>
      <c r="I268" s="2287"/>
      <c r="J268" s="2287"/>
      <c r="K268" s="2287"/>
      <c r="L268" s="2287"/>
      <c r="M268" s="2287"/>
      <c r="N268" s="2288"/>
      <c r="O268" s="2288"/>
      <c r="P268" s="2287"/>
      <c r="Q268" s="2287"/>
      <c r="R268" s="2287"/>
      <c r="S268" s="2287"/>
      <c r="T268" s="2287"/>
      <c r="U268" s="2287"/>
      <c r="V268" s="2287"/>
      <c r="W268" s="2287"/>
      <c r="X268" s="2287"/>
      <c r="Y268" s="2287"/>
      <c r="Z268" s="2287"/>
      <c r="AA268" s="2287"/>
      <c r="AB268" s="2288"/>
      <c r="AC268" s="2288"/>
      <c r="AD268" s="2287"/>
      <c r="AE268" s="2287"/>
      <c r="AF268" s="2287"/>
      <c r="AG268" s="2287"/>
      <c r="AH268" s="126"/>
      <c r="AI268" s="127"/>
    </row>
    <row r="269" spans="1:35" ht="24.75" customHeight="1">
      <c r="A269" s="1751"/>
      <c r="B269" s="2174"/>
      <c r="C269" s="2287"/>
      <c r="D269" s="2287"/>
      <c r="E269" s="2287"/>
      <c r="F269" s="2287"/>
      <c r="G269" s="2287"/>
      <c r="H269" s="2287"/>
      <c r="I269" s="2287"/>
      <c r="J269" s="2287"/>
      <c r="K269" s="2287"/>
      <c r="L269" s="2287"/>
      <c r="M269" s="2287"/>
      <c r="N269" s="2288"/>
      <c r="O269" s="2288"/>
      <c r="P269" s="2287"/>
      <c r="Q269" s="2287"/>
      <c r="R269" s="2287"/>
      <c r="S269" s="2287"/>
      <c r="T269" s="2287"/>
      <c r="U269" s="2287"/>
      <c r="V269" s="2287"/>
      <c r="W269" s="2287"/>
      <c r="X269" s="2287"/>
      <c r="Y269" s="2287"/>
      <c r="Z269" s="2287"/>
      <c r="AA269" s="2287"/>
      <c r="AB269" s="2288"/>
      <c r="AC269" s="2288"/>
      <c r="AD269" s="2287"/>
      <c r="AE269" s="2287"/>
      <c r="AF269" s="2287"/>
      <c r="AG269" s="2287"/>
      <c r="AH269" s="126"/>
      <c r="AI269" s="127"/>
    </row>
    <row r="270" spans="1:35" ht="24.75" customHeight="1" thickBot="1">
      <c r="A270" s="416"/>
      <c r="B270" s="413"/>
      <c r="C270" s="2175"/>
      <c r="D270" s="2176"/>
      <c r="E270" s="2176"/>
      <c r="F270" s="2176"/>
      <c r="G270" s="2176"/>
      <c r="H270" s="2176"/>
      <c r="I270" s="2176"/>
      <c r="J270" s="2176"/>
      <c r="K270" s="2176"/>
      <c r="L270" s="2176"/>
      <c r="M270" s="2176"/>
      <c r="N270" s="2177"/>
      <c r="O270" s="2177"/>
      <c r="P270" s="2176"/>
      <c r="Q270" s="2176"/>
      <c r="R270" s="2176"/>
      <c r="S270" s="2176"/>
      <c r="T270" s="2176"/>
      <c r="U270" s="2176"/>
      <c r="V270" s="2176"/>
      <c r="W270" s="2176"/>
      <c r="X270" s="2176"/>
      <c r="Y270" s="2176"/>
      <c r="Z270" s="2176"/>
      <c r="AA270" s="2176"/>
      <c r="AB270" s="2177"/>
      <c r="AC270" s="2177"/>
      <c r="AD270" s="2176"/>
      <c r="AE270" s="2176"/>
      <c r="AF270" s="2176"/>
      <c r="AG270" s="2178"/>
      <c r="AH270" s="126"/>
      <c r="AI270" s="127"/>
    </row>
    <row r="271" spans="1:35" ht="24.75" customHeight="1"/>
    <row r="272" spans="1:35" ht="24.75" customHeight="1" thickBot="1">
      <c r="A272" s="14" t="s">
        <v>337</v>
      </c>
    </row>
    <row r="273" spans="1:35" ht="24.75" customHeight="1">
      <c r="A273" s="1"/>
      <c r="B273" s="1714" t="s">
        <v>281</v>
      </c>
      <c r="C273" s="901"/>
      <c r="D273" s="925" t="s">
        <v>87</v>
      </c>
      <c r="E273" s="705"/>
      <c r="F273" s="905"/>
      <c r="G273" s="901"/>
      <c r="H273" s="925" t="s">
        <v>88</v>
      </c>
      <c r="I273" s="705"/>
      <c r="J273" s="905"/>
      <c r="K273" s="901"/>
      <c r="L273" s="925" t="s">
        <v>89</v>
      </c>
      <c r="M273" s="705"/>
      <c r="N273" s="905"/>
      <c r="O273" s="901"/>
      <c r="P273" s="925" t="s">
        <v>90</v>
      </c>
      <c r="Q273" s="705"/>
      <c r="R273" s="905"/>
      <c r="S273" s="901"/>
      <c r="T273" s="925" t="s">
        <v>91</v>
      </c>
      <c r="U273" s="705"/>
      <c r="V273" s="905"/>
      <c r="W273" s="901"/>
      <c r="X273" s="925" t="s">
        <v>92</v>
      </c>
      <c r="Y273" s="705"/>
      <c r="Z273" s="905"/>
      <c r="AA273" s="901"/>
      <c r="AB273" s="925" t="s">
        <v>93</v>
      </c>
      <c r="AC273" s="705"/>
      <c r="AD273" s="705"/>
      <c r="AE273" s="928" t="s">
        <v>94</v>
      </c>
      <c r="AF273" s="705"/>
      <c r="AG273" s="705"/>
      <c r="AH273" s="705"/>
      <c r="AI273" s="706"/>
    </row>
    <row r="274" spans="1:35" ht="24.75" customHeight="1">
      <c r="A274" s="1"/>
      <c r="B274" s="116"/>
      <c r="C274" s="121"/>
      <c r="D274" s="111"/>
      <c r="E274" s="8"/>
      <c r="F274" s="120"/>
      <c r="G274" s="121"/>
      <c r="H274" s="111"/>
      <c r="I274" s="8"/>
      <c r="J274" s="120"/>
      <c r="K274" s="121"/>
      <c r="L274" s="111"/>
      <c r="M274" s="8"/>
      <c r="N274" s="120"/>
      <c r="O274" s="121"/>
      <c r="P274" s="111"/>
      <c r="Q274" s="8"/>
      <c r="R274" s="120"/>
      <c r="S274" s="121"/>
      <c r="T274" s="111"/>
      <c r="U274" s="8"/>
      <c r="V274" s="120"/>
      <c r="W274" s="121"/>
      <c r="X274" s="111"/>
      <c r="Y274" s="8"/>
      <c r="Z274" s="120"/>
      <c r="AA274" s="121"/>
      <c r="AB274" s="111"/>
      <c r="AC274" s="8"/>
      <c r="AD274" s="8"/>
      <c r="AE274" s="112"/>
      <c r="AF274" s="8"/>
      <c r="AG274" s="8"/>
      <c r="AH274" s="8"/>
      <c r="AI274" s="105"/>
    </row>
    <row r="275" spans="1:35" ht="24.75" customHeight="1">
      <c r="A275" s="87"/>
      <c r="B275" s="2485"/>
      <c r="C275" s="2303"/>
      <c r="D275" s="2179"/>
      <c r="E275" s="2179"/>
      <c r="F275" s="2113"/>
      <c r="G275" s="2303"/>
      <c r="H275" s="2179"/>
      <c r="I275" s="2179"/>
      <c r="J275" s="2113"/>
      <c r="K275" s="2303"/>
      <c r="L275" s="2179"/>
      <c r="M275" s="2179"/>
      <c r="N275" s="2113"/>
      <c r="O275" s="2303"/>
      <c r="P275" s="2179"/>
      <c r="Q275" s="2179"/>
      <c r="R275" s="2113"/>
      <c r="S275" s="2303"/>
      <c r="T275" s="2179"/>
      <c r="U275" s="2179"/>
      <c r="V275" s="2113"/>
      <c r="W275" s="2303"/>
      <c r="X275" s="2179"/>
      <c r="Y275" s="2179"/>
      <c r="Z275" s="2113"/>
      <c r="AA275" s="2098"/>
      <c r="AB275" s="2179"/>
      <c r="AC275" s="2179"/>
      <c r="AD275" s="2114"/>
      <c r="AE275" s="2505"/>
      <c r="AF275" s="2179"/>
      <c r="AG275" s="2179"/>
      <c r="AH275" s="2114"/>
      <c r="AI275" s="2099"/>
    </row>
    <row r="276" spans="1:35" ht="24.75" customHeight="1" thickBot="1">
      <c r="A276" s="1"/>
      <c r="B276" s="2404"/>
      <c r="C276" s="2405"/>
      <c r="D276" s="2270"/>
      <c r="E276" s="2270"/>
      <c r="F276" s="2429"/>
      <c r="G276" s="2405"/>
      <c r="H276" s="2270"/>
      <c r="I276" s="2270"/>
      <c r="J276" s="2429"/>
      <c r="K276" s="2405"/>
      <c r="L276" s="2270"/>
      <c r="M276" s="2270"/>
      <c r="N276" s="2429"/>
      <c r="O276" s="2405"/>
      <c r="P276" s="2270"/>
      <c r="Q276" s="2270"/>
      <c r="R276" s="2429"/>
      <c r="S276" s="2405"/>
      <c r="T276" s="2270"/>
      <c r="U276" s="2270"/>
      <c r="V276" s="2429"/>
      <c r="W276" s="2427"/>
      <c r="X276" s="2270"/>
      <c r="Y276" s="2270"/>
      <c r="Z276" s="2429"/>
      <c r="AA276" s="2427"/>
      <c r="AB276" s="2270"/>
      <c r="AC276" s="2270"/>
      <c r="AD276" s="2412"/>
      <c r="AE276" s="2427"/>
      <c r="AF276" s="2270"/>
      <c r="AG276" s="2270"/>
      <c r="AH276" s="2412"/>
      <c r="AI276" s="2277"/>
    </row>
    <row r="277" spans="1:35" ht="24.75" customHeight="1">
      <c r="A277" s="1"/>
      <c r="B277" s="113"/>
      <c r="C277" s="37"/>
      <c r="F277" s="22"/>
      <c r="G277" s="37"/>
      <c r="J277" s="22"/>
      <c r="K277" s="37"/>
      <c r="N277" s="22"/>
      <c r="O277" s="37"/>
      <c r="R277" s="22"/>
      <c r="S277" s="37"/>
      <c r="V277" s="22"/>
      <c r="W277" s="22"/>
      <c r="Z277" s="22"/>
      <c r="AA277" s="22"/>
      <c r="AD277" s="22"/>
      <c r="AE277" s="22"/>
      <c r="AH277" s="22"/>
    </row>
    <row r="278" spans="1:35" ht="24.75" customHeight="1">
      <c r="A278" s="14" t="s">
        <v>338</v>
      </c>
      <c r="B278" s="113"/>
      <c r="C278" s="37"/>
      <c r="F278" s="22"/>
      <c r="G278" s="37"/>
      <c r="J278" s="22"/>
      <c r="K278" s="37"/>
      <c r="N278" s="22"/>
      <c r="O278" s="37"/>
      <c r="R278" s="22"/>
      <c r="S278" s="37"/>
      <c r="V278" s="22"/>
      <c r="W278" s="22"/>
      <c r="Z278" s="22"/>
      <c r="AA278" s="22"/>
      <c r="AD278" s="22"/>
      <c r="AE278" s="22"/>
      <c r="AH278" s="22"/>
    </row>
    <row r="279" spans="1:35" ht="24.75" customHeight="1" thickBot="1">
      <c r="A279" s="2152" t="s">
        <v>28</v>
      </c>
      <c r="B279" s="2153" t="s">
        <v>29</v>
      </c>
      <c r="C279" s="2232">
        <v>1</v>
      </c>
      <c r="D279" s="2232">
        <v>2</v>
      </c>
      <c r="E279" s="2233">
        <v>3</v>
      </c>
      <c r="F279" s="2233">
        <v>4</v>
      </c>
      <c r="G279" s="2233">
        <v>5</v>
      </c>
      <c r="H279" s="2233">
        <v>6</v>
      </c>
      <c r="I279" s="2233">
        <v>7</v>
      </c>
      <c r="J279" s="2232">
        <v>8</v>
      </c>
      <c r="K279" s="2232">
        <v>9</v>
      </c>
      <c r="L279" s="2233">
        <v>10</v>
      </c>
      <c r="M279" s="2233">
        <v>11</v>
      </c>
      <c r="N279" s="2233">
        <v>12</v>
      </c>
      <c r="O279" s="2233">
        <v>13</v>
      </c>
      <c r="P279" s="2233">
        <v>14</v>
      </c>
      <c r="Q279" s="2232">
        <v>15</v>
      </c>
      <c r="R279" s="2232">
        <v>16</v>
      </c>
      <c r="S279" s="2233">
        <v>17</v>
      </c>
      <c r="T279" s="2233">
        <v>18</v>
      </c>
      <c r="U279" s="2233">
        <v>19</v>
      </c>
      <c r="V279" s="2233">
        <v>20</v>
      </c>
      <c r="W279" s="2233">
        <v>21</v>
      </c>
      <c r="X279" s="2232">
        <v>22</v>
      </c>
      <c r="Y279" s="2232">
        <v>23</v>
      </c>
      <c r="Z279" s="2233">
        <v>24</v>
      </c>
      <c r="AA279" s="2233">
        <v>25</v>
      </c>
      <c r="AB279" s="2233">
        <v>26</v>
      </c>
      <c r="AC279" s="2233">
        <v>27</v>
      </c>
      <c r="AD279" s="2233">
        <v>28</v>
      </c>
      <c r="AE279" s="2232">
        <v>29</v>
      </c>
      <c r="AF279" s="2233"/>
      <c r="AG279" s="2234"/>
      <c r="AH279" s="128"/>
      <c r="AI279" s="24"/>
    </row>
    <row r="280" spans="1:35" ht="24.75" customHeight="1">
      <c r="A280" s="129"/>
      <c r="B280" s="130" t="s">
        <v>339</v>
      </c>
      <c r="C280" s="1744"/>
      <c r="D280" s="1694"/>
      <c r="E280" s="1744" t="s">
        <v>31</v>
      </c>
      <c r="F280" s="1744" t="s">
        <v>31</v>
      </c>
      <c r="G280" s="1744" t="s">
        <v>31</v>
      </c>
      <c r="H280" s="1744" t="s">
        <v>31</v>
      </c>
      <c r="I280" s="1744" t="s">
        <v>31</v>
      </c>
      <c r="J280" s="1744"/>
      <c r="K280" s="1744"/>
      <c r="L280" s="1744" t="s">
        <v>31</v>
      </c>
      <c r="M280" s="1846" t="s">
        <v>31</v>
      </c>
      <c r="N280" s="1744" t="s">
        <v>31</v>
      </c>
      <c r="O280" s="1744" t="s">
        <v>31</v>
      </c>
      <c r="P280" s="1744" t="s">
        <v>31</v>
      </c>
      <c r="Q280" s="1744"/>
      <c r="R280" s="1744"/>
      <c r="S280" s="1744" t="s">
        <v>31</v>
      </c>
      <c r="T280" s="1744" t="s">
        <v>31</v>
      </c>
      <c r="U280" s="1744" t="s">
        <v>31</v>
      </c>
      <c r="V280" s="1744" t="s">
        <v>31</v>
      </c>
      <c r="W280" s="1744" t="s">
        <v>31</v>
      </c>
      <c r="X280" s="1744"/>
      <c r="Y280" s="1744"/>
      <c r="Z280" s="1744" t="s">
        <v>31</v>
      </c>
      <c r="AA280" s="1744" t="s">
        <v>31</v>
      </c>
      <c r="AB280" s="1744" t="s">
        <v>31</v>
      </c>
      <c r="AC280" s="1846" t="s">
        <v>31</v>
      </c>
      <c r="AD280" s="1846" t="s">
        <v>31</v>
      </c>
      <c r="AE280" s="1744"/>
      <c r="AF280" s="1744"/>
      <c r="AG280" s="1744"/>
      <c r="AH280" s="131"/>
      <c r="AI280" s="125"/>
    </row>
    <row r="281" spans="1:35" ht="24.75" customHeight="1">
      <c r="A281" s="2181"/>
      <c r="B281" s="2182" t="s">
        <v>340</v>
      </c>
      <c r="C281" s="1744"/>
      <c r="D281" s="1699"/>
      <c r="E281" s="1699" t="s">
        <v>31</v>
      </c>
      <c r="F281" s="1699" t="s">
        <v>31</v>
      </c>
      <c r="G281" s="1699" t="s">
        <v>31</v>
      </c>
      <c r="H281" s="1699" t="s">
        <v>31</v>
      </c>
      <c r="I281" s="1744" t="s">
        <v>31</v>
      </c>
      <c r="J281" s="1744"/>
      <c r="K281" s="1744"/>
      <c r="L281" s="1744" t="s">
        <v>31</v>
      </c>
      <c r="M281" s="1744" t="s">
        <v>31</v>
      </c>
      <c r="N281" s="1744" t="s">
        <v>31</v>
      </c>
      <c r="O281" s="1846" t="s">
        <v>31</v>
      </c>
      <c r="P281" s="1846" t="s">
        <v>31</v>
      </c>
      <c r="Q281" s="1744"/>
      <c r="R281" s="1744"/>
      <c r="S281" s="1744" t="s">
        <v>31</v>
      </c>
      <c r="T281" s="1744" t="s">
        <v>31</v>
      </c>
      <c r="U281" s="1744" t="s">
        <v>31</v>
      </c>
      <c r="V281" s="1744" t="s">
        <v>31</v>
      </c>
      <c r="W281" s="1846" t="s">
        <v>31</v>
      </c>
      <c r="X281" s="1744"/>
      <c r="Y281" s="1744"/>
      <c r="Z281" s="1744" t="s">
        <v>31</v>
      </c>
      <c r="AA281" s="1744" t="s">
        <v>31</v>
      </c>
      <c r="AB281" s="1744" t="s">
        <v>31</v>
      </c>
      <c r="AC281" s="1744" t="s">
        <v>31</v>
      </c>
      <c r="AD281" s="1744" t="s">
        <v>31</v>
      </c>
      <c r="AE281" s="1744"/>
      <c r="AF281" s="1744"/>
      <c r="AG281" s="1744"/>
      <c r="AH281" s="131"/>
      <c r="AI281" s="125"/>
    </row>
    <row r="282" spans="1:35" ht="24.75" customHeight="1">
      <c r="A282" s="2495"/>
      <c r="B282" s="2182" t="s">
        <v>341</v>
      </c>
      <c r="C282" s="1744"/>
      <c r="D282" s="1694"/>
      <c r="E282" s="1744" t="s">
        <v>31</v>
      </c>
      <c r="F282" s="1744" t="s">
        <v>31</v>
      </c>
      <c r="G282" s="1744" t="s">
        <v>31</v>
      </c>
      <c r="H282" s="1744" t="s">
        <v>31</v>
      </c>
      <c r="I282" s="1744" t="s">
        <v>31</v>
      </c>
      <c r="J282" s="1744"/>
      <c r="K282" s="1744"/>
      <c r="L282" s="1744" t="s">
        <v>31</v>
      </c>
      <c r="M282" s="1744" t="s">
        <v>31</v>
      </c>
      <c r="N282" s="1744" t="s">
        <v>31</v>
      </c>
      <c r="O282" s="1744" t="s">
        <v>31</v>
      </c>
      <c r="P282" s="1744" t="s">
        <v>31</v>
      </c>
      <c r="Q282" s="1744"/>
      <c r="R282" s="1744"/>
      <c r="S282" s="1744" t="s">
        <v>31</v>
      </c>
      <c r="T282" s="1744" t="s">
        <v>31</v>
      </c>
      <c r="U282" s="1744" t="s">
        <v>31</v>
      </c>
      <c r="V282" s="1744" t="s">
        <v>31</v>
      </c>
      <c r="W282" s="1744" t="s">
        <v>31</v>
      </c>
      <c r="X282" s="1744"/>
      <c r="Y282" s="1744"/>
      <c r="Z282" s="1744" t="s">
        <v>31</v>
      </c>
      <c r="AA282" s="1744" t="s">
        <v>31</v>
      </c>
      <c r="AB282" s="1744" t="s">
        <v>31</v>
      </c>
      <c r="AC282" s="1712" t="s">
        <v>31</v>
      </c>
      <c r="AD282" s="1712" t="s">
        <v>31</v>
      </c>
      <c r="AE282" s="1712"/>
      <c r="AF282" s="1712"/>
      <c r="AG282" s="1712"/>
      <c r="AH282" s="131"/>
      <c r="AI282" s="125"/>
    </row>
    <row r="283" spans="1:35" ht="24.75" customHeight="1">
      <c r="A283" s="2495"/>
      <c r="B283" s="2182" t="s">
        <v>342</v>
      </c>
      <c r="C283" s="1744"/>
      <c r="D283" s="1694"/>
      <c r="E283" s="1744" t="s">
        <v>31</v>
      </c>
      <c r="F283" s="1744" t="s">
        <v>31</v>
      </c>
      <c r="G283" s="1744" t="s">
        <v>31</v>
      </c>
      <c r="H283" s="1744" t="s">
        <v>31</v>
      </c>
      <c r="I283" s="1744" t="s">
        <v>31</v>
      </c>
      <c r="J283" s="1744"/>
      <c r="K283" s="1744"/>
      <c r="L283" s="1846" t="s">
        <v>31</v>
      </c>
      <c r="M283" s="1846" t="s">
        <v>31</v>
      </c>
      <c r="N283" s="1846" t="s">
        <v>31</v>
      </c>
      <c r="O283" s="1846" t="s">
        <v>31</v>
      </c>
      <c r="P283" s="1846" t="s">
        <v>31</v>
      </c>
      <c r="Q283" s="1744"/>
      <c r="R283" s="1744"/>
      <c r="S283" s="1744" t="s">
        <v>31</v>
      </c>
      <c r="T283" s="1744" t="s">
        <v>31</v>
      </c>
      <c r="U283" s="1744" t="s">
        <v>31</v>
      </c>
      <c r="V283" s="1744" t="s">
        <v>31</v>
      </c>
      <c r="W283" s="1744" t="s">
        <v>31</v>
      </c>
      <c r="X283" s="1744"/>
      <c r="Y283" s="1744"/>
      <c r="Z283" s="1744" t="s">
        <v>31</v>
      </c>
      <c r="AA283" s="1744" t="s">
        <v>31</v>
      </c>
      <c r="AB283" s="1744" t="s">
        <v>31</v>
      </c>
      <c r="AC283" s="1846" t="s">
        <v>31</v>
      </c>
      <c r="AD283" s="1846" t="s">
        <v>31</v>
      </c>
      <c r="AE283" s="1846"/>
      <c r="AF283" s="1846"/>
      <c r="AG283" s="1846"/>
      <c r="AH283" s="131"/>
      <c r="AI283" s="125"/>
    </row>
    <row r="284" spans="1:35" ht="24.75" customHeight="1">
      <c r="A284" s="2495"/>
      <c r="B284" s="2182" t="s">
        <v>343</v>
      </c>
      <c r="C284" s="1744"/>
      <c r="D284" s="1694"/>
      <c r="E284" s="1744" t="s">
        <v>31</v>
      </c>
      <c r="F284" s="1744" t="s">
        <v>31</v>
      </c>
      <c r="G284" s="1744" t="s">
        <v>31</v>
      </c>
      <c r="H284" s="1744" t="s">
        <v>31</v>
      </c>
      <c r="I284" s="1744" t="s">
        <v>31</v>
      </c>
      <c r="J284" s="1744"/>
      <c r="K284" s="1744"/>
      <c r="L284" s="1744" t="s">
        <v>31</v>
      </c>
      <c r="M284" s="1744" t="s">
        <v>31</v>
      </c>
      <c r="N284" s="1744" t="s">
        <v>31</v>
      </c>
      <c r="O284" s="1744" t="s">
        <v>31</v>
      </c>
      <c r="P284" s="1744" t="s">
        <v>31</v>
      </c>
      <c r="Q284" s="1744"/>
      <c r="R284" s="1744"/>
      <c r="S284" s="1744" t="s">
        <v>31</v>
      </c>
      <c r="T284" s="1744" t="s">
        <v>31</v>
      </c>
      <c r="U284" s="1744" t="s">
        <v>31</v>
      </c>
      <c r="V284" s="1744" t="s">
        <v>31</v>
      </c>
      <c r="W284" s="1744" t="s">
        <v>31</v>
      </c>
      <c r="X284" s="1744"/>
      <c r="Y284" s="1744"/>
      <c r="Z284" s="1744" t="s">
        <v>31</v>
      </c>
      <c r="AA284" s="1744" t="s">
        <v>31</v>
      </c>
      <c r="AB284" s="1744" t="s">
        <v>31</v>
      </c>
      <c r="AC284" s="1744" t="s">
        <v>31</v>
      </c>
      <c r="AD284" s="1744" t="s">
        <v>31</v>
      </c>
      <c r="AE284" s="1744"/>
      <c r="AF284" s="1744"/>
      <c r="AG284" s="2287"/>
      <c r="AH284" s="131"/>
      <c r="AI284" s="125"/>
    </row>
    <row r="285" spans="1:35" ht="24.75" customHeight="1">
      <c r="A285" s="2495"/>
      <c r="B285" s="2182" t="s">
        <v>344</v>
      </c>
      <c r="C285" s="1744"/>
      <c r="D285" s="1699"/>
      <c r="E285" s="1699" t="s">
        <v>31</v>
      </c>
      <c r="F285" s="1699" t="s">
        <v>31</v>
      </c>
      <c r="G285" s="1699" t="s">
        <v>31</v>
      </c>
      <c r="H285" s="1699" t="s">
        <v>31</v>
      </c>
      <c r="I285" s="1744" t="s">
        <v>31</v>
      </c>
      <c r="J285" s="1744"/>
      <c r="K285" s="1744"/>
      <c r="L285" s="1744" t="s">
        <v>31</v>
      </c>
      <c r="M285" s="1744" t="s">
        <v>31</v>
      </c>
      <c r="N285" s="1744" t="s">
        <v>31</v>
      </c>
      <c r="O285" s="1744" t="s">
        <v>31</v>
      </c>
      <c r="P285" s="1697" t="s">
        <v>31</v>
      </c>
      <c r="Q285" s="1744"/>
      <c r="R285" s="1744"/>
      <c r="S285" s="1744" t="s">
        <v>31</v>
      </c>
      <c r="T285" s="1744" t="s">
        <v>31</v>
      </c>
      <c r="U285" s="1744" t="s">
        <v>31</v>
      </c>
      <c r="V285" s="1744" t="s">
        <v>31</v>
      </c>
      <c r="W285" s="1744" t="s">
        <v>31</v>
      </c>
      <c r="X285" s="1744"/>
      <c r="Y285" s="1744"/>
      <c r="Z285" s="1744" t="s">
        <v>31</v>
      </c>
      <c r="AA285" s="1744" t="s">
        <v>31</v>
      </c>
      <c r="AB285" s="1744" t="s">
        <v>31</v>
      </c>
      <c r="AC285" s="1744" t="s">
        <v>31</v>
      </c>
      <c r="AD285" s="1846" t="s">
        <v>31</v>
      </c>
      <c r="AE285" s="1744"/>
      <c r="AF285" s="1744"/>
      <c r="AG285" s="2287"/>
      <c r="AH285" s="131"/>
      <c r="AI285" s="125"/>
    </row>
    <row r="286" spans="1:35" ht="24.75" customHeight="1">
      <c r="A286" s="2495"/>
      <c r="B286" s="2182" t="s">
        <v>345</v>
      </c>
      <c r="C286" s="1744"/>
      <c r="D286" s="1694"/>
      <c r="E286" s="1744" t="s">
        <v>31</v>
      </c>
      <c r="F286" s="1744" t="s">
        <v>31</v>
      </c>
      <c r="G286" s="1744" t="s">
        <v>31</v>
      </c>
      <c r="H286" s="1744" t="s">
        <v>31</v>
      </c>
      <c r="I286" s="1744" t="s">
        <v>31</v>
      </c>
      <c r="J286" s="1744"/>
      <c r="K286" s="1744"/>
      <c r="L286" s="1744" t="s">
        <v>31</v>
      </c>
      <c r="M286" s="1744" t="s">
        <v>31</v>
      </c>
      <c r="N286" s="1744" t="s">
        <v>31</v>
      </c>
      <c r="O286" s="1744" t="s">
        <v>31</v>
      </c>
      <c r="P286" s="1744" t="s">
        <v>31</v>
      </c>
      <c r="Q286" s="1744"/>
      <c r="R286" s="1744"/>
      <c r="S286" s="1744" t="s">
        <v>31</v>
      </c>
      <c r="T286" s="1744" t="s">
        <v>31</v>
      </c>
      <c r="U286" s="1744" t="s">
        <v>31</v>
      </c>
      <c r="V286" s="1744" t="s">
        <v>31</v>
      </c>
      <c r="W286" s="1744" t="s">
        <v>31</v>
      </c>
      <c r="X286" s="1744"/>
      <c r="Y286" s="1744"/>
      <c r="Z286" s="1744" t="s">
        <v>31</v>
      </c>
      <c r="AA286" s="1744" t="s">
        <v>31</v>
      </c>
      <c r="AB286" s="1744" t="s">
        <v>31</v>
      </c>
      <c r="AC286" s="1744" t="s">
        <v>31</v>
      </c>
      <c r="AD286" s="1744" t="s">
        <v>31</v>
      </c>
      <c r="AE286" s="1744"/>
      <c r="AF286" s="1744"/>
      <c r="AG286" s="2287"/>
      <c r="AH286" s="131"/>
      <c r="AI286" s="125"/>
    </row>
    <row r="287" spans="1:35" ht="24.75" customHeight="1">
      <c r="A287" s="2495"/>
      <c r="B287" s="2182" t="s">
        <v>346</v>
      </c>
      <c r="C287" s="1744"/>
      <c r="D287" s="1694"/>
      <c r="E287" s="1744" t="s">
        <v>31</v>
      </c>
      <c r="F287" s="1744" t="s">
        <v>31</v>
      </c>
      <c r="G287" s="1744" t="s">
        <v>31</v>
      </c>
      <c r="H287" s="1744" t="s">
        <v>31</v>
      </c>
      <c r="I287" s="1744" t="s">
        <v>31</v>
      </c>
      <c r="J287" s="1744"/>
      <c r="K287" s="1744"/>
      <c r="L287" s="1919" t="s">
        <v>304</v>
      </c>
      <c r="M287" s="1744" t="s">
        <v>31</v>
      </c>
      <c r="N287" s="1744" t="s">
        <v>31</v>
      </c>
      <c r="O287" s="1744" t="s">
        <v>31</v>
      </c>
      <c r="P287" s="1744" t="s">
        <v>31</v>
      </c>
      <c r="Q287" s="1744"/>
      <c r="R287" s="1744"/>
      <c r="S287" s="1744" t="s">
        <v>31</v>
      </c>
      <c r="T287" s="1744" t="s">
        <v>31</v>
      </c>
      <c r="U287" s="1744" t="s">
        <v>31</v>
      </c>
      <c r="V287" s="1744" t="s">
        <v>31</v>
      </c>
      <c r="W287" s="1744" t="s">
        <v>31</v>
      </c>
      <c r="X287" s="1744"/>
      <c r="Y287" s="1744"/>
      <c r="Z287" s="1744" t="s">
        <v>31</v>
      </c>
      <c r="AA287" s="1744" t="s">
        <v>31</v>
      </c>
      <c r="AB287" s="1744" t="s">
        <v>31</v>
      </c>
      <c r="AC287" s="1744" t="s">
        <v>31</v>
      </c>
      <c r="AD287" s="1744" t="s">
        <v>31</v>
      </c>
      <c r="AE287" s="1744"/>
      <c r="AF287" s="1744"/>
      <c r="AG287" s="2287"/>
      <c r="AH287" s="131"/>
      <c r="AI287" s="125"/>
    </row>
    <row r="288" spans="1:35" ht="24.75" customHeight="1">
      <c r="A288" s="2495"/>
      <c r="B288" s="2171" t="s">
        <v>347</v>
      </c>
      <c r="C288" s="1749"/>
      <c r="D288" s="1749"/>
      <c r="E288" s="1744" t="s">
        <v>31</v>
      </c>
      <c r="F288" s="1744" t="s">
        <v>31</v>
      </c>
      <c r="G288" s="1744" t="s">
        <v>31</v>
      </c>
      <c r="H288" s="1744" t="s">
        <v>31</v>
      </c>
      <c r="I288" s="1744" t="s">
        <v>31</v>
      </c>
      <c r="J288" s="1744"/>
      <c r="K288" s="1744"/>
      <c r="L288" s="1744" t="s">
        <v>31</v>
      </c>
      <c r="M288" s="1744" t="s">
        <v>31</v>
      </c>
      <c r="N288" s="1744" t="s">
        <v>31</v>
      </c>
      <c r="O288" s="1744" t="s">
        <v>31</v>
      </c>
      <c r="P288" s="1744" t="s">
        <v>31</v>
      </c>
      <c r="Q288" s="1744"/>
      <c r="R288" s="1744"/>
      <c r="S288" s="1744" t="s">
        <v>31</v>
      </c>
      <c r="T288" s="1744" t="s">
        <v>31</v>
      </c>
      <c r="U288" s="1744" t="s">
        <v>31</v>
      </c>
      <c r="V288" s="1744" t="s">
        <v>31</v>
      </c>
      <c r="W288" s="1744" t="s">
        <v>31</v>
      </c>
      <c r="X288" s="1744"/>
      <c r="Y288" s="1744"/>
      <c r="Z288" s="1744" t="s">
        <v>31</v>
      </c>
      <c r="AA288" s="1744" t="s">
        <v>31</v>
      </c>
      <c r="AB288" s="1744" t="s">
        <v>31</v>
      </c>
      <c r="AC288" s="1744" t="s">
        <v>31</v>
      </c>
      <c r="AD288" s="1744" t="s">
        <v>31</v>
      </c>
      <c r="AE288" s="1744"/>
      <c r="AF288" s="1744"/>
      <c r="AG288" s="2287"/>
      <c r="AH288" s="131"/>
      <c r="AI288" s="125"/>
    </row>
    <row r="289" spans="1:35" ht="24.75" customHeight="1">
      <c r="A289" s="2495"/>
      <c r="B289" s="2184" t="s">
        <v>348</v>
      </c>
      <c r="C289" s="1744"/>
      <c r="D289" s="1699"/>
      <c r="E289" s="1699" t="s">
        <v>31</v>
      </c>
      <c r="F289" s="1699" t="s">
        <v>31</v>
      </c>
      <c r="G289" s="1699" t="s">
        <v>31</v>
      </c>
      <c r="H289" s="1699" t="s">
        <v>31</v>
      </c>
      <c r="I289" s="1744" t="s">
        <v>31</v>
      </c>
      <c r="J289" s="1744"/>
      <c r="K289" s="1744"/>
      <c r="L289" s="1744" t="s">
        <v>31</v>
      </c>
      <c r="M289" s="1744" t="s">
        <v>31</v>
      </c>
      <c r="N289" s="1744" t="s">
        <v>31</v>
      </c>
      <c r="O289" s="1744" t="s">
        <v>31</v>
      </c>
      <c r="P289" s="1744" t="s">
        <v>31</v>
      </c>
      <c r="Q289" s="1744"/>
      <c r="R289" s="1744"/>
      <c r="S289" s="1744" t="s">
        <v>31</v>
      </c>
      <c r="T289" s="1744" t="s">
        <v>31</v>
      </c>
      <c r="U289" s="1744" t="s">
        <v>31</v>
      </c>
      <c r="V289" s="1744" t="s">
        <v>31</v>
      </c>
      <c r="W289" s="1744" t="s">
        <v>31</v>
      </c>
      <c r="X289" s="1744"/>
      <c r="Y289" s="1744"/>
      <c r="Z289" s="1744" t="s">
        <v>31</v>
      </c>
      <c r="AA289" s="1744" t="s">
        <v>31</v>
      </c>
      <c r="AB289" s="1744" t="s">
        <v>31</v>
      </c>
      <c r="AC289" s="1744" t="s">
        <v>31</v>
      </c>
      <c r="AD289" s="1744" t="s">
        <v>31</v>
      </c>
      <c r="AE289" s="1744"/>
      <c r="AF289" s="1744"/>
      <c r="AG289" s="2287"/>
      <c r="AH289" s="131"/>
      <c r="AI289" s="125"/>
    </row>
    <row r="290" spans="1:35" ht="24.75" customHeight="1">
      <c r="A290" s="2495"/>
      <c r="B290" s="1878" t="s">
        <v>349</v>
      </c>
      <c r="C290" s="1744"/>
      <c r="D290" s="1694"/>
      <c r="E290" s="1744" t="s">
        <v>31</v>
      </c>
      <c r="F290" s="1744" t="s">
        <v>31</v>
      </c>
      <c r="G290" s="1744" t="s">
        <v>31</v>
      </c>
      <c r="H290" s="1744" t="s">
        <v>31</v>
      </c>
      <c r="I290" s="1744" t="s">
        <v>31</v>
      </c>
      <c r="J290" s="1744"/>
      <c r="K290" s="1744"/>
      <c r="L290" s="1744" t="s">
        <v>31</v>
      </c>
      <c r="M290" s="1744" t="s">
        <v>31</v>
      </c>
      <c r="N290" s="1744" t="s">
        <v>31</v>
      </c>
      <c r="O290" s="1744" t="s">
        <v>31</v>
      </c>
      <c r="P290" s="1744" t="s">
        <v>31</v>
      </c>
      <c r="Q290" s="1744"/>
      <c r="R290" s="1744"/>
      <c r="S290" s="1744" t="s">
        <v>31</v>
      </c>
      <c r="T290" s="1744" t="s">
        <v>31</v>
      </c>
      <c r="U290" s="1744" t="s">
        <v>31</v>
      </c>
      <c r="V290" s="1744" t="s">
        <v>31</v>
      </c>
      <c r="W290" s="1744" t="s">
        <v>31</v>
      </c>
      <c r="X290" s="1744"/>
      <c r="Y290" s="1744"/>
      <c r="Z290" s="1744" t="s">
        <v>31</v>
      </c>
      <c r="AA290" s="1744" t="s">
        <v>31</v>
      </c>
      <c r="AB290" s="1744" t="s">
        <v>31</v>
      </c>
      <c r="AC290" s="1744" t="s">
        <v>31</v>
      </c>
      <c r="AD290" s="1744" t="s">
        <v>31</v>
      </c>
      <c r="AE290" s="1744"/>
      <c r="AF290" s="1744"/>
      <c r="AG290" s="2287"/>
      <c r="AH290" s="131"/>
      <c r="AI290" s="125"/>
    </row>
    <row r="291" spans="1:35" ht="24.75" customHeight="1">
      <c r="A291" s="2495"/>
      <c r="B291" s="2184"/>
      <c r="C291" s="1744"/>
      <c r="D291" s="1694"/>
      <c r="E291" s="1744"/>
      <c r="F291" s="1744"/>
      <c r="G291" s="1744"/>
      <c r="H291" s="1744"/>
      <c r="I291" s="1744"/>
      <c r="J291" s="1744"/>
      <c r="K291" s="1744"/>
      <c r="L291" s="1744"/>
      <c r="M291" s="1744"/>
      <c r="N291" s="1744"/>
      <c r="O291" s="1744"/>
      <c r="P291" s="1744"/>
      <c r="Q291" s="1744"/>
      <c r="R291" s="1744"/>
      <c r="S291" s="1744"/>
      <c r="T291" s="1744"/>
      <c r="U291" s="1744"/>
      <c r="V291" s="1744"/>
      <c r="W291" s="1744"/>
      <c r="X291" s="1744"/>
      <c r="Y291" s="1744"/>
      <c r="Z291" s="1744"/>
      <c r="AA291" s="1744"/>
      <c r="AB291" s="1744"/>
      <c r="AC291" s="1744"/>
      <c r="AD291" s="1744"/>
      <c r="AE291" s="1744"/>
      <c r="AF291" s="1744"/>
      <c r="AG291" s="2287"/>
      <c r="AH291" s="131"/>
      <c r="AI291" s="125"/>
    </row>
    <row r="292" spans="1:35" ht="24.75" customHeight="1">
      <c r="A292" s="2185"/>
      <c r="B292" s="2184"/>
      <c r="C292" s="2287"/>
      <c r="D292" s="2287"/>
      <c r="E292" s="2287"/>
      <c r="F292" s="2287"/>
      <c r="G292" s="2287"/>
      <c r="H292" s="2287"/>
      <c r="I292" s="2287"/>
      <c r="J292" s="2287"/>
      <c r="K292" s="2287"/>
      <c r="L292" s="2287"/>
      <c r="M292" s="2287"/>
      <c r="N292" s="2288"/>
      <c r="O292" s="2288"/>
      <c r="P292" s="2287"/>
      <c r="Q292" s="2287"/>
      <c r="R292" s="2287"/>
      <c r="S292" s="2287"/>
      <c r="T292" s="2287"/>
      <c r="U292" s="2287"/>
      <c r="V292" s="2287"/>
      <c r="W292" s="2287"/>
      <c r="X292" s="2287"/>
      <c r="Y292" s="2287"/>
      <c r="Z292" s="2287"/>
      <c r="AA292" s="2287"/>
      <c r="AB292" s="2288"/>
      <c r="AC292" s="2288"/>
      <c r="AD292" s="2287"/>
      <c r="AE292" s="2287"/>
      <c r="AF292" s="2287"/>
      <c r="AG292" s="2287"/>
      <c r="AH292" s="131"/>
      <c r="AI292" s="127"/>
    </row>
    <row r="293" spans="1:35" ht="24.75" customHeight="1" thickBot="1">
      <c r="A293" s="414"/>
      <c r="B293" s="415"/>
      <c r="C293" s="2175"/>
      <c r="D293" s="2176"/>
      <c r="E293" s="2176"/>
      <c r="F293" s="2176"/>
      <c r="G293" s="2176"/>
      <c r="H293" s="2176"/>
      <c r="I293" s="2176"/>
      <c r="J293" s="2176"/>
      <c r="K293" s="2176"/>
      <c r="L293" s="2176"/>
      <c r="M293" s="2176"/>
      <c r="N293" s="2177"/>
      <c r="O293" s="2177"/>
      <c r="P293" s="2176"/>
      <c r="Q293" s="2176"/>
      <c r="R293" s="2176"/>
      <c r="S293" s="2176"/>
      <c r="T293" s="2176"/>
      <c r="U293" s="2176"/>
      <c r="V293" s="2176"/>
      <c r="W293" s="2176"/>
      <c r="X293" s="2176"/>
      <c r="Y293" s="2176"/>
      <c r="Z293" s="2176"/>
      <c r="AA293" s="2176"/>
      <c r="AB293" s="2177"/>
      <c r="AC293" s="2177"/>
      <c r="AD293" s="2176"/>
      <c r="AE293" s="2176"/>
      <c r="AF293" s="2176"/>
      <c r="AG293" s="2176"/>
      <c r="AH293" s="131"/>
      <c r="AI293" s="127"/>
    </row>
    <row r="294" spans="1:35" ht="21.75" customHeight="1"/>
  </sheetData>
  <sheetProtection algorithmName="SHA-512" hashValue="5O6P3TzyMYMFc2TTJkRqQXRXQPttIF0mnoj60GpFJy2jNl47dfgDTeYzxoG6/2pGvkWoL5ofdeQubQ/adas7ew==" saltValue="8hDlTVjwUibzRqsPk/o0LA==" spinCount="100000" sheet="1" objects="1" scenarios="1"/>
  <protectedRanges>
    <protectedRange sqref="B219" name="Område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19:B120" name="Område1_3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22:B123" name="Område1_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</protectedRanges>
  <mergeCells count="1">
    <mergeCell ref="T31:Z31"/>
  </mergeCells>
  <pageMargins left="0.70866141732283472" right="0.70866141732283472" top="0.74803149606299213" bottom="0.74803149606299213" header="0.31496062992125984" footer="0.31496062992125984"/>
  <pageSetup paperSize="9" scale="64" fitToHeight="0" orientation="landscape" horizontalDpi="4294967293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D2156-D482-416B-9971-93A031FD052E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1A5F4-3E0A-4624-AC4F-AB932AC3A102}">
  <sheetPr codeName="Ark6"/>
  <dimension ref="A1:AO294"/>
  <sheetViews>
    <sheetView zoomScale="70" zoomScaleNormal="70" workbookViewId="0">
      <selection activeCell="AA281" sqref="AA281"/>
    </sheetView>
  </sheetViews>
  <sheetFormatPr defaultRowHeight="15"/>
  <cols>
    <col min="2" max="2" width="27.28515625" customWidth="1"/>
    <col min="3" max="35" width="5.28515625" customWidth="1"/>
  </cols>
  <sheetData>
    <row r="1" spans="1:35" ht="25.5" customHeight="1">
      <c r="A1" t="s">
        <v>0</v>
      </c>
      <c r="B1" s="1" t="s">
        <v>1</v>
      </c>
    </row>
    <row r="2" spans="1:35" ht="25.5" customHeight="1">
      <c r="B2" s="2506" t="s">
        <v>2</v>
      </c>
      <c r="C2" s="2507" t="s">
        <v>3</v>
      </c>
      <c r="D2" s="2188"/>
      <c r="E2" s="2508" t="s">
        <v>4</v>
      </c>
      <c r="F2" s="2190"/>
      <c r="G2" s="2191"/>
      <c r="H2" s="2191"/>
      <c r="I2" s="2191"/>
      <c r="J2" s="2191"/>
      <c r="K2" s="2192"/>
      <c r="L2" s="2193" t="s">
        <v>5</v>
      </c>
      <c r="M2" s="2194"/>
      <c r="N2" s="2195"/>
      <c r="O2" s="2196" t="s">
        <v>6</v>
      </c>
      <c r="P2" s="2197"/>
      <c r="Q2" s="2198"/>
      <c r="R2" s="2199"/>
      <c r="S2" s="2200" t="s">
        <v>7</v>
      </c>
      <c r="T2" s="2201"/>
      <c r="U2" s="2202"/>
      <c r="V2" s="2201"/>
      <c r="W2" s="2203" t="s">
        <v>8</v>
      </c>
      <c r="X2" s="2204"/>
      <c r="Y2" s="2205"/>
      <c r="Z2" s="2" t="s">
        <v>9</v>
      </c>
      <c r="AA2" s="2206"/>
      <c r="AB2" s="2207"/>
      <c r="AC2" s="2208"/>
      <c r="AD2" s="2209" t="s">
        <v>10</v>
      </c>
      <c r="AE2" s="2210"/>
      <c r="AF2" s="2210"/>
      <c r="AG2" s="2211"/>
    </row>
    <row r="3" spans="1:35" ht="25.5" customHeight="1">
      <c r="A3" s="1"/>
      <c r="B3" s="2509" t="s">
        <v>11</v>
      </c>
      <c r="C3" s="2213" t="s">
        <v>12</v>
      </c>
      <c r="D3" s="2214"/>
      <c r="E3" s="3"/>
      <c r="F3" s="4"/>
      <c r="G3" s="4"/>
      <c r="H3" s="5" t="s">
        <v>13</v>
      </c>
      <c r="I3" s="6"/>
      <c r="J3" s="6"/>
      <c r="K3" s="7"/>
      <c r="L3" s="2215" t="s">
        <v>14</v>
      </c>
      <c r="M3" s="2179"/>
      <c r="N3" s="2216"/>
      <c r="O3" s="6"/>
      <c r="P3" s="6"/>
      <c r="Q3" s="6"/>
      <c r="R3" s="6"/>
      <c r="S3" s="8"/>
      <c r="T3" s="9" t="s">
        <v>15</v>
      </c>
      <c r="U3" s="10"/>
      <c r="V3" s="11"/>
      <c r="W3" s="12"/>
      <c r="X3" s="13"/>
      <c r="Y3" s="5" t="s">
        <v>16</v>
      </c>
      <c r="Z3" s="2179"/>
      <c r="AA3" s="2179"/>
      <c r="AB3" s="2217"/>
      <c r="AC3" s="2218"/>
      <c r="AD3" s="2219" t="s">
        <v>17</v>
      </c>
      <c r="AE3" s="2220"/>
      <c r="AF3" s="2220"/>
      <c r="AG3" s="2221"/>
    </row>
    <row r="4" spans="1:35" ht="25.5" customHeight="1">
      <c r="A4" s="14" t="s">
        <v>18</v>
      </c>
      <c r="B4" s="15"/>
      <c r="C4" s="16"/>
      <c r="D4" s="17"/>
      <c r="E4" s="17"/>
      <c r="F4" s="17"/>
      <c r="G4" s="17"/>
      <c r="H4" s="16"/>
      <c r="I4" s="17"/>
      <c r="J4" s="17"/>
      <c r="K4" s="18"/>
      <c r="L4" s="17"/>
      <c r="M4" s="18"/>
      <c r="N4" s="18"/>
      <c r="O4" s="17"/>
      <c r="P4" s="17"/>
      <c r="Q4" s="17"/>
      <c r="R4" s="17"/>
      <c r="T4" s="18"/>
      <c r="U4" s="16"/>
      <c r="W4" s="17"/>
      <c r="X4" s="17"/>
      <c r="Y4" s="16"/>
      <c r="Z4" s="17"/>
      <c r="AB4" s="17"/>
      <c r="AC4" s="17"/>
      <c r="AD4" s="17"/>
      <c r="AE4" s="17"/>
      <c r="AF4" s="17"/>
      <c r="AG4" s="17"/>
    </row>
    <row r="5" spans="1:35" ht="25.5" customHeight="1">
      <c r="A5" s="14" t="s">
        <v>19</v>
      </c>
      <c r="B5" s="1"/>
    </row>
    <row r="6" spans="1:35" ht="25.5" customHeight="1">
      <c r="A6" s="2222" t="s">
        <v>20</v>
      </c>
      <c r="B6" s="2179"/>
      <c r="C6" s="2223"/>
      <c r="D6" s="2222" t="s">
        <v>21</v>
      </c>
      <c r="E6" s="2179"/>
      <c r="F6" s="2179"/>
      <c r="G6" s="2179"/>
      <c r="H6" s="2099"/>
      <c r="I6" s="2179"/>
      <c r="J6" s="2179"/>
      <c r="K6" s="2179"/>
      <c r="L6" s="2224" t="s">
        <v>22</v>
      </c>
      <c r="M6" s="2179"/>
      <c r="N6" s="2179"/>
      <c r="O6" s="2179"/>
      <c r="P6" s="2179"/>
      <c r="Q6" s="2179"/>
      <c r="R6" s="2179"/>
      <c r="S6" s="2223"/>
      <c r="T6" s="2225"/>
      <c r="U6" s="2179"/>
      <c r="V6" s="2179"/>
      <c r="W6" s="2179"/>
      <c r="X6" s="2179"/>
      <c r="Y6" s="2179"/>
      <c r="Z6" s="2179"/>
      <c r="AA6" s="2223"/>
      <c r="AB6" s="2226"/>
      <c r="AC6" s="2227"/>
      <c r="AD6" s="2227"/>
      <c r="AE6" s="2227"/>
      <c r="AF6" s="2227"/>
      <c r="AG6" s="2228"/>
    </row>
    <row r="7" spans="1:35" ht="25.5" customHeight="1">
      <c r="A7" s="2222" t="s">
        <v>23</v>
      </c>
      <c r="B7" s="2179"/>
      <c r="C7" s="2179"/>
      <c r="D7" s="2179"/>
      <c r="E7" s="2179"/>
      <c r="F7" s="2179"/>
      <c r="G7" s="2179"/>
      <c r="H7" s="2179"/>
      <c r="I7" s="2179"/>
      <c r="J7" s="2179"/>
      <c r="K7" s="2223"/>
      <c r="L7" s="19" t="s">
        <v>24</v>
      </c>
      <c r="M7" s="8"/>
      <c r="N7" s="8"/>
      <c r="O7" s="8"/>
      <c r="P7" s="8"/>
      <c r="Q7" s="8"/>
      <c r="R7" s="8"/>
      <c r="S7" s="8"/>
      <c r="T7" s="8"/>
      <c r="U7" s="2179"/>
      <c r="V7" s="2179"/>
      <c r="W7" s="2179"/>
      <c r="X7" s="2179"/>
      <c r="Y7" s="2179"/>
      <c r="Z7" s="2179"/>
      <c r="AA7" s="2179"/>
      <c r="AB7" s="2229"/>
      <c r="AC7" s="2179"/>
      <c r="AD7" s="2179"/>
      <c r="AE7" s="2179"/>
      <c r="AF7" s="2179"/>
      <c r="AG7" s="2223"/>
    </row>
    <row r="8" spans="1:35" ht="25.5" customHeight="1">
      <c r="A8" s="14" t="s">
        <v>25</v>
      </c>
      <c r="L8" s="20"/>
      <c r="AB8" s="1"/>
    </row>
    <row r="9" spans="1:35" ht="25.5" customHeight="1">
      <c r="A9" s="14" t="s">
        <v>26</v>
      </c>
      <c r="L9" s="20"/>
      <c r="AB9" s="1"/>
    </row>
    <row r="10" spans="1:35" ht="25.5" customHeight="1">
      <c r="B10" s="21" t="s">
        <v>27</v>
      </c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</row>
    <row r="11" spans="1:35" ht="25.5" customHeight="1" thickBot="1">
      <c r="A11" s="2230" t="s">
        <v>28</v>
      </c>
      <c r="B11" s="2231" t="s">
        <v>29</v>
      </c>
      <c r="C11" s="2233">
        <v>1</v>
      </c>
      <c r="D11" s="2233">
        <v>2</v>
      </c>
      <c r="E11" s="2233">
        <v>3</v>
      </c>
      <c r="F11" s="2233">
        <v>4</v>
      </c>
      <c r="G11" s="2232">
        <v>5</v>
      </c>
      <c r="H11" s="2232">
        <v>6</v>
      </c>
      <c r="I11" s="2233">
        <v>7</v>
      </c>
      <c r="J11" s="2233">
        <v>8</v>
      </c>
      <c r="K11" s="2233">
        <v>9</v>
      </c>
      <c r="L11" s="2233">
        <v>10</v>
      </c>
      <c r="M11" s="2233">
        <v>11</v>
      </c>
      <c r="N11" s="2232">
        <v>12</v>
      </c>
      <c r="O11" s="2232">
        <v>13</v>
      </c>
      <c r="P11" s="2233">
        <v>14</v>
      </c>
      <c r="Q11" s="2233">
        <v>15</v>
      </c>
      <c r="R11" s="2233">
        <v>16</v>
      </c>
      <c r="S11" s="2233">
        <v>17</v>
      </c>
      <c r="T11" s="2233">
        <v>18</v>
      </c>
      <c r="U11" s="2232">
        <v>19</v>
      </c>
      <c r="V11" s="2232">
        <v>20</v>
      </c>
      <c r="W11" s="2233">
        <v>21</v>
      </c>
      <c r="X11" s="2233">
        <v>22</v>
      </c>
      <c r="Y11" s="2233">
        <v>23</v>
      </c>
      <c r="Z11" s="2233">
        <v>24</v>
      </c>
      <c r="AA11" s="2233">
        <v>25</v>
      </c>
      <c r="AB11" s="2232">
        <v>26</v>
      </c>
      <c r="AC11" s="2232">
        <v>27</v>
      </c>
      <c r="AD11" s="2233">
        <v>28</v>
      </c>
      <c r="AE11" s="2233">
        <v>29</v>
      </c>
      <c r="AF11" s="2233">
        <v>30</v>
      </c>
      <c r="AG11" s="2234">
        <v>31</v>
      </c>
      <c r="AH11" s="23"/>
      <c r="AI11" s="24"/>
    </row>
    <row r="12" spans="1:35" ht="25.5" customHeight="1">
      <c r="A12" s="2235">
        <v>8500</v>
      </c>
      <c r="B12" s="1815" t="s">
        <v>30</v>
      </c>
      <c r="C12" s="1816" t="s">
        <v>31</v>
      </c>
      <c r="D12" s="1816" t="s">
        <v>31</v>
      </c>
      <c r="E12" s="1816">
        <v>1</v>
      </c>
      <c r="F12" s="1816" t="s">
        <v>31</v>
      </c>
      <c r="G12" s="1816"/>
      <c r="H12" s="1816"/>
      <c r="I12" s="1816" t="s">
        <v>31</v>
      </c>
      <c r="J12" s="1816" t="s">
        <v>31</v>
      </c>
      <c r="K12" s="1816" t="s">
        <v>31</v>
      </c>
      <c r="L12" s="1816" t="s">
        <v>31</v>
      </c>
      <c r="M12" s="1816" t="s">
        <v>31</v>
      </c>
      <c r="N12" s="1816"/>
      <c r="O12" s="1816"/>
      <c r="P12" s="1818" t="s">
        <v>31</v>
      </c>
      <c r="Q12" s="1816" t="s">
        <v>31</v>
      </c>
      <c r="R12" s="1816" t="s">
        <v>31</v>
      </c>
      <c r="S12" s="1816" t="s">
        <v>31</v>
      </c>
      <c r="T12" s="1816" t="s">
        <v>31</v>
      </c>
      <c r="U12" s="1816"/>
      <c r="V12" s="1816"/>
      <c r="W12" s="1816" t="s">
        <v>31</v>
      </c>
      <c r="X12" s="1699" t="s">
        <v>31</v>
      </c>
      <c r="Y12" s="801" t="s">
        <v>31</v>
      </c>
      <c r="Z12" s="1816" t="s">
        <v>31</v>
      </c>
      <c r="AA12" s="1816" t="s">
        <v>31</v>
      </c>
      <c r="AB12" s="1816"/>
      <c r="AC12" s="1816"/>
      <c r="AD12" s="1816">
        <v>1</v>
      </c>
      <c r="AE12" s="1816" t="s">
        <v>31</v>
      </c>
      <c r="AF12" s="1816" t="s">
        <v>31</v>
      </c>
      <c r="AG12" s="1819" t="s">
        <v>31</v>
      </c>
      <c r="AH12" s="25"/>
      <c r="AI12" s="25"/>
    </row>
    <row r="13" spans="1:35" ht="25.5" customHeight="1">
      <c r="A13" s="2236" t="s">
        <v>32</v>
      </c>
      <c r="B13" s="2510"/>
      <c r="C13" s="2510"/>
      <c r="D13" s="2510"/>
      <c r="E13" s="2510"/>
      <c r="F13" s="2510"/>
      <c r="G13" s="2510"/>
      <c r="H13" s="2510"/>
      <c r="I13" s="2510"/>
      <c r="J13" s="2510"/>
      <c r="K13" s="2510"/>
      <c r="L13" s="2510"/>
      <c r="M13" s="2510"/>
      <c r="N13" s="2510"/>
      <c r="O13" s="2510"/>
      <c r="P13" s="2510"/>
      <c r="Q13" s="2510"/>
      <c r="R13" s="2510"/>
      <c r="S13" s="2510"/>
      <c r="T13" s="2510"/>
      <c r="U13" s="2510"/>
      <c r="V13" s="2510"/>
      <c r="W13" s="2510"/>
      <c r="X13" s="2510"/>
      <c r="Y13" s="2510"/>
      <c r="Z13" s="2510"/>
      <c r="AA13" s="2510"/>
      <c r="AB13" s="2510"/>
      <c r="AC13" s="2510"/>
      <c r="AD13" s="2510"/>
      <c r="AE13" s="2510"/>
      <c r="AF13" s="2510"/>
      <c r="AG13" s="2511"/>
      <c r="AH13" s="26"/>
      <c r="AI13" s="26"/>
    </row>
    <row r="14" spans="1:35" ht="25.5" customHeight="1" thickBot="1">
      <c r="A14" s="27">
        <v>8546</v>
      </c>
      <c r="B14" s="2512" t="s">
        <v>33</v>
      </c>
      <c r="C14" s="2513" t="s">
        <v>35</v>
      </c>
      <c r="D14" s="2514" t="s">
        <v>35</v>
      </c>
      <c r="E14" s="2515" t="s">
        <v>35</v>
      </c>
      <c r="F14" s="2516" t="s">
        <v>35</v>
      </c>
      <c r="G14" s="2515"/>
      <c r="H14" s="2515"/>
      <c r="I14" s="2515">
        <v>1</v>
      </c>
      <c r="J14" s="2515">
        <v>1</v>
      </c>
      <c r="K14" s="2513">
        <v>1</v>
      </c>
      <c r="L14" s="2515">
        <v>1</v>
      </c>
      <c r="M14" s="2515">
        <v>1</v>
      </c>
      <c r="N14" s="2515"/>
      <c r="O14" s="2515"/>
      <c r="P14" s="2515">
        <v>2</v>
      </c>
      <c r="Q14" s="2515">
        <v>2</v>
      </c>
      <c r="R14" s="2515">
        <v>2</v>
      </c>
      <c r="S14" s="2516">
        <v>2</v>
      </c>
      <c r="T14" s="2516">
        <v>2</v>
      </c>
      <c r="U14" s="2515" t="s">
        <v>34</v>
      </c>
      <c r="V14" s="2515" t="s">
        <v>34</v>
      </c>
      <c r="W14" s="2515" t="s">
        <v>35</v>
      </c>
      <c r="X14" s="2515" t="s">
        <v>35</v>
      </c>
      <c r="Y14" s="2515" t="s">
        <v>35</v>
      </c>
      <c r="Z14" s="2515" t="s">
        <v>35</v>
      </c>
      <c r="AA14" s="2515" t="s">
        <v>35</v>
      </c>
      <c r="AB14" s="2515"/>
      <c r="AC14" s="2515"/>
      <c r="AD14" s="2323">
        <v>4</v>
      </c>
      <c r="AE14" s="2323">
        <v>4</v>
      </c>
      <c r="AF14" s="2323">
        <v>4</v>
      </c>
      <c r="AG14" s="2517">
        <v>4</v>
      </c>
      <c r="AH14" s="25"/>
      <c r="AI14" s="25"/>
    </row>
    <row r="15" spans="1:35" ht="25.5" customHeight="1">
      <c r="A15" s="2247">
        <v>8546</v>
      </c>
      <c r="B15" s="1838" t="s">
        <v>37</v>
      </c>
      <c r="C15" s="2513">
        <v>4</v>
      </c>
      <c r="D15" s="2515">
        <v>4</v>
      </c>
      <c r="E15" s="2515">
        <v>4</v>
      </c>
      <c r="F15" s="2514">
        <v>4</v>
      </c>
      <c r="G15" s="2514" t="s">
        <v>36</v>
      </c>
      <c r="H15" s="2514" t="s">
        <v>36</v>
      </c>
      <c r="I15" s="2515" t="s">
        <v>35</v>
      </c>
      <c r="J15" s="2513" t="s">
        <v>35</v>
      </c>
      <c r="K15" s="2514" t="s">
        <v>35</v>
      </c>
      <c r="L15" s="2515" t="s">
        <v>35</v>
      </c>
      <c r="M15" s="2515" t="s">
        <v>35</v>
      </c>
      <c r="N15" s="2515"/>
      <c r="O15" s="2515"/>
      <c r="P15" s="2515">
        <v>1</v>
      </c>
      <c r="Q15" s="2515">
        <v>1</v>
      </c>
      <c r="R15" s="2515">
        <v>1</v>
      </c>
      <c r="S15" s="2515">
        <v>1</v>
      </c>
      <c r="T15" s="2316">
        <v>1</v>
      </c>
      <c r="U15" s="2515"/>
      <c r="V15" s="2515"/>
      <c r="W15" s="2515">
        <v>2</v>
      </c>
      <c r="X15" s="2515">
        <v>2</v>
      </c>
      <c r="Y15" s="2515">
        <v>2</v>
      </c>
      <c r="Z15" s="2515">
        <v>2</v>
      </c>
      <c r="AA15" s="2515">
        <v>2</v>
      </c>
      <c r="AB15" s="2515" t="s">
        <v>34</v>
      </c>
      <c r="AC15" s="2515" t="s">
        <v>34</v>
      </c>
      <c r="AD15" s="2515" t="s">
        <v>35</v>
      </c>
      <c r="AE15" s="2515" t="s">
        <v>35</v>
      </c>
      <c r="AF15" s="2515" t="s">
        <v>35</v>
      </c>
      <c r="AG15" s="2518" t="s">
        <v>35</v>
      </c>
      <c r="AH15" s="25"/>
      <c r="AI15" s="25"/>
    </row>
    <row r="16" spans="1:35" ht="25.5" customHeight="1">
      <c r="A16" s="2247">
        <v>8546</v>
      </c>
      <c r="B16" s="2512" t="s">
        <v>38</v>
      </c>
      <c r="C16" s="2515">
        <v>2</v>
      </c>
      <c r="D16" s="2515">
        <v>2</v>
      </c>
      <c r="E16" s="2515">
        <v>2</v>
      </c>
      <c r="F16" s="2515">
        <v>2</v>
      </c>
      <c r="G16" s="2515" t="s">
        <v>34</v>
      </c>
      <c r="H16" s="2515" t="s">
        <v>34</v>
      </c>
      <c r="I16" s="2515" t="s">
        <v>35</v>
      </c>
      <c r="J16" s="2515" t="s">
        <v>35</v>
      </c>
      <c r="K16" s="2515" t="s">
        <v>35</v>
      </c>
      <c r="L16" s="2515" t="s">
        <v>35</v>
      </c>
      <c r="M16" s="2515" t="s">
        <v>35</v>
      </c>
      <c r="N16" s="2514"/>
      <c r="O16" s="2514"/>
      <c r="P16" s="2514">
        <v>4</v>
      </c>
      <c r="Q16" s="2514">
        <v>4</v>
      </c>
      <c r="R16" s="2514">
        <v>4</v>
      </c>
      <c r="S16" s="2515">
        <v>4</v>
      </c>
      <c r="T16" s="2515">
        <v>4</v>
      </c>
      <c r="U16" s="2515" t="s">
        <v>36</v>
      </c>
      <c r="V16" s="2515" t="s">
        <v>36</v>
      </c>
      <c r="W16" s="2513" t="s">
        <v>35</v>
      </c>
      <c r="X16" s="2515" t="s">
        <v>35</v>
      </c>
      <c r="Y16" s="2514" t="s">
        <v>35</v>
      </c>
      <c r="Z16" s="2514" t="s">
        <v>35</v>
      </c>
      <c r="AA16" s="2514" t="s">
        <v>35</v>
      </c>
      <c r="AB16" s="2514"/>
      <c r="AC16" s="2514"/>
      <c r="AD16" s="2519">
        <v>1</v>
      </c>
      <c r="AE16" s="2519">
        <v>1</v>
      </c>
      <c r="AF16" s="2519">
        <v>1</v>
      </c>
      <c r="AG16" s="2520">
        <v>1</v>
      </c>
      <c r="AH16" s="25"/>
      <c r="AI16" s="25"/>
    </row>
    <row r="17" spans="1:35" ht="25.5" customHeight="1">
      <c r="A17" s="2247">
        <v>8546</v>
      </c>
      <c r="B17" s="2521" t="s">
        <v>39</v>
      </c>
      <c r="C17" s="2515">
        <v>1</v>
      </c>
      <c r="D17" s="2522">
        <v>1</v>
      </c>
      <c r="E17" s="2515">
        <v>1</v>
      </c>
      <c r="F17" s="2316">
        <v>1</v>
      </c>
      <c r="G17" s="2515"/>
      <c r="H17" s="2515"/>
      <c r="I17" s="2519">
        <v>2</v>
      </c>
      <c r="J17" s="2515">
        <v>2</v>
      </c>
      <c r="K17" s="2515">
        <v>2</v>
      </c>
      <c r="L17" s="2515">
        <v>2</v>
      </c>
      <c r="M17" s="2515">
        <v>2</v>
      </c>
      <c r="N17" s="2523" t="s">
        <v>34</v>
      </c>
      <c r="O17" s="2523" t="s">
        <v>34</v>
      </c>
      <c r="P17" s="2515" t="s">
        <v>35</v>
      </c>
      <c r="Q17" s="2515" t="s">
        <v>35</v>
      </c>
      <c r="R17" s="2515" t="s">
        <v>35</v>
      </c>
      <c r="S17" s="2515" t="s">
        <v>35</v>
      </c>
      <c r="T17" s="2515" t="s">
        <v>35</v>
      </c>
      <c r="U17" s="2515"/>
      <c r="V17" s="2515"/>
      <c r="W17" s="2515">
        <v>4</v>
      </c>
      <c r="X17" s="2513">
        <v>4</v>
      </c>
      <c r="Y17" s="2515">
        <v>4</v>
      </c>
      <c r="Z17" s="2515">
        <v>4</v>
      </c>
      <c r="AA17" s="2515">
        <v>4</v>
      </c>
      <c r="AB17" s="2523" t="s">
        <v>36</v>
      </c>
      <c r="AC17" s="2523" t="s">
        <v>36</v>
      </c>
      <c r="AD17" s="2515" t="s">
        <v>35</v>
      </c>
      <c r="AE17" s="2515" t="s">
        <v>35</v>
      </c>
      <c r="AF17" s="2515" t="s">
        <v>35</v>
      </c>
      <c r="AG17" s="2518" t="s">
        <v>35</v>
      </c>
      <c r="AH17" s="25"/>
      <c r="AI17" s="25"/>
    </row>
    <row r="18" spans="1:35" ht="25.5" customHeight="1">
      <c r="A18" s="2247">
        <v>8546</v>
      </c>
      <c r="B18" s="2512" t="s">
        <v>40</v>
      </c>
      <c r="C18" s="2515" t="s">
        <v>35</v>
      </c>
      <c r="D18" s="2513" t="s">
        <v>35</v>
      </c>
      <c r="E18" s="2515" t="s">
        <v>35</v>
      </c>
      <c r="F18" s="2515" t="s">
        <v>35</v>
      </c>
      <c r="G18" s="2515"/>
      <c r="H18" s="2515"/>
      <c r="I18" s="2515">
        <v>4</v>
      </c>
      <c r="J18" s="2514">
        <v>4</v>
      </c>
      <c r="K18" s="2514">
        <v>4</v>
      </c>
      <c r="L18" s="2515">
        <v>4</v>
      </c>
      <c r="M18" s="2514">
        <v>4</v>
      </c>
      <c r="N18" s="2514" t="s">
        <v>36</v>
      </c>
      <c r="O18" s="2515" t="s">
        <v>36</v>
      </c>
      <c r="P18" s="2515" t="s">
        <v>35</v>
      </c>
      <c r="Q18" s="2515" t="s">
        <v>35</v>
      </c>
      <c r="R18" s="2515" t="s">
        <v>35</v>
      </c>
      <c r="S18" s="2515" t="s">
        <v>35</v>
      </c>
      <c r="T18" s="2515" t="s">
        <v>35</v>
      </c>
      <c r="U18" s="2514"/>
      <c r="V18" s="2514"/>
      <c r="W18" s="2515">
        <v>1</v>
      </c>
      <c r="X18" s="2515">
        <v>1</v>
      </c>
      <c r="Y18" s="2515">
        <v>1</v>
      </c>
      <c r="Z18" s="2524">
        <v>1</v>
      </c>
      <c r="AA18" s="2524">
        <v>1</v>
      </c>
      <c r="AB18" s="2515"/>
      <c r="AC18" s="2525"/>
      <c r="AD18" s="2515">
        <v>2</v>
      </c>
      <c r="AE18" s="2515">
        <v>2</v>
      </c>
      <c r="AF18" s="2515">
        <v>2</v>
      </c>
      <c r="AG18" s="2518">
        <v>2</v>
      </c>
      <c r="AH18" s="25"/>
      <c r="AI18" s="25"/>
    </row>
    <row r="19" spans="1:35" ht="25.5" customHeight="1" thickBot="1">
      <c r="A19" s="2256" t="s">
        <v>41</v>
      </c>
      <c r="B19" s="2160"/>
      <c r="C19" s="2257"/>
      <c r="D19" s="2257"/>
      <c r="E19" s="2257"/>
      <c r="F19" s="2257"/>
      <c r="G19" s="2257"/>
      <c r="H19" s="2257"/>
      <c r="I19" s="2257"/>
      <c r="J19" s="2257"/>
      <c r="K19" s="2257"/>
      <c r="L19" s="2257"/>
      <c r="M19" s="2257"/>
      <c r="N19" s="2257"/>
      <c r="O19" s="2257"/>
      <c r="P19" s="2257"/>
      <c r="Q19" s="2257"/>
      <c r="R19" s="2257"/>
      <c r="S19" s="2257"/>
      <c r="T19" s="2257"/>
      <c r="U19" s="2257"/>
      <c r="V19" s="2257"/>
      <c r="W19" s="2257"/>
      <c r="X19" s="2257"/>
      <c r="Y19" s="2257"/>
      <c r="Z19" s="2257"/>
      <c r="AA19" s="2257"/>
      <c r="AB19" s="2257"/>
      <c r="AC19" s="2257"/>
      <c r="AD19" s="2257"/>
      <c r="AE19" s="2257"/>
      <c r="AF19" s="2257"/>
      <c r="AG19" s="2258"/>
      <c r="AH19" s="26"/>
      <c r="AI19" s="26"/>
    </row>
    <row r="20" spans="1:35" ht="25.5" customHeight="1">
      <c r="A20" s="1837">
        <v>8500</v>
      </c>
      <c r="B20" s="2526" t="s">
        <v>42</v>
      </c>
      <c r="C20" s="2527" t="s">
        <v>31</v>
      </c>
      <c r="D20" s="2527">
        <v>1</v>
      </c>
      <c r="E20" s="2527" t="s">
        <v>31</v>
      </c>
      <c r="F20" s="2527" t="s">
        <v>31</v>
      </c>
      <c r="G20" s="2527"/>
      <c r="H20" s="2528"/>
      <c r="I20" s="2528" t="s">
        <v>31</v>
      </c>
      <c r="J20" s="2527" t="s">
        <v>31</v>
      </c>
      <c r="K20" s="2527" t="s">
        <v>31</v>
      </c>
      <c r="L20" s="2529" t="s">
        <v>31</v>
      </c>
      <c r="M20" s="2527" t="s">
        <v>31</v>
      </c>
      <c r="N20" s="2528"/>
      <c r="O20" s="2527"/>
      <c r="P20" s="2528" t="s">
        <v>31</v>
      </c>
      <c r="Q20" s="2528" t="s">
        <v>31</v>
      </c>
      <c r="R20" s="2528" t="s">
        <v>31</v>
      </c>
      <c r="S20" s="2530" t="s">
        <v>31</v>
      </c>
      <c r="T20" s="2530" t="s">
        <v>31</v>
      </c>
      <c r="U20" s="1699"/>
      <c r="V20" s="1699"/>
      <c r="W20" s="2135" t="s">
        <v>31</v>
      </c>
      <c r="X20" s="2135" t="s">
        <v>31</v>
      </c>
      <c r="Y20" s="2135" t="s">
        <v>31</v>
      </c>
      <c r="Z20" s="2135" t="s">
        <v>31</v>
      </c>
      <c r="AA20" s="2135" t="s">
        <v>31</v>
      </c>
      <c r="AB20" s="2527"/>
      <c r="AC20" s="2527"/>
      <c r="AD20" s="1816">
        <v>1</v>
      </c>
      <c r="AE20" s="2528">
        <v>1</v>
      </c>
      <c r="AF20" s="2528" t="s">
        <v>31</v>
      </c>
      <c r="AG20" s="2531" t="s">
        <v>31</v>
      </c>
      <c r="AH20" s="25"/>
      <c r="AI20" s="25"/>
    </row>
    <row r="21" spans="1:35" ht="25.5" customHeight="1">
      <c r="A21" s="2532">
        <v>8500</v>
      </c>
      <c r="B21" s="2533" t="s">
        <v>43</v>
      </c>
      <c r="C21" s="2527" t="s">
        <v>31</v>
      </c>
      <c r="D21" s="2534" t="s">
        <v>31</v>
      </c>
      <c r="E21" s="2527">
        <v>1</v>
      </c>
      <c r="F21" s="2528" t="s">
        <v>31</v>
      </c>
      <c r="G21" s="2527"/>
      <c r="H21" s="2527"/>
      <c r="I21" s="2527">
        <v>2</v>
      </c>
      <c r="J21" s="2527" t="s">
        <v>31</v>
      </c>
      <c r="K21" s="2527" t="s">
        <v>31</v>
      </c>
      <c r="L21" s="2527" t="s">
        <v>31</v>
      </c>
      <c r="M21" s="2527" t="s">
        <v>31</v>
      </c>
      <c r="N21" s="1699" t="s">
        <v>34</v>
      </c>
      <c r="O21" s="1699" t="s">
        <v>34</v>
      </c>
      <c r="P21" s="1699" t="s">
        <v>31</v>
      </c>
      <c r="Q21" s="1699" t="s">
        <v>35</v>
      </c>
      <c r="R21" s="1699" t="s">
        <v>35</v>
      </c>
      <c r="S21" s="2527" t="s">
        <v>250</v>
      </c>
      <c r="T21" s="2527" t="s">
        <v>250</v>
      </c>
      <c r="U21" s="1699"/>
      <c r="V21" s="1699"/>
      <c r="W21" s="1699" t="s">
        <v>123</v>
      </c>
      <c r="X21" s="1699" t="s">
        <v>123</v>
      </c>
      <c r="Y21" s="1699" t="s">
        <v>123</v>
      </c>
      <c r="Z21" s="2527">
        <v>1</v>
      </c>
      <c r="AA21" s="2527">
        <v>1</v>
      </c>
      <c r="AB21" s="2527" t="s">
        <v>36</v>
      </c>
      <c r="AC21" s="2527" t="s">
        <v>36</v>
      </c>
      <c r="AD21" s="2528" t="s">
        <v>35</v>
      </c>
      <c r="AE21" s="2527" t="s">
        <v>35</v>
      </c>
      <c r="AF21" s="2528">
        <v>1</v>
      </c>
      <c r="AG21" s="2531">
        <v>1</v>
      </c>
      <c r="AH21" s="25"/>
      <c r="AI21" s="25"/>
    </row>
    <row r="22" spans="1:35" ht="25.5" customHeight="1">
      <c r="A22" s="2532">
        <v>8500</v>
      </c>
      <c r="B22" s="2535" t="s">
        <v>353</v>
      </c>
      <c r="C22" s="2528" t="s">
        <v>31</v>
      </c>
      <c r="D22" s="2529" t="s">
        <v>31</v>
      </c>
      <c r="E22" s="2527" t="s">
        <v>31</v>
      </c>
      <c r="F22" s="2527" t="s">
        <v>31</v>
      </c>
      <c r="G22" s="2527"/>
      <c r="H22" s="2527"/>
      <c r="I22" s="2528" t="s">
        <v>31</v>
      </c>
      <c r="J22" s="2528" t="s">
        <v>31</v>
      </c>
      <c r="K22" s="2528" t="s">
        <v>31</v>
      </c>
      <c r="L22" s="2528" t="s">
        <v>31</v>
      </c>
      <c r="M22" s="2528" t="s">
        <v>31</v>
      </c>
      <c r="N22" s="2528"/>
      <c r="O22" s="2536"/>
      <c r="P22" s="2528" t="s">
        <v>31</v>
      </c>
      <c r="Q22" s="2528" t="s">
        <v>31</v>
      </c>
      <c r="R22" s="2537" t="s">
        <v>31</v>
      </c>
      <c r="S22" s="2537" t="s">
        <v>31</v>
      </c>
      <c r="T22" s="2528" t="s">
        <v>31</v>
      </c>
      <c r="U22" s="2528"/>
      <c r="V22" s="2528"/>
      <c r="W22" s="2528" t="s">
        <v>31</v>
      </c>
      <c r="X22" s="2528" t="s">
        <v>31</v>
      </c>
      <c r="Y22" s="2528" t="s">
        <v>31</v>
      </c>
      <c r="Z22" s="2528" t="s">
        <v>31</v>
      </c>
      <c r="AA22" s="2528" t="s">
        <v>31</v>
      </c>
      <c r="AB22" s="2528"/>
      <c r="AC22" s="1699"/>
      <c r="AD22" s="1699" t="s">
        <v>31</v>
      </c>
      <c r="AE22" s="1699" t="s">
        <v>31</v>
      </c>
      <c r="AF22" s="1699" t="s">
        <v>31</v>
      </c>
      <c r="AG22" s="2531" t="s">
        <v>31</v>
      </c>
      <c r="AH22" s="25"/>
      <c r="AI22" s="25"/>
    </row>
    <row r="23" spans="1:35" ht="25.5" customHeight="1">
      <c r="A23" s="2532"/>
      <c r="B23" s="2535"/>
      <c r="C23" s="2528"/>
      <c r="D23" s="2529"/>
      <c r="E23" s="2527"/>
      <c r="F23" s="2527"/>
      <c r="G23" s="2527"/>
      <c r="H23" s="2527"/>
      <c r="I23" s="2528"/>
      <c r="J23" s="2528"/>
      <c r="K23" s="2528"/>
      <c r="L23" s="2528"/>
      <c r="M23" s="2528"/>
      <c r="N23" s="2528"/>
      <c r="O23" s="2536"/>
      <c r="P23" s="2528"/>
      <c r="Q23" s="2528"/>
      <c r="R23" s="2537"/>
      <c r="S23" s="2537"/>
      <c r="T23" s="2528"/>
      <c r="U23" s="2528"/>
      <c r="V23" s="2528"/>
      <c r="W23" s="2528"/>
      <c r="X23" s="2528"/>
      <c r="Y23" s="2528"/>
      <c r="Z23" s="2528"/>
      <c r="AA23" s="2528"/>
      <c r="AB23" s="2528"/>
      <c r="AC23" s="1699"/>
      <c r="AD23" s="1699"/>
      <c r="AE23" s="1699"/>
      <c r="AF23" s="1699"/>
      <c r="AG23" s="2531"/>
    </row>
    <row r="24" spans="1:35" ht="25.5" customHeight="1" thickBot="1">
      <c r="A24" s="416"/>
      <c r="B24" s="417"/>
      <c r="C24" s="418"/>
      <c r="D24" s="418"/>
      <c r="E24" s="418"/>
      <c r="F24" s="418"/>
      <c r="G24" s="418" t="s">
        <v>0</v>
      </c>
      <c r="H24" s="418"/>
      <c r="I24" s="418"/>
      <c r="J24" s="418"/>
      <c r="K24" s="418"/>
      <c r="L24" s="418" t="s">
        <v>0</v>
      </c>
      <c r="M24" s="418"/>
      <c r="N24" s="418" t="s">
        <v>0</v>
      </c>
      <c r="O24" s="418" t="s">
        <v>0</v>
      </c>
      <c r="P24" s="418"/>
      <c r="Q24" s="418"/>
      <c r="R24" s="418"/>
      <c r="S24" s="418"/>
      <c r="T24" s="418"/>
      <c r="U24" s="418" t="s">
        <v>0</v>
      </c>
      <c r="V24" s="418"/>
      <c r="W24" s="418"/>
      <c r="X24" s="418"/>
      <c r="Y24" s="418"/>
      <c r="Z24" s="418"/>
      <c r="AA24" s="418"/>
      <c r="AB24" s="418"/>
      <c r="AC24" s="418"/>
      <c r="AD24" s="418"/>
      <c r="AE24" s="418"/>
      <c r="AF24" s="418"/>
      <c r="AG24" s="28"/>
    </row>
    <row r="25" spans="1:35" ht="25.5" customHeight="1">
      <c r="A25" s="29"/>
    </row>
    <row r="26" spans="1:35" ht="25.5" customHeight="1">
      <c r="A26" s="29"/>
    </row>
    <row r="27" spans="1:35" ht="25.5" customHeight="1">
      <c r="A27" s="29"/>
    </row>
    <row r="28" spans="1:35" ht="25.5" customHeight="1">
      <c r="A28" s="29"/>
    </row>
    <row r="29" spans="1:35" ht="25.5" customHeight="1">
      <c r="A29" s="29"/>
    </row>
    <row r="30" spans="1:35" ht="25.5" customHeight="1" thickBot="1">
      <c r="A30" s="14" t="s">
        <v>49</v>
      </c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</row>
    <row r="31" spans="1:35" ht="25.5" customHeight="1">
      <c r="A31" s="695" t="s">
        <v>50</v>
      </c>
      <c r="B31" s="696"/>
      <c r="C31" s="696"/>
      <c r="D31" s="697" t="s">
        <v>51</v>
      </c>
      <c r="E31" s="698"/>
      <c r="F31" s="698"/>
      <c r="G31" s="698"/>
      <c r="H31" s="698"/>
      <c r="I31" s="698"/>
      <c r="J31" s="698"/>
      <c r="K31" s="698"/>
      <c r="L31" s="698"/>
      <c r="M31" s="699" t="s">
        <v>52</v>
      </c>
      <c r="N31" s="698"/>
      <c r="O31" s="698"/>
      <c r="P31" s="698"/>
      <c r="Q31" s="698"/>
      <c r="R31" s="698"/>
      <c r="S31" s="700"/>
      <c r="T31" s="701" t="s">
        <v>53</v>
      </c>
      <c r="U31" s="702"/>
      <c r="V31" s="702"/>
      <c r="W31" s="702"/>
      <c r="X31" s="702"/>
      <c r="Y31" s="702"/>
      <c r="Z31" s="703"/>
      <c r="AA31" s="704" t="s">
        <v>54</v>
      </c>
      <c r="AB31" s="705"/>
      <c r="AC31" s="705"/>
      <c r="AD31" s="705"/>
      <c r="AE31" s="705"/>
      <c r="AF31" s="705"/>
      <c r="AG31" s="706"/>
    </row>
    <row r="32" spans="1:35" ht="25.5" customHeight="1">
      <c r="A32" s="2260" t="s">
        <v>55</v>
      </c>
      <c r="B32" s="2227"/>
      <c r="C32" s="2227"/>
      <c r="D32" s="2261" t="s">
        <v>56</v>
      </c>
      <c r="E32" s="2262"/>
      <c r="F32" s="2179"/>
      <c r="G32" s="2179"/>
      <c r="H32" s="2179"/>
      <c r="I32" s="2179"/>
      <c r="J32" s="2179"/>
      <c r="K32" s="2179"/>
      <c r="L32" s="2223"/>
      <c r="M32" s="2263" t="s">
        <v>57</v>
      </c>
      <c r="N32" s="2227"/>
      <c r="O32" s="2264"/>
      <c r="P32" s="2227"/>
      <c r="Q32" s="2227"/>
      <c r="R32" s="2227"/>
      <c r="S32" s="2265"/>
      <c r="T32" s="2261" t="s">
        <v>58</v>
      </c>
      <c r="U32" s="2179"/>
      <c r="V32" s="2262"/>
      <c r="W32" s="2179"/>
      <c r="X32" s="2179"/>
      <c r="Y32" s="2179"/>
      <c r="Z32" s="2223"/>
      <c r="AA32" s="31" t="s">
        <v>59</v>
      </c>
      <c r="AD32" s="20"/>
      <c r="AG32" s="32"/>
    </row>
    <row r="33" spans="1:41" ht="25.5" customHeight="1">
      <c r="A33" s="2538" t="s">
        <v>60</v>
      </c>
      <c r="B33" s="2179"/>
      <c r="C33" s="2179"/>
      <c r="D33" s="2267"/>
      <c r="E33" s="2179"/>
      <c r="F33" s="2179"/>
      <c r="G33" s="2223"/>
      <c r="H33" s="2229" t="s">
        <v>61</v>
      </c>
      <c r="I33" s="2179"/>
      <c r="J33" s="2179"/>
      <c r="K33" s="2179"/>
      <c r="L33" s="2179"/>
      <c r="M33" s="2096"/>
      <c r="N33" s="2179"/>
      <c r="O33" s="2179"/>
      <c r="P33" s="2179"/>
      <c r="Q33" s="2179"/>
      <c r="R33" s="2179"/>
      <c r="S33" s="2179"/>
      <c r="T33" s="2267"/>
      <c r="U33" s="14" t="s">
        <v>62</v>
      </c>
      <c r="AA33" s="2264"/>
      <c r="AB33" s="2227"/>
      <c r="AC33" s="2227"/>
      <c r="AD33" s="2227"/>
      <c r="AE33" s="2227"/>
      <c r="AF33" s="2227"/>
      <c r="AG33" s="2268"/>
    </row>
    <row r="34" spans="1:41" ht="25.5" customHeight="1" thickBot="1">
      <c r="A34" s="2539" t="s">
        <v>63</v>
      </c>
      <c r="B34" s="2540"/>
      <c r="C34" s="2540"/>
      <c r="D34" s="2541"/>
      <c r="E34" s="2540"/>
      <c r="F34" s="2540"/>
      <c r="G34" s="2542"/>
      <c r="H34" s="2543" t="s">
        <v>64</v>
      </c>
      <c r="I34" s="2542"/>
      <c r="J34" s="2540"/>
      <c r="K34" s="2540"/>
      <c r="L34" s="2540"/>
      <c r="M34" s="2544"/>
      <c r="N34" s="2540"/>
      <c r="O34" s="2540"/>
      <c r="P34" s="2540"/>
      <c r="Q34" s="2545"/>
      <c r="R34" s="2545"/>
      <c r="S34" s="2545"/>
      <c r="T34" s="2541"/>
      <c r="U34" s="2546" t="s">
        <v>65</v>
      </c>
      <c r="V34" s="2540"/>
      <c r="W34" s="2540"/>
      <c r="X34" s="2540"/>
      <c r="Y34" s="2540"/>
      <c r="Z34" s="2540"/>
      <c r="AA34" s="2540"/>
      <c r="AB34" s="2540"/>
      <c r="AC34" s="2540"/>
      <c r="AD34" s="2540"/>
      <c r="AE34" s="2540"/>
      <c r="AF34" s="2540"/>
      <c r="AG34" s="2547"/>
    </row>
    <row r="35" spans="1:41" ht="25.5" customHeight="1">
      <c r="B35" s="33" t="s">
        <v>27</v>
      </c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"/>
    </row>
    <row r="36" spans="1:41" ht="25.5" customHeight="1" thickBot="1">
      <c r="A36" s="2278" t="s">
        <v>28</v>
      </c>
      <c r="B36" s="2121" t="s">
        <v>29</v>
      </c>
      <c r="C36" s="2233">
        <v>1</v>
      </c>
      <c r="D36" s="2233">
        <v>2</v>
      </c>
      <c r="E36" s="2233">
        <v>3</v>
      </c>
      <c r="F36" s="2233">
        <v>4</v>
      </c>
      <c r="G36" s="2232">
        <v>5</v>
      </c>
      <c r="H36" s="2232">
        <v>6</v>
      </c>
      <c r="I36" s="2233">
        <v>7</v>
      </c>
      <c r="J36" s="2233">
        <v>8</v>
      </c>
      <c r="K36" s="2233">
        <v>9</v>
      </c>
      <c r="L36" s="2233">
        <v>10</v>
      </c>
      <c r="M36" s="2233">
        <v>11</v>
      </c>
      <c r="N36" s="2232">
        <v>12</v>
      </c>
      <c r="O36" s="2232">
        <v>13</v>
      </c>
      <c r="P36" s="2233">
        <v>14</v>
      </c>
      <c r="Q36" s="2233">
        <v>15</v>
      </c>
      <c r="R36" s="2233">
        <v>16</v>
      </c>
      <c r="S36" s="2233">
        <v>17</v>
      </c>
      <c r="T36" s="2233">
        <v>18</v>
      </c>
      <c r="U36" s="2232">
        <v>19</v>
      </c>
      <c r="V36" s="2232">
        <v>20</v>
      </c>
      <c r="W36" s="2233">
        <v>21</v>
      </c>
      <c r="X36" s="2233">
        <v>22</v>
      </c>
      <c r="Y36" s="2233">
        <v>23</v>
      </c>
      <c r="Z36" s="2233">
        <v>24</v>
      </c>
      <c r="AA36" s="2233">
        <v>25</v>
      </c>
      <c r="AB36" s="2232">
        <v>26</v>
      </c>
      <c r="AC36" s="2232">
        <v>27</v>
      </c>
      <c r="AD36" s="2233">
        <v>28</v>
      </c>
      <c r="AE36" s="2233">
        <v>29</v>
      </c>
      <c r="AF36" s="2233">
        <v>30</v>
      </c>
      <c r="AG36" s="2234">
        <v>31</v>
      </c>
      <c r="AH36" s="23"/>
      <c r="AI36" s="24"/>
    </row>
    <row r="37" spans="1:41" ht="25.5" customHeight="1" thickBot="1">
      <c r="A37" s="2548">
        <v>1</v>
      </c>
      <c r="B37" s="2549" t="s">
        <v>66</v>
      </c>
      <c r="C37" s="802">
        <v>9</v>
      </c>
      <c r="D37" s="1816">
        <v>9</v>
      </c>
      <c r="E37" s="802">
        <v>9</v>
      </c>
      <c r="F37" s="802">
        <v>9</v>
      </c>
      <c r="G37" s="802" t="s">
        <v>70</v>
      </c>
      <c r="H37" s="802" t="s">
        <v>72</v>
      </c>
      <c r="I37" s="802" t="s">
        <v>35</v>
      </c>
      <c r="J37" s="1816" t="s">
        <v>35</v>
      </c>
      <c r="K37" s="802" t="s">
        <v>35</v>
      </c>
      <c r="L37" s="802" t="s">
        <v>35</v>
      </c>
      <c r="M37" s="802" t="s">
        <v>35</v>
      </c>
      <c r="N37" s="802" t="s">
        <v>75</v>
      </c>
      <c r="O37" s="1816" t="s">
        <v>69</v>
      </c>
      <c r="P37" s="802">
        <v>6</v>
      </c>
      <c r="Q37" s="801">
        <v>6</v>
      </c>
      <c r="R37" s="1816">
        <v>6</v>
      </c>
      <c r="S37" s="802">
        <v>6</v>
      </c>
      <c r="T37" s="2550">
        <v>6</v>
      </c>
      <c r="U37" s="2551"/>
      <c r="V37" s="802"/>
      <c r="W37" s="802" t="s">
        <v>35</v>
      </c>
      <c r="X37" s="801" t="s">
        <v>35</v>
      </c>
      <c r="Y37" s="2552" t="s">
        <v>35</v>
      </c>
      <c r="Z37" s="802" t="s">
        <v>35</v>
      </c>
      <c r="AA37" s="802" t="s">
        <v>35</v>
      </c>
      <c r="AB37" s="801"/>
      <c r="AC37" s="801"/>
      <c r="AD37" s="801">
        <v>5</v>
      </c>
      <c r="AE37" s="802">
        <v>5</v>
      </c>
      <c r="AF37" s="802">
        <v>5</v>
      </c>
      <c r="AG37" s="2553">
        <v>5</v>
      </c>
      <c r="AH37" s="34"/>
      <c r="AI37" s="25"/>
    </row>
    <row r="38" spans="1:41" ht="25.5" customHeight="1" thickBot="1">
      <c r="A38" s="2279">
        <v>6</v>
      </c>
      <c r="B38" s="2554" t="s">
        <v>355</v>
      </c>
      <c r="C38" s="2280">
        <v>10</v>
      </c>
      <c r="D38" s="2280">
        <v>10</v>
      </c>
      <c r="E38" s="2280">
        <v>10</v>
      </c>
      <c r="F38" s="2280">
        <v>10</v>
      </c>
      <c r="G38" s="2280" t="s">
        <v>72</v>
      </c>
      <c r="H38" s="2280" t="s">
        <v>72</v>
      </c>
      <c r="I38" s="2280" t="s">
        <v>35</v>
      </c>
      <c r="J38" s="2280" t="s">
        <v>35</v>
      </c>
      <c r="K38" s="2280" t="s">
        <v>35</v>
      </c>
      <c r="L38" s="2280" t="s">
        <v>35</v>
      </c>
      <c r="M38" s="2280" t="s">
        <v>35</v>
      </c>
      <c r="N38" s="2280" t="s">
        <v>67</v>
      </c>
      <c r="O38" s="2280" t="s">
        <v>67</v>
      </c>
      <c r="P38" s="2280">
        <v>7</v>
      </c>
      <c r="Q38" s="2280">
        <v>7</v>
      </c>
      <c r="R38" s="2280">
        <v>7</v>
      </c>
      <c r="S38" s="2280">
        <v>7</v>
      </c>
      <c r="T38" s="2280">
        <v>7</v>
      </c>
      <c r="U38" s="2551"/>
      <c r="V38" s="2280"/>
      <c r="W38" s="2280">
        <v>4</v>
      </c>
      <c r="X38" s="2280">
        <v>4</v>
      </c>
      <c r="Y38" s="2280">
        <v>4</v>
      </c>
      <c r="Z38" s="2280">
        <v>4</v>
      </c>
      <c r="AA38" s="2280">
        <v>4</v>
      </c>
      <c r="AB38" s="2280"/>
      <c r="AC38" s="2280"/>
      <c r="AD38" s="2280">
        <v>3</v>
      </c>
      <c r="AE38" s="2280">
        <v>3</v>
      </c>
      <c r="AF38" s="2280">
        <v>3</v>
      </c>
      <c r="AG38" s="2280">
        <v>3</v>
      </c>
      <c r="AH38" s="34"/>
      <c r="AI38" s="25"/>
    </row>
    <row r="39" spans="1:41" ht="25.5" customHeight="1" thickBot="1">
      <c r="A39" s="2555">
        <v>11</v>
      </c>
      <c r="B39" s="2556" t="s">
        <v>71</v>
      </c>
      <c r="C39" s="2233">
        <v>11</v>
      </c>
      <c r="D39" s="2557">
        <v>11</v>
      </c>
      <c r="E39" s="2557">
        <v>11</v>
      </c>
      <c r="F39" s="2557">
        <v>11</v>
      </c>
      <c r="G39" s="2557" t="s">
        <v>68</v>
      </c>
      <c r="H39" s="2557" t="s">
        <v>68</v>
      </c>
      <c r="I39" s="2557" t="s">
        <v>35</v>
      </c>
      <c r="J39" s="2557" t="s">
        <v>35</v>
      </c>
      <c r="K39" s="2557" t="s">
        <v>35</v>
      </c>
      <c r="L39" s="2557" t="s">
        <v>35</v>
      </c>
      <c r="M39" s="2557" t="s">
        <v>35</v>
      </c>
      <c r="N39" s="2557" t="s">
        <v>69</v>
      </c>
      <c r="O39" s="2233" t="s">
        <v>69</v>
      </c>
      <c r="P39" s="2557">
        <v>8</v>
      </c>
      <c r="Q39" s="2233">
        <v>8</v>
      </c>
      <c r="R39" s="2233">
        <v>8</v>
      </c>
      <c r="S39" s="2557">
        <v>8</v>
      </c>
      <c r="T39" s="2557">
        <v>8</v>
      </c>
      <c r="U39" s="2550" t="s">
        <v>68</v>
      </c>
      <c r="V39" s="2557"/>
      <c r="W39" s="2557" t="s">
        <v>35</v>
      </c>
      <c r="X39" s="2233" t="s">
        <v>35</v>
      </c>
      <c r="Y39" s="2557" t="s">
        <v>35</v>
      </c>
      <c r="Z39" s="2557" t="s">
        <v>35</v>
      </c>
      <c r="AA39" s="2557" t="s">
        <v>35</v>
      </c>
      <c r="AB39" s="2558"/>
      <c r="AC39" s="2558"/>
      <c r="AD39" s="2558">
        <v>1</v>
      </c>
      <c r="AE39" s="2557">
        <v>1</v>
      </c>
      <c r="AF39" s="2557">
        <v>1</v>
      </c>
      <c r="AG39" s="2559">
        <v>1</v>
      </c>
      <c r="AH39" s="34"/>
      <c r="AI39" s="25"/>
    </row>
    <row r="40" spans="1:41" ht="25.5" customHeight="1">
      <c r="A40" s="2548">
        <v>2</v>
      </c>
      <c r="B40" s="35" t="s">
        <v>73</v>
      </c>
      <c r="C40" s="1816" t="s">
        <v>35</v>
      </c>
      <c r="D40" s="1816" t="s">
        <v>35</v>
      </c>
      <c r="E40" s="1816" t="s">
        <v>35</v>
      </c>
      <c r="F40" s="1816" t="s">
        <v>35</v>
      </c>
      <c r="G40" s="1816" t="s">
        <v>75</v>
      </c>
      <c r="H40" s="802" t="s">
        <v>69</v>
      </c>
      <c r="I40" s="802">
        <v>6</v>
      </c>
      <c r="J40" s="1816">
        <v>6</v>
      </c>
      <c r="K40" s="1816">
        <v>6</v>
      </c>
      <c r="L40" s="802">
        <v>6</v>
      </c>
      <c r="M40" s="802">
        <v>6</v>
      </c>
      <c r="N40" s="802"/>
      <c r="O40" s="801"/>
      <c r="P40" s="802" t="s">
        <v>35</v>
      </c>
      <c r="Q40" s="801" t="s">
        <v>35</v>
      </c>
      <c r="R40" s="801" t="s">
        <v>35</v>
      </c>
      <c r="S40" s="1816" t="s">
        <v>35</v>
      </c>
      <c r="T40" s="1816" t="s">
        <v>35</v>
      </c>
      <c r="U40" s="801"/>
      <c r="V40" s="801"/>
      <c r="W40" s="801">
        <v>5</v>
      </c>
      <c r="X40" s="802">
        <v>5</v>
      </c>
      <c r="Y40" s="802">
        <v>5</v>
      </c>
      <c r="Z40" s="802">
        <v>5</v>
      </c>
      <c r="AA40" s="802">
        <v>5</v>
      </c>
      <c r="AB40" s="802"/>
      <c r="AC40" s="801"/>
      <c r="AD40" s="801">
        <v>10</v>
      </c>
      <c r="AE40" s="802">
        <v>10</v>
      </c>
      <c r="AF40" s="802">
        <v>10</v>
      </c>
      <c r="AG40" s="2553">
        <v>10</v>
      </c>
      <c r="AH40" s="34"/>
      <c r="AI40" s="25"/>
    </row>
    <row r="41" spans="1:41" ht="25.5" customHeight="1">
      <c r="A41" s="2279">
        <v>7</v>
      </c>
      <c r="B41" s="2521" t="s">
        <v>74</v>
      </c>
      <c r="C41" s="2287" t="s">
        <v>35</v>
      </c>
      <c r="D41" s="2288" t="s">
        <v>35</v>
      </c>
      <c r="E41" s="2287" t="s">
        <v>35</v>
      </c>
      <c r="F41" s="2287" t="s">
        <v>35</v>
      </c>
      <c r="G41" s="2287" t="s">
        <v>67</v>
      </c>
      <c r="H41" s="2287" t="s">
        <v>67</v>
      </c>
      <c r="I41" s="2287">
        <v>7</v>
      </c>
      <c r="J41" s="2288">
        <v>7</v>
      </c>
      <c r="K41" s="2560">
        <v>7</v>
      </c>
      <c r="L41" s="2560">
        <v>7</v>
      </c>
      <c r="M41" s="2560">
        <v>7</v>
      </c>
      <c r="N41" s="2287"/>
      <c r="O41" s="2287"/>
      <c r="P41" s="2287">
        <v>4</v>
      </c>
      <c r="Q41" s="2287">
        <v>4</v>
      </c>
      <c r="R41" s="2287">
        <v>4</v>
      </c>
      <c r="S41" s="2287">
        <v>4</v>
      </c>
      <c r="T41" s="2287">
        <v>4</v>
      </c>
      <c r="U41" s="2287"/>
      <c r="V41" s="2287"/>
      <c r="W41" s="2416">
        <v>3</v>
      </c>
      <c r="X41" s="2416">
        <v>3</v>
      </c>
      <c r="Y41" s="2416">
        <v>3</v>
      </c>
      <c r="Z41" s="2416">
        <v>3</v>
      </c>
      <c r="AA41" s="2416">
        <v>3</v>
      </c>
      <c r="AB41" s="2416"/>
      <c r="AC41" s="2416"/>
      <c r="AD41" s="2287" t="s">
        <v>434</v>
      </c>
      <c r="AE41" s="2287" t="s">
        <v>434</v>
      </c>
      <c r="AF41" s="2287" t="s">
        <v>434</v>
      </c>
      <c r="AG41" s="2287" t="s">
        <v>434</v>
      </c>
      <c r="AH41" s="34"/>
      <c r="AI41" s="25"/>
      <c r="AO41" t="s">
        <v>435</v>
      </c>
    </row>
    <row r="42" spans="1:41" ht="25.5" customHeight="1" thickBot="1">
      <c r="A42" s="2555">
        <v>12</v>
      </c>
      <c r="B42" s="2561" t="s">
        <v>76</v>
      </c>
      <c r="C42" s="2557" t="s">
        <v>35</v>
      </c>
      <c r="D42" s="2558" t="s">
        <v>35</v>
      </c>
      <c r="E42" s="2557" t="s">
        <v>35</v>
      </c>
      <c r="F42" s="2557" t="s">
        <v>35</v>
      </c>
      <c r="G42" s="2562" t="s">
        <v>69</v>
      </c>
      <c r="H42" s="2562" t="s">
        <v>69</v>
      </c>
      <c r="I42" s="2562">
        <v>8</v>
      </c>
      <c r="J42" s="2562">
        <v>8</v>
      </c>
      <c r="K42" s="2562">
        <v>8</v>
      </c>
      <c r="L42" s="2562">
        <v>8</v>
      </c>
      <c r="M42" s="2562">
        <v>8</v>
      </c>
      <c r="N42" s="2557"/>
      <c r="O42" s="2557"/>
      <c r="P42" s="2557" t="s">
        <v>35</v>
      </c>
      <c r="Q42" s="2233" t="s">
        <v>35</v>
      </c>
      <c r="R42" s="2557" t="s">
        <v>35</v>
      </c>
      <c r="S42" s="2557" t="s">
        <v>35</v>
      </c>
      <c r="T42" s="2557" t="s">
        <v>35</v>
      </c>
      <c r="U42" s="2558"/>
      <c r="V42" s="2558"/>
      <c r="W42" s="2558">
        <v>1</v>
      </c>
      <c r="X42" s="2557">
        <v>1</v>
      </c>
      <c r="Y42" s="2557">
        <v>1</v>
      </c>
      <c r="Z42" s="2557">
        <v>1</v>
      </c>
      <c r="AA42" s="2557">
        <v>1</v>
      </c>
      <c r="AB42" s="2557"/>
      <c r="AC42" s="2233"/>
      <c r="AD42" s="2233">
        <v>9</v>
      </c>
      <c r="AE42" s="2233">
        <v>9</v>
      </c>
      <c r="AF42" s="2233">
        <v>9</v>
      </c>
      <c r="AG42" s="2234">
        <v>9</v>
      </c>
      <c r="AH42" s="34"/>
      <c r="AI42" s="25"/>
    </row>
    <row r="43" spans="1:41" ht="25.5" customHeight="1">
      <c r="A43" s="2548">
        <v>3</v>
      </c>
      <c r="B43" s="2563" t="s">
        <v>77</v>
      </c>
      <c r="C43" s="801">
        <v>6</v>
      </c>
      <c r="D43" s="801">
        <v>6</v>
      </c>
      <c r="E43" s="802">
        <v>6</v>
      </c>
      <c r="F43" s="802">
        <v>6</v>
      </c>
      <c r="G43" s="802"/>
      <c r="H43" s="802"/>
      <c r="I43" s="802" t="s">
        <v>35</v>
      </c>
      <c r="J43" s="801" t="s">
        <v>35</v>
      </c>
      <c r="K43" s="801" t="s">
        <v>35</v>
      </c>
      <c r="L43" s="801" t="s">
        <v>35</v>
      </c>
      <c r="M43" s="801" t="s">
        <v>35</v>
      </c>
      <c r="N43" s="801"/>
      <c r="O43" s="801"/>
      <c r="P43" s="2564">
        <v>5</v>
      </c>
      <c r="Q43" s="2565">
        <v>5</v>
      </c>
      <c r="R43" s="2565">
        <v>5</v>
      </c>
      <c r="S43" s="2565">
        <v>5</v>
      </c>
      <c r="T43" s="2565">
        <v>5</v>
      </c>
      <c r="U43" s="2565"/>
      <c r="V43" s="2564"/>
      <c r="W43" s="801">
        <v>10</v>
      </c>
      <c r="X43" s="2566">
        <v>10</v>
      </c>
      <c r="Y43" s="2566">
        <v>10</v>
      </c>
      <c r="Z43" s="2566">
        <v>10</v>
      </c>
      <c r="AA43" s="2567" t="s">
        <v>436</v>
      </c>
      <c r="AB43" s="2568" t="s">
        <v>72</v>
      </c>
      <c r="AC43" s="2569" t="s">
        <v>72</v>
      </c>
      <c r="AD43" s="2570" t="s">
        <v>35</v>
      </c>
      <c r="AE43" s="2570" t="s">
        <v>35</v>
      </c>
      <c r="AF43" s="2566" t="s">
        <v>351</v>
      </c>
      <c r="AG43" s="2571" t="s">
        <v>35</v>
      </c>
      <c r="AH43" s="34"/>
      <c r="AI43" s="25"/>
    </row>
    <row r="44" spans="1:41" ht="25.5" customHeight="1">
      <c r="A44" s="2279">
        <v>8</v>
      </c>
      <c r="B44" s="2521" t="s">
        <v>358</v>
      </c>
      <c r="C44" s="2514">
        <v>7</v>
      </c>
      <c r="D44" s="2514">
        <v>7</v>
      </c>
      <c r="E44" s="2514">
        <v>7</v>
      </c>
      <c r="F44" s="2514">
        <v>7</v>
      </c>
      <c r="G44" s="2514"/>
      <c r="H44" s="2514"/>
      <c r="I44" s="2287">
        <v>4</v>
      </c>
      <c r="J44" s="2288">
        <v>4</v>
      </c>
      <c r="K44" s="2280">
        <v>4</v>
      </c>
      <c r="L44" s="2280">
        <v>4</v>
      </c>
      <c r="M44" s="2280">
        <v>4</v>
      </c>
      <c r="N44" s="2514"/>
      <c r="O44" s="2287"/>
      <c r="P44" s="2572">
        <v>3</v>
      </c>
      <c r="Q44" s="2572">
        <v>3</v>
      </c>
      <c r="R44" s="2572">
        <v>3</v>
      </c>
      <c r="S44" s="2323">
        <v>3</v>
      </c>
      <c r="T44" s="2573" t="s">
        <v>437</v>
      </c>
      <c r="U44" s="2287"/>
      <c r="V44" s="2287"/>
      <c r="W44" s="2287">
        <v>11</v>
      </c>
      <c r="X44" s="2288">
        <v>11</v>
      </c>
      <c r="Y44" s="2287">
        <v>11</v>
      </c>
      <c r="Z44" s="2287">
        <v>11</v>
      </c>
      <c r="AA44" s="2287">
        <v>11</v>
      </c>
      <c r="AB44" s="2287" t="s">
        <v>68</v>
      </c>
      <c r="AC44" s="2287" t="s">
        <v>68</v>
      </c>
      <c r="AD44" s="2287" t="s">
        <v>35</v>
      </c>
      <c r="AE44" s="2287" t="s">
        <v>35</v>
      </c>
      <c r="AF44" s="2287" t="s">
        <v>35</v>
      </c>
      <c r="AG44" s="2290" t="s">
        <v>35</v>
      </c>
      <c r="AH44" s="34"/>
      <c r="AI44" s="25"/>
    </row>
    <row r="45" spans="1:41" ht="25.5" customHeight="1" thickBot="1">
      <c r="A45" s="2555">
        <v>13</v>
      </c>
      <c r="B45" s="2556" t="s">
        <v>79</v>
      </c>
      <c r="C45" s="2233">
        <v>8</v>
      </c>
      <c r="D45" s="2233">
        <v>8</v>
      </c>
      <c r="E45" s="2557">
        <v>8</v>
      </c>
      <c r="F45" s="2574">
        <v>8</v>
      </c>
      <c r="G45" s="2557"/>
      <c r="H45" s="2557"/>
      <c r="I45" s="2557" t="s">
        <v>35</v>
      </c>
      <c r="J45" s="2233" t="s">
        <v>35</v>
      </c>
      <c r="K45" s="2557" t="s">
        <v>35</v>
      </c>
      <c r="L45" s="2558" t="s">
        <v>35</v>
      </c>
      <c r="M45" s="2557" t="s">
        <v>35</v>
      </c>
      <c r="N45" s="2558"/>
      <c r="O45" s="2558"/>
      <c r="P45" s="2558">
        <v>1</v>
      </c>
      <c r="Q45" s="2557">
        <v>1</v>
      </c>
      <c r="R45" s="2557">
        <v>1</v>
      </c>
      <c r="S45" s="2557">
        <v>1</v>
      </c>
      <c r="T45" s="2557">
        <v>1</v>
      </c>
      <c r="U45" s="2557"/>
      <c r="V45" s="2557"/>
      <c r="W45" s="2575">
        <v>9</v>
      </c>
      <c r="X45" s="2575">
        <v>9</v>
      </c>
      <c r="Y45" s="2576" t="s">
        <v>140</v>
      </c>
      <c r="Z45" s="2577">
        <v>9</v>
      </c>
      <c r="AA45" s="2577">
        <v>9</v>
      </c>
      <c r="AB45" s="2574" t="s">
        <v>70</v>
      </c>
      <c r="AC45" s="2574" t="s">
        <v>72</v>
      </c>
      <c r="AD45" s="2557" t="s">
        <v>35</v>
      </c>
      <c r="AE45" s="2233" t="s">
        <v>35</v>
      </c>
      <c r="AF45" s="2557" t="s">
        <v>35</v>
      </c>
      <c r="AG45" s="2559" t="s">
        <v>35</v>
      </c>
      <c r="AH45" s="34"/>
      <c r="AI45" s="25"/>
    </row>
    <row r="46" spans="1:41" ht="25.5" customHeight="1">
      <c r="A46" s="2548">
        <v>4</v>
      </c>
      <c r="B46" s="2549" t="s">
        <v>80</v>
      </c>
      <c r="C46" s="801" t="s">
        <v>35</v>
      </c>
      <c r="D46" s="801" t="s">
        <v>35</v>
      </c>
      <c r="E46" s="802" t="s">
        <v>35</v>
      </c>
      <c r="F46" s="802" t="s">
        <v>35</v>
      </c>
      <c r="G46" s="801"/>
      <c r="H46" s="801"/>
      <c r="I46" s="2317" t="s">
        <v>225</v>
      </c>
      <c r="J46" s="2317" t="s">
        <v>225</v>
      </c>
      <c r="K46" s="2317" t="s">
        <v>225</v>
      </c>
      <c r="L46" s="2317" t="s">
        <v>225</v>
      </c>
      <c r="M46" s="2317" t="s">
        <v>35</v>
      </c>
      <c r="N46" s="2317"/>
      <c r="O46" s="2317"/>
      <c r="P46" s="2317" t="s">
        <v>114</v>
      </c>
      <c r="Q46" s="2317" t="s">
        <v>114</v>
      </c>
      <c r="R46" s="2317" t="s">
        <v>114</v>
      </c>
      <c r="S46" s="2317" t="s">
        <v>114</v>
      </c>
      <c r="T46" s="2317" t="s">
        <v>114</v>
      </c>
      <c r="U46" s="2317"/>
      <c r="V46" s="2317"/>
      <c r="W46" s="2317" t="s">
        <v>115</v>
      </c>
      <c r="X46" s="2317" t="s">
        <v>115</v>
      </c>
      <c r="Y46" s="2317" t="s">
        <v>115</v>
      </c>
      <c r="Z46" s="2317" t="s">
        <v>115</v>
      </c>
      <c r="AA46" s="2317" t="s">
        <v>115</v>
      </c>
      <c r="AB46" s="2317" t="s">
        <v>115</v>
      </c>
      <c r="AC46" s="2317"/>
      <c r="AD46" s="2317" t="s">
        <v>225</v>
      </c>
      <c r="AE46" s="2317" t="s">
        <v>225</v>
      </c>
      <c r="AF46" s="2317" t="s">
        <v>225</v>
      </c>
      <c r="AG46" s="2439" t="s">
        <v>225</v>
      </c>
      <c r="AH46" s="34"/>
      <c r="AI46" s="25"/>
    </row>
    <row r="47" spans="1:41" ht="25.5" customHeight="1">
      <c r="A47" s="2279">
        <v>9</v>
      </c>
      <c r="B47" s="2521" t="s">
        <v>81</v>
      </c>
      <c r="C47" s="2578">
        <v>4</v>
      </c>
      <c r="D47" s="2579">
        <v>4</v>
      </c>
      <c r="E47" s="2579">
        <v>4</v>
      </c>
      <c r="F47" s="2579">
        <v>4</v>
      </c>
      <c r="G47" s="2287"/>
      <c r="H47" s="2287"/>
      <c r="I47" s="2579">
        <v>3</v>
      </c>
      <c r="J47" s="2579">
        <v>3</v>
      </c>
      <c r="K47" s="2579">
        <v>3</v>
      </c>
      <c r="L47" s="2579">
        <v>3</v>
      </c>
      <c r="M47" s="2579">
        <v>3</v>
      </c>
      <c r="N47" s="2287"/>
      <c r="O47" s="2287"/>
      <c r="P47" s="2416">
        <v>11</v>
      </c>
      <c r="Q47" s="2417">
        <v>11</v>
      </c>
      <c r="R47" s="2416">
        <v>11</v>
      </c>
      <c r="S47" s="2416">
        <v>11</v>
      </c>
      <c r="T47" s="2416">
        <v>11</v>
      </c>
      <c r="U47" s="2416" t="s">
        <v>68</v>
      </c>
      <c r="V47" s="2416" t="s">
        <v>68</v>
      </c>
      <c r="W47" s="2287" t="s">
        <v>35</v>
      </c>
      <c r="X47" s="2287" t="s">
        <v>35</v>
      </c>
      <c r="Y47" s="2287" t="s">
        <v>35</v>
      </c>
      <c r="Z47" s="2287" t="s">
        <v>35</v>
      </c>
      <c r="AA47" s="2287" t="s">
        <v>35</v>
      </c>
      <c r="AB47" s="2287" t="s">
        <v>69</v>
      </c>
      <c r="AC47" s="2287" t="s">
        <v>69</v>
      </c>
      <c r="AD47" s="2287">
        <v>8</v>
      </c>
      <c r="AE47" s="2287">
        <v>8</v>
      </c>
      <c r="AF47" s="2287">
        <v>8</v>
      </c>
      <c r="AG47" s="2290">
        <v>8</v>
      </c>
      <c r="AH47" s="34"/>
      <c r="AI47" s="25"/>
    </row>
    <row r="48" spans="1:41" ht="25.5" customHeight="1" thickBot="1">
      <c r="A48" s="2555">
        <v>14</v>
      </c>
      <c r="B48" s="2556" t="s">
        <v>82</v>
      </c>
      <c r="C48" s="2233" t="s">
        <v>35</v>
      </c>
      <c r="D48" s="2557" t="s">
        <v>35</v>
      </c>
      <c r="E48" s="2557" t="s">
        <v>35</v>
      </c>
      <c r="F48" s="2557" t="s">
        <v>35</v>
      </c>
      <c r="G48" s="2558"/>
      <c r="H48" s="2558"/>
      <c r="I48" s="2558">
        <v>1</v>
      </c>
      <c r="J48" s="2557">
        <v>1</v>
      </c>
      <c r="K48" s="2557">
        <v>1</v>
      </c>
      <c r="L48" s="2557">
        <v>1</v>
      </c>
      <c r="M48" s="2557">
        <v>1</v>
      </c>
      <c r="N48" s="2557"/>
      <c r="O48" s="2233"/>
      <c r="P48" s="2557">
        <v>9</v>
      </c>
      <c r="Q48" s="2575">
        <v>9</v>
      </c>
      <c r="R48" s="2575">
        <v>9</v>
      </c>
      <c r="S48" s="2576" t="s">
        <v>140</v>
      </c>
      <c r="T48" s="2557">
        <v>9</v>
      </c>
      <c r="U48" s="2557" t="s">
        <v>70</v>
      </c>
      <c r="V48" s="2557" t="s">
        <v>72</v>
      </c>
      <c r="W48" s="2557" t="s">
        <v>35</v>
      </c>
      <c r="X48" s="2233" t="s">
        <v>35</v>
      </c>
      <c r="Y48" s="2557" t="s">
        <v>35</v>
      </c>
      <c r="Z48" s="2557" t="s">
        <v>35</v>
      </c>
      <c r="AA48" s="2557" t="s">
        <v>35</v>
      </c>
      <c r="AB48" s="2557" t="s">
        <v>75</v>
      </c>
      <c r="AC48" s="2233" t="s">
        <v>69</v>
      </c>
      <c r="AD48" s="2557">
        <v>6</v>
      </c>
      <c r="AE48" s="2557">
        <v>6</v>
      </c>
      <c r="AF48" s="2233">
        <v>6</v>
      </c>
      <c r="AG48" s="2234">
        <v>6</v>
      </c>
      <c r="AH48" s="34"/>
      <c r="AI48" s="25"/>
    </row>
    <row r="49" spans="1:35" ht="25.5" customHeight="1">
      <c r="A49" s="2548">
        <v>5</v>
      </c>
      <c r="B49" s="2521" t="s">
        <v>83</v>
      </c>
      <c r="C49" s="2580">
        <v>5</v>
      </c>
      <c r="D49" s="2580">
        <v>5</v>
      </c>
      <c r="E49" s="2580">
        <v>5</v>
      </c>
      <c r="F49" s="2580">
        <v>5</v>
      </c>
      <c r="G49" s="802"/>
      <c r="H49" s="801"/>
      <c r="I49" s="801">
        <v>10</v>
      </c>
      <c r="J49" s="1816">
        <v>10</v>
      </c>
      <c r="K49" s="802">
        <v>10</v>
      </c>
      <c r="L49" s="802">
        <v>10</v>
      </c>
      <c r="M49" s="802">
        <v>10</v>
      </c>
      <c r="N49" s="802" t="s">
        <v>72</v>
      </c>
      <c r="O49" s="1816" t="s">
        <v>72</v>
      </c>
      <c r="P49" s="802" t="s">
        <v>35</v>
      </c>
      <c r="Q49" s="802" t="s">
        <v>35</v>
      </c>
      <c r="R49" s="1816" t="s">
        <v>35</v>
      </c>
      <c r="S49" s="802" t="s">
        <v>35</v>
      </c>
      <c r="T49" s="802" t="s">
        <v>35</v>
      </c>
      <c r="U49" s="801" t="s">
        <v>67</v>
      </c>
      <c r="V49" s="801" t="s">
        <v>67</v>
      </c>
      <c r="W49" s="801">
        <v>7</v>
      </c>
      <c r="X49" s="801">
        <v>7</v>
      </c>
      <c r="Y49" s="801">
        <v>7</v>
      </c>
      <c r="Z49" s="801">
        <v>7</v>
      </c>
      <c r="AA49" s="801">
        <v>7</v>
      </c>
      <c r="AB49" s="801"/>
      <c r="AC49" s="801"/>
      <c r="AD49" s="1818">
        <v>4</v>
      </c>
      <c r="AE49" s="1818">
        <v>4</v>
      </c>
      <c r="AF49" s="1818">
        <v>4</v>
      </c>
      <c r="AG49" s="2581">
        <v>4</v>
      </c>
      <c r="AH49" s="34"/>
      <c r="AI49" s="25"/>
    </row>
    <row r="50" spans="1:35" ht="25.5" customHeight="1">
      <c r="A50" s="2279">
        <v>10</v>
      </c>
      <c r="B50" s="2521" t="s">
        <v>84</v>
      </c>
      <c r="C50" s="2287">
        <v>3</v>
      </c>
      <c r="D50" s="2287">
        <v>3</v>
      </c>
      <c r="E50" s="2287">
        <v>3</v>
      </c>
      <c r="F50" s="2514">
        <v>3</v>
      </c>
      <c r="G50" s="2280"/>
      <c r="H50" s="2280"/>
      <c r="I50" s="2280">
        <v>11</v>
      </c>
      <c r="J50" s="2280">
        <v>11</v>
      </c>
      <c r="K50" s="2280">
        <v>11</v>
      </c>
      <c r="L50" s="2280">
        <v>11</v>
      </c>
      <c r="M50" s="2280">
        <v>11</v>
      </c>
      <c r="N50" s="2280" t="s">
        <v>68</v>
      </c>
      <c r="O50" s="2280" t="s">
        <v>68</v>
      </c>
      <c r="P50" s="2280" t="s">
        <v>35</v>
      </c>
      <c r="Q50" s="2280" t="s">
        <v>35</v>
      </c>
      <c r="R50" s="2280" t="s">
        <v>35</v>
      </c>
      <c r="S50" s="2280" t="s">
        <v>35</v>
      </c>
      <c r="T50" s="2280" t="s">
        <v>35</v>
      </c>
      <c r="U50" s="2293" t="s">
        <v>69</v>
      </c>
      <c r="V50" s="2280" t="s">
        <v>69</v>
      </c>
      <c r="W50" s="2514">
        <v>8</v>
      </c>
      <c r="X50" s="2287">
        <v>8</v>
      </c>
      <c r="Y50" s="2288">
        <v>8</v>
      </c>
      <c r="Z50" s="2287">
        <v>8</v>
      </c>
      <c r="AA50" s="2287">
        <v>8</v>
      </c>
      <c r="AB50" s="2287"/>
      <c r="AC50" s="2287"/>
      <c r="AD50" s="2287" t="s">
        <v>35</v>
      </c>
      <c r="AE50" s="2287" t="s">
        <v>35</v>
      </c>
      <c r="AF50" s="2287" t="s">
        <v>35</v>
      </c>
      <c r="AG50" s="2290" t="s">
        <v>35</v>
      </c>
      <c r="AH50" s="34"/>
      <c r="AI50" s="25"/>
    </row>
    <row r="51" spans="1:35" ht="25.5" customHeight="1" thickBot="1">
      <c r="A51" s="2555">
        <v>15</v>
      </c>
      <c r="B51" s="2556" t="s">
        <v>85</v>
      </c>
      <c r="C51" s="2557">
        <v>1</v>
      </c>
      <c r="D51" s="2557">
        <v>1</v>
      </c>
      <c r="E51" s="2582">
        <v>1</v>
      </c>
      <c r="F51" s="2582">
        <v>1</v>
      </c>
      <c r="G51" s="2557"/>
      <c r="H51" s="2233"/>
      <c r="I51" s="2233">
        <v>9</v>
      </c>
      <c r="J51" s="2557">
        <v>9</v>
      </c>
      <c r="K51" s="2233">
        <v>9</v>
      </c>
      <c r="L51" s="2557">
        <v>9</v>
      </c>
      <c r="M51" s="2557">
        <v>9</v>
      </c>
      <c r="N51" s="2557" t="s">
        <v>70</v>
      </c>
      <c r="O51" s="2557" t="s">
        <v>72</v>
      </c>
      <c r="P51" s="2557" t="s">
        <v>35</v>
      </c>
      <c r="Q51" s="2233" t="s">
        <v>35</v>
      </c>
      <c r="R51" s="2557" t="s">
        <v>35</v>
      </c>
      <c r="S51" s="2557" t="s">
        <v>35</v>
      </c>
      <c r="T51" s="2557" t="s">
        <v>35</v>
      </c>
      <c r="U51" s="2557" t="s">
        <v>75</v>
      </c>
      <c r="V51" s="2557" t="s">
        <v>69</v>
      </c>
      <c r="W51" s="2557">
        <v>6</v>
      </c>
      <c r="X51" s="2557">
        <v>6</v>
      </c>
      <c r="Y51" s="2233">
        <v>6</v>
      </c>
      <c r="Z51" s="2557">
        <v>6</v>
      </c>
      <c r="AA51" s="2557">
        <v>6</v>
      </c>
      <c r="AB51" s="2557"/>
      <c r="AC51" s="2557"/>
      <c r="AD51" s="2557" t="s">
        <v>35</v>
      </c>
      <c r="AE51" s="2233" t="s">
        <v>35</v>
      </c>
      <c r="AF51" s="2558" t="s">
        <v>35</v>
      </c>
      <c r="AG51" s="2583" t="s">
        <v>35</v>
      </c>
      <c r="AH51" s="34"/>
      <c r="AI51" s="25"/>
    </row>
    <row r="52" spans="1:35" ht="25.5" customHeight="1">
      <c r="A52" s="29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"/>
    </row>
    <row r="53" spans="1:35" ht="25.5" customHeight="1">
      <c r="A53" s="36"/>
      <c r="B53" s="37" t="s">
        <v>86</v>
      </c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1"/>
    </row>
    <row r="54" spans="1:35" ht="25.5" customHeight="1">
      <c r="A54" s="2296" t="s">
        <v>28</v>
      </c>
      <c r="B54" s="2296"/>
      <c r="C54" s="2297"/>
      <c r="D54" s="2296" t="s">
        <v>87</v>
      </c>
      <c r="E54" s="2298"/>
      <c r="F54" s="2297"/>
      <c r="G54" s="2296" t="s">
        <v>88</v>
      </c>
      <c r="H54" s="2298"/>
      <c r="I54" s="2297"/>
      <c r="J54" s="2296" t="s">
        <v>89</v>
      </c>
      <c r="K54" s="2298"/>
      <c r="L54" s="2297"/>
      <c r="M54" s="2296" t="s">
        <v>90</v>
      </c>
      <c r="N54" s="2298"/>
      <c r="O54" s="2297"/>
      <c r="P54" s="2296" t="s">
        <v>91</v>
      </c>
      <c r="Q54" s="2298"/>
      <c r="R54" s="2185"/>
      <c r="S54" s="2299" t="s">
        <v>92</v>
      </c>
      <c r="T54" s="2298"/>
      <c r="U54" s="2297"/>
      <c r="V54" s="2296" t="s">
        <v>93</v>
      </c>
      <c r="W54" s="2298"/>
      <c r="X54" s="2300" t="s">
        <v>94</v>
      </c>
      <c r="Y54" s="2298"/>
      <c r="Z54" s="2298"/>
      <c r="AA54" s="2301"/>
      <c r="AB54" s="2217"/>
      <c r="AC54" s="2217"/>
      <c r="AD54" s="2217"/>
      <c r="AE54" s="2217"/>
      <c r="AF54" s="2217"/>
      <c r="AG54" s="2218"/>
      <c r="AH54" s="1"/>
    </row>
    <row r="55" spans="1:35" ht="25.5" customHeight="1">
      <c r="A55" s="2302">
        <v>8517</v>
      </c>
      <c r="B55" s="2247" t="s">
        <v>95</v>
      </c>
      <c r="C55" s="2303" t="s">
        <v>96</v>
      </c>
      <c r="D55" s="2114"/>
      <c r="E55" s="2216"/>
      <c r="F55" s="2303" t="s">
        <v>96</v>
      </c>
      <c r="G55" s="2114"/>
      <c r="H55" s="2216"/>
      <c r="I55" s="2303" t="s">
        <v>96</v>
      </c>
      <c r="J55" s="2114"/>
      <c r="K55" s="2216"/>
      <c r="L55" s="2303" t="s">
        <v>96</v>
      </c>
      <c r="M55" s="2114"/>
      <c r="N55" s="2216"/>
      <c r="O55" s="2303" t="s">
        <v>97</v>
      </c>
      <c r="P55" s="2114"/>
      <c r="Q55" s="2216"/>
      <c r="R55" s="2303" t="s">
        <v>96</v>
      </c>
      <c r="S55" s="2114"/>
      <c r="T55" s="2216"/>
      <c r="U55" s="2303" t="s">
        <v>96</v>
      </c>
      <c r="V55" s="2114"/>
      <c r="W55" s="2216"/>
      <c r="X55" s="2215"/>
      <c r="Y55" s="2217"/>
      <c r="Z55" s="2217"/>
      <c r="AA55" s="2217"/>
      <c r="AB55" s="2217"/>
      <c r="AC55" s="2217"/>
      <c r="AD55" s="2217"/>
      <c r="AE55" s="2217"/>
      <c r="AF55" s="2217"/>
      <c r="AG55" s="2218"/>
      <c r="AH55" s="1"/>
    </row>
    <row r="56" spans="1:35" ht="25.5" customHeight="1">
      <c r="B56" s="2304" t="s">
        <v>98</v>
      </c>
      <c r="C56" s="2305" t="s">
        <v>99</v>
      </c>
      <c r="D56" s="2306"/>
      <c r="E56" s="2307"/>
      <c r="F56" s="2305" t="s">
        <v>99</v>
      </c>
      <c r="G56" s="2308"/>
      <c r="H56" s="2307"/>
      <c r="I56" s="2303" t="s">
        <v>99</v>
      </c>
      <c r="J56" s="2114"/>
      <c r="K56" s="2309"/>
      <c r="L56" s="2303" t="s">
        <v>99</v>
      </c>
      <c r="M56" s="2114"/>
      <c r="N56" s="2309"/>
      <c r="O56" s="2303" t="s">
        <v>100</v>
      </c>
      <c r="P56" s="2114"/>
      <c r="Q56" s="2216"/>
      <c r="R56" s="2310" t="s">
        <v>0</v>
      </c>
      <c r="S56" s="2114"/>
      <c r="T56" s="2309"/>
      <c r="U56" s="2114" t="s">
        <v>0</v>
      </c>
      <c r="V56" s="2114"/>
      <c r="W56" s="2216"/>
      <c r="X56" s="1229" t="s">
        <v>0</v>
      </c>
      <c r="Y56" s="17"/>
      <c r="Z56" s="17"/>
      <c r="AA56" s="17"/>
      <c r="AB56" s="17"/>
      <c r="AC56" s="17"/>
      <c r="AD56" s="17"/>
      <c r="AE56" s="17"/>
      <c r="AF56" s="17"/>
      <c r="AG56" s="39"/>
      <c r="AH56" s="1"/>
    </row>
    <row r="57" spans="1:35" ht="25.5" customHeight="1">
      <c r="A57" s="2311"/>
      <c r="B57" s="2247" t="s">
        <v>101</v>
      </c>
      <c r="C57" s="2303" t="s">
        <v>102</v>
      </c>
      <c r="D57" s="2114"/>
      <c r="E57" s="2216"/>
      <c r="F57" s="2303" t="s">
        <v>102</v>
      </c>
      <c r="G57" s="2114"/>
      <c r="H57" s="2309"/>
      <c r="I57" s="2303" t="s">
        <v>102</v>
      </c>
      <c r="J57" s="2114"/>
      <c r="K57" s="2309"/>
      <c r="L57" s="2303" t="s">
        <v>102</v>
      </c>
      <c r="M57" s="2114"/>
      <c r="N57" s="2309"/>
      <c r="O57" s="2303" t="s">
        <v>103</v>
      </c>
      <c r="P57" s="2114"/>
      <c r="Q57" s="2216"/>
      <c r="R57" s="40"/>
      <c r="S57" s="41"/>
      <c r="T57" s="2309"/>
      <c r="U57" s="2114"/>
      <c r="V57" s="2114"/>
      <c r="W57" s="2216"/>
      <c r="X57" s="2215"/>
      <c r="Y57" s="2217"/>
      <c r="Z57" s="2217"/>
      <c r="AA57" s="2217"/>
      <c r="AB57" s="2217"/>
      <c r="AC57" s="2217"/>
      <c r="AD57" s="2217"/>
      <c r="AE57" s="2217"/>
      <c r="AF57" s="2217"/>
      <c r="AG57" s="2218"/>
      <c r="AH57" s="1"/>
    </row>
    <row r="58" spans="1:35" ht="25.5" customHeight="1">
      <c r="A58" s="2296"/>
      <c r="B58" s="2304" t="s">
        <v>104</v>
      </c>
      <c r="C58" s="2312" t="s">
        <v>105</v>
      </c>
      <c r="D58" s="2312"/>
      <c r="E58" s="2313"/>
      <c r="F58" s="2312" t="s">
        <v>105</v>
      </c>
      <c r="G58" s="2312"/>
      <c r="H58" s="2313"/>
      <c r="I58" s="2312" t="s">
        <v>105</v>
      </c>
      <c r="J58" s="2312"/>
      <c r="K58" s="2313"/>
      <c r="L58" s="2312" t="s">
        <v>105</v>
      </c>
      <c r="M58" s="2312"/>
      <c r="N58" s="2313"/>
      <c r="O58" s="2312" t="s">
        <v>105</v>
      </c>
      <c r="P58" s="2312"/>
      <c r="Q58" s="2313"/>
      <c r="R58" s="2312" t="s">
        <v>105</v>
      </c>
      <c r="S58" s="2312"/>
      <c r="T58" s="2313"/>
      <c r="U58" s="2312" t="s">
        <v>105</v>
      </c>
      <c r="V58" s="2312"/>
      <c r="W58" s="2313"/>
      <c r="X58" s="2215"/>
      <c r="Y58" s="2217"/>
      <c r="Z58" s="2217"/>
      <c r="AA58" s="2217"/>
      <c r="AB58" s="2217"/>
      <c r="AC58" s="2217"/>
      <c r="AD58" s="2217"/>
      <c r="AE58" s="2217"/>
      <c r="AF58" s="2217"/>
      <c r="AG58" s="2218"/>
      <c r="AH58" s="1"/>
    </row>
    <row r="59" spans="1:35" ht="25.5" customHeight="1">
      <c r="A59" s="42"/>
      <c r="B59" s="29"/>
      <c r="C59" s="22"/>
      <c r="D59" s="22"/>
      <c r="E59" s="18"/>
      <c r="F59" s="22"/>
      <c r="G59" s="22"/>
      <c r="H59" s="18"/>
      <c r="I59" s="22"/>
      <c r="J59" s="22"/>
      <c r="K59" s="18"/>
      <c r="L59" s="22"/>
      <c r="M59" s="22"/>
      <c r="N59" s="18"/>
      <c r="O59" s="22"/>
      <c r="P59" s="22"/>
      <c r="Q59" s="18"/>
      <c r="R59" s="22"/>
      <c r="S59" s="22"/>
      <c r="T59" s="18"/>
      <c r="U59" s="22"/>
      <c r="V59" s="22"/>
      <c r="W59" s="18"/>
      <c r="X59" s="18"/>
      <c r="Y59" s="17"/>
      <c r="Z59" s="17"/>
      <c r="AA59" s="17"/>
      <c r="AB59" s="17"/>
      <c r="AC59" s="17"/>
      <c r="AD59" s="17"/>
      <c r="AE59" s="17"/>
      <c r="AF59" s="17"/>
      <c r="AG59" s="17"/>
      <c r="AH59" s="1"/>
    </row>
    <row r="60" spans="1:35" ht="25.5" customHeight="1" thickBot="1">
      <c r="A60" s="2120"/>
      <c r="B60" s="2121" t="s">
        <v>29</v>
      </c>
      <c r="C60" s="2123">
        <v>1</v>
      </c>
      <c r="D60" s="2123">
        <v>2</v>
      </c>
      <c r="E60" s="2123">
        <v>3</v>
      </c>
      <c r="F60" s="2123">
        <v>4</v>
      </c>
      <c r="G60" s="2122">
        <v>5</v>
      </c>
      <c r="H60" s="2122">
        <v>6</v>
      </c>
      <c r="I60" s="2123">
        <v>7</v>
      </c>
      <c r="J60" s="2123">
        <v>8</v>
      </c>
      <c r="K60" s="2123">
        <v>9</v>
      </c>
      <c r="L60" s="2123">
        <v>10</v>
      </c>
      <c r="M60" s="2123">
        <v>11</v>
      </c>
      <c r="N60" s="2122">
        <v>12</v>
      </c>
      <c r="O60" s="2122">
        <v>13</v>
      </c>
      <c r="P60" s="2123">
        <v>14</v>
      </c>
      <c r="Q60" s="2123">
        <v>15</v>
      </c>
      <c r="R60" s="2123">
        <v>16</v>
      </c>
      <c r="S60" s="2123">
        <v>17</v>
      </c>
      <c r="T60" s="2123">
        <v>18</v>
      </c>
      <c r="U60" s="2122">
        <v>19</v>
      </c>
      <c r="V60" s="2122">
        <v>20</v>
      </c>
      <c r="W60" s="2123">
        <v>21</v>
      </c>
      <c r="X60" s="2123">
        <v>22</v>
      </c>
      <c r="Y60" s="2123">
        <v>23</v>
      </c>
      <c r="Z60" s="2123">
        <v>24</v>
      </c>
      <c r="AA60" s="2123">
        <v>25</v>
      </c>
      <c r="AB60" s="2122">
        <v>26</v>
      </c>
      <c r="AC60" s="2122">
        <v>27</v>
      </c>
      <c r="AD60" s="2123">
        <v>28</v>
      </c>
      <c r="AE60" s="2123">
        <v>29</v>
      </c>
      <c r="AF60" s="2123">
        <v>30</v>
      </c>
      <c r="AG60" s="2124">
        <v>31</v>
      </c>
      <c r="AH60" s="1"/>
    </row>
    <row r="61" spans="1:35" ht="25.5" customHeight="1">
      <c r="A61" s="2584"/>
      <c r="B61" s="2584"/>
      <c r="C61" s="2585"/>
      <c r="D61" s="2585"/>
      <c r="E61" s="2585"/>
      <c r="F61" s="2585"/>
      <c r="G61" s="2586"/>
      <c r="H61" s="2587"/>
      <c r="I61" s="2587"/>
      <c r="J61" s="2587"/>
      <c r="K61" s="2587"/>
      <c r="L61" s="2588"/>
      <c r="M61" s="1839"/>
      <c r="N61" s="1839"/>
      <c r="O61" s="1839"/>
      <c r="P61" s="1839"/>
      <c r="Q61" s="1839"/>
      <c r="R61" s="1839"/>
      <c r="S61" s="1839"/>
      <c r="T61" s="1839"/>
      <c r="U61" s="1839"/>
      <c r="V61" s="1839"/>
      <c r="W61" s="1839"/>
      <c r="X61" s="1839"/>
      <c r="Y61" s="2586"/>
      <c r="Z61" s="2586"/>
      <c r="AA61" s="2586"/>
      <c r="AB61" s="1839"/>
      <c r="AC61" s="1839"/>
      <c r="AD61" s="1839"/>
      <c r="AE61" s="1839"/>
      <c r="AF61" s="1839"/>
      <c r="AG61" s="1843"/>
      <c r="AH61" s="1"/>
    </row>
    <row r="62" spans="1:35" ht="25.5" customHeight="1">
      <c r="A62" s="2589"/>
      <c r="B62" s="2589" t="s">
        <v>106</v>
      </c>
      <c r="C62" s="2590" t="s">
        <v>35</v>
      </c>
      <c r="D62" s="2590" t="s">
        <v>35</v>
      </c>
      <c r="E62" s="2590" t="s">
        <v>35</v>
      </c>
      <c r="F62" s="2590" t="s">
        <v>35</v>
      </c>
      <c r="G62" s="2590"/>
      <c r="H62" s="2590"/>
      <c r="I62" s="2590" t="s">
        <v>110</v>
      </c>
      <c r="J62" s="2590" t="s">
        <v>110</v>
      </c>
      <c r="K62" s="2590" t="s">
        <v>119</v>
      </c>
      <c r="L62" s="2590" t="s">
        <v>119</v>
      </c>
      <c r="M62" s="2590" t="s">
        <v>119</v>
      </c>
      <c r="N62" s="2590" t="s">
        <v>108</v>
      </c>
      <c r="O62" s="2590" t="s">
        <v>108</v>
      </c>
      <c r="P62" s="2591" t="s">
        <v>35</v>
      </c>
      <c r="Q62" s="2591" t="s">
        <v>35</v>
      </c>
      <c r="R62" s="2591" t="s">
        <v>35</v>
      </c>
      <c r="S62" s="2591" t="s">
        <v>35</v>
      </c>
      <c r="T62" s="2591" t="s">
        <v>35</v>
      </c>
      <c r="U62" s="2592"/>
      <c r="V62" s="2592"/>
      <c r="W62" s="2590" t="s">
        <v>110</v>
      </c>
      <c r="X62" s="2593" t="s">
        <v>110</v>
      </c>
      <c r="Y62" s="2590" t="s">
        <v>110</v>
      </c>
      <c r="Z62" s="2593" t="s">
        <v>110</v>
      </c>
      <c r="AA62" s="2593" t="s">
        <v>110</v>
      </c>
      <c r="AB62" s="2594"/>
      <c r="AC62" s="2594"/>
      <c r="AD62" s="2594">
        <v>25</v>
      </c>
      <c r="AE62" s="2594">
        <v>25</v>
      </c>
      <c r="AF62" s="2594">
        <v>25</v>
      </c>
      <c r="AG62" s="2531">
        <v>25</v>
      </c>
      <c r="AH62" s="1"/>
    </row>
    <row r="63" spans="1:35" ht="25.5" customHeight="1">
      <c r="A63" s="2595"/>
      <c r="B63" s="2554" t="s">
        <v>111</v>
      </c>
      <c r="C63" s="2590" t="s">
        <v>35</v>
      </c>
      <c r="D63" s="2596" t="s">
        <v>35</v>
      </c>
      <c r="E63" s="2596" t="s">
        <v>35</v>
      </c>
      <c r="F63" s="2596" t="s">
        <v>35</v>
      </c>
      <c r="G63" s="2596"/>
      <c r="H63" s="2596"/>
      <c r="I63" s="2596">
        <v>25</v>
      </c>
      <c r="J63" s="2596">
        <v>25</v>
      </c>
      <c r="K63" s="2596">
        <v>25</v>
      </c>
      <c r="L63" s="2590">
        <v>25</v>
      </c>
      <c r="M63" s="2590">
        <v>25</v>
      </c>
      <c r="N63" s="2596"/>
      <c r="O63" s="2596"/>
      <c r="P63" s="2596">
        <v>11</v>
      </c>
      <c r="Q63" s="2596">
        <v>11</v>
      </c>
      <c r="R63" s="2596">
        <v>11</v>
      </c>
      <c r="S63" s="2596">
        <v>11</v>
      </c>
      <c r="T63" s="2597">
        <v>11</v>
      </c>
      <c r="U63" s="2597" t="s">
        <v>68</v>
      </c>
      <c r="V63" s="2598" t="s">
        <v>68</v>
      </c>
      <c r="W63" s="2599" t="s">
        <v>351</v>
      </c>
      <c r="X63" s="2593" t="s">
        <v>35</v>
      </c>
      <c r="Y63" s="2600" t="s">
        <v>35</v>
      </c>
      <c r="Z63" s="2600" t="s">
        <v>35</v>
      </c>
      <c r="AA63" s="2600" t="s">
        <v>35</v>
      </c>
      <c r="AB63" s="2596"/>
      <c r="AC63" s="2596"/>
      <c r="AD63" s="2596">
        <v>4</v>
      </c>
      <c r="AE63" s="2596">
        <v>4</v>
      </c>
      <c r="AF63" s="2596">
        <v>4</v>
      </c>
      <c r="AG63" s="2531">
        <v>4</v>
      </c>
      <c r="AH63" s="1"/>
    </row>
    <row r="64" spans="1:35" ht="25.5" customHeight="1">
      <c r="A64" s="2554"/>
      <c r="B64" s="2554" t="s">
        <v>113</v>
      </c>
      <c r="C64" s="2590" t="s">
        <v>35</v>
      </c>
      <c r="D64" s="2590" t="s">
        <v>35</v>
      </c>
      <c r="E64" s="1699" t="s">
        <v>35</v>
      </c>
      <c r="F64" s="2601" t="s">
        <v>35</v>
      </c>
      <c r="G64" s="2594"/>
      <c r="H64" s="2594"/>
      <c r="I64" s="2593">
        <v>5</v>
      </c>
      <c r="J64" s="2602">
        <v>5</v>
      </c>
      <c r="K64" s="2602">
        <v>5</v>
      </c>
      <c r="L64" s="2593">
        <v>5</v>
      </c>
      <c r="M64" s="2593">
        <v>5</v>
      </c>
      <c r="N64" s="2602"/>
      <c r="O64" s="2593"/>
      <c r="P64" s="2593">
        <v>10</v>
      </c>
      <c r="Q64" s="2590">
        <v>10</v>
      </c>
      <c r="R64" s="2602">
        <v>10</v>
      </c>
      <c r="S64" s="2602">
        <v>10</v>
      </c>
      <c r="T64" s="2602">
        <v>10</v>
      </c>
      <c r="U64" s="2602" t="s">
        <v>72</v>
      </c>
      <c r="V64" s="2603" t="s">
        <v>72</v>
      </c>
      <c r="W64" s="2602" t="s">
        <v>35</v>
      </c>
      <c r="X64" s="2602" t="s">
        <v>35</v>
      </c>
      <c r="Y64" s="2590" t="s">
        <v>35</v>
      </c>
      <c r="Z64" s="2602" t="s">
        <v>35</v>
      </c>
      <c r="AA64" s="2602" t="s">
        <v>35</v>
      </c>
      <c r="AB64" s="2602" t="s">
        <v>67</v>
      </c>
      <c r="AC64" s="2602" t="s">
        <v>67</v>
      </c>
      <c r="AD64" s="2602">
        <v>7</v>
      </c>
      <c r="AE64" s="2593">
        <v>7</v>
      </c>
      <c r="AF64" s="2602">
        <v>7</v>
      </c>
      <c r="AG64" s="2604">
        <v>7</v>
      </c>
      <c r="AH64" s="1"/>
    </row>
    <row r="65" spans="1:34" ht="25.5" customHeight="1">
      <c r="A65" s="2554"/>
      <c r="B65" s="2605" t="s">
        <v>116</v>
      </c>
      <c r="C65" s="2590">
        <v>25</v>
      </c>
      <c r="D65" s="2590">
        <v>25</v>
      </c>
      <c r="E65" s="2590">
        <v>25</v>
      </c>
      <c r="F65" s="2590">
        <v>25</v>
      </c>
      <c r="G65" s="2606"/>
      <c r="H65" s="2606"/>
      <c r="I65" s="2607">
        <v>26</v>
      </c>
      <c r="J65" s="2596">
        <v>26</v>
      </c>
      <c r="K65" s="2596">
        <v>26</v>
      </c>
      <c r="L65" s="2596">
        <v>26</v>
      </c>
      <c r="M65" s="2596">
        <v>26</v>
      </c>
      <c r="N65" s="2590">
        <v>26</v>
      </c>
      <c r="O65" s="2590">
        <v>26</v>
      </c>
      <c r="P65" s="2590" t="s">
        <v>35</v>
      </c>
      <c r="Q65" s="2608" t="s">
        <v>35</v>
      </c>
      <c r="R65" s="2608" t="s">
        <v>35</v>
      </c>
      <c r="S65" s="2608" t="s">
        <v>35</v>
      </c>
      <c r="T65" s="2603" t="s">
        <v>35</v>
      </c>
      <c r="U65" s="2590"/>
      <c r="V65" s="2596"/>
      <c r="W65" s="2609" t="s">
        <v>31</v>
      </c>
      <c r="X65" s="2608" t="s">
        <v>35</v>
      </c>
      <c r="Y65" s="2590" t="s">
        <v>35</v>
      </c>
      <c r="Z65" s="2590">
        <v>22</v>
      </c>
      <c r="AA65" s="2590">
        <v>22</v>
      </c>
      <c r="AB65" s="2590">
        <v>22</v>
      </c>
      <c r="AC65" s="2590"/>
      <c r="AD65" s="2590" t="s">
        <v>250</v>
      </c>
      <c r="AE65" s="2590" t="s">
        <v>250</v>
      </c>
      <c r="AF65" s="2590" t="s">
        <v>31</v>
      </c>
      <c r="AG65" s="2531" t="s">
        <v>31</v>
      </c>
      <c r="AH65" s="1"/>
    </row>
    <row r="66" spans="1:34" ht="25.5" customHeight="1">
      <c r="A66" s="2554"/>
      <c r="B66" s="2605" t="s">
        <v>122</v>
      </c>
      <c r="C66" s="2596">
        <v>26</v>
      </c>
      <c r="D66" s="2594">
        <v>26</v>
      </c>
      <c r="E66" s="2594">
        <v>26</v>
      </c>
      <c r="F66" s="2596">
        <v>26</v>
      </c>
      <c r="G66" s="2596">
        <v>26</v>
      </c>
      <c r="H66" s="2596">
        <v>26</v>
      </c>
      <c r="I66" s="2590" t="s">
        <v>35</v>
      </c>
      <c r="J66" s="2590" t="s">
        <v>35</v>
      </c>
      <c r="K66" s="2594" t="s">
        <v>35</v>
      </c>
      <c r="L66" s="2594" t="s">
        <v>31</v>
      </c>
      <c r="M66" s="2594" t="s">
        <v>31</v>
      </c>
      <c r="N66" s="2590"/>
      <c r="O66" s="2590"/>
      <c r="P66" s="2590">
        <v>5</v>
      </c>
      <c r="Q66" s="2590">
        <v>5</v>
      </c>
      <c r="R66" s="2590">
        <v>5</v>
      </c>
      <c r="S66" s="2590">
        <v>5</v>
      </c>
      <c r="T66" s="2590">
        <v>5</v>
      </c>
      <c r="U66" s="2590"/>
      <c r="V66" s="2590"/>
      <c r="W66" s="2590">
        <v>26</v>
      </c>
      <c r="X66" s="2590">
        <v>26</v>
      </c>
      <c r="Y66" s="2590">
        <v>26</v>
      </c>
      <c r="Z66" s="2596">
        <v>26</v>
      </c>
      <c r="AA66" s="2590">
        <v>26</v>
      </c>
      <c r="AB66" s="2596" t="s">
        <v>70</v>
      </c>
      <c r="AC66" s="2596" t="s">
        <v>72</v>
      </c>
      <c r="AD66" s="2608">
        <v>11</v>
      </c>
      <c r="AE66" s="2596" t="s">
        <v>35</v>
      </c>
      <c r="AF66" s="2590" t="s">
        <v>35</v>
      </c>
      <c r="AG66" s="2531" t="s">
        <v>35</v>
      </c>
      <c r="AH66" s="1"/>
    </row>
    <row r="67" spans="1:34" ht="25.5" customHeight="1">
      <c r="A67" s="2554"/>
      <c r="B67" s="2554" t="s">
        <v>124</v>
      </c>
      <c r="C67" s="2590">
        <v>5</v>
      </c>
      <c r="D67" s="2590">
        <v>5</v>
      </c>
      <c r="E67" s="2590">
        <v>5</v>
      </c>
      <c r="F67" s="2590">
        <v>5</v>
      </c>
      <c r="G67" s="2607"/>
      <c r="H67" s="2607"/>
      <c r="I67" s="2590">
        <v>3</v>
      </c>
      <c r="J67" s="2590">
        <v>3</v>
      </c>
      <c r="K67" s="2590">
        <v>3</v>
      </c>
      <c r="L67" s="2590">
        <v>3</v>
      </c>
      <c r="M67" s="2590">
        <v>3</v>
      </c>
      <c r="N67" s="2602"/>
      <c r="O67" s="2593"/>
      <c r="P67" s="2593">
        <v>79</v>
      </c>
      <c r="Q67" s="2593">
        <v>79</v>
      </c>
      <c r="R67" s="2602" t="s">
        <v>438</v>
      </c>
      <c r="S67" s="2590">
        <v>79</v>
      </c>
      <c r="T67" s="2590">
        <v>79</v>
      </c>
      <c r="U67" s="2596"/>
      <c r="V67" s="2590"/>
      <c r="W67" s="2590">
        <v>25</v>
      </c>
      <c r="X67" s="2594">
        <v>25</v>
      </c>
      <c r="Y67" s="2594">
        <v>25</v>
      </c>
      <c r="Z67" s="2594">
        <v>25</v>
      </c>
      <c r="AA67" s="2594">
        <v>25</v>
      </c>
      <c r="AB67" s="2590"/>
      <c r="AC67" s="2590"/>
      <c r="AD67" s="2596" t="s">
        <v>127</v>
      </c>
      <c r="AE67" s="2596" t="s">
        <v>127</v>
      </c>
      <c r="AF67" s="2596" t="s">
        <v>127</v>
      </c>
      <c r="AG67" s="2610" t="s">
        <v>127</v>
      </c>
      <c r="AH67" s="1"/>
    </row>
    <row r="68" spans="1:34" ht="25.5" customHeight="1">
      <c r="A68" s="2554"/>
      <c r="B68" s="2605" t="s">
        <v>126</v>
      </c>
      <c r="C68" s="2611" t="s">
        <v>127</v>
      </c>
      <c r="D68" s="2611" t="s">
        <v>127</v>
      </c>
      <c r="E68" s="2590" t="s">
        <v>127</v>
      </c>
      <c r="F68" s="2590" t="s">
        <v>127</v>
      </c>
      <c r="G68" s="2611"/>
      <c r="H68" s="2611"/>
      <c r="I68" s="2612" t="s">
        <v>110</v>
      </c>
      <c r="J68" s="2612" t="s">
        <v>119</v>
      </c>
      <c r="K68" s="2612" t="s">
        <v>119</v>
      </c>
      <c r="L68" s="2613" t="s">
        <v>119</v>
      </c>
      <c r="M68" s="2613" t="s">
        <v>119</v>
      </c>
      <c r="N68" s="2613" t="s">
        <v>108</v>
      </c>
      <c r="O68" s="2613" t="s">
        <v>108</v>
      </c>
      <c r="P68" s="2590" t="s">
        <v>35</v>
      </c>
      <c r="Q68" s="2608" t="s">
        <v>112</v>
      </c>
      <c r="R68" s="2590" t="s">
        <v>35</v>
      </c>
      <c r="S68" s="2590" t="s">
        <v>35</v>
      </c>
      <c r="T68" s="2590" t="s">
        <v>35</v>
      </c>
      <c r="U68" s="2590"/>
      <c r="V68" s="2590"/>
      <c r="W68" s="2590" t="s">
        <v>118</v>
      </c>
      <c r="X68" s="2590" t="s">
        <v>118</v>
      </c>
      <c r="Y68" s="2590" t="s">
        <v>118</v>
      </c>
      <c r="Z68" s="2590" t="s">
        <v>128</v>
      </c>
      <c r="AA68" s="2590" t="s">
        <v>128</v>
      </c>
      <c r="AB68" s="2590"/>
      <c r="AC68" s="2596"/>
      <c r="AD68" s="2613">
        <v>25</v>
      </c>
      <c r="AE68" s="2613">
        <v>25</v>
      </c>
      <c r="AF68" s="2613">
        <v>25</v>
      </c>
      <c r="AG68" s="2614">
        <v>25</v>
      </c>
      <c r="AH68" s="1"/>
    </row>
    <row r="69" spans="1:34" ht="25.5" customHeight="1">
      <c r="A69" s="2605"/>
      <c r="B69" s="2605" t="s">
        <v>129</v>
      </c>
      <c r="C69" s="2601" t="s">
        <v>35</v>
      </c>
      <c r="D69" s="2601" t="s">
        <v>35</v>
      </c>
      <c r="E69" s="2601" t="s">
        <v>35</v>
      </c>
      <c r="F69" s="2601" t="s">
        <v>35</v>
      </c>
      <c r="G69" s="2601" t="s">
        <v>69</v>
      </c>
      <c r="H69" s="2601" t="s">
        <v>69</v>
      </c>
      <c r="I69" s="2601" t="s">
        <v>31</v>
      </c>
      <c r="J69" s="2601">
        <v>8</v>
      </c>
      <c r="K69" s="2601">
        <v>8</v>
      </c>
      <c r="L69" s="2601">
        <v>8</v>
      </c>
      <c r="M69" s="2601">
        <v>8</v>
      </c>
      <c r="N69" s="2601"/>
      <c r="O69" s="2601"/>
      <c r="P69" s="2601">
        <v>25</v>
      </c>
      <c r="Q69" s="2601">
        <v>25</v>
      </c>
      <c r="R69" s="2601">
        <v>25</v>
      </c>
      <c r="S69" s="2601">
        <v>25</v>
      </c>
      <c r="T69" s="2601">
        <v>25</v>
      </c>
      <c r="U69" s="2601"/>
      <c r="V69" s="2601"/>
      <c r="W69" s="2596" t="s">
        <v>31</v>
      </c>
      <c r="X69" s="2596" t="s">
        <v>31</v>
      </c>
      <c r="Y69" s="2596" t="s">
        <v>31</v>
      </c>
      <c r="Z69" s="2596" t="s">
        <v>31</v>
      </c>
      <c r="AA69" s="2596" t="s">
        <v>31</v>
      </c>
      <c r="AB69" s="2601"/>
      <c r="AC69" s="2601"/>
      <c r="AD69" s="2601" t="s">
        <v>31</v>
      </c>
      <c r="AE69" s="2615" t="s">
        <v>31</v>
      </c>
      <c r="AF69" s="2615" t="s">
        <v>31</v>
      </c>
      <c r="AG69" s="2616" t="s">
        <v>251</v>
      </c>
      <c r="AH69" s="1"/>
    </row>
    <row r="70" spans="1:34" ht="25.5" customHeight="1">
      <c r="A70" s="2605"/>
      <c r="B70" s="2617" t="s">
        <v>130</v>
      </c>
      <c r="C70" s="2590" t="s">
        <v>35</v>
      </c>
      <c r="D70" s="2594" t="s">
        <v>35</v>
      </c>
      <c r="E70" s="2594" t="s">
        <v>35</v>
      </c>
      <c r="F70" s="2596" t="s">
        <v>35</v>
      </c>
      <c r="G70" s="2596" t="s">
        <v>45</v>
      </c>
      <c r="H70" s="2596" t="s">
        <v>45</v>
      </c>
      <c r="I70" s="2596" t="s">
        <v>31</v>
      </c>
      <c r="J70" s="2596" t="s">
        <v>31</v>
      </c>
      <c r="K70" s="2596" t="s">
        <v>31</v>
      </c>
      <c r="L70" s="2596" t="s">
        <v>31</v>
      </c>
      <c r="M70" s="2596" t="s">
        <v>31</v>
      </c>
      <c r="N70" s="2594"/>
      <c r="O70" s="2594"/>
      <c r="P70" s="2596" t="s">
        <v>31</v>
      </c>
      <c r="Q70" s="2596" t="s">
        <v>31</v>
      </c>
      <c r="R70" s="2596" t="s">
        <v>31</v>
      </c>
      <c r="S70" s="2596" t="s">
        <v>31</v>
      </c>
      <c r="T70" s="2608">
        <v>7</v>
      </c>
      <c r="U70" s="2590"/>
      <c r="V70" s="2590"/>
      <c r="W70" s="2596">
        <v>4</v>
      </c>
      <c r="X70" s="2596">
        <v>4</v>
      </c>
      <c r="Y70" s="2596" t="s">
        <v>107</v>
      </c>
      <c r="Z70" s="2596" t="s">
        <v>107</v>
      </c>
      <c r="AA70" s="2596" t="s">
        <v>107</v>
      </c>
      <c r="AB70" s="2590" t="s">
        <v>45</v>
      </c>
      <c r="AC70" s="2590" t="s">
        <v>45</v>
      </c>
      <c r="AD70" s="2596" t="s">
        <v>31</v>
      </c>
      <c r="AE70" s="2596" t="s">
        <v>31</v>
      </c>
      <c r="AF70" s="2596" t="s">
        <v>31</v>
      </c>
      <c r="AG70" s="2596" t="s">
        <v>31</v>
      </c>
      <c r="AH70" s="1"/>
    </row>
    <row r="71" spans="1:34" ht="25.5" customHeight="1">
      <c r="A71" s="2618"/>
      <c r="B71" s="2605" t="s">
        <v>439</v>
      </c>
      <c r="C71" s="2590" t="s">
        <v>107</v>
      </c>
      <c r="D71" s="2590" t="s">
        <v>107</v>
      </c>
      <c r="E71" s="2590" t="s">
        <v>107</v>
      </c>
      <c r="F71" s="2590">
        <v>8</v>
      </c>
      <c r="G71" s="2590"/>
      <c r="H71" s="2590"/>
      <c r="I71" s="2599" t="s">
        <v>31</v>
      </c>
      <c r="J71" s="2599" t="s">
        <v>304</v>
      </c>
      <c r="K71" s="2618" t="s">
        <v>31</v>
      </c>
      <c r="L71" s="2590" t="s">
        <v>31</v>
      </c>
      <c r="M71" s="2590" t="s">
        <v>31</v>
      </c>
      <c r="N71" s="2619"/>
      <c r="O71" s="2619"/>
      <c r="P71" s="2619">
        <v>26</v>
      </c>
      <c r="Q71" s="2619">
        <v>26</v>
      </c>
      <c r="R71" s="2619">
        <v>26</v>
      </c>
      <c r="S71" s="2590">
        <v>26</v>
      </c>
      <c r="T71" s="2590">
        <v>26</v>
      </c>
      <c r="U71" s="2590">
        <v>26</v>
      </c>
      <c r="V71" s="2590">
        <v>26</v>
      </c>
      <c r="W71" s="2602" t="s">
        <v>35</v>
      </c>
      <c r="X71" s="2590" t="s">
        <v>35</v>
      </c>
      <c r="Y71" s="2602" t="s">
        <v>35</v>
      </c>
      <c r="Z71" s="2602" t="s">
        <v>35</v>
      </c>
      <c r="AA71" s="2602" t="s">
        <v>35</v>
      </c>
      <c r="AB71" s="2590">
        <v>26</v>
      </c>
      <c r="AC71" s="2590">
        <v>26</v>
      </c>
      <c r="AD71" s="2590" t="s">
        <v>35</v>
      </c>
      <c r="AE71" s="2590" t="s">
        <v>201</v>
      </c>
      <c r="AF71" s="2590" t="s">
        <v>31</v>
      </c>
      <c r="AG71" s="2610" t="s">
        <v>201</v>
      </c>
      <c r="AH71" s="1"/>
    </row>
    <row r="72" spans="1:34" ht="25.5" customHeight="1">
      <c r="A72" s="2618"/>
      <c r="B72" s="2620" t="s">
        <v>132</v>
      </c>
      <c r="C72" s="2590" t="s">
        <v>35</v>
      </c>
      <c r="D72" s="2590" t="s">
        <v>35</v>
      </c>
      <c r="E72" s="2590" t="s">
        <v>35</v>
      </c>
      <c r="F72" s="2590" t="s">
        <v>35</v>
      </c>
      <c r="G72" s="2590"/>
      <c r="H72" s="2590"/>
      <c r="I72" s="2590">
        <v>8</v>
      </c>
      <c r="J72" s="2590" t="s">
        <v>31</v>
      </c>
      <c r="K72" s="2590" t="s">
        <v>31</v>
      </c>
      <c r="L72" s="2590" t="s">
        <v>31</v>
      </c>
      <c r="M72" s="2590" t="s">
        <v>31</v>
      </c>
      <c r="N72" s="2619"/>
      <c r="O72" s="2619"/>
      <c r="P72" s="2621">
        <v>4</v>
      </c>
      <c r="Q72" s="2619">
        <v>4</v>
      </c>
      <c r="R72" s="2619">
        <v>4</v>
      </c>
      <c r="S72" s="2590">
        <v>4</v>
      </c>
      <c r="T72" s="2622">
        <v>4</v>
      </c>
      <c r="U72" s="2590" t="s">
        <v>69</v>
      </c>
      <c r="V72" s="2590"/>
      <c r="W72" s="2590" t="s">
        <v>199</v>
      </c>
      <c r="X72" s="2590" t="s">
        <v>47</v>
      </c>
      <c r="Y72" s="2590" t="s">
        <v>47</v>
      </c>
      <c r="Z72" s="2590" t="s">
        <v>118</v>
      </c>
      <c r="AA72" s="2590" t="s">
        <v>118</v>
      </c>
      <c r="AB72" s="2590"/>
      <c r="AC72" s="2590"/>
      <c r="AD72" s="2590">
        <v>69</v>
      </c>
      <c r="AE72" s="2590">
        <v>69</v>
      </c>
      <c r="AF72" s="2590">
        <v>69</v>
      </c>
      <c r="AG72" s="2610">
        <v>69</v>
      </c>
      <c r="AH72" s="1"/>
    </row>
    <row r="73" spans="1:34" ht="25.5" customHeight="1">
      <c r="A73" s="2618"/>
      <c r="B73" s="2623" t="s">
        <v>133</v>
      </c>
      <c r="C73" s="2624" t="s">
        <v>31</v>
      </c>
      <c r="D73" s="2624" t="s">
        <v>31</v>
      </c>
      <c r="E73" s="2624" t="s">
        <v>31</v>
      </c>
      <c r="F73" s="2624" t="s">
        <v>31</v>
      </c>
      <c r="G73" s="2625"/>
      <c r="H73" s="2625"/>
      <c r="I73" s="2591" t="s">
        <v>31</v>
      </c>
      <c r="J73" s="2626" t="s">
        <v>31</v>
      </c>
      <c r="K73" s="2626" t="s">
        <v>31</v>
      </c>
      <c r="L73" s="2626" t="s">
        <v>31</v>
      </c>
      <c r="M73" s="2626" t="s">
        <v>31</v>
      </c>
      <c r="N73" s="2618"/>
      <c r="O73" s="2618"/>
      <c r="P73" s="2624" t="s">
        <v>201</v>
      </c>
      <c r="Q73" s="2624" t="s">
        <v>201</v>
      </c>
      <c r="R73" s="2624" t="s">
        <v>201</v>
      </c>
      <c r="S73" s="2624" t="s">
        <v>201</v>
      </c>
      <c r="T73" s="2624" t="s">
        <v>201</v>
      </c>
      <c r="U73" s="2618"/>
      <c r="V73" s="2618"/>
      <c r="W73" s="2597">
        <v>4</v>
      </c>
      <c r="X73" s="2597" t="s">
        <v>412</v>
      </c>
      <c r="Y73" s="2618">
        <v>4</v>
      </c>
      <c r="Z73" s="2618">
        <v>4</v>
      </c>
      <c r="AA73" s="2618">
        <v>4</v>
      </c>
      <c r="AB73" s="2618"/>
      <c r="AC73" s="2608" t="s">
        <v>72</v>
      </c>
      <c r="AD73" s="2624">
        <v>26</v>
      </c>
      <c r="AE73" s="2624">
        <v>26</v>
      </c>
      <c r="AF73" s="2624">
        <v>26</v>
      </c>
      <c r="AG73" s="2627">
        <v>26</v>
      </c>
      <c r="AH73" s="1"/>
    </row>
    <row r="74" spans="1:34" ht="25.5" customHeight="1" thickBot="1">
      <c r="A74" s="423"/>
      <c r="B74" s="423"/>
      <c r="C74" s="423"/>
      <c r="D74" s="423"/>
      <c r="E74" s="423"/>
      <c r="F74" s="423"/>
      <c r="G74" s="423"/>
      <c r="H74" s="423"/>
      <c r="I74" s="423"/>
      <c r="J74" s="423"/>
      <c r="K74" s="423"/>
      <c r="L74" s="423"/>
      <c r="M74" s="423"/>
      <c r="N74" s="423"/>
      <c r="O74" s="423"/>
      <c r="P74" s="423"/>
      <c r="Q74" s="423"/>
      <c r="R74" s="423"/>
      <c r="S74" s="423"/>
      <c r="T74" s="423"/>
      <c r="U74" s="423"/>
      <c r="V74" s="423"/>
      <c r="W74" s="423"/>
      <c r="X74" s="423"/>
      <c r="Y74" s="423"/>
      <c r="Z74" s="423"/>
      <c r="AA74" s="423"/>
      <c r="AB74" s="423"/>
      <c r="AC74" s="423"/>
      <c r="AD74" s="423"/>
      <c r="AE74" s="423"/>
      <c r="AF74" s="423"/>
      <c r="AG74" s="43"/>
      <c r="AH74" s="1"/>
    </row>
    <row r="75" spans="1:34" ht="25.5" customHeight="1" thickBot="1">
      <c r="A75" s="2628"/>
      <c r="B75" s="2629"/>
      <c r="C75" s="2328"/>
      <c r="D75" s="2328"/>
      <c r="E75" s="2328"/>
      <c r="F75" s="2328"/>
      <c r="G75" s="2328"/>
      <c r="H75" s="2328"/>
      <c r="I75" s="2328"/>
      <c r="J75" s="2328"/>
      <c r="K75" s="2328"/>
      <c r="L75" s="2328"/>
      <c r="M75" s="2328"/>
      <c r="N75" s="2328"/>
      <c r="O75" s="2328"/>
      <c r="P75" s="2328"/>
      <c r="Q75" s="2328"/>
      <c r="R75" s="2328"/>
      <c r="S75" s="2328"/>
      <c r="T75" s="2328"/>
      <c r="U75" s="2328"/>
      <c r="V75" s="2328"/>
      <c r="W75" s="2328"/>
      <c r="X75" s="2328"/>
      <c r="Y75" s="2328"/>
      <c r="Z75" s="2328"/>
      <c r="AA75" s="2328"/>
      <c r="AB75" s="2328"/>
      <c r="AC75" s="2328"/>
      <c r="AD75" s="2328"/>
      <c r="AE75" s="2328"/>
      <c r="AF75" s="2328"/>
      <c r="AG75" s="2630"/>
      <c r="AH75" s="1"/>
    </row>
    <row r="76" spans="1:34" ht="25.5" customHeight="1" thickBot="1">
      <c r="A76" s="2631"/>
      <c r="B76" s="2632" t="s">
        <v>138</v>
      </c>
      <c r="C76" s="2633">
        <v>1</v>
      </c>
      <c r="D76" s="2633">
        <v>2</v>
      </c>
      <c r="E76" s="2633">
        <v>3</v>
      </c>
      <c r="F76" s="2633">
        <v>4</v>
      </c>
      <c r="G76" s="2634">
        <v>5</v>
      </c>
      <c r="H76" s="2634">
        <v>6</v>
      </c>
      <c r="I76" s="2633">
        <v>7</v>
      </c>
      <c r="J76" s="2633">
        <v>8</v>
      </c>
      <c r="K76" s="2633">
        <v>9</v>
      </c>
      <c r="L76" s="2633">
        <v>10</v>
      </c>
      <c r="M76" s="2633">
        <v>11</v>
      </c>
      <c r="N76" s="2634">
        <v>12</v>
      </c>
      <c r="O76" s="2634">
        <v>13</v>
      </c>
      <c r="P76" s="2633">
        <v>14</v>
      </c>
      <c r="Q76" s="2633">
        <v>15</v>
      </c>
      <c r="R76" s="2633">
        <v>16</v>
      </c>
      <c r="S76" s="2633">
        <v>17</v>
      </c>
      <c r="T76" s="2633">
        <v>18</v>
      </c>
      <c r="U76" s="2634">
        <v>19</v>
      </c>
      <c r="V76" s="2634">
        <v>20</v>
      </c>
      <c r="W76" s="2633">
        <v>21</v>
      </c>
      <c r="X76" s="2633">
        <v>22</v>
      </c>
      <c r="Y76" s="2633">
        <v>23</v>
      </c>
      <c r="Z76" s="2633">
        <v>24</v>
      </c>
      <c r="AA76" s="2633">
        <v>25</v>
      </c>
      <c r="AB76" s="2634">
        <v>26</v>
      </c>
      <c r="AC76" s="2634">
        <v>27</v>
      </c>
      <c r="AD76" s="2633">
        <v>28</v>
      </c>
      <c r="AE76" s="2633">
        <v>29</v>
      </c>
      <c r="AF76" s="2633">
        <v>30</v>
      </c>
      <c r="AG76" s="2635">
        <v>31</v>
      </c>
      <c r="AH76" s="1"/>
    </row>
    <row r="77" spans="1:34" ht="25.5" customHeight="1" thickBot="1">
      <c r="A77" s="2636"/>
      <c r="B77" s="2333" t="s">
        <v>135</v>
      </c>
      <c r="C77" s="2637"/>
      <c r="D77" s="2637"/>
      <c r="E77" s="2528"/>
      <c r="F77" s="2528"/>
      <c r="G77" s="2528"/>
      <c r="H77" s="2528"/>
      <c r="I77" s="2528"/>
      <c r="J77" s="2528"/>
      <c r="K77" s="2528"/>
      <c r="L77" s="2528"/>
      <c r="M77" s="2528"/>
      <c r="N77" s="2528"/>
      <c r="O77" s="2528"/>
      <c r="P77" s="2528"/>
      <c r="Q77" s="2528"/>
      <c r="R77" s="2638">
        <v>10</v>
      </c>
      <c r="S77" s="2638">
        <v>10</v>
      </c>
      <c r="T77" s="2638">
        <v>10</v>
      </c>
      <c r="U77" s="2638" t="s">
        <v>70</v>
      </c>
      <c r="V77" s="2638" t="s">
        <v>72</v>
      </c>
      <c r="W77" s="2528" t="s">
        <v>35</v>
      </c>
      <c r="X77" s="2639" t="s">
        <v>35</v>
      </c>
      <c r="Y77" s="2639" t="s">
        <v>35</v>
      </c>
      <c r="Z77" s="2640">
        <v>10</v>
      </c>
      <c r="AA77" s="2640">
        <v>10</v>
      </c>
      <c r="AB77" s="2528"/>
      <c r="AC77" s="2528"/>
      <c r="AD77" s="2528">
        <v>3</v>
      </c>
      <c r="AE77" s="2528">
        <v>11</v>
      </c>
      <c r="AF77" s="2528">
        <v>11</v>
      </c>
      <c r="AG77" s="2528">
        <v>11</v>
      </c>
      <c r="AH77" s="1"/>
    </row>
    <row r="78" spans="1:34" ht="25.5" customHeight="1" thickBot="1">
      <c r="A78" s="2641"/>
      <c r="B78" s="2641"/>
      <c r="C78" s="2642"/>
      <c r="D78" s="2642"/>
      <c r="E78" s="2642"/>
      <c r="F78" s="431"/>
      <c r="G78" s="431"/>
      <c r="H78" s="431"/>
      <c r="I78" s="431"/>
      <c r="J78" s="431"/>
      <c r="K78" s="431"/>
      <c r="L78" s="431"/>
      <c r="M78" s="431"/>
      <c r="N78" s="431"/>
      <c r="O78" s="431"/>
      <c r="P78" s="408"/>
      <c r="Q78" s="408"/>
      <c r="R78" s="418"/>
      <c r="S78" s="408"/>
      <c r="T78" s="408"/>
      <c r="U78" s="408"/>
      <c r="V78" s="408"/>
      <c r="W78" s="408"/>
      <c r="X78" s="418"/>
      <c r="Y78" s="408"/>
      <c r="Z78" s="408"/>
      <c r="AA78" s="408"/>
      <c r="AB78" s="408"/>
      <c r="AC78" s="418"/>
      <c r="AD78" s="408"/>
      <c r="AE78" s="408"/>
      <c r="AF78" s="418"/>
      <c r="AG78" s="28"/>
      <c r="AH78" s="1"/>
    </row>
    <row r="79" spans="1:34" ht="25.5" customHeight="1">
      <c r="A79" s="2643"/>
      <c r="B79" s="2641"/>
      <c r="C79" s="2528"/>
      <c r="D79" s="2528"/>
      <c r="E79" s="2528"/>
      <c r="F79" s="2528"/>
      <c r="G79" s="2528"/>
      <c r="H79" s="2528"/>
      <c r="I79" s="2528"/>
      <c r="J79" s="2528"/>
      <c r="K79" s="2528"/>
      <c r="L79" s="2528"/>
      <c r="M79" s="2528"/>
      <c r="N79" s="2528"/>
      <c r="O79" s="2528"/>
      <c r="P79" s="2528"/>
      <c r="Q79" s="2528"/>
      <c r="R79" s="2528"/>
      <c r="S79" s="2528"/>
      <c r="T79" s="2528"/>
      <c r="U79" s="2528"/>
      <c r="V79" s="2528"/>
      <c r="W79" s="2528"/>
      <c r="X79" s="2528"/>
      <c r="Y79" s="2528"/>
      <c r="Z79" s="2528"/>
      <c r="AA79" s="2528"/>
      <c r="AB79" s="2528"/>
      <c r="AC79" s="2528"/>
      <c r="AD79" s="2528"/>
      <c r="AE79" s="2528"/>
      <c r="AF79" s="2528"/>
      <c r="AG79" s="2604"/>
      <c r="AH79" s="1"/>
    </row>
    <row r="80" spans="1:34" ht="25.5" customHeight="1" thickBot="1">
      <c r="A80" s="401"/>
      <c r="B80" s="402"/>
      <c r="C80" s="418"/>
      <c r="D80" s="424"/>
      <c r="E80" s="424"/>
      <c r="F80" s="424"/>
      <c r="G80" s="424"/>
      <c r="H80" s="424"/>
      <c r="I80" s="418"/>
      <c r="J80" s="418"/>
      <c r="K80" s="424"/>
      <c r="L80" s="424"/>
      <c r="M80" s="424"/>
      <c r="N80" s="424"/>
      <c r="O80" s="424"/>
      <c r="P80" s="408"/>
      <c r="Q80" s="408"/>
      <c r="R80" s="418"/>
      <c r="S80" s="408"/>
      <c r="T80" s="408"/>
      <c r="U80" s="408"/>
      <c r="V80" s="408"/>
      <c r="W80" s="408"/>
      <c r="X80" s="418"/>
      <c r="Y80" s="408"/>
      <c r="Z80" s="408"/>
      <c r="AA80" s="408"/>
      <c r="AB80" s="408"/>
      <c r="AC80" s="418"/>
      <c r="AD80" s="408"/>
      <c r="AE80" s="408"/>
      <c r="AF80" s="418"/>
      <c r="AG80" s="28"/>
      <c r="AH80" s="1"/>
    </row>
    <row r="81" spans="1:35" ht="25.5" customHeight="1" thickBot="1">
      <c r="A81" s="44"/>
      <c r="B81" s="45" t="s">
        <v>147</v>
      </c>
      <c r="C81" s="46"/>
      <c r="D81" s="47"/>
      <c r="E81" s="47"/>
      <c r="F81" s="47"/>
      <c r="G81" s="47"/>
      <c r="H81" s="47"/>
      <c r="I81" s="46"/>
      <c r="J81" s="46"/>
      <c r="K81" s="47"/>
      <c r="L81" s="47"/>
      <c r="M81" s="47"/>
      <c r="N81" s="47"/>
      <c r="O81" s="47"/>
      <c r="P81" s="46"/>
      <c r="Q81" s="46"/>
      <c r="R81" s="46"/>
      <c r="S81" s="48"/>
      <c r="T81" s="48"/>
      <c r="U81" s="48"/>
      <c r="V81" s="49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50"/>
      <c r="AH81" s="1"/>
    </row>
    <row r="82" spans="1:35" ht="25.5" customHeight="1" thickBot="1">
      <c r="A82" s="51"/>
      <c r="B82" s="52" t="s">
        <v>148</v>
      </c>
      <c r="C82" s="132" t="s">
        <v>31</v>
      </c>
      <c r="D82" s="132" t="s">
        <v>31</v>
      </c>
      <c r="E82" s="132" t="s">
        <v>31</v>
      </c>
      <c r="F82" s="132">
        <v>1</v>
      </c>
      <c r="G82" s="132"/>
      <c r="H82" s="132"/>
      <c r="I82" s="276" t="s">
        <v>31</v>
      </c>
      <c r="J82" s="276" t="s">
        <v>31</v>
      </c>
      <c r="K82" s="276" t="s">
        <v>31</v>
      </c>
      <c r="L82" s="276" t="s">
        <v>31</v>
      </c>
      <c r="M82" s="276" t="s">
        <v>31</v>
      </c>
      <c r="N82" s="276"/>
      <c r="O82" s="276"/>
      <c r="P82" s="276" t="s">
        <v>31</v>
      </c>
      <c r="Q82" s="276" t="s">
        <v>31</v>
      </c>
      <c r="R82" s="276" t="s">
        <v>31</v>
      </c>
      <c r="S82" s="276" t="s">
        <v>31</v>
      </c>
      <c r="T82" s="276" t="s">
        <v>31</v>
      </c>
      <c r="U82" s="276"/>
      <c r="V82" s="276"/>
      <c r="W82" s="276" t="s">
        <v>31</v>
      </c>
      <c r="X82" s="276" t="s">
        <v>31</v>
      </c>
      <c r="Y82" s="276" t="s">
        <v>31</v>
      </c>
      <c r="Z82" s="276" t="s">
        <v>31</v>
      </c>
      <c r="AA82" s="276" t="s">
        <v>31</v>
      </c>
      <c r="AB82" s="276"/>
      <c r="AC82" s="276"/>
      <c r="AD82" s="132" t="s">
        <v>31</v>
      </c>
      <c r="AE82" s="132" t="s">
        <v>31</v>
      </c>
      <c r="AF82" s="132" t="s">
        <v>31</v>
      </c>
      <c r="AG82" s="53" t="s">
        <v>31</v>
      </c>
      <c r="AH82" s="1"/>
    </row>
    <row r="83" spans="1:35" ht="25.5" customHeight="1">
      <c r="A83" s="37" t="s">
        <v>149</v>
      </c>
      <c r="AH83" s="1"/>
    </row>
    <row r="84" spans="1:35" ht="25.5" customHeight="1" thickBot="1">
      <c r="A84" s="2120"/>
      <c r="B84" s="2121" t="s">
        <v>29</v>
      </c>
      <c r="C84" s="2233">
        <v>1</v>
      </c>
      <c r="D84" s="2233">
        <v>2</v>
      </c>
      <c r="E84" s="2233">
        <v>3</v>
      </c>
      <c r="F84" s="2233">
        <v>4</v>
      </c>
      <c r="G84" s="2232">
        <v>5</v>
      </c>
      <c r="H84" s="2232">
        <v>6</v>
      </c>
      <c r="I84" s="2233">
        <v>7</v>
      </c>
      <c r="J84" s="2233">
        <v>8</v>
      </c>
      <c r="K84" s="2233">
        <v>9</v>
      </c>
      <c r="L84" s="2233">
        <v>10</v>
      </c>
      <c r="M84" s="2233">
        <v>11</v>
      </c>
      <c r="N84" s="2232">
        <v>12</v>
      </c>
      <c r="O84" s="2232">
        <v>13</v>
      </c>
      <c r="P84" s="2233">
        <v>14</v>
      </c>
      <c r="Q84" s="2233">
        <v>15</v>
      </c>
      <c r="R84" s="2233">
        <v>16</v>
      </c>
      <c r="S84" s="2233">
        <v>17</v>
      </c>
      <c r="T84" s="2233">
        <v>18</v>
      </c>
      <c r="U84" s="2232">
        <v>19</v>
      </c>
      <c r="V84" s="2232">
        <v>20</v>
      </c>
      <c r="W84" s="2233">
        <v>21</v>
      </c>
      <c r="X84" s="2233">
        <v>22</v>
      </c>
      <c r="Y84" s="2233">
        <v>23</v>
      </c>
      <c r="Z84" s="2233">
        <v>24</v>
      </c>
      <c r="AA84" s="2233">
        <v>25</v>
      </c>
      <c r="AB84" s="2232">
        <v>26</v>
      </c>
      <c r="AC84" s="2232">
        <v>27</v>
      </c>
      <c r="AD84" s="2233">
        <v>28</v>
      </c>
      <c r="AE84" s="2233">
        <v>29</v>
      </c>
      <c r="AF84" s="2233">
        <v>30</v>
      </c>
      <c r="AG84" s="2234">
        <v>31</v>
      </c>
      <c r="AH84" s="1"/>
    </row>
    <row r="85" spans="1:35" ht="25.5" customHeight="1" thickBot="1">
      <c r="A85" s="2644"/>
      <c r="B85" s="2645" t="s">
        <v>150</v>
      </c>
      <c r="C85" s="1816"/>
      <c r="D85" s="2646"/>
      <c r="E85" s="1816"/>
      <c r="F85" s="1816"/>
      <c r="G85" s="1816"/>
      <c r="H85" s="1816"/>
      <c r="I85" s="1816"/>
      <c r="J85" s="1816"/>
      <c r="K85" s="1816"/>
      <c r="L85" s="1816"/>
      <c r="M85" s="1816"/>
      <c r="N85" s="1816"/>
      <c r="O85" s="1816"/>
      <c r="P85" s="1816"/>
      <c r="Q85" s="1816"/>
      <c r="R85" s="1816"/>
      <c r="S85" s="1816"/>
      <c r="T85" s="1816"/>
      <c r="U85" s="1816"/>
      <c r="V85" s="1816"/>
      <c r="W85" s="1816"/>
      <c r="X85" s="1816"/>
      <c r="Y85" s="1816"/>
      <c r="Z85" s="1816"/>
      <c r="AA85" s="1816"/>
      <c r="AB85" s="1816"/>
      <c r="AC85" s="1816"/>
      <c r="AD85" s="1816"/>
      <c r="AE85" s="1816"/>
      <c r="AF85" s="1816"/>
      <c r="AG85" s="1819"/>
      <c r="AH85" s="1"/>
    </row>
    <row r="86" spans="1:35" ht="25.5" customHeight="1">
      <c r="A86" s="2335">
        <v>1</v>
      </c>
      <c r="B86" s="2647" t="s">
        <v>416</v>
      </c>
      <c r="C86" s="2648"/>
      <c r="D86" s="2648"/>
      <c r="E86" s="2648"/>
      <c r="F86" s="2648"/>
      <c r="G86" s="2648"/>
      <c r="H86" s="2648"/>
      <c r="I86" s="2566"/>
      <c r="J86" s="2566"/>
      <c r="K86" s="2566"/>
      <c r="L86" s="2566"/>
      <c r="M86" s="2566"/>
      <c r="N86" s="2648"/>
      <c r="O86" s="2648"/>
      <c r="P86" s="2649">
        <v>5</v>
      </c>
      <c r="Q86" s="2649">
        <v>5</v>
      </c>
      <c r="R86" s="2649">
        <v>5</v>
      </c>
      <c r="S86" s="2569">
        <v>5</v>
      </c>
      <c r="T86" s="2569">
        <v>5</v>
      </c>
      <c r="U86" s="2648"/>
      <c r="V86" s="2648"/>
      <c r="W86" s="2649">
        <v>89</v>
      </c>
      <c r="X86" s="2648"/>
      <c r="Y86" s="2648"/>
      <c r="Z86" s="2648"/>
      <c r="AA86" s="2648"/>
      <c r="AB86" s="2648"/>
      <c r="AC86" s="2648"/>
      <c r="AD86" s="2648"/>
      <c r="AE86" s="2648"/>
      <c r="AF86" s="2648"/>
      <c r="AG86" s="2650"/>
      <c r="AH86" s="1"/>
    </row>
    <row r="87" spans="1:35" ht="25.5" customHeight="1" thickBot="1">
      <c r="A87" s="2335">
        <v>2</v>
      </c>
      <c r="B87" s="2333" t="s">
        <v>418</v>
      </c>
      <c r="C87" s="2651" t="s">
        <v>417</v>
      </c>
      <c r="D87" s="2651" t="s">
        <v>417</v>
      </c>
      <c r="E87" s="2651" t="s">
        <v>417</v>
      </c>
      <c r="F87" s="2651" t="s">
        <v>417</v>
      </c>
      <c r="G87" s="2651"/>
      <c r="H87" s="2651"/>
      <c r="I87" s="2651">
        <v>10</v>
      </c>
      <c r="J87" s="2651">
        <v>10</v>
      </c>
      <c r="K87" s="2651">
        <v>10</v>
      </c>
      <c r="L87" s="2651">
        <v>10</v>
      </c>
      <c r="M87" s="2651">
        <v>10</v>
      </c>
      <c r="N87" s="2651"/>
      <c r="O87" s="2651"/>
      <c r="P87" s="2651">
        <v>8</v>
      </c>
      <c r="Q87" s="2651">
        <v>8</v>
      </c>
      <c r="R87" s="2652">
        <v>8</v>
      </c>
      <c r="S87" s="2652">
        <v>8</v>
      </c>
      <c r="T87" s="2652">
        <v>8</v>
      </c>
      <c r="U87" s="2652"/>
      <c r="V87" s="2652"/>
      <c r="W87" s="2651" t="s">
        <v>119</v>
      </c>
      <c r="X87" s="2323" t="s">
        <v>119</v>
      </c>
      <c r="Y87" s="2652" t="s">
        <v>119</v>
      </c>
      <c r="Z87" s="2652" t="s">
        <v>119</v>
      </c>
      <c r="AA87" s="2323" t="s">
        <v>119</v>
      </c>
      <c r="AB87" s="2652"/>
      <c r="AC87" s="2652"/>
      <c r="AD87" s="2323">
        <v>3</v>
      </c>
      <c r="AE87" s="2323">
        <v>3</v>
      </c>
      <c r="AF87" s="2323">
        <v>3</v>
      </c>
      <c r="AG87" s="2517">
        <v>3</v>
      </c>
      <c r="AH87" s="1"/>
    </row>
    <row r="88" spans="1:35" ht="25.5" customHeight="1">
      <c r="A88" s="2335">
        <v>3</v>
      </c>
      <c r="B88" s="2333" t="s">
        <v>135</v>
      </c>
      <c r="C88" s="2651">
        <v>5</v>
      </c>
      <c r="D88" s="2651">
        <v>5</v>
      </c>
      <c r="E88" s="2651">
        <v>5</v>
      </c>
      <c r="F88" s="2651">
        <v>5</v>
      </c>
      <c r="G88" s="2651"/>
      <c r="H88" s="2651"/>
      <c r="I88" s="2651">
        <v>89</v>
      </c>
      <c r="J88" s="2651">
        <v>89</v>
      </c>
      <c r="K88" s="2651">
        <v>89</v>
      </c>
      <c r="L88" s="2651">
        <v>89</v>
      </c>
      <c r="M88" s="2651">
        <v>89</v>
      </c>
      <c r="N88" s="2651"/>
      <c r="O88" s="2651"/>
      <c r="P88" s="2651">
        <v>25</v>
      </c>
      <c r="Q88" s="2651">
        <v>25</v>
      </c>
      <c r="R88" s="2651">
        <v>25</v>
      </c>
      <c r="S88" s="2651">
        <v>25</v>
      </c>
      <c r="T88" s="2651">
        <v>25</v>
      </c>
      <c r="U88" s="2651"/>
      <c r="V88" s="2651"/>
      <c r="W88" s="2653"/>
      <c r="X88" s="2653"/>
      <c r="Y88" s="2653"/>
      <c r="Z88" s="2653"/>
      <c r="AA88" s="2653"/>
      <c r="AB88" s="2653"/>
      <c r="AC88" s="2653"/>
      <c r="AD88" s="2551"/>
      <c r="AE88" s="2551"/>
      <c r="AF88" s="2551"/>
      <c r="AG88" s="2551"/>
      <c r="AH88" s="1"/>
    </row>
    <row r="89" spans="1:35" ht="25.5" customHeight="1" thickBot="1">
      <c r="A89" s="2335">
        <v>4</v>
      </c>
      <c r="B89" s="2556"/>
      <c r="C89" s="2633"/>
      <c r="D89" s="2633"/>
      <c r="E89" s="2633"/>
      <c r="F89" s="2633"/>
      <c r="G89" s="2633"/>
      <c r="H89" s="2633"/>
      <c r="I89" s="2633"/>
      <c r="J89" s="2633"/>
      <c r="K89" s="2633"/>
      <c r="L89" s="2633"/>
      <c r="M89" s="2633"/>
      <c r="N89" s="2633"/>
      <c r="O89" s="2633"/>
      <c r="P89" s="2633"/>
      <c r="Q89" s="2633"/>
      <c r="R89" s="2654"/>
      <c r="S89" s="2654"/>
      <c r="T89" s="2654"/>
      <c r="U89" s="2633"/>
      <c r="V89" s="2633"/>
      <c r="W89" s="2633"/>
      <c r="X89" s="2633"/>
      <c r="Y89" s="2633"/>
      <c r="Z89" s="2633"/>
      <c r="AA89" s="2633"/>
      <c r="AB89" s="2633"/>
      <c r="AC89" s="2633"/>
      <c r="AD89" s="2633"/>
      <c r="AE89" s="2633"/>
      <c r="AF89" s="2633"/>
      <c r="AG89" s="2635"/>
      <c r="AH89" s="1"/>
    </row>
    <row r="90" spans="1:35" ht="25.5" customHeight="1">
      <c r="A90" s="54"/>
      <c r="B90" s="55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56"/>
      <c r="S90" s="56"/>
      <c r="T90" s="56"/>
      <c r="U90" s="30"/>
      <c r="V90" s="30"/>
      <c r="W90" s="30"/>
      <c r="X90" s="30"/>
      <c r="Y90" s="30"/>
      <c r="Z90" s="30"/>
      <c r="AA90" s="30"/>
      <c r="AB90" s="30"/>
      <c r="AC90" s="30"/>
      <c r="AD90" s="30"/>
      <c r="AE90" s="30"/>
      <c r="AF90" s="30"/>
      <c r="AG90" s="30"/>
      <c r="AH90" s="1"/>
    </row>
    <row r="91" spans="1:35" ht="25.5" customHeight="1" thickBot="1">
      <c r="A91" s="57" t="s">
        <v>154</v>
      </c>
      <c r="B91" s="58"/>
      <c r="C91" s="58"/>
      <c r="D91" s="58"/>
      <c r="E91" s="58"/>
      <c r="F91" s="58"/>
      <c r="G91" s="59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8"/>
      <c r="AI91" s="58"/>
    </row>
    <row r="92" spans="1:35" ht="25.5" customHeight="1" thickBot="1">
      <c r="A92" s="60"/>
      <c r="B92" s="836" t="s">
        <v>155</v>
      </c>
      <c r="C92" s="837"/>
      <c r="D92" s="838" t="s">
        <v>87</v>
      </c>
      <c r="E92" s="839"/>
      <c r="F92" s="840"/>
      <c r="G92" s="837"/>
      <c r="H92" s="838" t="s">
        <v>88</v>
      </c>
      <c r="I92" s="839"/>
      <c r="J92" s="840"/>
      <c r="K92" s="837"/>
      <c r="L92" s="838" t="s">
        <v>89</v>
      </c>
      <c r="M92" s="839"/>
      <c r="N92" s="840"/>
      <c r="O92" s="837"/>
      <c r="P92" s="838" t="s">
        <v>90</v>
      </c>
      <c r="Q92" s="839"/>
      <c r="R92" s="840"/>
      <c r="S92" s="841" t="s">
        <v>156</v>
      </c>
      <c r="T92" s="838"/>
      <c r="U92" s="839"/>
      <c r="V92" s="840"/>
      <c r="W92" s="837" t="s">
        <v>108</v>
      </c>
      <c r="X92" s="838" t="s">
        <v>157</v>
      </c>
      <c r="Y92" s="839"/>
      <c r="Z92" s="840"/>
      <c r="AA92" s="837" t="s">
        <v>108</v>
      </c>
      <c r="AB92" s="838" t="s">
        <v>93</v>
      </c>
      <c r="AC92" s="839"/>
      <c r="AD92" s="839"/>
      <c r="AE92" s="842" t="s">
        <v>158</v>
      </c>
      <c r="AF92" s="839"/>
      <c r="AG92" s="839"/>
      <c r="AH92" s="839"/>
      <c r="AI92" s="843"/>
    </row>
    <row r="93" spans="1:35" ht="25.5" customHeight="1">
      <c r="A93" s="60"/>
      <c r="B93" s="2655" t="s">
        <v>159</v>
      </c>
      <c r="C93" s="845" t="s">
        <v>160</v>
      </c>
      <c r="D93" s="839"/>
      <c r="E93" s="846"/>
      <c r="F93" s="847"/>
      <c r="G93" s="845" t="s">
        <v>160</v>
      </c>
      <c r="H93" s="846"/>
      <c r="I93" s="846"/>
      <c r="J93" s="847"/>
      <c r="K93" s="848" t="s">
        <v>160</v>
      </c>
      <c r="L93" s="839"/>
      <c r="M93" s="839"/>
      <c r="N93" s="849"/>
      <c r="O93" s="848" t="s">
        <v>161</v>
      </c>
      <c r="P93" s="839"/>
      <c r="Q93" s="846"/>
      <c r="R93" s="847"/>
      <c r="S93" s="845" t="s">
        <v>162</v>
      </c>
      <c r="T93" s="846"/>
      <c r="U93" s="846"/>
      <c r="V93" s="850"/>
      <c r="W93" s="2656"/>
      <c r="X93" s="2657"/>
      <c r="Y93" s="2657"/>
      <c r="Z93" s="2658"/>
      <c r="AA93" s="850"/>
      <c r="AB93" s="846"/>
      <c r="AC93" s="846"/>
      <c r="AD93" s="850"/>
      <c r="AE93" s="854">
        <v>37</v>
      </c>
      <c r="AF93" s="839"/>
      <c r="AG93" s="846"/>
      <c r="AH93" s="850"/>
      <c r="AI93" s="855"/>
    </row>
    <row r="94" spans="1:35" ht="25.5" customHeight="1">
      <c r="A94" s="60"/>
      <c r="B94" s="2349" t="s">
        <v>163</v>
      </c>
      <c r="C94" s="2350" t="s">
        <v>156</v>
      </c>
      <c r="D94" s="2351"/>
      <c r="E94" s="2351"/>
      <c r="F94" s="2352"/>
      <c r="G94" s="2350" t="s">
        <v>164</v>
      </c>
      <c r="H94" s="2351"/>
      <c r="I94" s="2351"/>
      <c r="J94" s="2352"/>
      <c r="K94" s="2350" t="s">
        <v>165</v>
      </c>
      <c r="L94" s="2353" t="s">
        <v>166</v>
      </c>
      <c r="M94" s="2351"/>
      <c r="N94" s="2352"/>
      <c r="O94" s="2350" t="s">
        <v>165</v>
      </c>
      <c r="P94" s="2353" t="s">
        <v>166</v>
      </c>
      <c r="Q94" s="2351"/>
      <c r="R94" s="2352"/>
      <c r="S94" s="2350" t="s">
        <v>164</v>
      </c>
      <c r="T94" s="2353" t="s">
        <v>167</v>
      </c>
      <c r="U94" s="2351"/>
      <c r="V94" s="2352"/>
      <c r="W94" s="61" t="s">
        <v>168</v>
      </c>
      <c r="X94" s="62" t="s">
        <v>169</v>
      </c>
      <c r="Y94" s="63"/>
      <c r="Z94" s="63"/>
      <c r="AA94" s="2350" t="s">
        <v>170</v>
      </c>
      <c r="AB94" s="2354" t="s">
        <v>157</v>
      </c>
      <c r="AC94" s="2350"/>
      <c r="AD94" s="2350"/>
      <c r="AE94" s="2355">
        <v>68</v>
      </c>
      <c r="AF94" s="2351"/>
      <c r="AG94" s="2356"/>
      <c r="AH94" s="2357"/>
      <c r="AI94" s="2358"/>
    </row>
    <row r="95" spans="1:35" ht="25.5" customHeight="1">
      <c r="A95" s="60"/>
      <c r="B95" s="2349" t="s">
        <v>171</v>
      </c>
      <c r="C95" s="2359" t="s">
        <v>172</v>
      </c>
      <c r="D95" s="2351"/>
      <c r="E95" s="2351"/>
      <c r="F95" s="2352"/>
      <c r="G95" s="2351" t="s">
        <v>172</v>
      </c>
      <c r="H95" s="2351"/>
      <c r="I95" s="2351"/>
      <c r="J95" s="2352"/>
      <c r="K95" s="2351" t="s">
        <v>172</v>
      </c>
      <c r="L95" s="2351"/>
      <c r="M95" s="2351"/>
      <c r="N95" s="2352"/>
      <c r="O95" s="2351" t="s">
        <v>172</v>
      </c>
      <c r="P95" s="2351"/>
      <c r="Q95" s="2351"/>
      <c r="R95" s="2352"/>
      <c r="S95" s="2351" t="s">
        <v>172</v>
      </c>
      <c r="T95" s="2351"/>
      <c r="U95" s="2351"/>
      <c r="V95" s="2352"/>
      <c r="W95" s="2350"/>
      <c r="X95" s="2351"/>
      <c r="Y95" s="2351"/>
      <c r="Z95" s="2352"/>
      <c r="AA95" s="2350"/>
      <c r="AB95" s="2351"/>
      <c r="AC95" s="2351"/>
      <c r="AD95" s="2353"/>
      <c r="AE95" s="2355">
        <v>0</v>
      </c>
      <c r="AF95" s="2356"/>
      <c r="AG95" s="2351"/>
      <c r="AH95" s="2353"/>
      <c r="AI95" s="2360"/>
    </row>
    <row r="96" spans="1:35" ht="25.5" customHeight="1" thickBot="1">
      <c r="A96" s="60"/>
      <c r="B96" s="2659" t="s">
        <v>173</v>
      </c>
      <c r="C96" s="64"/>
      <c r="D96" s="65" t="s">
        <v>174</v>
      </c>
      <c r="E96" s="64"/>
      <c r="F96" s="64"/>
      <c r="G96" s="2660" t="s">
        <v>175</v>
      </c>
      <c r="H96" s="2661"/>
      <c r="I96" s="2662"/>
      <c r="J96" s="2663"/>
      <c r="K96" s="2660" t="s">
        <v>174</v>
      </c>
      <c r="L96" s="2661"/>
      <c r="M96" s="2662"/>
      <c r="N96" s="2663"/>
      <c r="O96" s="2660" t="s">
        <v>174</v>
      </c>
      <c r="P96" s="2661"/>
      <c r="Q96" s="2662"/>
      <c r="R96" s="2663"/>
      <c r="S96" s="2660" t="s">
        <v>174</v>
      </c>
      <c r="T96" s="2661"/>
      <c r="U96" s="2662"/>
      <c r="V96" s="2663"/>
      <c r="W96" s="2664"/>
      <c r="X96" s="2662"/>
      <c r="Y96" s="2662"/>
      <c r="Z96" s="2665"/>
      <c r="AA96" s="2666"/>
      <c r="AB96" s="2662"/>
      <c r="AC96" s="2662"/>
      <c r="AD96" s="2666"/>
      <c r="AE96" s="2667">
        <v>37</v>
      </c>
      <c r="AF96" s="2662"/>
      <c r="AG96" s="2662"/>
      <c r="AH96" s="2666"/>
      <c r="AI96" s="2668"/>
    </row>
    <row r="97" spans="1:35" ht="25.5" customHeight="1">
      <c r="A97" s="66"/>
      <c r="B97" s="60"/>
      <c r="C97" s="58"/>
      <c r="D97" s="63"/>
      <c r="E97" s="58"/>
      <c r="F97" s="58"/>
      <c r="G97" s="58"/>
      <c r="H97" s="58"/>
      <c r="I97" s="58"/>
      <c r="J97" s="58"/>
      <c r="K97" s="58"/>
      <c r="L97" s="58"/>
      <c r="M97" s="58"/>
      <c r="N97" s="58"/>
      <c r="O97" s="58"/>
      <c r="P97" s="58"/>
      <c r="Q97" s="58"/>
      <c r="R97" s="58"/>
      <c r="S97" s="58"/>
      <c r="T97" s="58"/>
      <c r="U97" s="58"/>
      <c r="V97" s="58"/>
      <c r="W97" s="58"/>
      <c r="X97" s="58"/>
      <c r="Y97" s="58"/>
      <c r="Z97" s="58"/>
      <c r="AA97" s="58"/>
      <c r="AB97" s="58"/>
      <c r="AC97" s="58"/>
      <c r="AD97" s="58"/>
      <c r="AE97" s="58"/>
      <c r="AF97" s="58"/>
      <c r="AG97" s="58"/>
      <c r="AH97" s="58"/>
      <c r="AI97" s="58"/>
    </row>
    <row r="98" spans="1:35" ht="25.5" customHeight="1" thickBot="1">
      <c r="A98" s="2669"/>
      <c r="B98" s="2670" t="s">
        <v>29</v>
      </c>
      <c r="C98" s="2233">
        <v>1</v>
      </c>
      <c r="D98" s="2233">
        <v>2</v>
      </c>
      <c r="E98" s="2233">
        <v>3</v>
      </c>
      <c r="F98" s="2233">
        <v>4</v>
      </c>
      <c r="G98" s="2232">
        <v>5</v>
      </c>
      <c r="H98" s="2232">
        <v>6</v>
      </c>
      <c r="I98" s="2233">
        <v>7</v>
      </c>
      <c r="J98" s="2233">
        <v>8</v>
      </c>
      <c r="K98" s="2233">
        <v>9</v>
      </c>
      <c r="L98" s="2233">
        <v>10</v>
      </c>
      <c r="M98" s="2233">
        <v>11</v>
      </c>
      <c r="N98" s="2232">
        <v>12</v>
      </c>
      <c r="O98" s="2232">
        <v>13</v>
      </c>
      <c r="P98" s="2233">
        <v>14</v>
      </c>
      <c r="Q98" s="2233">
        <v>15</v>
      </c>
      <c r="R98" s="2233">
        <v>16</v>
      </c>
      <c r="S98" s="2233">
        <v>17</v>
      </c>
      <c r="T98" s="2233">
        <v>18</v>
      </c>
      <c r="U98" s="2232">
        <v>19</v>
      </c>
      <c r="V98" s="2232">
        <v>20</v>
      </c>
      <c r="W98" s="2233">
        <v>21</v>
      </c>
      <c r="X98" s="2233">
        <v>22</v>
      </c>
      <c r="Y98" s="2233">
        <v>23</v>
      </c>
      <c r="Z98" s="2233">
        <v>24</v>
      </c>
      <c r="AA98" s="2233">
        <v>25</v>
      </c>
      <c r="AB98" s="2232">
        <v>26</v>
      </c>
      <c r="AC98" s="2232">
        <v>27</v>
      </c>
      <c r="AD98" s="2233">
        <v>28</v>
      </c>
      <c r="AE98" s="2233">
        <v>29</v>
      </c>
      <c r="AF98" s="2233">
        <v>30</v>
      </c>
      <c r="AG98" s="2234">
        <v>31</v>
      </c>
      <c r="AH98" s="67"/>
      <c r="AI98" s="68"/>
    </row>
    <row r="99" spans="1:35" ht="25.5" customHeight="1">
      <c r="A99" s="2671">
        <v>1</v>
      </c>
      <c r="B99" s="2549" t="s">
        <v>46</v>
      </c>
      <c r="C99" s="2672" t="s">
        <v>176</v>
      </c>
      <c r="D99" s="2672" t="s">
        <v>176</v>
      </c>
      <c r="E99" s="2672" t="s">
        <v>176</v>
      </c>
      <c r="F99" s="2672" t="s">
        <v>176</v>
      </c>
      <c r="G99" s="2672"/>
      <c r="H99" s="2672"/>
      <c r="I99" s="2672" t="s">
        <v>127</v>
      </c>
      <c r="J99" s="2672" t="s">
        <v>127</v>
      </c>
      <c r="K99" s="2672" t="s">
        <v>127</v>
      </c>
      <c r="L99" s="2672" t="s">
        <v>127</v>
      </c>
      <c r="M99" s="2672" t="s">
        <v>127</v>
      </c>
      <c r="N99" s="2672"/>
      <c r="O99" s="2672"/>
      <c r="P99" s="2673" t="s">
        <v>110</v>
      </c>
      <c r="Q99" s="2672" t="s">
        <v>110</v>
      </c>
      <c r="R99" s="2672" t="s">
        <v>110</v>
      </c>
      <c r="S99" s="2672" t="s">
        <v>110</v>
      </c>
      <c r="T99" s="2672" t="s">
        <v>110</v>
      </c>
      <c r="U99" s="2672" t="s">
        <v>108</v>
      </c>
      <c r="V99" s="2672" t="s">
        <v>108</v>
      </c>
      <c r="W99" s="2672" t="s">
        <v>35</v>
      </c>
      <c r="X99" s="2674" t="s">
        <v>35</v>
      </c>
      <c r="Y99" s="2674" t="s">
        <v>35</v>
      </c>
      <c r="Z99" s="2674" t="s">
        <v>35</v>
      </c>
      <c r="AA99" s="2674" t="s">
        <v>35</v>
      </c>
      <c r="AB99" s="2672"/>
      <c r="AC99" s="2672"/>
      <c r="AD99" s="2672" t="s">
        <v>146</v>
      </c>
      <c r="AE99" s="2672" t="s">
        <v>354</v>
      </c>
      <c r="AF99" s="2672" t="s">
        <v>354</v>
      </c>
      <c r="AG99" s="2675" t="s">
        <v>354</v>
      </c>
      <c r="AH99" s="69"/>
      <c r="AI99" s="70"/>
    </row>
    <row r="100" spans="1:35" ht="25.5" customHeight="1">
      <c r="A100" s="2676">
        <v>2</v>
      </c>
      <c r="B100" s="2297" t="s">
        <v>177</v>
      </c>
      <c r="C100" s="2320" t="s">
        <v>35</v>
      </c>
      <c r="D100" s="2320" t="s">
        <v>35</v>
      </c>
      <c r="E100" s="2316" t="s">
        <v>35</v>
      </c>
      <c r="F100" s="2320" t="s">
        <v>35</v>
      </c>
      <c r="G100" s="2320"/>
      <c r="H100" s="2320"/>
      <c r="I100" s="2320" t="s">
        <v>176</v>
      </c>
      <c r="J100" s="2319" t="s">
        <v>176</v>
      </c>
      <c r="K100" s="2377" t="s">
        <v>253</v>
      </c>
      <c r="L100" s="2319" t="s">
        <v>176</v>
      </c>
      <c r="M100" s="2319" t="s">
        <v>176</v>
      </c>
      <c r="N100" s="2319"/>
      <c r="O100" s="2319"/>
      <c r="P100" s="2320" t="s">
        <v>127</v>
      </c>
      <c r="Q100" s="2319" t="s">
        <v>127</v>
      </c>
      <c r="R100" s="2319" t="s">
        <v>127</v>
      </c>
      <c r="S100" s="2319" t="s">
        <v>127</v>
      </c>
      <c r="T100" s="2319" t="s">
        <v>127</v>
      </c>
      <c r="U100" s="2378"/>
      <c r="V100" s="2319"/>
      <c r="W100" s="2677">
        <v>3</v>
      </c>
      <c r="X100" s="2678" t="s">
        <v>354</v>
      </c>
      <c r="Y100" s="2678" t="s">
        <v>354</v>
      </c>
      <c r="Z100" s="2678" t="s">
        <v>354</v>
      </c>
      <c r="AA100" s="2678" t="s">
        <v>354</v>
      </c>
      <c r="AB100" s="2319" t="s">
        <v>108</v>
      </c>
      <c r="AC100" s="2319" t="s">
        <v>108</v>
      </c>
      <c r="AD100" s="2319" t="s">
        <v>35</v>
      </c>
      <c r="AE100" s="2320" t="s">
        <v>35</v>
      </c>
      <c r="AF100" s="2320" t="s">
        <v>35</v>
      </c>
      <c r="AG100" s="2380" t="s">
        <v>35</v>
      </c>
      <c r="AH100" s="69"/>
      <c r="AI100" s="70"/>
    </row>
    <row r="101" spans="1:35" ht="25.5" customHeight="1">
      <c r="A101" s="2676">
        <v>3</v>
      </c>
      <c r="B101" s="2679" t="s">
        <v>178</v>
      </c>
      <c r="C101" s="2319" t="s">
        <v>110</v>
      </c>
      <c r="D101" s="2680" t="s">
        <v>110</v>
      </c>
      <c r="E101" s="2681" t="s">
        <v>110</v>
      </c>
      <c r="F101" s="2681" t="s">
        <v>110</v>
      </c>
      <c r="G101" s="2319" t="s">
        <v>108</v>
      </c>
      <c r="H101" s="2682" t="s">
        <v>108</v>
      </c>
      <c r="I101" s="2682" t="s">
        <v>35</v>
      </c>
      <c r="J101" s="2320" t="s">
        <v>35</v>
      </c>
      <c r="K101" s="2320" t="s">
        <v>35</v>
      </c>
      <c r="L101" s="2320" t="s">
        <v>35</v>
      </c>
      <c r="M101" s="2683" t="s">
        <v>35</v>
      </c>
      <c r="N101" s="2287"/>
      <c r="O101" s="2287"/>
      <c r="P101" s="2416" t="s">
        <v>176</v>
      </c>
      <c r="Q101" s="2416" t="s">
        <v>176</v>
      </c>
      <c r="R101" s="2416" t="s">
        <v>176</v>
      </c>
      <c r="S101" s="2684" t="s">
        <v>176</v>
      </c>
      <c r="T101" s="2685" t="s">
        <v>176</v>
      </c>
      <c r="U101" s="2416"/>
      <c r="V101" s="2416"/>
      <c r="W101" s="2287" t="s">
        <v>127</v>
      </c>
      <c r="X101" s="2287" t="s">
        <v>127</v>
      </c>
      <c r="Y101" s="2287" t="s">
        <v>127</v>
      </c>
      <c r="Z101" s="2378" t="s">
        <v>127</v>
      </c>
      <c r="AA101" s="2383" t="s">
        <v>127</v>
      </c>
      <c r="AB101" s="2378"/>
      <c r="AC101" s="2378"/>
      <c r="AD101" s="2677" t="s">
        <v>110</v>
      </c>
      <c r="AE101" s="2319" t="s">
        <v>110</v>
      </c>
      <c r="AF101" s="2319" t="s">
        <v>110</v>
      </c>
      <c r="AG101" s="2384" t="s">
        <v>110</v>
      </c>
      <c r="AH101" s="69"/>
      <c r="AI101" s="70"/>
    </row>
    <row r="102" spans="1:35" ht="25.5" customHeight="1" thickBot="1">
      <c r="A102" s="2686">
        <v>4</v>
      </c>
      <c r="B102" s="2687"/>
      <c r="C102" s="2688" t="s">
        <v>176</v>
      </c>
      <c r="D102" s="2688" t="s">
        <v>176</v>
      </c>
      <c r="E102" s="2688" t="s">
        <v>176</v>
      </c>
      <c r="F102" s="2688" t="s">
        <v>176</v>
      </c>
      <c r="G102" s="2688" t="s">
        <v>0</v>
      </c>
      <c r="H102" s="2688" t="s">
        <v>0</v>
      </c>
      <c r="I102" s="2688" t="s">
        <v>110</v>
      </c>
      <c r="J102" s="2688" t="s">
        <v>110</v>
      </c>
      <c r="K102" s="2688" t="s">
        <v>110</v>
      </c>
      <c r="L102" s="2688" t="s">
        <v>110</v>
      </c>
      <c r="M102" s="2688" t="s">
        <v>110</v>
      </c>
      <c r="N102" s="2688" t="s">
        <v>108</v>
      </c>
      <c r="O102" s="2688" t="s">
        <v>108</v>
      </c>
      <c r="P102" s="2688" t="s">
        <v>35</v>
      </c>
      <c r="Q102" s="2688" t="s">
        <v>35</v>
      </c>
      <c r="R102" s="2688" t="s">
        <v>35</v>
      </c>
      <c r="S102" s="2688" t="s">
        <v>35</v>
      </c>
      <c r="T102" s="2688" t="s">
        <v>35</v>
      </c>
      <c r="U102" s="2688"/>
      <c r="V102" s="2688"/>
      <c r="W102" s="2688" t="s">
        <v>176</v>
      </c>
      <c r="X102" s="2688" t="s">
        <v>176</v>
      </c>
      <c r="Y102" s="2688" t="s">
        <v>176</v>
      </c>
      <c r="Z102" s="2688" t="s">
        <v>176</v>
      </c>
      <c r="AA102" s="2688" t="s">
        <v>176</v>
      </c>
      <c r="AB102" s="2688"/>
      <c r="AC102" s="2688"/>
      <c r="AD102" s="2688" t="s">
        <v>176</v>
      </c>
      <c r="AE102" s="2688" t="s">
        <v>176</v>
      </c>
      <c r="AF102" s="2688" t="s">
        <v>176</v>
      </c>
      <c r="AG102" s="2689" t="s">
        <v>176</v>
      </c>
      <c r="AH102" s="69"/>
      <c r="AI102" s="70"/>
    </row>
    <row r="103" spans="1:35" ht="25.5" customHeight="1" thickBot="1">
      <c r="A103" s="71"/>
      <c r="B103" s="72"/>
      <c r="C103" s="73"/>
      <c r="D103" s="73"/>
      <c r="E103" s="73"/>
      <c r="F103" s="73"/>
      <c r="G103" s="73"/>
      <c r="H103" s="73"/>
      <c r="I103" s="73"/>
      <c r="J103" s="73"/>
      <c r="K103" s="73"/>
      <c r="L103" s="73"/>
      <c r="M103" s="73"/>
      <c r="N103" s="73"/>
      <c r="O103" s="73"/>
      <c r="P103" s="73"/>
      <c r="Q103" s="73"/>
      <c r="R103" s="73"/>
      <c r="S103" s="73"/>
      <c r="T103" s="73"/>
      <c r="U103" s="73"/>
      <c r="V103" s="73"/>
      <c r="W103" s="73"/>
      <c r="X103" s="73"/>
      <c r="Y103" s="73"/>
      <c r="Z103" s="73"/>
      <c r="AA103" s="73"/>
      <c r="AB103" s="73"/>
      <c r="AC103" s="73"/>
      <c r="AD103" s="73"/>
      <c r="AE103" s="73"/>
      <c r="AF103" s="73"/>
      <c r="AG103" s="74"/>
      <c r="AH103" s="75"/>
      <c r="AI103" s="70"/>
    </row>
    <row r="104" spans="1:35" ht="25.5" customHeight="1">
      <c r="A104" s="17"/>
      <c r="B104" s="900" t="s">
        <v>179</v>
      </c>
      <c r="C104" s="901"/>
      <c r="D104" s="902" t="s">
        <v>87</v>
      </c>
      <c r="E104" s="903"/>
      <c r="F104" s="901"/>
      <c r="G104" s="904" t="s">
        <v>88</v>
      </c>
      <c r="H104" s="905"/>
      <c r="I104" s="906"/>
      <c r="J104" s="904" t="s">
        <v>89</v>
      </c>
      <c r="K104" s="907"/>
      <c r="L104" s="906"/>
      <c r="M104" s="908" t="s">
        <v>90</v>
      </c>
      <c r="N104" s="907"/>
      <c r="O104" s="906"/>
      <c r="P104" s="904" t="s">
        <v>91</v>
      </c>
      <c r="Q104" s="909"/>
      <c r="R104" s="906"/>
      <c r="S104" s="904" t="s">
        <v>92</v>
      </c>
      <c r="T104" s="910"/>
      <c r="U104" s="906"/>
      <c r="V104" s="904" t="s">
        <v>93</v>
      </c>
      <c r="W104" s="909"/>
      <c r="X104" s="911" t="s">
        <v>158</v>
      </c>
      <c r="Y104" s="912"/>
      <c r="Z104" s="912"/>
      <c r="AA104" s="913"/>
      <c r="AB104" s="914" t="s">
        <v>94</v>
      </c>
      <c r="AC104" s="915"/>
      <c r="AD104" s="915"/>
      <c r="AE104" s="916"/>
      <c r="AF104" s="916"/>
      <c r="AG104" s="917"/>
      <c r="AH104" s="75"/>
      <c r="AI104" s="70"/>
    </row>
    <row r="105" spans="1:35" ht="25.5" customHeight="1">
      <c r="A105" s="17"/>
      <c r="B105" s="2389" t="s">
        <v>180</v>
      </c>
      <c r="C105" s="2390" t="s">
        <v>181</v>
      </c>
      <c r="D105" s="2217"/>
      <c r="E105" s="2218"/>
      <c r="F105" s="2390" t="s">
        <v>181</v>
      </c>
      <c r="G105" s="2217"/>
      <c r="H105" s="2218"/>
      <c r="I105" s="2390" t="s">
        <v>181</v>
      </c>
      <c r="J105" s="2217"/>
      <c r="K105" s="2218"/>
      <c r="L105" s="2390" t="s">
        <v>181</v>
      </c>
      <c r="M105" s="2217"/>
      <c r="N105" s="2218"/>
      <c r="O105" s="2390" t="s">
        <v>182</v>
      </c>
      <c r="P105" s="2217"/>
      <c r="Q105" s="2218"/>
      <c r="R105" s="2390"/>
      <c r="S105" s="2217"/>
      <c r="T105" s="2218"/>
      <c r="U105" s="2390"/>
      <c r="V105" s="2217"/>
      <c r="W105" s="2218"/>
      <c r="X105" s="2390"/>
      <c r="Y105" s="2391"/>
      <c r="Z105" s="2391"/>
      <c r="AA105" s="2391"/>
      <c r="AB105" s="2215"/>
      <c r="AC105" s="2391"/>
      <c r="AD105" s="2391"/>
      <c r="AE105" s="2391"/>
      <c r="AF105" s="2391"/>
      <c r="AG105" s="2392"/>
      <c r="AH105" s="75"/>
      <c r="AI105" s="70"/>
    </row>
    <row r="106" spans="1:35" ht="25.5" customHeight="1">
      <c r="A106" s="17"/>
      <c r="B106" s="16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75"/>
      <c r="AI106" s="70"/>
    </row>
    <row r="107" spans="1:35" ht="25.5" customHeight="1" thickBot="1">
      <c r="A107" s="2120" t="s">
        <v>28</v>
      </c>
      <c r="B107" s="2121" t="s">
        <v>29</v>
      </c>
      <c r="C107" s="2233">
        <v>1</v>
      </c>
      <c r="D107" s="2233">
        <v>2</v>
      </c>
      <c r="E107" s="2233">
        <v>3</v>
      </c>
      <c r="F107" s="2233">
        <v>4</v>
      </c>
      <c r="G107" s="2232">
        <v>5</v>
      </c>
      <c r="H107" s="2232">
        <v>6</v>
      </c>
      <c r="I107" s="2233">
        <v>7</v>
      </c>
      <c r="J107" s="2233">
        <v>8</v>
      </c>
      <c r="K107" s="2233">
        <v>9</v>
      </c>
      <c r="L107" s="2233">
        <v>10</v>
      </c>
      <c r="M107" s="2233">
        <v>11</v>
      </c>
      <c r="N107" s="2232">
        <v>12</v>
      </c>
      <c r="O107" s="2232">
        <v>13</v>
      </c>
      <c r="P107" s="2233">
        <v>14</v>
      </c>
      <c r="Q107" s="2233">
        <v>15</v>
      </c>
      <c r="R107" s="2233">
        <v>16</v>
      </c>
      <c r="S107" s="2233">
        <v>17</v>
      </c>
      <c r="T107" s="2233">
        <v>18</v>
      </c>
      <c r="U107" s="2232">
        <v>19</v>
      </c>
      <c r="V107" s="2232">
        <v>20</v>
      </c>
      <c r="W107" s="2233">
        <v>21</v>
      </c>
      <c r="X107" s="2233">
        <v>22</v>
      </c>
      <c r="Y107" s="2233">
        <v>23</v>
      </c>
      <c r="Z107" s="2233">
        <v>24</v>
      </c>
      <c r="AA107" s="2233">
        <v>25</v>
      </c>
      <c r="AB107" s="2232">
        <v>26</v>
      </c>
      <c r="AC107" s="2232">
        <v>27</v>
      </c>
      <c r="AD107" s="2233">
        <v>28</v>
      </c>
      <c r="AE107" s="2233">
        <v>29</v>
      </c>
      <c r="AF107" s="2233">
        <v>30</v>
      </c>
      <c r="AG107" s="2234">
        <v>31</v>
      </c>
      <c r="AH107" s="75"/>
      <c r="AI107" s="70"/>
    </row>
    <row r="108" spans="1:35" ht="25.5" customHeight="1">
      <c r="A108" s="2690">
        <v>8520</v>
      </c>
      <c r="B108" s="2691" t="s">
        <v>183</v>
      </c>
      <c r="C108" s="1816" t="s">
        <v>118</v>
      </c>
      <c r="D108" s="1816" t="s">
        <v>118</v>
      </c>
      <c r="E108" s="1816" t="s">
        <v>118</v>
      </c>
      <c r="F108" s="1816" t="s">
        <v>118</v>
      </c>
      <c r="G108" s="1816"/>
      <c r="H108" s="1816"/>
      <c r="I108" s="1816" t="s">
        <v>118</v>
      </c>
      <c r="J108" s="1816" t="s">
        <v>118</v>
      </c>
      <c r="K108" s="1816" t="s">
        <v>118</v>
      </c>
      <c r="L108" s="1816" t="s">
        <v>118</v>
      </c>
      <c r="M108" s="1816" t="s">
        <v>118</v>
      </c>
      <c r="N108" s="1816"/>
      <c r="O108" s="1816"/>
      <c r="P108" s="1816" t="s">
        <v>118</v>
      </c>
      <c r="Q108" s="1816" t="s">
        <v>118</v>
      </c>
      <c r="R108" s="1816" t="s">
        <v>118</v>
      </c>
      <c r="S108" s="1816" t="s">
        <v>118</v>
      </c>
      <c r="T108" s="1816" t="s">
        <v>118</v>
      </c>
      <c r="U108" s="1816"/>
      <c r="V108" s="1816"/>
      <c r="W108" s="2692" t="s">
        <v>118</v>
      </c>
      <c r="X108" s="2692" t="s">
        <v>118</v>
      </c>
      <c r="Y108" s="2692" t="s">
        <v>118</v>
      </c>
      <c r="Z108" s="2692" t="s">
        <v>118</v>
      </c>
      <c r="AA108" s="2692" t="s">
        <v>118</v>
      </c>
      <c r="AB108" s="2692"/>
      <c r="AC108" s="2692"/>
      <c r="AD108" s="1816" t="s">
        <v>118</v>
      </c>
      <c r="AE108" s="1816" t="s">
        <v>118</v>
      </c>
      <c r="AF108" s="1816" t="s">
        <v>118</v>
      </c>
      <c r="AG108" s="1816" t="s">
        <v>118</v>
      </c>
      <c r="AH108" s="75"/>
      <c r="AI108" s="70"/>
    </row>
    <row r="109" spans="1:35" ht="25.5" customHeight="1">
      <c r="AH109" s="76"/>
      <c r="AI109" s="76"/>
    </row>
    <row r="110" spans="1:35" ht="25.5" customHeight="1" thickBot="1">
      <c r="A110" s="77" t="s">
        <v>185</v>
      </c>
      <c r="B110" s="78"/>
      <c r="C110" s="78"/>
      <c r="D110" s="79"/>
      <c r="E110" s="79"/>
      <c r="F110" s="79"/>
      <c r="G110" s="80"/>
      <c r="H110" s="79"/>
      <c r="I110" s="79"/>
      <c r="J110" s="79"/>
      <c r="K110" s="79"/>
      <c r="L110" s="79"/>
      <c r="M110" s="79"/>
      <c r="N110" s="79"/>
      <c r="O110" s="79"/>
      <c r="P110" s="79"/>
      <c r="Q110" s="79"/>
      <c r="R110" s="79"/>
      <c r="S110" s="79"/>
      <c r="T110" s="79"/>
      <c r="U110" s="79"/>
      <c r="V110" s="79"/>
      <c r="W110" s="79"/>
      <c r="X110" s="79"/>
      <c r="Y110" s="79"/>
      <c r="Z110" s="79"/>
      <c r="AA110" s="79"/>
      <c r="AB110" s="79"/>
      <c r="AC110" s="79"/>
      <c r="AD110" s="79"/>
      <c r="AE110" s="79"/>
      <c r="AF110" s="79"/>
      <c r="AG110" s="79"/>
      <c r="AH110" s="78"/>
      <c r="AI110" s="78"/>
    </row>
    <row r="111" spans="1:35" ht="25.5" customHeight="1">
      <c r="A111" s="77"/>
      <c r="B111" s="900" t="s">
        <v>186</v>
      </c>
      <c r="C111" s="924"/>
      <c r="D111" s="925" t="s">
        <v>87</v>
      </c>
      <c r="E111" s="926"/>
      <c r="F111" s="927"/>
      <c r="G111" s="924"/>
      <c r="H111" s="925" t="s">
        <v>88</v>
      </c>
      <c r="I111" s="926"/>
      <c r="J111" s="927"/>
      <c r="K111" s="924"/>
      <c r="L111" s="925" t="s">
        <v>89</v>
      </c>
      <c r="M111" s="926"/>
      <c r="N111" s="927"/>
      <c r="O111" s="924"/>
      <c r="P111" s="925" t="s">
        <v>90</v>
      </c>
      <c r="Q111" s="926"/>
      <c r="R111" s="927"/>
      <c r="S111" s="924"/>
      <c r="T111" s="925" t="s">
        <v>91</v>
      </c>
      <c r="U111" s="926"/>
      <c r="V111" s="927"/>
      <c r="W111" s="924"/>
      <c r="X111" s="925" t="s">
        <v>92</v>
      </c>
      <c r="Y111" s="926"/>
      <c r="Z111" s="927"/>
      <c r="AA111" s="924"/>
      <c r="AB111" s="925" t="s">
        <v>93</v>
      </c>
      <c r="AC111" s="926"/>
      <c r="AD111" s="926"/>
      <c r="AE111" s="928" t="s">
        <v>94</v>
      </c>
      <c r="AF111" s="926"/>
      <c r="AG111" s="926"/>
      <c r="AH111" s="926"/>
      <c r="AI111" s="929"/>
    </row>
    <row r="112" spans="1:35" ht="25.5" customHeight="1">
      <c r="A112" s="77"/>
      <c r="B112" s="2393" t="s">
        <v>159</v>
      </c>
      <c r="C112" s="2098">
        <v>69</v>
      </c>
      <c r="D112" s="2394" t="s">
        <v>187</v>
      </c>
      <c r="E112" s="2394"/>
      <c r="F112" s="2113"/>
      <c r="G112" s="2098">
        <v>69</v>
      </c>
      <c r="H112" s="2394" t="s">
        <v>187</v>
      </c>
      <c r="I112" s="2394"/>
      <c r="J112" s="2113"/>
      <c r="K112" s="2098">
        <v>69</v>
      </c>
      <c r="L112" s="2394" t="s">
        <v>187</v>
      </c>
      <c r="M112" s="2394"/>
      <c r="N112" s="2113"/>
      <c r="O112" s="2098">
        <v>69</v>
      </c>
      <c r="P112" s="2394" t="s">
        <v>187</v>
      </c>
      <c r="Q112" s="2394"/>
      <c r="R112" s="2113"/>
      <c r="S112" s="2098">
        <v>69</v>
      </c>
      <c r="T112" s="2394" t="s">
        <v>187</v>
      </c>
      <c r="U112" s="2394"/>
      <c r="V112" s="2113"/>
      <c r="W112" s="2098"/>
      <c r="X112" s="2395"/>
      <c r="Y112" s="2395"/>
      <c r="Z112" s="2396"/>
      <c r="AA112" s="2098"/>
      <c r="AB112" s="2394"/>
      <c r="AC112" s="2394"/>
      <c r="AD112" s="2114"/>
      <c r="AE112" s="2397">
        <v>35</v>
      </c>
      <c r="AF112" s="2394"/>
      <c r="AG112" s="2394"/>
      <c r="AH112" s="2114"/>
      <c r="AI112" s="2398"/>
    </row>
    <row r="113" spans="1:35" ht="25.5" customHeight="1">
      <c r="A113" s="77"/>
      <c r="B113" s="2393" t="s">
        <v>163</v>
      </c>
      <c r="C113" s="2098">
        <v>79</v>
      </c>
      <c r="D113" s="2394" t="s">
        <v>188</v>
      </c>
      <c r="E113" s="2394"/>
      <c r="F113" s="2113"/>
      <c r="G113" s="2098">
        <v>79</v>
      </c>
      <c r="H113" s="2394" t="s">
        <v>188</v>
      </c>
      <c r="I113" s="2394"/>
      <c r="J113" s="2113"/>
      <c r="K113" s="2098">
        <v>79</v>
      </c>
      <c r="L113" s="2394" t="s">
        <v>188</v>
      </c>
      <c r="M113" s="2394"/>
      <c r="N113" s="2113"/>
      <c r="O113" s="2098">
        <v>79</v>
      </c>
      <c r="P113" s="2394" t="s">
        <v>188</v>
      </c>
      <c r="Q113" s="2394"/>
      <c r="R113" s="2113"/>
      <c r="S113" s="2098">
        <v>79</v>
      </c>
      <c r="T113" s="2394" t="s">
        <v>188</v>
      </c>
      <c r="U113" s="2394"/>
      <c r="V113" s="2113"/>
      <c r="W113" s="2098"/>
      <c r="X113" s="2394"/>
      <c r="Y113" s="2394"/>
      <c r="Z113" s="2113"/>
      <c r="AA113" s="2394"/>
      <c r="AB113" s="2394"/>
      <c r="AC113" s="2394"/>
      <c r="AD113" s="2114"/>
      <c r="AE113" s="2397">
        <v>40</v>
      </c>
      <c r="AF113" s="2394"/>
      <c r="AG113" s="2394"/>
      <c r="AH113" s="2114"/>
      <c r="AI113" s="2398"/>
    </row>
    <row r="114" spans="1:35" ht="25.5" customHeight="1">
      <c r="A114" s="77"/>
      <c r="B114" s="2393" t="s">
        <v>171</v>
      </c>
      <c r="C114" s="2098">
        <v>89</v>
      </c>
      <c r="D114" s="2394" t="s">
        <v>189</v>
      </c>
      <c r="E114" s="2394"/>
      <c r="F114" s="2113"/>
      <c r="G114" s="2098">
        <v>89</v>
      </c>
      <c r="H114" s="2394" t="s">
        <v>189</v>
      </c>
      <c r="I114" s="2394"/>
      <c r="J114" s="2113"/>
      <c r="K114" s="2098">
        <v>89</v>
      </c>
      <c r="L114" s="2394" t="s">
        <v>189</v>
      </c>
      <c r="M114" s="2394"/>
      <c r="N114" s="2113"/>
      <c r="O114" s="2098">
        <v>89</v>
      </c>
      <c r="P114" s="2394" t="s">
        <v>189</v>
      </c>
      <c r="Q114" s="2394"/>
      <c r="R114" s="2113"/>
      <c r="S114" s="2098">
        <v>89</v>
      </c>
      <c r="T114" s="2394" t="s">
        <v>190</v>
      </c>
      <c r="U114" s="2394"/>
      <c r="V114" s="2113"/>
      <c r="W114" s="2399"/>
      <c r="X114" s="2400" t="s">
        <v>191</v>
      </c>
      <c r="Y114" s="2400"/>
      <c r="Z114" s="2401"/>
      <c r="AA114" s="2399"/>
      <c r="AB114" s="2400"/>
      <c r="AC114" s="2400"/>
      <c r="AD114" s="2306"/>
      <c r="AE114" s="2397">
        <v>44</v>
      </c>
      <c r="AF114" s="2394"/>
      <c r="AG114" s="2394"/>
      <c r="AH114" s="2114"/>
      <c r="AI114" s="2398"/>
    </row>
    <row r="115" spans="1:35" ht="25.5" customHeight="1">
      <c r="A115" s="77"/>
      <c r="B115" s="81" t="s">
        <v>173</v>
      </c>
      <c r="C115" s="2399">
        <v>99</v>
      </c>
      <c r="D115" s="2400" t="s">
        <v>192</v>
      </c>
      <c r="E115" s="2400"/>
      <c r="F115" s="2401"/>
      <c r="G115" s="2399">
        <v>99</v>
      </c>
      <c r="H115" s="2400" t="s">
        <v>192</v>
      </c>
      <c r="I115" s="2400"/>
      <c r="J115" s="2401"/>
      <c r="K115" s="2399">
        <v>99</v>
      </c>
      <c r="L115" s="2400" t="s">
        <v>192</v>
      </c>
      <c r="M115" s="2400"/>
      <c r="N115" s="2401"/>
      <c r="O115" s="2399">
        <v>99</v>
      </c>
      <c r="P115" s="2400" t="s">
        <v>192</v>
      </c>
      <c r="Q115" s="2400"/>
      <c r="R115" s="2401"/>
      <c r="S115" s="2399">
        <v>99</v>
      </c>
      <c r="T115" s="2400" t="s">
        <v>172</v>
      </c>
      <c r="U115" s="2400"/>
      <c r="V115" s="2306"/>
      <c r="W115" s="2305"/>
      <c r="X115" s="2306"/>
      <c r="Y115" s="2400"/>
      <c r="Z115" s="2401"/>
      <c r="AA115" s="2305"/>
      <c r="AB115" s="2306"/>
      <c r="AC115" s="2400"/>
      <c r="AD115" s="2401"/>
      <c r="AE115" s="2402">
        <v>28</v>
      </c>
      <c r="AF115" s="2400"/>
      <c r="AG115" s="2400"/>
      <c r="AH115" s="2306"/>
      <c r="AI115" s="2403"/>
    </row>
    <row r="116" spans="1:35" ht="25.5" customHeight="1" thickBot="1">
      <c r="A116" s="77"/>
      <c r="B116" s="2693" t="s">
        <v>193</v>
      </c>
      <c r="C116" s="2694" t="s">
        <v>47</v>
      </c>
      <c r="D116" s="2695" t="s">
        <v>194</v>
      </c>
      <c r="E116" s="2696"/>
      <c r="F116" s="2542"/>
      <c r="G116" s="2694" t="s">
        <v>47</v>
      </c>
      <c r="H116" s="2695" t="s">
        <v>194</v>
      </c>
      <c r="I116" s="2540"/>
      <c r="J116" s="2696"/>
      <c r="K116" s="2694" t="s">
        <v>47</v>
      </c>
      <c r="L116" s="2695" t="s">
        <v>194</v>
      </c>
      <c r="M116" s="2696"/>
      <c r="N116" s="2697"/>
      <c r="O116" s="2694" t="s">
        <v>47</v>
      </c>
      <c r="P116" s="2695" t="s">
        <v>194</v>
      </c>
      <c r="Q116" s="2696"/>
      <c r="R116" s="2695"/>
      <c r="S116" s="2694" t="s">
        <v>47</v>
      </c>
      <c r="T116" s="2544" t="s">
        <v>195</v>
      </c>
      <c r="U116" s="2695"/>
      <c r="V116" s="2697"/>
      <c r="W116" s="2696"/>
      <c r="X116" s="2695"/>
      <c r="Y116" s="2695"/>
      <c r="Z116" s="2695"/>
      <c r="AA116" s="2698"/>
      <c r="AB116" s="2699"/>
      <c r="AC116" s="2695"/>
      <c r="AD116" s="2700"/>
      <c r="AE116" s="2695"/>
      <c r="AF116" s="2695"/>
      <c r="AG116" s="2695"/>
      <c r="AH116" s="2701"/>
      <c r="AI116" s="2702"/>
    </row>
    <row r="117" spans="1:35" ht="25.5" customHeight="1">
      <c r="A117" s="82"/>
      <c r="B117" s="77"/>
      <c r="C117" s="79"/>
      <c r="D117" s="79"/>
      <c r="E117" s="79"/>
      <c r="F117" s="79"/>
      <c r="G117" s="79"/>
      <c r="H117" s="79"/>
      <c r="I117" s="79"/>
      <c r="J117" s="79"/>
      <c r="K117" s="79"/>
      <c r="L117" s="79"/>
      <c r="M117" s="79"/>
      <c r="N117" s="79"/>
      <c r="O117" s="79"/>
      <c r="P117" s="79"/>
      <c r="Q117" s="79"/>
      <c r="R117" s="79"/>
      <c r="S117" s="79"/>
      <c r="T117" s="79"/>
      <c r="U117" s="79"/>
      <c r="V117" s="79"/>
      <c r="W117" s="79"/>
      <c r="X117" s="79"/>
      <c r="Y117" s="79"/>
      <c r="Z117" s="79"/>
      <c r="AA117" s="79"/>
      <c r="AB117" s="79"/>
      <c r="AC117" s="79"/>
      <c r="AD117" s="79"/>
      <c r="AE117" s="79"/>
      <c r="AF117" s="79"/>
      <c r="AG117" s="79"/>
      <c r="AH117" s="78"/>
      <c r="AI117" s="78"/>
    </row>
    <row r="118" spans="1:35" ht="25.5" customHeight="1" thickBot="1">
      <c r="A118" s="2120"/>
      <c r="B118" s="2121" t="s">
        <v>29</v>
      </c>
      <c r="C118" s="2233">
        <v>1</v>
      </c>
      <c r="D118" s="2233">
        <v>2</v>
      </c>
      <c r="E118" s="2233">
        <v>3</v>
      </c>
      <c r="F118" s="2233">
        <v>4</v>
      </c>
      <c r="G118" s="2232">
        <v>5</v>
      </c>
      <c r="H118" s="2232">
        <v>6</v>
      </c>
      <c r="I118" s="2233">
        <v>7</v>
      </c>
      <c r="J118" s="2233">
        <v>8</v>
      </c>
      <c r="K118" s="2233">
        <v>9</v>
      </c>
      <c r="L118" s="2233">
        <v>10</v>
      </c>
      <c r="M118" s="2233">
        <v>11</v>
      </c>
      <c r="N118" s="2232">
        <v>12</v>
      </c>
      <c r="O118" s="2232">
        <v>13</v>
      </c>
      <c r="P118" s="2233">
        <v>14</v>
      </c>
      <c r="Q118" s="2233">
        <v>15</v>
      </c>
      <c r="R118" s="2233">
        <v>16</v>
      </c>
      <c r="S118" s="2233">
        <v>17</v>
      </c>
      <c r="T118" s="2233">
        <v>18</v>
      </c>
      <c r="U118" s="2232">
        <v>19</v>
      </c>
      <c r="V118" s="2232">
        <v>20</v>
      </c>
      <c r="W118" s="2233">
        <v>21</v>
      </c>
      <c r="X118" s="2233">
        <v>22</v>
      </c>
      <c r="Y118" s="2233">
        <v>23</v>
      </c>
      <c r="Z118" s="2233">
        <v>24</v>
      </c>
      <c r="AA118" s="2233">
        <v>25</v>
      </c>
      <c r="AB118" s="2232">
        <v>26</v>
      </c>
      <c r="AC118" s="2232">
        <v>27</v>
      </c>
      <c r="AD118" s="2233">
        <v>28</v>
      </c>
      <c r="AE118" s="2233">
        <v>29</v>
      </c>
      <c r="AF118" s="2233">
        <v>30</v>
      </c>
      <c r="AG118" s="2234">
        <v>31</v>
      </c>
      <c r="AH118" s="23"/>
      <c r="AI118" s="24"/>
    </row>
    <row r="119" spans="1:35" ht="25.5" customHeight="1">
      <c r="A119" s="2703">
        <v>1</v>
      </c>
      <c r="B119" s="2647" t="s">
        <v>196</v>
      </c>
      <c r="C119" s="802" t="s">
        <v>47</v>
      </c>
      <c r="D119" s="2566" t="s">
        <v>47</v>
      </c>
      <c r="E119" s="2566" t="s">
        <v>47</v>
      </c>
      <c r="F119" s="2567" t="s">
        <v>440</v>
      </c>
      <c r="G119" s="801"/>
      <c r="H119" s="802"/>
      <c r="I119" s="801">
        <v>69</v>
      </c>
      <c r="J119" s="801">
        <v>69</v>
      </c>
      <c r="K119" s="802">
        <v>69</v>
      </c>
      <c r="L119" s="801">
        <v>69</v>
      </c>
      <c r="M119" s="1816">
        <v>69</v>
      </c>
      <c r="N119" s="802"/>
      <c r="O119" s="802"/>
      <c r="P119" s="2565">
        <v>79</v>
      </c>
      <c r="Q119" s="2565">
        <v>79</v>
      </c>
      <c r="R119" s="2565">
        <v>79</v>
      </c>
      <c r="S119" s="2692">
        <v>79</v>
      </c>
      <c r="T119" s="2692">
        <v>79</v>
      </c>
      <c r="U119" s="2565"/>
      <c r="V119" s="2565"/>
      <c r="W119" s="802">
        <v>89</v>
      </c>
      <c r="X119" s="802">
        <v>89</v>
      </c>
      <c r="Y119" s="802">
        <v>89</v>
      </c>
      <c r="Z119" s="802">
        <v>89</v>
      </c>
      <c r="AA119" s="801">
        <v>89</v>
      </c>
      <c r="AB119" s="802">
        <v>89</v>
      </c>
      <c r="AC119" s="802"/>
      <c r="AD119" s="802">
        <v>99</v>
      </c>
      <c r="AE119" s="802">
        <v>99</v>
      </c>
      <c r="AF119" s="2704">
        <v>99</v>
      </c>
      <c r="AG119" s="2553">
        <v>99</v>
      </c>
      <c r="AH119" s="83"/>
      <c r="AI119" s="76"/>
    </row>
    <row r="120" spans="1:35" ht="25.5" customHeight="1">
      <c r="A120" s="2414">
        <v>2</v>
      </c>
      <c r="B120" s="2333" t="s">
        <v>197</v>
      </c>
      <c r="C120" s="2514">
        <v>69</v>
      </c>
      <c r="D120" s="2287">
        <v>69</v>
      </c>
      <c r="E120" s="2288">
        <v>69</v>
      </c>
      <c r="F120" s="2288">
        <v>69</v>
      </c>
      <c r="G120" s="2287"/>
      <c r="H120" s="2287"/>
      <c r="I120" s="2287">
        <v>79</v>
      </c>
      <c r="J120" s="2287">
        <v>79</v>
      </c>
      <c r="K120" s="2287">
        <v>79</v>
      </c>
      <c r="L120" s="2288">
        <v>79</v>
      </c>
      <c r="M120" s="2288">
        <v>79</v>
      </c>
      <c r="N120" s="2287"/>
      <c r="O120" s="2287"/>
      <c r="P120" s="2287">
        <v>89</v>
      </c>
      <c r="Q120" s="2287">
        <v>89</v>
      </c>
      <c r="R120" s="2514">
        <v>89</v>
      </c>
      <c r="S120" s="2287">
        <v>89</v>
      </c>
      <c r="T120" s="2288">
        <v>89</v>
      </c>
      <c r="U120" s="2287">
        <v>89</v>
      </c>
      <c r="V120" s="2287"/>
      <c r="W120" s="2287">
        <v>99</v>
      </c>
      <c r="X120" s="2287">
        <v>99</v>
      </c>
      <c r="Y120" s="2287">
        <v>99</v>
      </c>
      <c r="Z120" s="2288">
        <v>99</v>
      </c>
      <c r="AA120" s="2288" t="s">
        <v>35</v>
      </c>
      <c r="AB120" s="2514"/>
      <c r="AC120" s="2287"/>
      <c r="AD120" s="2514" t="s">
        <v>47</v>
      </c>
      <c r="AE120" s="2514" t="s">
        <v>47</v>
      </c>
      <c r="AF120" s="2287" t="s">
        <v>47</v>
      </c>
      <c r="AG120" s="2418" t="s">
        <v>47</v>
      </c>
      <c r="AH120" s="84"/>
      <c r="AI120" s="85"/>
    </row>
    <row r="121" spans="1:35" ht="25.5" customHeight="1">
      <c r="A121" s="2414">
        <v>3</v>
      </c>
      <c r="B121" s="2333" t="s">
        <v>198</v>
      </c>
      <c r="C121" s="2287">
        <v>79</v>
      </c>
      <c r="D121" s="2653">
        <v>79</v>
      </c>
      <c r="E121" s="2331">
        <v>79</v>
      </c>
      <c r="F121" s="2288">
        <v>79</v>
      </c>
      <c r="G121" s="2287"/>
      <c r="H121" s="2287"/>
      <c r="I121" s="2287">
        <v>89</v>
      </c>
      <c r="J121" s="2514">
        <v>89</v>
      </c>
      <c r="K121" s="2287">
        <v>89</v>
      </c>
      <c r="L121" s="2514">
        <v>89</v>
      </c>
      <c r="M121" s="2288">
        <v>89</v>
      </c>
      <c r="N121" s="2287">
        <v>89</v>
      </c>
      <c r="O121" s="2287"/>
      <c r="P121" s="2287">
        <v>99</v>
      </c>
      <c r="Q121" s="2287">
        <v>99</v>
      </c>
      <c r="R121" s="2287">
        <v>99</v>
      </c>
      <c r="S121" s="2288">
        <v>99</v>
      </c>
      <c r="T121" s="2288" t="s">
        <v>35</v>
      </c>
      <c r="U121" s="2514"/>
      <c r="V121" s="2287"/>
      <c r="W121" s="2705" t="s">
        <v>47</v>
      </c>
      <c r="X121" s="2705" t="s">
        <v>47</v>
      </c>
      <c r="Y121" s="2705" t="s">
        <v>47</v>
      </c>
      <c r="Z121" s="2705" t="s">
        <v>47</v>
      </c>
      <c r="AA121" s="2705" t="s">
        <v>47</v>
      </c>
      <c r="AB121" s="2705"/>
      <c r="AC121" s="2705"/>
      <c r="AD121" s="2705">
        <v>69</v>
      </c>
      <c r="AE121" s="2705">
        <v>69</v>
      </c>
      <c r="AF121" s="2705">
        <v>69</v>
      </c>
      <c r="AG121" s="2706">
        <v>69</v>
      </c>
      <c r="AH121" s="83"/>
      <c r="AI121" s="76"/>
    </row>
    <row r="122" spans="1:35" ht="25.5" customHeight="1">
      <c r="A122" s="2414">
        <v>4</v>
      </c>
      <c r="B122" s="2333" t="s">
        <v>441</v>
      </c>
      <c r="C122" s="2330">
        <v>89</v>
      </c>
      <c r="D122" s="2330">
        <v>89</v>
      </c>
      <c r="E122" s="2330">
        <v>89</v>
      </c>
      <c r="F122" s="2288">
        <v>89</v>
      </c>
      <c r="G122" s="2287">
        <v>89</v>
      </c>
      <c r="H122" s="2287"/>
      <c r="I122" s="2287">
        <v>99</v>
      </c>
      <c r="J122" s="2287">
        <v>99</v>
      </c>
      <c r="K122" s="2287">
        <v>99</v>
      </c>
      <c r="L122" s="2288">
        <v>99</v>
      </c>
      <c r="M122" s="2288" t="s">
        <v>35</v>
      </c>
      <c r="N122" s="2330"/>
      <c r="O122" s="2330"/>
      <c r="P122" s="2330" t="s">
        <v>47</v>
      </c>
      <c r="Q122" s="2330" t="s">
        <v>47</v>
      </c>
      <c r="R122" s="2330" t="s">
        <v>47</v>
      </c>
      <c r="S122" s="2288" t="s">
        <v>199</v>
      </c>
      <c r="T122" s="2331" t="s">
        <v>199</v>
      </c>
      <c r="U122" s="2330"/>
      <c r="V122" s="2330"/>
      <c r="W122" s="2330">
        <v>69</v>
      </c>
      <c r="X122" s="2330">
        <v>69</v>
      </c>
      <c r="Y122" s="2330">
        <v>69</v>
      </c>
      <c r="Z122" s="2332">
        <v>69</v>
      </c>
      <c r="AA122" s="2332">
        <v>69</v>
      </c>
      <c r="AB122" s="2330"/>
      <c r="AC122" s="2330"/>
      <c r="AD122" s="2330">
        <v>79</v>
      </c>
      <c r="AE122" s="2330">
        <v>79</v>
      </c>
      <c r="AF122" s="2330">
        <v>79</v>
      </c>
      <c r="AG122" s="2420">
        <v>79</v>
      </c>
      <c r="AH122" s="83"/>
      <c r="AI122" s="76"/>
    </row>
    <row r="123" spans="1:35" ht="25.5" customHeight="1" thickBot="1">
      <c r="A123" s="2707">
        <v>5</v>
      </c>
      <c r="B123" s="2708" t="s">
        <v>200</v>
      </c>
      <c r="C123" s="2709">
        <v>99</v>
      </c>
      <c r="D123" s="2709">
        <v>99</v>
      </c>
      <c r="E123" s="2709">
        <v>99</v>
      </c>
      <c r="F123" s="2710" t="s">
        <v>47</v>
      </c>
      <c r="G123" s="2557"/>
      <c r="H123" s="2557"/>
      <c r="I123" s="2557" t="s">
        <v>47</v>
      </c>
      <c r="J123" s="2557" t="s">
        <v>47</v>
      </c>
      <c r="K123" s="2557" t="s">
        <v>47</v>
      </c>
      <c r="L123" s="2233" t="s">
        <v>47</v>
      </c>
      <c r="M123" s="2233" t="s">
        <v>47</v>
      </c>
      <c r="N123" s="2709"/>
      <c r="O123" s="2709"/>
      <c r="P123" s="2709">
        <v>69</v>
      </c>
      <c r="Q123" s="2709">
        <v>69</v>
      </c>
      <c r="R123" s="2709">
        <v>69</v>
      </c>
      <c r="S123" s="2233">
        <v>69</v>
      </c>
      <c r="T123" s="2711">
        <v>69</v>
      </c>
      <c r="U123" s="2709"/>
      <c r="V123" s="2709"/>
      <c r="W123" s="2709">
        <v>79</v>
      </c>
      <c r="X123" s="2709">
        <v>79</v>
      </c>
      <c r="Y123" s="2709">
        <v>79</v>
      </c>
      <c r="Z123" s="2712">
        <v>79</v>
      </c>
      <c r="AA123" s="2712">
        <v>79</v>
      </c>
      <c r="AB123" s="2709"/>
      <c r="AC123" s="2709"/>
      <c r="AD123" s="2709">
        <v>89</v>
      </c>
      <c r="AE123" s="2709">
        <v>89</v>
      </c>
      <c r="AF123" s="2709">
        <v>89</v>
      </c>
      <c r="AG123" s="2713">
        <v>89</v>
      </c>
      <c r="AH123" s="83"/>
      <c r="AI123" s="76"/>
    </row>
    <row r="124" spans="1:35" ht="25.5" customHeight="1">
      <c r="A124" s="36"/>
      <c r="B124" s="87"/>
      <c r="C124" s="38"/>
      <c r="D124" s="38"/>
      <c r="E124" s="38"/>
      <c r="F124" s="38"/>
      <c r="G124" s="38"/>
      <c r="H124" s="38"/>
      <c r="I124" s="38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76"/>
      <c r="AI124" s="76"/>
    </row>
    <row r="125" spans="1:35" ht="25.5" customHeight="1" thickBot="1">
      <c r="A125" s="77" t="s">
        <v>202</v>
      </c>
      <c r="B125" s="78"/>
      <c r="C125" s="78"/>
      <c r="D125" s="79"/>
      <c r="E125" s="79"/>
      <c r="F125" s="79"/>
      <c r="G125" s="80"/>
      <c r="H125" s="79"/>
      <c r="I125" s="79"/>
      <c r="J125" s="79"/>
      <c r="K125" s="79"/>
      <c r="L125" s="79"/>
      <c r="M125" s="79"/>
      <c r="N125" s="79"/>
      <c r="O125" s="79"/>
      <c r="P125" s="79"/>
      <c r="Q125" s="79"/>
      <c r="R125" s="79"/>
      <c r="S125" s="79"/>
      <c r="T125" s="79"/>
      <c r="U125" s="79"/>
      <c r="V125" s="79"/>
      <c r="W125" s="79"/>
      <c r="X125" s="79"/>
      <c r="Y125" s="79"/>
      <c r="Z125" s="79"/>
      <c r="AA125" s="79"/>
      <c r="AB125" s="79"/>
      <c r="AC125" s="79"/>
      <c r="AD125" s="79"/>
      <c r="AE125" s="79"/>
      <c r="AF125" s="79"/>
      <c r="AG125" s="79"/>
      <c r="AH125" s="78"/>
      <c r="AI125" s="78"/>
    </row>
    <row r="126" spans="1:35" ht="25.5" customHeight="1">
      <c r="A126" s="77"/>
      <c r="B126" s="900" t="s">
        <v>186</v>
      </c>
      <c r="C126" s="924"/>
      <c r="D126" s="925" t="s">
        <v>87</v>
      </c>
      <c r="E126" s="926"/>
      <c r="F126" s="927"/>
      <c r="G126" s="924"/>
      <c r="H126" s="925" t="s">
        <v>88</v>
      </c>
      <c r="I126" s="926"/>
      <c r="J126" s="927"/>
      <c r="K126" s="924"/>
      <c r="L126" s="925" t="s">
        <v>89</v>
      </c>
      <c r="M126" s="926"/>
      <c r="N126" s="927"/>
      <c r="O126" s="924"/>
      <c r="P126" s="925" t="s">
        <v>90</v>
      </c>
      <c r="Q126" s="926"/>
      <c r="R126" s="927"/>
      <c r="S126" s="924"/>
      <c r="T126" s="925" t="s">
        <v>91</v>
      </c>
      <c r="U126" s="926"/>
      <c r="V126" s="927"/>
      <c r="W126" s="924"/>
      <c r="X126" s="925" t="s">
        <v>92</v>
      </c>
      <c r="Y126" s="926"/>
      <c r="Z126" s="927"/>
      <c r="AA126" s="924"/>
      <c r="AB126" s="925" t="s">
        <v>93</v>
      </c>
      <c r="AC126" s="926"/>
      <c r="AD126" s="926"/>
      <c r="AE126" s="928" t="s">
        <v>94</v>
      </c>
      <c r="AF126" s="926"/>
      <c r="AG126" s="926"/>
      <c r="AH126" s="926"/>
      <c r="AI126" s="929"/>
    </row>
    <row r="127" spans="1:35" ht="25.5" customHeight="1">
      <c r="A127" s="77"/>
      <c r="B127" s="2393" t="s">
        <v>203</v>
      </c>
      <c r="C127" s="2303" t="s">
        <v>204</v>
      </c>
      <c r="D127" s="2394"/>
      <c r="E127" s="2394"/>
      <c r="F127" s="2113"/>
      <c r="G127" s="2303" t="s">
        <v>204</v>
      </c>
      <c r="H127" s="2394"/>
      <c r="I127" s="2394"/>
      <c r="J127" s="2113"/>
      <c r="K127" s="2303" t="s">
        <v>204</v>
      </c>
      <c r="L127" s="2394"/>
      <c r="M127" s="2394"/>
      <c r="N127" s="2113"/>
      <c r="O127" s="2303" t="s">
        <v>204</v>
      </c>
      <c r="P127" s="2394"/>
      <c r="Q127" s="2394"/>
      <c r="R127" s="2113"/>
      <c r="S127" s="2303" t="s">
        <v>204</v>
      </c>
      <c r="T127" s="2394"/>
      <c r="U127" s="2394"/>
      <c r="V127" s="2113"/>
      <c r="W127" s="2303" t="s">
        <v>205</v>
      </c>
      <c r="X127" s="2395"/>
      <c r="Y127" s="2395"/>
      <c r="Z127" s="2396"/>
      <c r="AA127" s="2303" t="s">
        <v>205</v>
      </c>
      <c r="AB127" s="2394"/>
      <c r="AC127" s="2394"/>
      <c r="AD127" s="2114"/>
      <c r="AE127" s="2397">
        <v>68</v>
      </c>
      <c r="AF127" s="88"/>
      <c r="AG127" s="88"/>
      <c r="AH127" s="88"/>
      <c r="AI127" s="89"/>
    </row>
    <row r="128" spans="1:35" ht="25.5" customHeight="1">
      <c r="A128" s="77"/>
      <c r="B128" s="2393" t="s">
        <v>163</v>
      </c>
      <c r="C128" s="2303" t="s">
        <v>172</v>
      </c>
      <c r="D128" s="2394"/>
      <c r="E128" s="2394"/>
      <c r="F128" s="2113"/>
      <c r="G128" s="2303" t="s">
        <v>172</v>
      </c>
      <c r="H128" s="2394"/>
      <c r="I128" s="2394"/>
      <c r="J128" s="2113"/>
      <c r="K128" s="2303" t="s">
        <v>172</v>
      </c>
      <c r="L128" s="2394"/>
      <c r="M128" s="2394"/>
      <c r="N128" s="2113"/>
      <c r="O128" s="2303" t="s">
        <v>172</v>
      </c>
      <c r="P128" s="2394"/>
      <c r="Q128" s="2394"/>
      <c r="R128" s="2113"/>
      <c r="S128" s="2303" t="s">
        <v>172</v>
      </c>
      <c r="T128" s="2394"/>
      <c r="U128" s="2394"/>
      <c r="V128" s="2113"/>
      <c r="W128" s="2303" t="s">
        <v>172</v>
      </c>
      <c r="X128" s="2394"/>
      <c r="Y128" s="2394"/>
      <c r="Z128" s="2113"/>
      <c r="AA128" s="2394" t="s">
        <v>172</v>
      </c>
      <c r="AB128" s="2394"/>
      <c r="AC128" s="2394"/>
      <c r="AD128" s="2114"/>
      <c r="AE128" s="2397">
        <v>0</v>
      </c>
      <c r="AF128" s="88"/>
      <c r="AG128" s="88"/>
      <c r="AH128" s="88"/>
      <c r="AI128" s="89"/>
    </row>
    <row r="129" spans="1:35" ht="25.5" customHeight="1">
      <c r="A129" s="77"/>
      <c r="B129" s="2393" t="s">
        <v>206</v>
      </c>
      <c r="C129" s="2303" t="s">
        <v>204</v>
      </c>
      <c r="D129" s="2394"/>
      <c r="E129" s="2394"/>
      <c r="F129" s="2113"/>
      <c r="G129" s="2303" t="s">
        <v>204</v>
      </c>
      <c r="H129" s="2394"/>
      <c r="I129" s="2394"/>
      <c r="J129" s="2113"/>
      <c r="K129" s="2303" t="s">
        <v>204</v>
      </c>
      <c r="L129" s="2394"/>
      <c r="M129" s="2394"/>
      <c r="N129" s="2113"/>
      <c r="O129" s="2303" t="s">
        <v>204</v>
      </c>
      <c r="P129" s="2394"/>
      <c r="Q129" s="2394"/>
      <c r="R129" s="2113"/>
      <c r="S129" s="2303" t="s">
        <v>204</v>
      </c>
      <c r="T129" s="2394"/>
      <c r="U129" s="2394"/>
      <c r="V129" s="2113"/>
      <c r="W129" s="2303" t="s">
        <v>205</v>
      </c>
      <c r="X129" s="2395"/>
      <c r="Y129" s="2395"/>
      <c r="Z129" s="2396"/>
      <c r="AA129" s="2303" t="s">
        <v>205</v>
      </c>
      <c r="AB129" s="2394"/>
      <c r="AC129" s="2394"/>
      <c r="AD129" s="2114"/>
      <c r="AE129" s="2397">
        <v>68</v>
      </c>
      <c r="AF129" s="2394"/>
      <c r="AG129" s="2394" t="s">
        <v>0</v>
      </c>
      <c r="AH129" s="2114"/>
      <c r="AI129" s="2398"/>
    </row>
    <row r="130" spans="1:35" ht="25.5" customHeight="1">
      <c r="A130" s="77"/>
      <c r="B130" s="2393" t="s">
        <v>173</v>
      </c>
      <c r="C130" s="2303" t="s">
        <v>172</v>
      </c>
      <c r="D130" s="2394"/>
      <c r="E130" s="2394"/>
      <c r="F130" s="2113"/>
      <c r="G130" s="2303" t="s">
        <v>172</v>
      </c>
      <c r="H130" s="2394"/>
      <c r="I130" s="2394"/>
      <c r="J130" s="2113"/>
      <c r="K130" s="2303" t="s">
        <v>172</v>
      </c>
      <c r="L130" s="2394"/>
      <c r="M130" s="2394"/>
      <c r="N130" s="2113"/>
      <c r="O130" s="2303" t="s">
        <v>172</v>
      </c>
      <c r="P130" s="2394"/>
      <c r="Q130" s="2394"/>
      <c r="R130" s="2113"/>
      <c r="S130" s="2303" t="s">
        <v>172</v>
      </c>
      <c r="T130" s="2394"/>
      <c r="U130" s="2394"/>
      <c r="V130" s="2113"/>
      <c r="W130" s="2303" t="s">
        <v>172</v>
      </c>
      <c r="X130" s="2394"/>
      <c r="Y130" s="2394"/>
      <c r="Z130" s="2113"/>
      <c r="AA130" s="2394" t="s">
        <v>172</v>
      </c>
      <c r="AB130" s="2394"/>
      <c r="AC130" s="2394"/>
      <c r="AD130" s="2114"/>
      <c r="AE130" s="2397">
        <v>0</v>
      </c>
      <c r="AF130" s="2394"/>
      <c r="AG130" s="2394"/>
      <c r="AH130" s="2114"/>
      <c r="AI130" s="2398"/>
    </row>
    <row r="131" spans="1:35" ht="25.5" customHeight="1">
      <c r="A131" s="77"/>
      <c r="B131" s="2393" t="s">
        <v>207</v>
      </c>
      <c r="C131" s="2303" t="s">
        <v>204</v>
      </c>
      <c r="D131" s="2394"/>
      <c r="E131" s="2394"/>
      <c r="F131" s="2113"/>
      <c r="G131" s="2303" t="s">
        <v>204</v>
      </c>
      <c r="H131" s="2394"/>
      <c r="I131" s="2394"/>
      <c r="J131" s="2113"/>
      <c r="K131" s="2303" t="s">
        <v>204</v>
      </c>
      <c r="L131" s="2394"/>
      <c r="M131" s="2394"/>
      <c r="N131" s="2113"/>
      <c r="O131" s="2303" t="s">
        <v>204</v>
      </c>
      <c r="P131" s="2394"/>
      <c r="Q131" s="2394"/>
      <c r="R131" s="2113"/>
      <c r="S131" s="2303" t="s">
        <v>204</v>
      </c>
      <c r="T131" s="2394"/>
      <c r="U131" s="2394"/>
      <c r="V131" s="2113"/>
      <c r="W131" s="2303" t="s">
        <v>208</v>
      </c>
      <c r="X131" s="2400"/>
      <c r="Y131" s="2400"/>
      <c r="Z131" s="2401"/>
      <c r="AA131" s="2303" t="s">
        <v>208</v>
      </c>
      <c r="AB131" s="2400"/>
      <c r="AC131" s="2400"/>
      <c r="AD131" s="2306"/>
      <c r="AE131" s="2397">
        <v>68</v>
      </c>
      <c r="AF131" s="2394"/>
      <c r="AG131" s="2394"/>
      <c r="AH131" s="2114"/>
      <c r="AI131" s="2398"/>
    </row>
    <row r="132" spans="1:35" ht="25.5" customHeight="1" thickBot="1">
      <c r="A132" s="77"/>
      <c r="B132" s="2393" t="s">
        <v>209</v>
      </c>
      <c r="C132" s="2714" t="s">
        <v>172</v>
      </c>
      <c r="D132" s="2715"/>
      <c r="E132" s="2715"/>
      <c r="F132" s="2716"/>
      <c r="G132" s="2714" t="s">
        <v>172</v>
      </c>
      <c r="H132" s="2715"/>
      <c r="I132" s="2715"/>
      <c r="J132" s="2716"/>
      <c r="K132" s="2714" t="s">
        <v>172</v>
      </c>
      <c r="L132" s="2715"/>
      <c r="M132" s="2715"/>
      <c r="N132" s="2716"/>
      <c r="O132" s="2714" t="s">
        <v>172</v>
      </c>
      <c r="P132" s="2715"/>
      <c r="Q132" s="2715"/>
      <c r="R132" s="2716"/>
      <c r="S132" s="2714" t="s">
        <v>172</v>
      </c>
      <c r="T132" s="2715"/>
      <c r="U132" s="2715"/>
      <c r="V132" s="2701"/>
      <c r="W132" s="2714" t="s">
        <v>172</v>
      </c>
      <c r="X132" s="2701"/>
      <c r="Y132" s="2715"/>
      <c r="Z132" s="2716"/>
      <c r="AA132" s="2714" t="s">
        <v>172</v>
      </c>
      <c r="AB132" s="2701"/>
      <c r="AC132" s="2715"/>
      <c r="AD132" s="2716"/>
      <c r="AE132" s="2717" t="s">
        <v>210</v>
      </c>
      <c r="AF132" s="2715"/>
      <c r="AG132" s="2715"/>
      <c r="AH132" s="2701"/>
      <c r="AI132" s="2702"/>
    </row>
    <row r="133" spans="1:35" ht="25.5" customHeight="1">
      <c r="A133" s="82"/>
      <c r="B133" s="77"/>
      <c r="C133" s="79"/>
      <c r="D133" s="79"/>
      <c r="E133" s="79"/>
      <c r="F133" s="79"/>
      <c r="G133" s="79"/>
      <c r="H133" s="79"/>
      <c r="I133" s="79"/>
      <c r="J133" s="79"/>
      <c r="K133" s="79"/>
      <c r="L133" s="79"/>
      <c r="M133" s="79"/>
      <c r="N133" s="79"/>
      <c r="O133" s="79"/>
      <c r="P133" s="79"/>
      <c r="Q133" s="79"/>
      <c r="R133" s="79"/>
      <c r="S133" s="79"/>
      <c r="T133" s="79"/>
      <c r="U133" s="79"/>
      <c r="V133" s="79"/>
      <c r="W133" s="79"/>
      <c r="X133" s="79"/>
      <c r="Y133" s="79"/>
      <c r="Z133" s="79"/>
      <c r="AA133" s="79"/>
      <c r="AB133" s="79"/>
      <c r="AC133" s="79"/>
      <c r="AD133" s="79"/>
      <c r="AE133" s="79"/>
      <c r="AF133" s="79"/>
      <c r="AG133" s="79"/>
      <c r="AH133" s="78"/>
      <c r="AI133" s="78"/>
    </row>
    <row r="134" spans="1:35" ht="25.5" customHeight="1" thickBot="1">
      <c r="A134" s="2120"/>
      <c r="B134" s="2121" t="s">
        <v>29</v>
      </c>
      <c r="C134" s="2233">
        <v>1</v>
      </c>
      <c r="D134" s="2233">
        <v>2</v>
      </c>
      <c r="E134" s="2233">
        <v>3</v>
      </c>
      <c r="F134" s="2233">
        <v>4</v>
      </c>
      <c r="G134" s="2232">
        <v>5</v>
      </c>
      <c r="H134" s="2232">
        <v>6</v>
      </c>
      <c r="I134" s="2233">
        <v>7</v>
      </c>
      <c r="J134" s="2233">
        <v>8</v>
      </c>
      <c r="K134" s="2233">
        <v>9</v>
      </c>
      <c r="L134" s="2233">
        <v>10</v>
      </c>
      <c r="M134" s="2233">
        <v>11</v>
      </c>
      <c r="N134" s="2232">
        <v>12</v>
      </c>
      <c r="O134" s="2232">
        <v>13</v>
      </c>
      <c r="P134" s="2233">
        <v>14</v>
      </c>
      <c r="Q134" s="2233">
        <v>15</v>
      </c>
      <c r="R134" s="2233">
        <v>16</v>
      </c>
      <c r="S134" s="2233">
        <v>17</v>
      </c>
      <c r="T134" s="2233">
        <v>18</v>
      </c>
      <c r="U134" s="2232">
        <v>19</v>
      </c>
      <c r="V134" s="2232">
        <v>20</v>
      </c>
      <c r="W134" s="2233">
        <v>21</v>
      </c>
      <c r="X134" s="2233">
        <v>22</v>
      </c>
      <c r="Y134" s="2233">
        <v>23</v>
      </c>
      <c r="Z134" s="2233">
        <v>24</v>
      </c>
      <c r="AA134" s="2233">
        <v>25</v>
      </c>
      <c r="AB134" s="2232">
        <v>26</v>
      </c>
      <c r="AC134" s="2232">
        <v>27</v>
      </c>
      <c r="AD134" s="2233">
        <v>28</v>
      </c>
      <c r="AE134" s="2233">
        <v>29</v>
      </c>
      <c r="AF134" s="2233">
        <v>30</v>
      </c>
      <c r="AG134" s="2234">
        <v>31</v>
      </c>
      <c r="AH134" s="23"/>
      <c r="AI134" s="24"/>
    </row>
    <row r="135" spans="1:35" ht="25.5" customHeight="1">
      <c r="A135" s="2718">
        <v>1</v>
      </c>
      <c r="B135" s="2719" t="s">
        <v>442</v>
      </c>
      <c r="C135" s="1839">
        <v>21</v>
      </c>
      <c r="D135" s="1839">
        <v>21</v>
      </c>
      <c r="E135" s="1839">
        <v>21</v>
      </c>
      <c r="F135" s="1839">
        <v>21</v>
      </c>
      <c r="G135" s="2586">
        <v>21</v>
      </c>
      <c r="H135" s="1839">
        <v>21</v>
      </c>
      <c r="I135" s="2720" t="s">
        <v>35</v>
      </c>
      <c r="J135" s="2586" t="s">
        <v>35</v>
      </c>
      <c r="K135" s="1839" t="s">
        <v>35</v>
      </c>
      <c r="L135" s="2720" t="s">
        <v>35</v>
      </c>
      <c r="M135" s="2586" t="s">
        <v>35</v>
      </c>
      <c r="N135" s="2586"/>
      <c r="O135" s="1839"/>
      <c r="P135" s="1839">
        <v>22</v>
      </c>
      <c r="Q135" s="1839">
        <v>22</v>
      </c>
      <c r="R135" s="1839">
        <v>22</v>
      </c>
      <c r="S135" s="1839">
        <v>22</v>
      </c>
      <c r="T135" s="1839">
        <v>22</v>
      </c>
      <c r="U135" s="1839">
        <v>22</v>
      </c>
      <c r="V135" s="1839">
        <v>22</v>
      </c>
      <c r="W135" s="2720" t="s">
        <v>35</v>
      </c>
      <c r="X135" s="1839" t="s">
        <v>35</v>
      </c>
      <c r="Y135" s="1839" t="s">
        <v>35</v>
      </c>
      <c r="Z135" s="2720" t="s">
        <v>35</v>
      </c>
      <c r="AA135" s="1839" t="s">
        <v>35</v>
      </c>
      <c r="AB135" s="1839"/>
      <c r="AC135" s="1839"/>
      <c r="AD135" s="1839">
        <v>23</v>
      </c>
      <c r="AE135" s="1839">
        <v>23</v>
      </c>
      <c r="AF135" s="1839">
        <v>23</v>
      </c>
      <c r="AG135" s="1843">
        <v>23</v>
      </c>
      <c r="AH135" s="76"/>
      <c r="AI135" s="76"/>
    </row>
    <row r="136" spans="1:35" ht="25.5" customHeight="1">
      <c r="A136" s="2721">
        <v>2</v>
      </c>
      <c r="B136" s="2526" t="s">
        <v>212</v>
      </c>
      <c r="C136" s="2528">
        <v>22</v>
      </c>
      <c r="D136" s="2528">
        <v>22</v>
      </c>
      <c r="E136" s="2530">
        <v>22</v>
      </c>
      <c r="F136" s="2528">
        <v>22</v>
      </c>
      <c r="G136" s="2528">
        <v>22</v>
      </c>
      <c r="H136" s="2528">
        <v>22</v>
      </c>
      <c r="I136" s="2722" t="s">
        <v>35</v>
      </c>
      <c r="J136" s="2528" t="s">
        <v>35</v>
      </c>
      <c r="K136" s="2528" t="s">
        <v>35</v>
      </c>
      <c r="L136" s="2722" t="s">
        <v>35</v>
      </c>
      <c r="M136" s="2528" t="s">
        <v>35</v>
      </c>
      <c r="N136" s="2528"/>
      <c r="O136" s="2528"/>
      <c r="P136" s="2528">
        <v>23</v>
      </c>
      <c r="Q136" s="2528">
        <v>23</v>
      </c>
      <c r="R136" s="2528">
        <v>23</v>
      </c>
      <c r="S136" s="2528">
        <v>23</v>
      </c>
      <c r="T136" s="2529">
        <v>23</v>
      </c>
      <c r="U136" s="2529">
        <v>23</v>
      </c>
      <c r="V136" s="2529">
        <v>23</v>
      </c>
      <c r="W136" s="2722" t="s">
        <v>35</v>
      </c>
      <c r="X136" s="2528" t="s">
        <v>35</v>
      </c>
      <c r="Y136" s="2528" t="s">
        <v>35</v>
      </c>
      <c r="Z136" s="2722" t="s">
        <v>35</v>
      </c>
      <c r="AA136" s="2528" t="s">
        <v>35</v>
      </c>
      <c r="AB136" s="2528"/>
      <c r="AC136" s="2528"/>
      <c r="AD136" s="2528">
        <v>21</v>
      </c>
      <c r="AE136" s="2528">
        <v>21</v>
      </c>
      <c r="AF136" s="2528">
        <v>21</v>
      </c>
      <c r="AG136" s="2531">
        <v>21</v>
      </c>
      <c r="AH136" s="76"/>
      <c r="AI136" s="76"/>
    </row>
    <row r="137" spans="1:35" ht="25.5" customHeight="1">
      <c r="A137" s="2721">
        <v>3</v>
      </c>
      <c r="B137" s="2526" t="s">
        <v>213</v>
      </c>
      <c r="C137" s="2528">
        <v>23</v>
      </c>
      <c r="D137" s="2528">
        <v>23</v>
      </c>
      <c r="E137" s="2528">
        <v>23</v>
      </c>
      <c r="F137" s="2528">
        <v>23</v>
      </c>
      <c r="G137" s="2529">
        <v>23</v>
      </c>
      <c r="H137" s="2529">
        <v>23</v>
      </c>
      <c r="I137" s="2722" t="s">
        <v>35</v>
      </c>
      <c r="J137" s="2528" t="s">
        <v>35</v>
      </c>
      <c r="K137" s="2528" t="s">
        <v>35</v>
      </c>
      <c r="L137" s="2722" t="s">
        <v>35</v>
      </c>
      <c r="M137" s="2528" t="s">
        <v>35</v>
      </c>
      <c r="N137" s="2528"/>
      <c r="O137" s="2528"/>
      <c r="P137" s="2528">
        <v>21</v>
      </c>
      <c r="Q137" s="2528">
        <v>21</v>
      </c>
      <c r="R137" s="2528">
        <v>21</v>
      </c>
      <c r="S137" s="2528">
        <v>21</v>
      </c>
      <c r="T137" s="2528">
        <v>21</v>
      </c>
      <c r="U137" s="2529">
        <v>21</v>
      </c>
      <c r="V137" s="2529">
        <v>21</v>
      </c>
      <c r="W137" s="2722" t="s">
        <v>35</v>
      </c>
      <c r="X137" s="2528" t="s">
        <v>35</v>
      </c>
      <c r="Y137" s="2528" t="s">
        <v>35</v>
      </c>
      <c r="Z137" s="2722" t="s">
        <v>35</v>
      </c>
      <c r="AA137" s="2528" t="s">
        <v>35</v>
      </c>
      <c r="AB137" s="2528"/>
      <c r="AC137" s="2528"/>
      <c r="AD137" s="2528">
        <v>22</v>
      </c>
      <c r="AE137" s="2528">
        <v>22</v>
      </c>
      <c r="AF137" s="2528">
        <v>22</v>
      </c>
      <c r="AG137" s="2531">
        <v>22</v>
      </c>
      <c r="AH137" s="76"/>
      <c r="AI137" s="76"/>
    </row>
    <row r="138" spans="1:35" ht="25.5" customHeight="1">
      <c r="A138" s="2721">
        <v>4</v>
      </c>
      <c r="B138" s="2526" t="s">
        <v>214</v>
      </c>
      <c r="C138" s="2528" t="s">
        <v>35</v>
      </c>
      <c r="D138" s="2528" t="s">
        <v>35</v>
      </c>
      <c r="E138" s="2722" t="s">
        <v>35</v>
      </c>
      <c r="F138" s="2528" t="s">
        <v>35</v>
      </c>
      <c r="G138" s="2528"/>
      <c r="H138" s="2528"/>
      <c r="I138" s="2528">
        <v>21</v>
      </c>
      <c r="J138" s="2528">
        <v>21</v>
      </c>
      <c r="K138" s="2528">
        <v>21</v>
      </c>
      <c r="L138" s="2528">
        <v>21</v>
      </c>
      <c r="M138" s="2528">
        <v>21</v>
      </c>
      <c r="N138" s="2528">
        <v>21</v>
      </c>
      <c r="O138" s="2723">
        <v>21</v>
      </c>
      <c r="P138" s="2722" t="s">
        <v>35</v>
      </c>
      <c r="Q138" s="2528" t="s">
        <v>35</v>
      </c>
      <c r="R138" s="2528" t="s">
        <v>35</v>
      </c>
      <c r="S138" s="2722" t="s">
        <v>35</v>
      </c>
      <c r="T138" s="2528" t="s">
        <v>35</v>
      </c>
      <c r="U138" s="2528"/>
      <c r="V138" s="2528"/>
      <c r="W138" s="2528">
        <v>22</v>
      </c>
      <c r="X138" s="2528">
        <v>22</v>
      </c>
      <c r="Y138" s="2528">
        <v>22</v>
      </c>
      <c r="Z138" s="2724">
        <v>22</v>
      </c>
      <c r="AA138" s="2724">
        <v>22</v>
      </c>
      <c r="AB138" s="2724">
        <v>22</v>
      </c>
      <c r="AC138" s="2724">
        <v>22</v>
      </c>
      <c r="AD138" s="2722" t="s">
        <v>35</v>
      </c>
      <c r="AE138" s="2528" t="s">
        <v>35</v>
      </c>
      <c r="AF138" s="2528" t="s">
        <v>35</v>
      </c>
      <c r="AG138" s="2604" t="s">
        <v>35</v>
      </c>
      <c r="AH138" s="76"/>
      <c r="AI138" s="76"/>
    </row>
    <row r="139" spans="1:35" ht="25.5" customHeight="1">
      <c r="A139" s="2721">
        <v>5</v>
      </c>
      <c r="B139" s="2526" t="s">
        <v>216</v>
      </c>
      <c r="C139" s="2528" t="s">
        <v>35</v>
      </c>
      <c r="D139" s="2639" t="s">
        <v>35</v>
      </c>
      <c r="E139" s="2722" t="s">
        <v>35</v>
      </c>
      <c r="F139" s="2639" t="s">
        <v>35</v>
      </c>
      <c r="G139" s="2528"/>
      <c r="H139" s="2528"/>
      <c r="I139" s="2528">
        <v>22</v>
      </c>
      <c r="J139" s="2528">
        <v>22</v>
      </c>
      <c r="K139" s="2528">
        <v>22</v>
      </c>
      <c r="L139" s="2528">
        <v>22</v>
      </c>
      <c r="M139" s="2528">
        <v>22</v>
      </c>
      <c r="N139" s="2528">
        <v>22</v>
      </c>
      <c r="O139" s="2528">
        <v>22</v>
      </c>
      <c r="P139" s="2722" t="s">
        <v>35</v>
      </c>
      <c r="Q139" s="2528" t="s">
        <v>35</v>
      </c>
      <c r="R139" s="2528" t="s">
        <v>35</v>
      </c>
      <c r="S139" s="2722" t="s">
        <v>35</v>
      </c>
      <c r="T139" s="2528" t="s">
        <v>35</v>
      </c>
      <c r="U139" s="2640"/>
      <c r="V139" s="2640"/>
      <c r="W139" s="2528">
        <v>23</v>
      </c>
      <c r="X139" s="2528">
        <v>23</v>
      </c>
      <c r="Y139" s="2528">
        <v>23</v>
      </c>
      <c r="Z139" s="2528">
        <v>23</v>
      </c>
      <c r="AA139" s="2528">
        <v>23</v>
      </c>
      <c r="AB139" s="2528">
        <v>23</v>
      </c>
      <c r="AC139" s="2529">
        <v>23</v>
      </c>
      <c r="AD139" s="2529" t="s">
        <v>35</v>
      </c>
      <c r="AE139" s="2529" t="s">
        <v>35</v>
      </c>
      <c r="AF139" s="2528" t="s">
        <v>35</v>
      </c>
      <c r="AG139" s="2604" t="s">
        <v>35</v>
      </c>
      <c r="AH139" s="76"/>
      <c r="AI139" s="76"/>
    </row>
    <row r="140" spans="1:35" ht="25.5" customHeight="1" thickBot="1">
      <c r="A140" s="405">
        <v>6</v>
      </c>
      <c r="B140" s="406" t="s">
        <v>217</v>
      </c>
      <c r="C140" s="418" t="s">
        <v>35</v>
      </c>
      <c r="D140" s="418" t="s">
        <v>35</v>
      </c>
      <c r="E140" s="408" t="s">
        <v>35</v>
      </c>
      <c r="F140" s="418" t="s">
        <v>35</v>
      </c>
      <c r="G140" s="418"/>
      <c r="H140" s="409"/>
      <c r="I140" s="409">
        <v>23</v>
      </c>
      <c r="J140" s="409">
        <v>23</v>
      </c>
      <c r="K140" s="409">
        <v>23</v>
      </c>
      <c r="L140" s="409">
        <v>23</v>
      </c>
      <c r="M140" s="409">
        <v>23</v>
      </c>
      <c r="N140" s="410">
        <v>23</v>
      </c>
      <c r="O140" s="410">
        <v>23</v>
      </c>
      <c r="P140" s="408" t="s">
        <v>35</v>
      </c>
      <c r="Q140" s="418" t="s">
        <v>35</v>
      </c>
      <c r="R140" s="418" t="s">
        <v>35</v>
      </c>
      <c r="S140" s="408" t="s">
        <v>35</v>
      </c>
      <c r="T140" s="418" t="s">
        <v>35</v>
      </c>
      <c r="U140" s="418"/>
      <c r="V140" s="418"/>
      <c r="W140" s="418">
        <v>21</v>
      </c>
      <c r="X140" s="418">
        <v>21</v>
      </c>
      <c r="Y140" s="418">
        <v>21</v>
      </c>
      <c r="Z140" s="418">
        <v>21</v>
      </c>
      <c r="AA140" s="418">
        <v>21</v>
      </c>
      <c r="AB140" s="410">
        <v>21</v>
      </c>
      <c r="AC140" s="410">
        <v>21</v>
      </c>
      <c r="AD140" s="408" t="s">
        <v>35</v>
      </c>
      <c r="AE140" s="418" t="s">
        <v>35</v>
      </c>
      <c r="AF140" s="418" t="s">
        <v>35</v>
      </c>
      <c r="AG140" s="90" t="s">
        <v>35</v>
      </c>
      <c r="AH140" s="76"/>
      <c r="AI140" s="76"/>
    </row>
    <row r="141" spans="1:35" ht="25.5" customHeight="1">
      <c r="A141" s="36"/>
      <c r="B141" s="87"/>
      <c r="C141" s="91"/>
      <c r="D141" s="91"/>
      <c r="E141" s="85"/>
      <c r="F141" s="91"/>
      <c r="G141" s="91"/>
      <c r="H141" s="91"/>
      <c r="I141" s="91"/>
      <c r="J141" s="91"/>
      <c r="K141" s="91"/>
      <c r="L141" s="91"/>
      <c r="M141" s="91"/>
      <c r="N141" s="91"/>
      <c r="O141" s="91"/>
      <c r="P141" s="85"/>
      <c r="Q141" s="91"/>
      <c r="R141" s="91"/>
      <c r="S141" s="85"/>
      <c r="T141" s="91"/>
      <c r="U141" s="91"/>
      <c r="V141" s="91"/>
      <c r="W141" s="91"/>
      <c r="X141" s="91"/>
      <c r="Y141" s="91"/>
      <c r="Z141" s="91"/>
      <c r="AA141" s="91"/>
      <c r="AB141" s="91"/>
      <c r="AC141" s="92"/>
      <c r="AD141" s="92"/>
      <c r="AE141" s="92"/>
      <c r="AF141" s="91"/>
      <c r="AG141" s="85"/>
      <c r="AH141" s="76"/>
      <c r="AI141" s="76"/>
    </row>
    <row r="142" spans="1:35" ht="25.5" customHeight="1" thickBot="1">
      <c r="A142" s="14" t="s">
        <v>218</v>
      </c>
      <c r="D142" s="17"/>
      <c r="E142" s="17"/>
      <c r="F142" s="17"/>
      <c r="G142" s="80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</row>
    <row r="143" spans="1:35" ht="25.5" customHeight="1">
      <c r="A143" s="1"/>
      <c r="B143" s="900" t="s">
        <v>186</v>
      </c>
      <c r="C143" s="901"/>
      <c r="D143" s="925" t="s">
        <v>87</v>
      </c>
      <c r="E143" s="705"/>
      <c r="F143" s="905"/>
      <c r="G143" s="901"/>
      <c r="H143" s="925" t="s">
        <v>88</v>
      </c>
      <c r="I143" s="705"/>
      <c r="J143" s="905"/>
      <c r="K143" s="901"/>
      <c r="L143" s="925" t="s">
        <v>89</v>
      </c>
      <c r="M143" s="705"/>
      <c r="N143" s="905"/>
      <c r="O143" s="901"/>
      <c r="P143" s="925" t="s">
        <v>90</v>
      </c>
      <c r="Q143" s="705"/>
      <c r="R143" s="905"/>
      <c r="S143" s="901"/>
      <c r="T143" s="925" t="s">
        <v>91</v>
      </c>
      <c r="U143" s="705"/>
      <c r="V143" s="905"/>
      <c r="W143" s="901"/>
      <c r="X143" s="925" t="s">
        <v>92</v>
      </c>
      <c r="Y143" s="705"/>
      <c r="Z143" s="905"/>
      <c r="AA143" s="901"/>
      <c r="AB143" s="925" t="s">
        <v>93</v>
      </c>
      <c r="AC143" s="705"/>
      <c r="AD143" s="705"/>
      <c r="AE143" s="928" t="s">
        <v>94</v>
      </c>
      <c r="AF143" s="705"/>
      <c r="AG143" s="705"/>
      <c r="AH143" s="705"/>
      <c r="AI143" s="706"/>
    </row>
    <row r="144" spans="1:35" ht="25.5" customHeight="1">
      <c r="A144" s="1"/>
      <c r="B144" s="2393" t="s">
        <v>159</v>
      </c>
      <c r="C144" s="2303" t="s">
        <v>368</v>
      </c>
      <c r="D144" s="2179"/>
      <c r="E144" s="2179"/>
      <c r="F144" s="2113"/>
      <c r="G144" s="2303" t="s">
        <v>368</v>
      </c>
      <c r="H144" s="2179"/>
      <c r="I144" s="2179"/>
      <c r="J144" s="2113"/>
      <c r="K144" s="2303" t="s">
        <v>368</v>
      </c>
      <c r="L144" s="2179"/>
      <c r="M144" s="2179"/>
      <c r="N144" s="2113"/>
      <c r="O144" s="2303" t="s">
        <v>195</v>
      </c>
      <c r="P144" s="2179"/>
      <c r="Q144" s="2179"/>
      <c r="R144" s="2113"/>
      <c r="S144" s="2303" t="s">
        <v>172</v>
      </c>
      <c r="T144" s="2179"/>
      <c r="U144" s="2179"/>
      <c r="V144" s="2113"/>
      <c r="W144" s="2434"/>
      <c r="X144" s="2435"/>
      <c r="Y144" s="2435"/>
      <c r="Z144" s="2396"/>
      <c r="AA144" s="2098"/>
      <c r="AB144" s="2179"/>
      <c r="AC144" s="2179"/>
      <c r="AD144" s="2114"/>
      <c r="AE144" s="2397">
        <v>27</v>
      </c>
      <c r="AF144" s="2179"/>
      <c r="AG144" s="2179"/>
      <c r="AH144" s="2114"/>
      <c r="AI144" s="2099"/>
    </row>
    <row r="145" spans="1:35" ht="25.5" customHeight="1">
      <c r="A145" s="1"/>
      <c r="B145" s="2393" t="s">
        <v>163</v>
      </c>
      <c r="C145" s="2303" t="s">
        <v>188</v>
      </c>
      <c r="D145" s="2179"/>
      <c r="E145" s="2179"/>
      <c r="F145" s="2113"/>
      <c r="G145" s="2303" t="s">
        <v>188</v>
      </c>
      <c r="H145" s="2179"/>
      <c r="I145" s="2179"/>
      <c r="J145" s="2113"/>
      <c r="K145" s="2303" t="s">
        <v>188</v>
      </c>
      <c r="L145" s="2179"/>
      <c r="M145" s="2179"/>
      <c r="N145" s="2113"/>
      <c r="O145" s="2303" t="s">
        <v>188</v>
      </c>
      <c r="P145" s="2179"/>
      <c r="Q145" s="2179"/>
      <c r="R145" s="2113"/>
      <c r="S145" s="2303" t="s">
        <v>368</v>
      </c>
      <c r="T145" s="2179"/>
      <c r="U145" s="2179"/>
      <c r="V145" s="2113"/>
      <c r="W145" s="2303"/>
      <c r="X145" s="2179"/>
      <c r="Y145" s="2179"/>
      <c r="Z145" s="2113"/>
      <c r="AA145" s="2179"/>
      <c r="AB145" s="2179"/>
      <c r="AC145" s="2179"/>
      <c r="AD145" s="2114"/>
      <c r="AE145" s="2397">
        <v>39</v>
      </c>
      <c r="AF145" s="2179"/>
      <c r="AG145" s="2179"/>
      <c r="AH145" s="2114"/>
      <c r="AI145" s="2099"/>
    </row>
    <row r="146" spans="1:35" ht="25.5" customHeight="1">
      <c r="A146" s="1"/>
      <c r="B146" s="2393" t="s">
        <v>171</v>
      </c>
      <c r="C146" s="2303" t="s">
        <v>188</v>
      </c>
      <c r="D146" s="2179"/>
      <c r="E146" s="2179"/>
      <c r="F146" s="2113"/>
      <c r="G146" s="2303" t="s">
        <v>188</v>
      </c>
      <c r="H146" s="2179"/>
      <c r="I146" s="2179"/>
      <c r="J146" s="2113"/>
      <c r="K146" s="2303" t="s">
        <v>188</v>
      </c>
      <c r="L146" s="2179"/>
      <c r="M146" s="2179"/>
      <c r="N146" s="2113"/>
      <c r="O146" s="2303" t="s">
        <v>188</v>
      </c>
      <c r="P146" s="2179"/>
      <c r="Q146" s="2179"/>
      <c r="R146" s="2113"/>
      <c r="S146" s="2303" t="s">
        <v>188</v>
      </c>
      <c r="T146" s="2179"/>
      <c r="U146" s="2179"/>
      <c r="V146" s="2113"/>
      <c r="W146" s="2305" t="s">
        <v>221</v>
      </c>
      <c r="X146" s="2227"/>
      <c r="Y146" s="2227"/>
      <c r="Z146" s="2401"/>
      <c r="AA146" s="2399"/>
      <c r="AB146" s="2227"/>
      <c r="AC146" s="2227"/>
      <c r="AD146" s="2306"/>
      <c r="AE146" s="2397">
        <v>45</v>
      </c>
      <c r="AF146" s="2179"/>
      <c r="AG146" s="2179"/>
      <c r="AH146" s="2114"/>
      <c r="AI146" s="2099"/>
    </row>
    <row r="147" spans="1:35" ht="25.5" customHeight="1" thickBot="1">
      <c r="A147" s="1"/>
      <c r="B147" s="2725" t="s">
        <v>173</v>
      </c>
      <c r="C147" s="2714"/>
      <c r="D147" s="2540"/>
      <c r="E147" s="2540"/>
      <c r="F147" s="2716"/>
      <c r="G147" s="2714"/>
      <c r="H147" s="2540"/>
      <c r="I147" s="2540"/>
      <c r="J147" s="2716"/>
      <c r="K147" s="2714"/>
      <c r="L147" s="2540"/>
      <c r="M147" s="2540"/>
      <c r="N147" s="2716"/>
      <c r="O147" s="2714"/>
      <c r="P147" s="2540"/>
      <c r="Q147" s="2540"/>
      <c r="R147" s="2716"/>
      <c r="S147" s="2714"/>
      <c r="T147" s="2540"/>
      <c r="U147" s="2540"/>
      <c r="V147" s="2701"/>
      <c r="W147" s="2714"/>
      <c r="X147" s="2701"/>
      <c r="Y147" s="2540"/>
      <c r="Z147" s="2716"/>
      <c r="AA147" s="2714"/>
      <c r="AB147" s="2701"/>
      <c r="AC147" s="2540"/>
      <c r="AD147" s="2716"/>
      <c r="AE147" s="2726"/>
      <c r="AF147" s="2540"/>
      <c r="AG147" s="2540"/>
      <c r="AH147" s="2701"/>
      <c r="AI147" s="2547"/>
    </row>
    <row r="148" spans="1:35" ht="25.5" customHeight="1">
      <c r="A148" s="82"/>
      <c r="B148" s="1" t="s">
        <v>443</v>
      </c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</row>
    <row r="149" spans="1:35" ht="25.5" customHeight="1" thickBot="1">
      <c r="A149" s="2120" t="s">
        <v>210</v>
      </c>
      <c r="B149" s="2121" t="s">
        <v>29</v>
      </c>
      <c r="C149" s="2233">
        <v>1</v>
      </c>
      <c r="D149" s="2233">
        <v>2</v>
      </c>
      <c r="E149" s="2233">
        <v>3</v>
      </c>
      <c r="F149" s="2233">
        <v>4</v>
      </c>
      <c r="G149" s="2232">
        <v>5</v>
      </c>
      <c r="H149" s="2232">
        <v>6</v>
      </c>
      <c r="I149" s="2233">
        <v>7</v>
      </c>
      <c r="J149" s="2233">
        <v>8</v>
      </c>
      <c r="K149" s="2233">
        <v>9</v>
      </c>
      <c r="L149" s="2233">
        <v>10</v>
      </c>
      <c r="M149" s="2233">
        <v>11</v>
      </c>
      <c r="N149" s="2232">
        <v>12</v>
      </c>
      <c r="O149" s="2232"/>
      <c r="P149" s="2233">
        <v>14</v>
      </c>
      <c r="Q149" s="2233">
        <v>15</v>
      </c>
      <c r="R149" s="2233">
        <v>16</v>
      </c>
      <c r="S149" s="2233">
        <v>17</v>
      </c>
      <c r="T149" s="2233">
        <v>18</v>
      </c>
      <c r="U149" s="2232">
        <v>19</v>
      </c>
      <c r="V149" s="2232">
        <v>20</v>
      </c>
      <c r="W149" s="2233">
        <v>21</v>
      </c>
      <c r="X149" s="2233">
        <v>22</v>
      </c>
      <c r="Y149" s="2233">
        <v>23</v>
      </c>
      <c r="Z149" s="2233">
        <v>24</v>
      </c>
      <c r="AA149" s="2233">
        <v>25</v>
      </c>
      <c r="AB149" s="2232">
        <v>26</v>
      </c>
      <c r="AC149" s="2232">
        <v>27</v>
      </c>
      <c r="AD149" s="2233">
        <v>28</v>
      </c>
      <c r="AE149" s="2233">
        <v>29</v>
      </c>
      <c r="AF149" s="2233">
        <v>30</v>
      </c>
      <c r="AG149" s="2234">
        <v>31</v>
      </c>
      <c r="AH149" s="23"/>
      <c r="AI149" s="24"/>
    </row>
    <row r="150" spans="1:35" ht="25.5" customHeight="1">
      <c r="A150" s="2703">
        <v>1</v>
      </c>
      <c r="B150" s="2727" t="s">
        <v>223</v>
      </c>
      <c r="C150" s="2566" t="s">
        <v>31</v>
      </c>
      <c r="D150" s="2566" t="s">
        <v>31</v>
      </c>
      <c r="E150" s="2566" t="s">
        <v>31</v>
      </c>
      <c r="F150" s="2566" t="s">
        <v>304</v>
      </c>
      <c r="G150" s="2728"/>
      <c r="H150" s="2728"/>
      <c r="I150" s="2728" t="s">
        <v>31</v>
      </c>
      <c r="J150" s="2728" t="s">
        <v>31</v>
      </c>
      <c r="K150" s="2728" t="s">
        <v>31</v>
      </c>
      <c r="L150" s="2728" t="s">
        <v>31</v>
      </c>
      <c r="M150" s="2728" t="s">
        <v>31</v>
      </c>
      <c r="N150" s="2728"/>
      <c r="O150" s="2728"/>
      <c r="P150" s="2728" t="s">
        <v>31</v>
      </c>
      <c r="Q150" s="2728" t="s">
        <v>31</v>
      </c>
      <c r="R150" s="2728" t="s">
        <v>31</v>
      </c>
      <c r="S150" s="2580" t="s">
        <v>31</v>
      </c>
      <c r="T150" s="2580" t="s">
        <v>31</v>
      </c>
      <c r="U150" s="2728"/>
      <c r="V150" s="2728"/>
      <c r="W150" s="2728" t="s">
        <v>31</v>
      </c>
      <c r="X150" s="2728" t="s">
        <v>31</v>
      </c>
      <c r="Y150" s="2728" t="s">
        <v>31</v>
      </c>
      <c r="Z150" s="2728" t="s">
        <v>31</v>
      </c>
      <c r="AA150" s="1818" t="s">
        <v>31</v>
      </c>
      <c r="AB150" s="2728"/>
      <c r="AC150" s="2728"/>
      <c r="AD150" s="1818" t="s">
        <v>31</v>
      </c>
      <c r="AE150" s="2728" t="s">
        <v>31</v>
      </c>
      <c r="AF150" s="2728" t="s">
        <v>31</v>
      </c>
      <c r="AG150" s="2729" t="s">
        <v>31</v>
      </c>
      <c r="AH150" s="34"/>
      <c r="AI150" s="25"/>
    </row>
    <row r="151" spans="1:35" ht="25.5" customHeight="1">
      <c r="A151" s="2414">
        <v>2</v>
      </c>
      <c r="B151" s="2440" t="s">
        <v>224</v>
      </c>
      <c r="C151" s="2317" t="s">
        <v>114</v>
      </c>
      <c r="D151" s="2438" t="s">
        <v>114</v>
      </c>
      <c r="E151" s="2317" t="s">
        <v>114</v>
      </c>
      <c r="F151" s="2317" t="s">
        <v>114</v>
      </c>
      <c r="G151" s="2730" t="s">
        <v>115</v>
      </c>
      <c r="H151" s="2317"/>
      <c r="I151" s="2317" t="s">
        <v>115</v>
      </c>
      <c r="J151" s="2317" t="s">
        <v>115</v>
      </c>
      <c r="K151" s="2317" t="s">
        <v>115</v>
      </c>
      <c r="L151" s="2317" t="s">
        <v>115</v>
      </c>
      <c r="M151" s="2317" t="s">
        <v>115</v>
      </c>
      <c r="N151" s="2317" t="s">
        <v>115</v>
      </c>
      <c r="O151" s="2317"/>
      <c r="P151" s="2731" t="s">
        <v>225</v>
      </c>
      <c r="Q151" s="2731" t="s">
        <v>225</v>
      </c>
      <c r="R151" s="2731" t="s">
        <v>225</v>
      </c>
      <c r="S151" s="2731" t="s">
        <v>225</v>
      </c>
      <c r="T151" s="2317" t="s">
        <v>35</v>
      </c>
      <c r="U151" s="2317"/>
      <c r="V151" s="2317"/>
      <c r="W151" s="2317" t="s">
        <v>114</v>
      </c>
      <c r="X151" s="2317" t="s">
        <v>114</v>
      </c>
      <c r="Y151" s="2438" t="s">
        <v>114</v>
      </c>
      <c r="Z151" s="2317" t="s">
        <v>114</v>
      </c>
      <c r="AA151" s="2317" t="s">
        <v>114</v>
      </c>
      <c r="AB151" s="2317"/>
      <c r="AC151" s="2317"/>
      <c r="AD151" s="2519" t="s">
        <v>115</v>
      </c>
      <c r="AE151" s="2317" t="s">
        <v>115</v>
      </c>
      <c r="AF151" s="2317" t="s">
        <v>115</v>
      </c>
      <c r="AG151" s="2439" t="s">
        <v>115</v>
      </c>
      <c r="AH151" s="34"/>
      <c r="AI151" s="25"/>
    </row>
    <row r="152" spans="1:35" ht="25.5" customHeight="1">
      <c r="A152" s="2414">
        <v>3</v>
      </c>
      <c r="B152" s="2440" t="s">
        <v>444</v>
      </c>
      <c r="C152" s="2317" t="s">
        <v>115</v>
      </c>
      <c r="D152" s="2317" t="s">
        <v>115</v>
      </c>
      <c r="E152" s="2317" t="s">
        <v>115</v>
      </c>
      <c r="F152" s="2317" t="s">
        <v>115</v>
      </c>
      <c r="G152" s="2317" t="s">
        <v>115</v>
      </c>
      <c r="H152" s="2317"/>
      <c r="I152" s="2317" t="s">
        <v>225</v>
      </c>
      <c r="J152" s="2317" t="s">
        <v>225</v>
      </c>
      <c r="K152" s="2317" t="s">
        <v>225</v>
      </c>
      <c r="L152" s="2317" t="s">
        <v>225</v>
      </c>
      <c r="M152" s="2317" t="s">
        <v>35</v>
      </c>
      <c r="N152" s="2317"/>
      <c r="O152" s="2317"/>
      <c r="P152" s="2317" t="s">
        <v>114</v>
      </c>
      <c r="Q152" s="2317" t="s">
        <v>114</v>
      </c>
      <c r="R152" s="2317" t="s">
        <v>114</v>
      </c>
      <c r="S152" s="2317" t="s">
        <v>114</v>
      </c>
      <c r="T152" s="2317" t="s">
        <v>114</v>
      </c>
      <c r="U152" s="2317"/>
      <c r="V152" s="2317"/>
      <c r="W152" s="2317" t="s">
        <v>115</v>
      </c>
      <c r="X152" s="2317" t="s">
        <v>115</v>
      </c>
      <c r="Y152" s="2317" t="s">
        <v>115</v>
      </c>
      <c r="Z152" s="2317" t="s">
        <v>115</v>
      </c>
      <c r="AA152" s="2317" t="s">
        <v>115</v>
      </c>
      <c r="AB152" s="2317" t="s">
        <v>115</v>
      </c>
      <c r="AC152" s="2317"/>
      <c r="AD152" s="2317" t="s">
        <v>225</v>
      </c>
      <c r="AE152" s="2317" t="s">
        <v>225</v>
      </c>
      <c r="AF152" s="2317" t="s">
        <v>225</v>
      </c>
      <c r="AG152" s="2439" t="s">
        <v>225</v>
      </c>
      <c r="AH152" s="34"/>
      <c r="AI152" s="25"/>
    </row>
    <row r="153" spans="1:35" ht="25.5" customHeight="1">
      <c r="A153" s="2414">
        <v>4</v>
      </c>
      <c r="B153" s="2440" t="s">
        <v>227</v>
      </c>
      <c r="C153" s="2317" t="s">
        <v>31</v>
      </c>
      <c r="D153" s="2317" t="s">
        <v>31</v>
      </c>
      <c r="E153" s="2317"/>
      <c r="F153" s="2317" t="s">
        <v>31</v>
      </c>
      <c r="G153" s="2317"/>
      <c r="H153" s="2317"/>
      <c r="I153" s="2317"/>
      <c r="J153" s="2317" t="s">
        <v>31</v>
      </c>
      <c r="K153" s="2317" t="s">
        <v>31</v>
      </c>
      <c r="L153" s="2317"/>
      <c r="M153" s="2317" t="s">
        <v>31</v>
      </c>
      <c r="N153" s="2317"/>
      <c r="O153" s="2317"/>
      <c r="P153" s="2317"/>
      <c r="Q153" s="2317" t="s">
        <v>31</v>
      </c>
      <c r="R153" s="2317"/>
      <c r="S153" s="2317"/>
      <c r="T153" s="2317" t="s">
        <v>31</v>
      </c>
      <c r="U153" s="2288" t="s">
        <v>115</v>
      </c>
      <c r="V153" s="2317"/>
      <c r="W153" s="2317"/>
      <c r="X153" s="2317" t="s">
        <v>31</v>
      </c>
      <c r="Y153" s="2317" t="s">
        <v>31</v>
      </c>
      <c r="Z153" s="2317"/>
      <c r="AA153" s="2317" t="s">
        <v>31</v>
      </c>
      <c r="AB153" s="2317"/>
      <c r="AC153" s="2317"/>
      <c r="AD153" s="2317"/>
      <c r="AE153" s="2317" t="s">
        <v>31</v>
      </c>
      <c r="AF153" s="2317" t="s">
        <v>31</v>
      </c>
      <c r="AG153" s="2317"/>
      <c r="AH153" s="34"/>
      <c r="AI153" s="25"/>
    </row>
    <row r="154" spans="1:35" ht="25.5" customHeight="1">
      <c r="A154" s="2414">
        <v>5</v>
      </c>
      <c r="B154" s="2440" t="s">
        <v>228</v>
      </c>
      <c r="C154" s="2317" t="s">
        <v>31</v>
      </c>
      <c r="D154" s="2317"/>
      <c r="E154" s="2317" t="s">
        <v>31</v>
      </c>
      <c r="F154" s="2317"/>
      <c r="G154" s="2317"/>
      <c r="H154" s="2317"/>
      <c r="I154" s="2317"/>
      <c r="J154" s="2317" t="s">
        <v>31</v>
      </c>
      <c r="K154" s="2317"/>
      <c r="L154" s="2317" t="s">
        <v>31</v>
      </c>
      <c r="M154" s="2317"/>
      <c r="N154" s="2317"/>
      <c r="O154" s="2317"/>
      <c r="P154" s="2317"/>
      <c r="Q154" s="2317" t="s">
        <v>31</v>
      </c>
      <c r="R154" s="2317"/>
      <c r="S154" s="2317" t="s">
        <v>31</v>
      </c>
      <c r="T154" s="2317"/>
      <c r="U154" s="2317"/>
      <c r="V154" s="2317"/>
      <c r="W154" s="2317"/>
      <c r="X154" s="2317" t="s">
        <v>31</v>
      </c>
      <c r="Y154" s="2317"/>
      <c r="Z154" s="2317" t="s">
        <v>31</v>
      </c>
      <c r="AA154" s="2317"/>
      <c r="AB154" s="2317"/>
      <c r="AC154" s="2317"/>
      <c r="AD154" s="2317"/>
      <c r="AE154" s="2317" t="s">
        <v>31</v>
      </c>
      <c r="AF154" s="2317"/>
      <c r="AG154" s="2439" t="s">
        <v>31</v>
      </c>
      <c r="AH154" s="34"/>
      <c r="AI154" s="25"/>
    </row>
    <row r="155" spans="1:35" ht="25.5" customHeight="1" thickBot="1">
      <c r="A155" s="2707">
        <v>6</v>
      </c>
      <c r="B155" s="2556" t="s">
        <v>229</v>
      </c>
      <c r="C155" s="2732" t="s">
        <v>31</v>
      </c>
      <c r="D155" s="2732" t="s">
        <v>31</v>
      </c>
      <c r="E155" s="2732" t="s">
        <v>31</v>
      </c>
      <c r="F155" s="2732" t="s">
        <v>31</v>
      </c>
      <c r="G155" s="2732"/>
      <c r="H155" s="2732"/>
      <c r="I155" s="2732" t="s">
        <v>31</v>
      </c>
      <c r="J155" s="2732" t="s">
        <v>31</v>
      </c>
      <c r="K155" s="2732" t="s">
        <v>31</v>
      </c>
      <c r="L155" s="2732" t="s">
        <v>31</v>
      </c>
      <c r="M155" s="2732" t="s">
        <v>31</v>
      </c>
      <c r="N155" s="2732"/>
      <c r="O155" s="2732"/>
      <c r="P155" s="2732" t="s">
        <v>31</v>
      </c>
      <c r="Q155" s="2732" t="s">
        <v>31</v>
      </c>
      <c r="R155" s="2732" t="s">
        <v>31</v>
      </c>
      <c r="S155" s="2732" t="s">
        <v>31</v>
      </c>
      <c r="T155" s="2732" t="s">
        <v>31</v>
      </c>
      <c r="U155" s="2732"/>
      <c r="V155" s="2732"/>
      <c r="W155" s="2732" t="s">
        <v>31</v>
      </c>
      <c r="X155" s="2732" t="s">
        <v>31</v>
      </c>
      <c r="Y155" s="2732" t="s">
        <v>31</v>
      </c>
      <c r="Z155" s="2732" t="s">
        <v>31</v>
      </c>
      <c r="AA155" s="2733" t="s">
        <v>31</v>
      </c>
      <c r="AB155" s="2732"/>
      <c r="AC155" s="2732"/>
      <c r="AD155" s="2732" t="s">
        <v>31</v>
      </c>
      <c r="AE155" s="2732" t="s">
        <v>31</v>
      </c>
      <c r="AF155" s="2732" t="s">
        <v>31</v>
      </c>
      <c r="AG155" s="2734" t="s">
        <v>31</v>
      </c>
      <c r="AH155" s="93"/>
      <c r="AI155" s="76"/>
    </row>
    <row r="156" spans="1:35" ht="25.5" customHeight="1">
      <c r="A156" s="36"/>
      <c r="B156" s="87"/>
      <c r="C156" s="133"/>
      <c r="D156" s="133"/>
      <c r="E156" s="133"/>
      <c r="F156" s="133"/>
      <c r="G156" s="133"/>
      <c r="H156" s="133"/>
      <c r="I156" s="133"/>
      <c r="J156" s="133"/>
      <c r="K156" s="133"/>
      <c r="L156" s="133"/>
      <c r="M156" s="133"/>
      <c r="N156" s="133"/>
      <c r="O156" s="133"/>
      <c r="P156" s="133"/>
      <c r="Q156" s="133"/>
      <c r="R156" s="133"/>
      <c r="S156" s="133"/>
      <c r="T156" s="133"/>
      <c r="U156" s="133"/>
      <c r="V156" s="133"/>
      <c r="W156" s="133"/>
      <c r="X156" s="133"/>
      <c r="Y156" s="133"/>
      <c r="Z156" s="133"/>
      <c r="AA156" s="133"/>
      <c r="AB156" s="133"/>
      <c r="AC156" s="133"/>
      <c r="AD156" s="78"/>
      <c r="AE156" s="78"/>
      <c r="AF156" s="78"/>
      <c r="AG156" s="78"/>
      <c r="AH156" s="76"/>
      <c r="AI156" s="76"/>
    </row>
    <row r="157" spans="1:35" ht="25.5" customHeight="1" thickBot="1">
      <c r="A157" s="94" t="s">
        <v>230</v>
      </c>
      <c r="B157" s="17"/>
      <c r="C157" s="38" t="s">
        <v>96</v>
      </c>
      <c r="D157" s="17"/>
      <c r="E157" s="17"/>
      <c r="F157" s="38" t="s">
        <v>96</v>
      </c>
      <c r="G157" s="17"/>
      <c r="H157" s="17"/>
      <c r="I157" s="38" t="s">
        <v>96</v>
      </c>
      <c r="J157" s="38"/>
      <c r="K157" s="17"/>
      <c r="L157" s="38" t="s">
        <v>96</v>
      </c>
      <c r="M157" s="17"/>
      <c r="N157" s="17"/>
      <c r="O157" s="38" t="s">
        <v>96</v>
      </c>
      <c r="P157" s="17"/>
      <c r="Q157" s="38"/>
      <c r="R157" s="38" t="s">
        <v>96</v>
      </c>
      <c r="S157" s="17"/>
      <c r="T157" s="17"/>
      <c r="U157" s="38" t="s">
        <v>96</v>
      </c>
      <c r="V157" s="17"/>
      <c r="W157" s="38"/>
      <c r="X157" s="38"/>
      <c r="Y157" s="17"/>
      <c r="Z157" s="17"/>
      <c r="AA157" s="17"/>
      <c r="AB157" s="17"/>
      <c r="AC157" s="17"/>
      <c r="AD157" s="17"/>
      <c r="AE157" s="38"/>
      <c r="AF157" s="17"/>
      <c r="AG157" s="17"/>
      <c r="AH157" s="76"/>
      <c r="AI157" s="76"/>
    </row>
    <row r="158" spans="1:35" ht="25.5" customHeight="1">
      <c r="A158" s="36"/>
      <c r="B158" s="2735" t="s">
        <v>231</v>
      </c>
      <c r="C158" s="2736"/>
      <c r="D158" s="2737" t="s">
        <v>87</v>
      </c>
      <c r="E158" s="2738"/>
      <c r="F158" s="2739"/>
      <c r="G158" s="2740"/>
      <c r="H158" s="2737" t="s">
        <v>88</v>
      </c>
      <c r="I158" s="2738"/>
      <c r="J158" s="2739"/>
      <c r="K158" s="2740"/>
      <c r="L158" s="2737" t="s">
        <v>89</v>
      </c>
      <c r="M158" s="2738"/>
      <c r="N158" s="2739"/>
      <c r="O158" s="2740"/>
      <c r="P158" s="2737" t="s">
        <v>90</v>
      </c>
      <c r="Q158" s="2738"/>
      <c r="R158" s="2739"/>
      <c r="S158" s="2740"/>
      <c r="T158" s="2737" t="s">
        <v>91</v>
      </c>
      <c r="U158" s="2738"/>
      <c r="V158" s="2739"/>
      <c r="W158" s="2740"/>
      <c r="X158" s="2737" t="s">
        <v>92</v>
      </c>
      <c r="Y158" s="2738"/>
      <c r="Z158" s="2739"/>
      <c r="AA158" s="2740"/>
      <c r="AB158" s="2737" t="s">
        <v>93</v>
      </c>
      <c r="AC158" s="2738"/>
      <c r="AD158" s="2738"/>
      <c r="AE158" s="2741" t="s">
        <v>94</v>
      </c>
      <c r="AF158" s="2738"/>
      <c r="AG158" s="2738"/>
      <c r="AH158" s="2738"/>
      <c r="AI158" s="2742"/>
    </row>
    <row r="159" spans="1:35" ht="25.5" customHeight="1">
      <c r="A159" s="36"/>
      <c r="B159" s="2743" t="s">
        <v>232</v>
      </c>
      <c r="C159" s="2744" t="s">
        <v>233</v>
      </c>
      <c r="D159" s="2745" t="s">
        <v>369</v>
      </c>
      <c r="E159" s="2746"/>
      <c r="F159" s="2747"/>
      <c r="G159" s="2744"/>
      <c r="H159" s="2745" t="s">
        <v>369</v>
      </c>
      <c r="I159" s="2746"/>
      <c r="J159" s="2747"/>
      <c r="K159" s="2744"/>
      <c r="L159" s="2745" t="s">
        <v>369</v>
      </c>
      <c r="M159" s="2746"/>
      <c r="N159" s="2747"/>
      <c r="O159" s="2744"/>
      <c r="P159" s="2745" t="s">
        <v>370</v>
      </c>
      <c r="Q159" s="2746"/>
      <c r="R159" s="2747"/>
      <c r="S159" s="2744"/>
      <c r="T159" s="2745" t="s">
        <v>236</v>
      </c>
      <c r="U159" s="2746"/>
      <c r="V159" s="2747"/>
      <c r="W159" s="2744"/>
      <c r="X159" s="2746"/>
      <c r="Y159" s="2746"/>
      <c r="Z159" s="2747"/>
      <c r="AA159" s="2744"/>
      <c r="AB159" s="2746"/>
      <c r="AC159" s="2746"/>
      <c r="AD159" s="2746"/>
      <c r="AE159" s="2744"/>
      <c r="AF159" s="2746"/>
      <c r="AG159" s="2746"/>
      <c r="AH159" s="2748"/>
      <c r="AI159" s="2749"/>
    </row>
    <row r="160" spans="1:35" ht="25.5" customHeight="1">
      <c r="A160" s="36"/>
      <c r="B160" s="2750" t="s">
        <v>371</v>
      </c>
      <c r="C160" s="2744" t="s">
        <v>237</v>
      </c>
      <c r="D160" s="2745" t="s">
        <v>369</v>
      </c>
      <c r="E160" s="2746"/>
      <c r="F160" s="2747"/>
      <c r="G160" s="2744"/>
      <c r="H160" s="2745" t="s">
        <v>369</v>
      </c>
      <c r="I160" s="2746"/>
      <c r="J160" s="2747"/>
      <c r="K160" s="2744"/>
      <c r="L160" s="2745" t="s">
        <v>369</v>
      </c>
      <c r="M160" s="2746"/>
      <c r="N160" s="2747"/>
      <c r="O160" s="2744"/>
      <c r="P160" s="2745" t="s">
        <v>370</v>
      </c>
      <c r="Q160" s="2746"/>
      <c r="R160" s="2747"/>
      <c r="S160" s="2744"/>
      <c r="T160" s="2745" t="s">
        <v>236</v>
      </c>
      <c r="U160" s="2746"/>
      <c r="V160" s="2747"/>
      <c r="W160" s="2744"/>
      <c r="X160" s="2746"/>
      <c r="Y160" s="2746"/>
      <c r="Z160" s="2747"/>
      <c r="AA160" s="2744"/>
      <c r="AB160" s="2746"/>
      <c r="AC160" s="2746"/>
      <c r="AD160" s="2746"/>
      <c r="AE160" s="2744"/>
      <c r="AF160" s="2746"/>
      <c r="AG160" s="2746"/>
      <c r="AH160" s="2748"/>
      <c r="AI160" s="2749"/>
    </row>
    <row r="161" spans="1:35" ht="25.5" customHeight="1">
      <c r="A161" s="36"/>
      <c r="B161" s="2750" t="s">
        <v>238</v>
      </c>
      <c r="C161" s="2744" t="s">
        <v>201</v>
      </c>
      <c r="D161" s="2745" t="s">
        <v>369</v>
      </c>
      <c r="E161" s="2746"/>
      <c r="F161" s="2747"/>
      <c r="G161" s="2744"/>
      <c r="H161" s="2745" t="s">
        <v>369</v>
      </c>
      <c r="I161" s="2746"/>
      <c r="J161" s="2747"/>
      <c r="K161" s="2744"/>
      <c r="L161" s="2745" t="s">
        <v>369</v>
      </c>
      <c r="M161" s="2746"/>
      <c r="N161" s="2747"/>
      <c r="O161" s="2744"/>
      <c r="P161" s="2745" t="s">
        <v>370</v>
      </c>
      <c r="Q161" s="2746"/>
      <c r="R161" s="2747"/>
      <c r="S161" s="2744"/>
      <c r="T161" s="2745" t="s">
        <v>236</v>
      </c>
      <c r="U161" s="2746"/>
      <c r="V161" s="2747"/>
      <c r="W161" s="2744"/>
      <c r="X161" s="2746"/>
      <c r="Y161" s="2746"/>
      <c r="Z161" s="2747"/>
      <c r="AA161" s="2744"/>
      <c r="AB161" s="2746"/>
      <c r="AC161" s="2746"/>
      <c r="AD161" s="2746"/>
      <c r="AE161" s="2744"/>
      <c r="AF161" s="2746"/>
      <c r="AG161" s="2746"/>
      <c r="AH161" s="2748"/>
      <c r="AI161" s="2749"/>
    </row>
    <row r="162" spans="1:35" ht="25.5" customHeight="1">
      <c r="A162" s="36"/>
      <c r="B162" s="2750" t="s">
        <v>239</v>
      </c>
      <c r="C162" s="2744" t="s">
        <v>121</v>
      </c>
      <c r="D162" s="2745" t="s">
        <v>369</v>
      </c>
      <c r="E162" s="2746"/>
      <c r="F162" s="2747"/>
      <c r="G162" s="2744"/>
      <c r="H162" s="2745" t="s">
        <v>369</v>
      </c>
      <c r="I162" s="2746"/>
      <c r="J162" s="2747"/>
      <c r="K162" s="2744"/>
      <c r="L162" s="2745" t="s">
        <v>369</v>
      </c>
      <c r="M162" s="2746"/>
      <c r="N162" s="2747"/>
      <c r="O162" s="2744"/>
      <c r="P162" s="2745" t="s">
        <v>370</v>
      </c>
      <c r="Q162" s="2746"/>
      <c r="R162" s="2747"/>
      <c r="S162" s="2744"/>
      <c r="T162" s="2745" t="s">
        <v>236</v>
      </c>
      <c r="U162" s="2746"/>
      <c r="V162" s="2747"/>
      <c r="W162" s="2744"/>
      <c r="X162" s="2746"/>
      <c r="Y162" s="2746"/>
      <c r="Z162" s="2747"/>
      <c r="AA162" s="2744"/>
      <c r="AB162" s="2746"/>
      <c r="AC162" s="2746"/>
      <c r="AD162" s="2746"/>
      <c r="AE162" s="2744"/>
      <c r="AF162" s="2746"/>
      <c r="AG162" s="2746"/>
      <c r="AH162" s="2748"/>
      <c r="AI162" s="2749"/>
    </row>
    <row r="163" spans="1:35" ht="25.5" customHeight="1">
      <c r="A163" s="36"/>
      <c r="B163" s="2750" t="s">
        <v>243</v>
      </c>
      <c r="C163" s="2744" t="s">
        <v>244</v>
      </c>
      <c r="D163" s="2745" t="s">
        <v>369</v>
      </c>
      <c r="E163" s="2746"/>
      <c r="F163" s="2747"/>
      <c r="G163" s="2744"/>
      <c r="H163" s="2745" t="s">
        <v>369</v>
      </c>
      <c r="I163" s="2746"/>
      <c r="J163" s="2747"/>
      <c r="K163" s="2744"/>
      <c r="L163" s="2745" t="s">
        <v>369</v>
      </c>
      <c r="M163" s="2746"/>
      <c r="N163" s="2747"/>
      <c r="O163" s="2744"/>
      <c r="P163" s="2745" t="s">
        <v>370</v>
      </c>
      <c r="Q163" s="2746"/>
      <c r="R163" s="2747"/>
      <c r="S163" s="2744"/>
      <c r="T163" s="2466" t="s">
        <v>242</v>
      </c>
      <c r="U163" s="2746"/>
      <c r="V163" s="2747"/>
      <c r="W163" s="2744"/>
      <c r="X163" s="2746"/>
      <c r="Y163" s="2746"/>
      <c r="Z163" s="2747"/>
      <c r="AA163" s="2744"/>
      <c r="AB163" s="2746"/>
      <c r="AC163" s="2746"/>
      <c r="AD163" s="2746"/>
      <c r="AE163" s="2744"/>
      <c r="AF163" s="2746"/>
      <c r="AG163" s="2746"/>
      <c r="AH163" s="2748"/>
      <c r="AI163" s="2749"/>
    </row>
    <row r="164" spans="1:35" ht="25.5" customHeight="1">
      <c r="A164" s="36"/>
      <c r="B164" s="2750" t="s">
        <v>248</v>
      </c>
      <c r="C164" s="2744" t="s">
        <v>128</v>
      </c>
      <c r="D164" s="2745" t="s">
        <v>234</v>
      </c>
      <c r="E164" s="2746"/>
      <c r="F164" s="2747"/>
      <c r="G164" s="2744"/>
      <c r="H164" s="2466" t="s">
        <v>234</v>
      </c>
      <c r="I164" s="2746"/>
      <c r="J164" s="2747"/>
      <c r="K164" s="2744"/>
      <c r="L164" s="2466" t="s">
        <v>234</v>
      </c>
      <c r="M164" s="2746"/>
      <c r="N164" s="2747"/>
      <c r="O164" s="2744"/>
      <c r="P164" s="2466" t="s">
        <v>234</v>
      </c>
      <c r="Q164" s="2746"/>
      <c r="R164" s="2747"/>
      <c r="S164" s="2744"/>
      <c r="T164" s="2466" t="s">
        <v>245</v>
      </c>
      <c r="U164" s="2746"/>
      <c r="V164" s="2747"/>
      <c r="W164" s="2744"/>
      <c r="X164" s="2746"/>
      <c r="Y164" s="2746"/>
      <c r="Z164" s="2747"/>
      <c r="AA164" s="2744"/>
      <c r="AB164" s="2746"/>
      <c r="AC164" s="2746"/>
      <c r="AD164" s="2746"/>
      <c r="AE164" s="2744"/>
      <c r="AF164" s="2746"/>
      <c r="AG164" s="2746"/>
      <c r="AH164" s="2748"/>
      <c r="AI164" s="2749"/>
    </row>
    <row r="165" spans="1:35" ht="25.5" customHeight="1">
      <c r="A165" s="36"/>
      <c r="B165" s="2750" t="s">
        <v>249</v>
      </c>
      <c r="C165" s="2744" t="s">
        <v>250</v>
      </c>
      <c r="D165" s="2745" t="s">
        <v>369</v>
      </c>
      <c r="E165" s="2746"/>
      <c r="F165" s="2747"/>
      <c r="G165" s="2744"/>
      <c r="H165" s="2745" t="s">
        <v>369</v>
      </c>
      <c r="I165" s="2746"/>
      <c r="J165" s="2747"/>
      <c r="K165" s="2744"/>
      <c r="L165" s="2745" t="s">
        <v>369</v>
      </c>
      <c r="M165" s="2746"/>
      <c r="N165" s="2747"/>
      <c r="O165" s="2744"/>
      <c r="P165" s="2745" t="s">
        <v>370</v>
      </c>
      <c r="Q165" s="2746"/>
      <c r="R165" s="2747"/>
      <c r="S165" s="2744"/>
      <c r="T165" s="2745" t="s">
        <v>236</v>
      </c>
      <c r="U165" s="2746"/>
      <c r="V165" s="2747"/>
      <c r="W165" s="2744"/>
      <c r="X165" s="2746"/>
      <c r="Y165" s="2746"/>
      <c r="Z165" s="2747"/>
      <c r="AA165" s="2744"/>
      <c r="AB165" s="2746"/>
      <c r="AC165" s="2746"/>
      <c r="AD165" s="2746"/>
      <c r="AE165" s="2744"/>
      <c r="AF165" s="2746"/>
      <c r="AG165" s="2746"/>
      <c r="AH165" s="2748"/>
      <c r="AI165" s="2749"/>
    </row>
    <row r="166" spans="1:35" ht="25.5" customHeight="1">
      <c r="A166" s="36"/>
      <c r="B166" s="2750" t="s">
        <v>249</v>
      </c>
      <c r="C166" s="2744" t="s">
        <v>251</v>
      </c>
      <c r="D166" s="2745" t="s">
        <v>369</v>
      </c>
      <c r="E166" s="2746"/>
      <c r="F166" s="2747"/>
      <c r="G166" s="2744"/>
      <c r="H166" s="2745" t="s">
        <v>369</v>
      </c>
      <c r="I166" s="2746"/>
      <c r="J166" s="2747"/>
      <c r="K166" s="2744"/>
      <c r="L166" s="2745" t="s">
        <v>369</v>
      </c>
      <c r="M166" s="2746"/>
      <c r="N166" s="2747"/>
      <c r="O166" s="2744"/>
      <c r="P166" s="2745" t="s">
        <v>370</v>
      </c>
      <c r="Q166" s="2746"/>
      <c r="R166" s="2747"/>
      <c r="S166" s="2744"/>
      <c r="T166" s="2745" t="s">
        <v>236</v>
      </c>
      <c r="U166" s="2746"/>
      <c r="V166" s="2747"/>
      <c r="W166" s="2744"/>
      <c r="X166" s="2746"/>
      <c r="Y166" s="2746"/>
      <c r="Z166" s="2747"/>
      <c r="AA166" s="2744"/>
      <c r="AB166" s="2746"/>
      <c r="AC166" s="2746"/>
      <c r="AD166" s="2746"/>
      <c r="AE166" s="2744"/>
      <c r="AF166" s="2746"/>
      <c r="AG166" s="2746"/>
      <c r="AH166" s="2748"/>
      <c r="AI166" s="2749"/>
    </row>
    <row r="167" spans="1:35" ht="25.5" customHeight="1">
      <c r="A167" s="36"/>
      <c r="B167" s="2750" t="s">
        <v>252</v>
      </c>
      <c r="C167" s="2744" t="s">
        <v>253</v>
      </c>
      <c r="D167" s="2745" t="s">
        <v>369</v>
      </c>
      <c r="E167" s="2746"/>
      <c r="F167" s="2747"/>
      <c r="G167" s="2744"/>
      <c r="H167" s="2745" t="s">
        <v>369</v>
      </c>
      <c r="I167" s="2746"/>
      <c r="J167" s="2747"/>
      <c r="K167" s="2744"/>
      <c r="L167" s="2745" t="s">
        <v>369</v>
      </c>
      <c r="M167" s="2746"/>
      <c r="N167" s="2747"/>
      <c r="O167" s="2744"/>
      <c r="P167" s="2745" t="s">
        <v>370</v>
      </c>
      <c r="Q167" s="2746"/>
      <c r="R167" s="2747"/>
      <c r="S167" s="2744"/>
      <c r="T167" s="2745" t="s">
        <v>236</v>
      </c>
      <c r="U167" s="2746"/>
      <c r="V167" s="2747"/>
      <c r="W167" s="2744"/>
      <c r="X167" s="2746"/>
      <c r="Y167" s="2746"/>
      <c r="Z167" s="2747"/>
      <c r="AA167" s="2744"/>
      <c r="AB167" s="2746"/>
      <c r="AC167" s="2746"/>
      <c r="AD167" s="2746"/>
      <c r="AE167" s="2744"/>
      <c r="AF167" s="2746"/>
      <c r="AG167" s="2746"/>
      <c r="AH167" s="2748"/>
      <c r="AI167" s="2749"/>
    </row>
    <row r="168" spans="1:35" ht="25.5" customHeight="1">
      <c r="A168" s="36"/>
      <c r="B168" s="2751" t="s">
        <v>255</v>
      </c>
      <c r="C168" s="1632" t="s">
        <v>123</v>
      </c>
      <c r="D168" s="419" t="s">
        <v>369</v>
      </c>
      <c r="E168" s="420"/>
      <c r="F168" s="1633"/>
      <c r="G168" s="1632"/>
      <c r="H168" s="419" t="s">
        <v>369</v>
      </c>
      <c r="I168" s="420"/>
      <c r="J168" s="1633"/>
      <c r="K168" s="1632"/>
      <c r="L168" s="419" t="s">
        <v>369</v>
      </c>
      <c r="M168" s="420"/>
      <c r="N168" s="1633"/>
      <c r="O168" s="1632"/>
      <c r="P168" s="419" t="s">
        <v>370</v>
      </c>
      <c r="Q168" s="420"/>
      <c r="R168" s="1633"/>
      <c r="S168" s="1632"/>
      <c r="T168" s="419" t="s">
        <v>236</v>
      </c>
      <c r="U168" s="420"/>
      <c r="V168" s="1633"/>
      <c r="W168" s="1632"/>
      <c r="X168" s="420"/>
      <c r="Y168" s="420"/>
      <c r="Z168" s="1633"/>
      <c r="AA168" s="1632"/>
      <c r="AB168" s="420"/>
      <c r="AC168" s="420"/>
      <c r="AD168" s="420"/>
      <c r="AE168" s="1632"/>
      <c r="AF168" s="420"/>
      <c r="AG168" s="420"/>
      <c r="AH168" s="421"/>
      <c r="AI168" s="1634"/>
    </row>
    <row r="169" spans="1:35" ht="25.5" customHeight="1">
      <c r="A169" s="36"/>
      <c r="B169" s="2750" t="s">
        <v>256</v>
      </c>
      <c r="C169" s="2744" t="s">
        <v>146</v>
      </c>
      <c r="D169" s="2745" t="s">
        <v>369</v>
      </c>
      <c r="E169" s="2746"/>
      <c r="F169" s="2747"/>
      <c r="G169" s="2744"/>
      <c r="H169" s="2745" t="s">
        <v>369</v>
      </c>
      <c r="I169" s="2746"/>
      <c r="J169" s="2747"/>
      <c r="K169" s="2744"/>
      <c r="L169" s="2745" t="s">
        <v>369</v>
      </c>
      <c r="M169" s="2746"/>
      <c r="N169" s="2746"/>
      <c r="O169" s="2744"/>
      <c r="P169" s="2745" t="s">
        <v>370</v>
      </c>
      <c r="Q169" s="2746"/>
      <c r="R169" s="2746"/>
      <c r="S169" s="2744"/>
      <c r="T169" s="2745" t="s">
        <v>236</v>
      </c>
      <c r="U169" s="2746"/>
      <c r="V169" s="2746"/>
      <c r="W169" s="2744"/>
      <c r="X169" s="2746"/>
      <c r="Y169" s="2746"/>
      <c r="Z169" s="2746"/>
      <c r="AA169" s="2744"/>
      <c r="AB169" s="2746"/>
      <c r="AC169" s="2746"/>
      <c r="AD169" s="2746"/>
      <c r="AE169" s="2744"/>
      <c r="AF169" s="2746"/>
      <c r="AG169" s="2746"/>
      <c r="AH169" s="2748"/>
      <c r="AI169" s="2749"/>
    </row>
    <row r="170" spans="1:35" ht="25.5" customHeight="1">
      <c r="A170" s="36"/>
      <c r="B170" s="2750" t="s">
        <v>257</v>
      </c>
      <c r="C170" s="2752" t="s">
        <v>136</v>
      </c>
      <c r="D170" s="2745" t="s">
        <v>369</v>
      </c>
      <c r="E170" s="2746"/>
      <c r="F170" s="2747"/>
      <c r="G170" s="2744"/>
      <c r="H170" s="2745" t="s">
        <v>369</v>
      </c>
      <c r="I170" s="2746"/>
      <c r="J170" s="2747"/>
      <c r="K170" s="2744"/>
      <c r="L170" s="2745" t="s">
        <v>369</v>
      </c>
      <c r="M170" s="2746"/>
      <c r="N170" s="2746"/>
      <c r="O170" s="2744"/>
      <c r="P170" s="2745" t="s">
        <v>370</v>
      </c>
      <c r="Q170" s="2746"/>
      <c r="R170" s="2746"/>
      <c r="S170" s="2744"/>
      <c r="T170" s="2745" t="s">
        <v>236</v>
      </c>
      <c r="U170" s="2746"/>
      <c r="V170" s="2746"/>
      <c r="W170" s="2753"/>
      <c r="X170" s="2746"/>
      <c r="Y170" s="2746"/>
      <c r="Z170" s="2746"/>
      <c r="AA170" s="2744"/>
      <c r="AB170" s="2746"/>
      <c r="AC170" s="2746"/>
      <c r="AD170" s="2746"/>
      <c r="AE170" s="2744"/>
      <c r="AF170" s="2746"/>
      <c r="AG170" s="2746"/>
      <c r="AH170" s="2748"/>
      <c r="AI170" s="2749"/>
    </row>
    <row r="171" spans="1:35" ht="25.5" customHeight="1" thickBot="1">
      <c r="A171" s="36"/>
      <c r="B171" s="95" t="s">
        <v>259</v>
      </c>
      <c r="C171" s="2754" t="s">
        <v>112</v>
      </c>
      <c r="D171" s="2755" t="s">
        <v>369</v>
      </c>
      <c r="E171" s="2756"/>
      <c r="F171" s="2757"/>
      <c r="G171" s="2758"/>
      <c r="H171" s="2755" t="s">
        <v>369</v>
      </c>
      <c r="I171" s="2756"/>
      <c r="J171" s="2757"/>
      <c r="K171" s="2758"/>
      <c r="L171" s="2755" t="s">
        <v>369</v>
      </c>
      <c r="M171" s="2756"/>
      <c r="N171" s="2756"/>
      <c r="O171" s="2758"/>
      <c r="P171" s="2759" t="s">
        <v>372</v>
      </c>
      <c r="Q171" s="2756"/>
      <c r="R171" s="2756"/>
      <c r="S171" s="2758"/>
      <c r="T171" s="2759" t="s">
        <v>242</v>
      </c>
      <c r="U171" s="2756"/>
      <c r="V171" s="2756"/>
      <c r="W171" s="2760"/>
      <c r="X171" s="2756"/>
      <c r="Y171" s="2756"/>
      <c r="Z171" s="2757"/>
      <c r="AA171" s="2761"/>
      <c r="AB171" s="2762"/>
      <c r="AC171" s="2762"/>
      <c r="AD171" s="2762"/>
      <c r="AE171" s="2758"/>
      <c r="AF171" s="2762"/>
      <c r="AG171" s="2762"/>
      <c r="AH171" s="2763"/>
      <c r="AI171" s="2764"/>
    </row>
    <row r="172" spans="1:35" ht="25.5" customHeight="1">
      <c r="A172" s="36"/>
      <c r="C172" s="38"/>
      <c r="D172" s="17"/>
      <c r="E172" s="17"/>
      <c r="F172" s="17"/>
      <c r="G172" s="17"/>
      <c r="H172" s="17"/>
      <c r="I172" s="38"/>
      <c r="J172" s="38"/>
      <c r="K172" s="17"/>
      <c r="L172" s="17"/>
      <c r="M172" s="17"/>
      <c r="N172" s="17"/>
      <c r="O172" s="17"/>
      <c r="P172" s="17"/>
      <c r="Q172" s="38"/>
      <c r="R172" s="17"/>
      <c r="S172" s="17"/>
      <c r="T172" s="17"/>
      <c r="U172" s="17"/>
      <c r="V172" s="17"/>
      <c r="W172" s="38"/>
      <c r="X172" s="38"/>
      <c r="Y172" s="17"/>
      <c r="Z172" s="17"/>
      <c r="AA172" s="17"/>
      <c r="AB172" s="17"/>
      <c r="AC172" s="17"/>
      <c r="AD172" s="17"/>
      <c r="AE172" s="38"/>
      <c r="AF172" s="17"/>
      <c r="AG172" s="17"/>
      <c r="AH172" s="76"/>
      <c r="AI172" s="76"/>
    </row>
    <row r="173" spans="1:35" ht="25.5" customHeight="1" thickBot="1">
      <c r="A173" s="96"/>
      <c r="B173" s="1644" t="s">
        <v>29</v>
      </c>
      <c r="C173" s="2233">
        <v>1</v>
      </c>
      <c r="D173" s="2233">
        <v>2</v>
      </c>
      <c r="E173" s="2233">
        <v>3</v>
      </c>
      <c r="F173" s="2233">
        <v>4</v>
      </c>
      <c r="G173" s="2232">
        <v>5</v>
      </c>
      <c r="H173" s="2232">
        <v>6</v>
      </c>
      <c r="I173" s="2233">
        <v>7</v>
      </c>
      <c r="J173" s="2233">
        <v>8</v>
      </c>
      <c r="K173" s="2233">
        <v>9</v>
      </c>
      <c r="L173" s="2233">
        <v>10</v>
      </c>
      <c r="M173" s="2233">
        <v>11</v>
      </c>
      <c r="N173" s="2232">
        <v>12</v>
      </c>
      <c r="O173" s="2232">
        <v>13</v>
      </c>
      <c r="P173" s="2233">
        <v>14</v>
      </c>
      <c r="Q173" s="2233">
        <v>15</v>
      </c>
      <c r="R173" s="2233">
        <v>16</v>
      </c>
      <c r="S173" s="2233">
        <v>17</v>
      </c>
      <c r="T173" s="2233">
        <v>18</v>
      </c>
      <c r="U173" s="2232">
        <v>19</v>
      </c>
      <c r="V173" s="2232">
        <v>20</v>
      </c>
      <c r="W173" s="2233">
        <v>21</v>
      </c>
      <c r="X173" s="2233">
        <v>22</v>
      </c>
      <c r="Y173" s="2233">
        <v>23</v>
      </c>
      <c r="Z173" s="2233">
        <v>24</v>
      </c>
      <c r="AA173" s="2233">
        <v>25</v>
      </c>
      <c r="AB173" s="2232">
        <v>26</v>
      </c>
      <c r="AC173" s="2232">
        <v>27</v>
      </c>
      <c r="AD173" s="2233">
        <v>28</v>
      </c>
      <c r="AE173" s="2233">
        <v>29</v>
      </c>
      <c r="AF173" s="2233">
        <v>30</v>
      </c>
      <c r="AG173" s="2234">
        <v>31</v>
      </c>
      <c r="AH173" s="97"/>
      <c r="AI173" s="24"/>
    </row>
    <row r="174" spans="1:35" ht="25.5" customHeight="1">
      <c r="A174" s="36"/>
      <c r="B174" s="2765" t="s">
        <v>262</v>
      </c>
      <c r="C174" s="2720" t="s">
        <v>233</v>
      </c>
      <c r="D174" s="2720" t="s">
        <v>233</v>
      </c>
      <c r="E174" s="2720" t="s">
        <v>233</v>
      </c>
      <c r="F174" s="2720" t="s">
        <v>233</v>
      </c>
      <c r="G174" s="2720"/>
      <c r="H174" s="2720"/>
      <c r="I174" s="2720" t="s">
        <v>233</v>
      </c>
      <c r="J174" s="2720" t="s">
        <v>233</v>
      </c>
      <c r="K174" s="2720" t="s">
        <v>233</v>
      </c>
      <c r="L174" s="2720" t="s">
        <v>233</v>
      </c>
      <c r="M174" s="2720" t="s">
        <v>233</v>
      </c>
      <c r="N174" s="2720"/>
      <c r="O174" s="2720"/>
      <c r="P174" s="2720" t="s">
        <v>233</v>
      </c>
      <c r="Q174" s="2720" t="s">
        <v>233</v>
      </c>
      <c r="R174" s="2720" t="s">
        <v>233</v>
      </c>
      <c r="S174" s="2720" t="s">
        <v>233</v>
      </c>
      <c r="T174" s="2720" t="s">
        <v>233</v>
      </c>
      <c r="U174" s="2720"/>
      <c r="V174" s="2720"/>
      <c r="W174" s="2720" t="s">
        <v>233</v>
      </c>
      <c r="X174" s="2720" t="s">
        <v>233</v>
      </c>
      <c r="Y174" s="2720" t="s">
        <v>233</v>
      </c>
      <c r="Z174" s="2720" t="s">
        <v>233</v>
      </c>
      <c r="AA174" s="2720" t="s">
        <v>233</v>
      </c>
      <c r="AB174" s="2720"/>
      <c r="AC174" s="2720"/>
      <c r="AD174" s="2720" t="s">
        <v>233</v>
      </c>
      <c r="AE174" s="2720" t="s">
        <v>233</v>
      </c>
      <c r="AF174" s="2720" t="s">
        <v>233</v>
      </c>
      <c r="AG174" s="2766" t="s">
        <v>233</v>
      </c>
      <c r="AH174" s="25"/>
      <c r="AI174" s="25"/>
    </row>
    <row r="175" spans="1:35" ht="25.5" customHeight="1">
      <c r="A175" s="36"/>
      <c r="B175" s="2767" t="s">
        <v>263</v>
      </c>
      <c r="C175" s="2602" t="s">
        <v>233</v>
      </c>
      <c r="D175" s="2602" t="s">
        <v>233</v>
      </c>
      <c r="E175" s="2602" t="s">
        <v>233</v>
      </c>
      <c r="F175" s="2602" t="s">
        <v>233</v>
      </c>
      <c r="G175" s="2602"/>
      <c r="H175" s="2602"/>
      <c r="I175" s="2602" t="s">
        <v>233</v>
      </c>
      <c r="J175" s="2602" t="s">
        <v>233</v>
      </c>
      <c r="K175" s="2602" t="s">
        <v>233</v>
      </c>
      <c r="L175" s="2602" t="s">
        <v>233</v>
      </c>
      <c r="M175" s="2602" t="s">
        <v>233</v>
      </c>
      <c r="N175" s="2602"/>
      <c r="O175" s="2602"/>
      <c r="P175" s="2602" t="s">
        <v>233</v>
      </c>
      <c r="Q175" s="2602" t="s">
        <v>233</v>
      </c>
      <c r="R175" s="2602" t="s">
        <v>233</v>
      </c>
      <c r="S175" s="2602" t="s">
        <v>233</v>
      </c>
      <c r="T175" s="2602" t="s">
        <v>233</v>
      </c>
      <c r="U175" s="2602"/>
      <c r="V175" s="2602"/>
      <c r="W175" s="2602" t="s">
        <v>233</v>
      </c>
      <c r="X175" s="2602" t="s">
        <v>233</v>
      </c>
      <c r="Y175" s="2602" t="s">
        <v>233</v>
      </c>
      <c r="Z175" s="2602" t="s">
        <v>233</v>
      </c>
      <c r="AA175" s="2602" t="s">
        <v>233</v>
      </c>
      <c r="AB175" s="2602"/>
      <c r="AC175" s="2602"/>
      <c r="AD175" s="2602" t="s">
        <v>233</v>
      </c>
      <c r="AE175" s="2602" t="s">
        <v>233</v>
      </c>
      <c r="AF175" s="2602" t="s">
        <v>233</v>
      </c>
      <c r="AG175" s="2604" t="s">
        <v>233</v>
      </c>
      <c r="AH175" s="25"/>
      <c r="AI175" s="25"/>
    </row>
    <row r="176" spans="1:35" ht="25.5" customHeight="1">
      <c r="A176" s="36"/>
      <c r="B176" s="2767" t="s">
        <v>265</v>
      </c>
      <c r="C176" s="2602" t="s">
        <v>237</v>
      </c>
      <c r="D176" s="2602" t="s">
        <v>237</v>
      </c>
      <c r="E176" s="2602" t="s">
        <v>237</v>
      </c>
      <c r="F176" s="2602" t="s">
        <v>237</v>
      </c>
      <c r="G176" s="2602"/>
      <c r="H176" s="2602"/>
      <c r="I176" s="2602" t="s">
        <v>237</v>
      </c>
      <c r="J176" s="2602" t="s">
        <v>237</v>
      </c>
      <c r="K176" s="2602" t="s">
        <v>237</v>
      </c>
      <c r="L176" s="2602" t="s">
        <v>237</v>
      </c>
      <c r="M176" s="2602" t="s">
        <v>237</v>
      </c>
      <c r="N176" s="2602"/>
      <c r="O176" s="2602"/>
      <c r="P176" s="2602" t="s">
        <v>237</v>
      </c>
      <c r="Q176" s="2602" t="s">
        <v>237</v>
      </c>
      <c r="R176" s="2602" t="s">
        <v>237</v>
      </c>
      <c r="S176" s="2602" t="s">
        <v>237</v>
      </c>
      <c r="T176" s="2602" t="s">
        <v>237</v>
      </c>
      <c r="U176" s="2602"/>
      <c r="V176" s="2602"/>
      <c r="W176" s="2602" t="s">
        <v>237</v>
      </c>
      <c r="X176" s="2768" t="s">
        <v>237</v>
      </c>
      <c r="Y176" s="2768" t="s">
        <v>237</v>
      </c>
      <c r="Z176" s="2768" t="s">
        <v>237</v>
      </c>
      <c r="AA176" s="2768" t="s">
        <v>396</v>
      </c>
      <c r="AB176" s="2602"/>
      <c r="AC176" s="2602"/>
      <c r="AD176" s="2602" t="s">
        <v>237</v>
      </c>
      <c r="AE176" s="2602" t="s">
        <v>237</v>
      </c>
      <c r="AF176" s="2602" t="s">
        <v>237</v>
      </c>
      <c r="AG176" s="2604" t="s">
        <v>237</v>
      </c>
      <c r="AH176" s="25"/>
      <c r="AI176" s="25"/>
    </row>
    <row r="177" spans="1:35" ht="25.5" customHeight="1">
      <c r="A177" s="36"/>
      <c r="B177" s="2767" t="s">
        <v>266</v>
      </c>
      <c r="C177" s="2602" t="s">
        <v>201</v>
      </c>
      <c r="D177" s="2619" t="s">
        <v>201</v>
      </c>
      <c r="E177" s="2619" t="s">
        <v>201</v>
      </c>
      <c r="F177" s="2619" t="s">
        <v>201</v>
      </c>
      <c r="G177" s="2619"/>
      <c r="H177" s="2619"/>
      <c r="I177" s="2602" t="s">
        <v>201</v>
      </c>
      <c r="J177" s="2602" t="s">
        <v>201</v>
      </c>
      <c r="K177" s="2769" t="s">
        <v>201</v>
      </c>
      <c r="L177" s="2602" t="s">
        <v>201</v>
      </c>
      <c r="M177" s="2602" t="s">
        <v>201</v>
      </c>
      <c r="N177" s="2602"/>
      <c r="O177" s="2602"/>
      <c r="P177" s="2592" t="s">
        <v>201</v>
      </c>
      <c r="Q177" s="2592" t="s">
        <v>201</v>
      </c>
      <c r="R177" s="2592" t="s">
        <v>201</v>
      </c>
      <c r="S177" s="2592" t="s">
        <v>201</v>
      </c>
      <c r="T177" s="2592" t="s">
        <v>201</v>
      </c>
      <c r="U177" s="2592"/>
      <c r="V177" s="2592"/>
      <c r="W177" s="2602" t="s">
        <v>201</v>
      </c>
      <c r="X177" s="2602" t="s">
        <v>201</v>
      </c>
      <c r="Y177" s="2602" t="s">
        <v>201</v>
      </c>
      <c r="Z177" s="2602" t="s">
        <v>201</v>
      </c>
      <c r="AA177" s="2602" t="s">
        <v>201</v>
      </c>
      <c r="AB177" s="2602"/>
      <c r="AC177" s="2602"/>
      <c r="AD177" s="2602" t="s">
        <v>201</v>
      </c>
      <c r="AE177" s="2602" t="s">
        <v>201</v>
      </c>
      <c r="AF177" s="2602" t="s">
        <v>201</v>
      </c>
      <c r="AG177" s="2770" t="s">
        <v>201</v>
      </c>
      <c r="AH177" s="25"/>
      <c r="AI177" s="25"/>
    </row>
    <row r="178" spans="1:35" ht="25.5" customHeight="1">
      <c r="A178" s="36"/>
      <c r="B178" s="2554" t="s">
        <v>267</v>
      </c>
      <c r="C178" s="2602" t="s">
        <v>121</v>
      </c>
      <c r="D178" s="2602" t="s">
        <v>121</v>
      </c>
      <c r="E178" s="2602" t="s">
        <v>121</v>
      </c>
      <c r="F178" s="2594" t="s">
        <v>121</v>
      </c>
      <c r="G178" s="2602"/>
      <c r="H178" s="2602"/>
      <c r="I178" s="2602" t="s">
        <v>121</v>
      </c>
      <c r="J178" s="2602" t="s">
        <v>121</v>
      </c>
      <c r="K178" s="2602" t="s">
        <v>121</v>
      </c>
      <c r="L178" s="2594" t="s">
        <v>121</v>
      </c>
      <c r="M178" s="2594" t="s">
        <v>121</v>
      </c>
      <c r="N178" s="2602"/>
      <c r="O178" s="2602"/>
      <c r="P178" s="2602" t="s">
        <v>121</v>
      </c>
      <c r="Q178" s="2602" t="s">
        <v>121</v>
      </c>
      <c r="R178" s="2602" t="s">
        <v>121</v>
      </c>
      <c r="S178" s="2602" t="s">
        <v>121</v>
      </c>
      <c r="T178" s="2602" t="s">
        <v>121</v>
      </c>
      <c r="U178" s="2602"/>
      <c r="V178" s="2602"/>
      <c r="W178" s="2602" t="s">
        <v>121</v>
      </c>
      <c r="X178" s="2602" t="s">
        <v>121</v>
      </c>
      <c r="Y178" s="2602" t="s">
        <v>121</v>
      </c>
      <c r="Z178" s="2602" t="s">
        <v>121</v>
      </c>
      <c r="AA178" s="2602" t="s">
        <v>121</v>
      </c>
      <c r="AB178" s="2602"/>
      <c r="AC178" s="2602"/>
      <c r="AD178" s="2602" t="s">
        <v>121</v>
      </c>
      <c r="AE178" s="2602" t="s">
        <v>121</v>
      </c>
      <c r="AF178" s="2602" t="s">
        <v>121</v>
      </c>
      <c r="AG178" s="2604" t="s">
        <v>121</v>
      </c>
      <c r="AH178" s="25"/>
      <c r="AI178" s="25"/>
    </row>
    <row r="179" spans="1:35" ht="25.5" customHeight="1">
      <c r="A179" s="36"/>
      <c r="B179" s="2767" t="s">
        <v>374</v>
      </c>
      <c r="C179" s="2602" t="s">
        <v>244</v>
      </c>
      <c r="D179" s="2602" t="s">
        <v>244</v>
      </c>
      <c r="E179" s="2602" t="s">
        <v>244</v>
      </c>
      <c r="F179" s="2602" t="s">
        <v>244</v>
      </c>
      <c r="G179" s="2602"/>
      <c r="H179" s="2602"/>
      <c r="I179" s="2602" t="s">
        <v>244</v>
      </c>
      <c r="J179" s="2602" t="s">
        <v>244</v>
      </c>
      <c r="K179" s="2602" t="s">
        <v>244</v>
      </c>
      <c r="L179" s="2602" t="s">
        <v>244</v>
      </c>
      <c r="M179" s="2602" t="s">
        <v>244</v>
      </c>
      <c r="N179" s="2602"/>
      <c r="O179" s="2602"/>
      <c r="P179" s="2602" t="s">
        <v>244</v>
      </c>
      <c r="Q179" s="2602" t="s">
        <v>244</v>
      </c>
      <c r="R179" s="2602" t="s">
        <v>244</v>
      </c>
      <c r="S179" s="2602" t="s">
        <v>244</v>
      </c>
      <c r="T179" s="2602" t="s">
        <v>244</v>
      </c>
      <c r="U179" s="2602"/>
      <c r="V179" s="2602"/>
      <c r="W179" s="2602" t="s">
        <v>244</v>
      </c>
      <c r="X179" s="2602" t="s">
        <v>244</v>
      </c>
      <c r="Y179" s="2602" t="s">
        <v>244</v>
      </c>
      <c r="Z179" s="2602" t="s">
        <v>244</v>
      </c>
      <c r="AA179" s="2771" t="s">
        <v>244</v>
      </c>
      <c r="AB179" s="2602"/>
      <c r="AC179" s="2602"/>
      <c r="AD179" s="2602" t="s">
        <v>244</v>
      </c>
      <c r="AE179" s="1699" t="s">
        <v>244</v>
      </c>
      <c r="AF179" s="2602" t="s">
        <v>244</v>
      </c>
      <c r="AG179" s="2604" t="s">
        <v>244</v>
      </c>
      <c r="AH179" s="25"/>
      <c r="AI179" s="25"/>
    </row>
    <row r="180" spans="1:35" ht="25.5" customHeight="1">
      <c r="A180" s="36"/>
      <c r="B180" s="2767" t="s">
        <v>269</v>
      </c>
      <c r="C180" s="2602" t="s">
        <v>128</v>
      </c>
      <c r="D180" s="2602" t="s">
        <v>128</v>
      </c>
      <c r="E180" s="2602" t="s">
        <v>128</v>
      </c>
      <c r="F180" s="2602" t="s">
        <v>128</v>
      </c>
      <c r="G180" s="2602"/>
      <c r="H180" s="2602"/>
      <c r="I180" s="2602" t="s">
        <v>128</v>
      </c>
      <c r="J180" s="2602" t="s">
        <v>128</v>
      </c>
      <c r="K180" s="2602" t="s">
        <v>128</v>
      </c>
      <c r="L180" s="2602" t="s">
        <v>128</v>
      </c>
      <c r="M180" s="2602" t="s">
        <v>128</v>
      </c>
      <c r="N180" s="2602"/>
      <c r="O180" s="2602"/>
      <c r="P180" s="2602" t="s">
        <v>128</v>
      </c>
      <c r="Q180" s="2602" t="s">
        <v>128</v>
      </c>
      <c r="R180" s="2602" t="s">
        <v>128</v>
      </c>
      <c r="S180" s="2602" t="s">
        <v>128</v>
      </c>
      <c r="T180" s="2602" t="s">
        <v>128</v>
      </c>
      <c r="U180" s="2602"/>
      <c r="V180" s="2602"/>
      <c r="W180" s="2602" t="s">
        <v>128</v>
      </c>
      <c r="X180" s="2602" t="s">
        <v>128</v>
      </c>
      <c r="Y180" s="2602" t="s">
        <v>128</v>
      </c>
      <c r="Z180" s="2772" t="s">
        <v>128</v>
      </c>
      <c r="AA180" s="2530" t="s">
        <v>128</v>
      </c>
      <c r="AB180" s="2602"/>
      <c r="AC180" s="2602"/>
      <c r="AD180" s="2602" t="s">
        <v>128</v>
      </c>
      <c r="AE180" s="2602" t="s">
        <v>128</v>
      </c>
      <c r="AF180" s="2537" t="s">
        <v>128</v>
      </c>
      <c r="AG180" s="2773" t="s">
        <v>128</v>
      </c>
      <c r="AH180" s="25"/>
      <c r="AI180" s="25"/>
    </row>
    <row r="181" spans="1:35" ht="25.5" customHeight="1">
      <c r="A181" s="36"/>
      <c r="B181" s="2605" t="s">
        <v>271</v>
      </c>
      <c r="C181" s="2602" t="s">
        <v>250</v>
      </c>
      <c r="D181" s="2602" t="s">
        <v>250</v>
      </c>
      <c r="E181" s="2602" t="s">
        <v>250</v>
      </c>
      <c r="F181" s="2602" t="s">
        <v>250</v>
      </c>
      <c r="G181" s="2602"/>
      <c r="H181" s="2602"/>
      <c r="I181" s="2602" t="s">
        <v>250</v>
      </c>
      <c r="J181" s="2602" t="s">
        <v>250</v>
      </c>
      <c r="K181" s="2602" t="s">
        <v>250</v>
      </c>
      <c r="L181" s="2602" t="s">
        <v>250</v>
      </c>
      <c r="M181" s="2602" t="s">
        <v>250</v>
      </c>
      <c r="N181" s="2602"/>
      <c r="O181" s="2602"/>
      <c r="P181" s="2601" t="s">
        <v>250</v>
      </c>
      <c r="Q181" s="2601" t="s">
        <v>250</v>
      </c>
      <c r="R181" s="2601" t="s">
        <v>250</v>
      </c>
      <c r="S181" s="2774" t="s">
        <v>250</v>
      </c>
      <c r="T181" s="2592" t="s">
        <v>250</v>
      </c>
      <c r="U181" s="2601" t="s">
        <v>0</v>
      </c>
      <c r="V181" s="2601"/>
      <c r="W181" s="2602" t="s">
        <v>250</v>
      </c>
      <c r="X181" s="2602" t="s">
        <v>250</v>
      </c>
      <c r="Y181" s="2602" t="s">
        <v>250</v>
      </c>
      <c r="Z181" s="2602" t="s">
        <v>250</v>
      </c>
      <c r="AA181" s="2602" t="s">
        <v>250</v>
      </c>
      <c r="AB181" s="2602"/>
      <c r="AC181" s="2602"/>
      <c r="AD181" s="2775" t="s">
        <v>250</v>
      </c>
      <c r="AE181" s="2530" t="s">
        <v>250</v>
      </c>
      <c r="AF181" s="2602" t="s">
        <v>250</v>
      </c>
      <c r="AG181" s="2604" t="s">
        <v>250</v>
      </c>
      <c r="AH181" s="25"/>
      <c r="AI181" s="25"/>
    </row>
    <row r="182" spans="1:35" ht="25.5" customHeight="1">
      <c r="A182" s="36"/>
      <c r="B182" s="2767" t="s">
        <v>273</v>
      </c>
      <c r="C182" s="2602" t="s">
        <v>251</v>
      </c>
      <c r="D182" s="2602" t="s">
        <v>251</v>
      </c>
      <c r="E182" s="2602" t="s">
        <v>251</v>
      </c>
      <c r="F182" s="2602" t="s">
        <v>251</v>
      </c>
      <c r="G182" s="2602"/>
      <c r="H182" s="2602"/>
      <c r="I182" s="2602" t="s">
        <v>251</v>
      </c>
      <c r="J182" s="2602" t="s">
        <v>251</v>
      </c>
      <c r="K182" s="2602" t="s">
        <v>251</v>
      </c>
      <c r="L182" s="2602" t="s">
        <v>251</v>
      </c>
      <c r="M182" s="2602" t="s">
        <v>251</v>
      </c>
      <c r="N182" s="2776"/>
      <c r="O182" s="2602"/>
      <c r="P182" s="2602" t="s">
        <v>251</v>
      </c>
      <c r="Q182" s="2602" t="s">
        <v>251</v>
      </c>
      <c r="R182" s="2602" t="s">
        <v>251</v>
      </c>
      <c r="S182" s="2602" t="s">
        <v>251</v>
      </c>
      <c r="T182" s="2602" t="s">
        <v>251</v>
      </c>
      <c r="U182" s="2602"/>
      <c r="V182" s="2602"/>
      <c r="W182" s="2602" t="s">
        <v>251</v>
      </c>
      <c r="X182" s="2602" t="s">
        <v>251</v>
      </c>
      <c r="Y182" s="2602" t="s">
        <v>251</v>
      </c>
      <c r="Z182" s="2602" t="s">
        <v>251</v>
      </c>
      <c r="AA182" s="2602" t="s">
        <v>251</v>
      </c>
      <c r="AB182" s="2602"/>
      <c r="AC182" s="2602"/>
      <c r="AD182" s="2602" t="s">
        <v>251</v>
      </c>
      <c r="AE182" s="2602" t="s">
        <v>251</v>
      </c>
      <c r="AF182" s="2602" t="s">
        <v>251</v>
      </c>
      <c r="AG182" s="2770" t="s">
        <v>251</v>
      </c>
      <c r="AH182" s="25"/>
      <c r="AI182" s="25"/>
    </row>
    <row r="183" spans="1:35" ht="25.5" customHeight="1">
      <c r="A183" s="36"/>
      <c r="B183" s="2767" t="s">
        <v>274</v>
      </c>
      <c r="C183" s="2602" t="s">
        <v>253</v>
      </c>
      <c r="D183" s="2602" t="s">
        <v>253</v>
      </c>
      <c r="E183" s="2602" t="s">
        <v>253</v>
      </c>
      <c r="F183" s="2602" t="s">
        <v>253</v>
      </c>
      <c r="G183" s="2619"/>
      <c r="H183" s="2619"/>
      <c r="I183" s="2619" t="s">
        <v>253</v>
      </c>
      <c r="J183" s="2619" t="s">
        <v>253</v>
      </c>
      <c r="K183" s="2777" t="s">
        <v>410</v>
      </c>
      <c r="L183" s="2602" t="s">
        <v>253</v>
      </c>
      <c r="M183" s="2602" t="s">
        <v>253</v>
      </c>
      <c r="N183" s="2602"/>
      <c r="O183" s="2602"/>
      <c r="P183" s="2602" t="s">
        <v>253</v>
      </c>
      <c r="Q183" s="2602" t="s">
        <v>253</v>
      </c>
      <c r="R183" s="2618" t="s">
        <v>253</v>
      </c>
      <c r="S183" s="2618" t="s">
        <v>253</v>
      </c>
      <c r="T183" s="2618" t="s">
        <v>253</v>
      </c>
      <c r="U183" s="2602"/>
      <c r="V183" s="2602"/>
      <c r="W183" s="2602" t="s">
        <v>253</v>
      </c>
      <c r="X183" s="2602" t="s">
        <v>253</v>
      </c>
      <c r="Y183" s="2602" t="s">
        <v>253</v>
      </c>
      <c r="Z183" s="2602" t="s">
        <v>253</v>
      </c>
      <c r="AA183" s="2602" t="s">
        <v>253</v>
      </c>
      <c r="AB183" s="2602"/>
      <c r="AC183" s="2602"/>
      <c r="AD183" s="2602" t="s">
        <v>253</v>
      </c>
      <c r="AE183" s="2602" t="s">
        <v>253</v>
      </c>
      <c r="AF183" s="2602" t="s">
        <v>253</v>
      </c>
      <c r="AG183" s="2604" t="s">
        <v>253</v>
      </c>
      <c r="AH183" s="25"/>
      <c r="AI183" s="25"/>
    </row>
    <row r="184" spans="1:35" ht="25.5" customHeight="1">
      <c r="A184" s="36"/>
      <c r="B184" s="2605" t="s">
        <v>275</v>
      </c>
      <c r="C184" s="2602" t="s">
        <v>123</v>
      </c>
      <c r="D184" s="2602" t="s">
        <v>123</v>
      </c>
      <c r="E184" s="2602" t="s">
        <v>123</v>
      </c>
      <c r="F184" s="2602" t="s">
        <v>123</v>
      </c>
      <c r="G184" s="2602"/>
      <c r="H184" s="2602"/>
      <c r="I184" s="2602" t="s">
        <v>123</v>
      </c>
      <c r="J184" s="2602" t="s">
        <v>123</v>
      </c>
      <c r="K184" s="2602" t="s">
        <v>123</v>
      </c>
      <c r="L184" s="2602" t="s">
        <v>123</v>
      </c>
      <c r="M184" s="2602" t="s">
        <v>123</v>
      </c>
      <c r="N184" s="2602"/>
      <c r="O184" s="2602"/>
      <c r="P184" s="2602" t="s">
        <v>123</v>
      </c>
      <c r="Q184" s="2602" t="s">
        <v>123</v>
      </c>
      <c r="R184" s="2602" t="s">
        <v>123</v>
      </c>
      <c r="S184" s="2619" t="s">
        <v>123</v>
      </c>
      <c r="T184" s="2596" t="s">
        <v>123</v>
      </c>
      <c r="U184" s="2596"/>
      <c r="V184" s="2596"/>
      <c r="W184" s="2772" t="s">
        <v>123</v>
      </c>
      <c r="X184" s="2772" t="s">
        <v>123</v>
      </c>
      <c r="Y184" s="2772" t="s">
        <v>123</v>
      </c>
      <c r="Z184" s="2602" t="s">
        <v>123</v>
      </c>
      <c r="AA184" s="2602" t="s">
        <v>123</v>
      </c>
      <c r="AB184" s="2602"/>
      <c r="AC184" s="2602"/>
      <c r="AD184" s="2602" t="s">
        <v>123</v>
      </c>
      <c r="AE184" s="2593" t="s">
        <v>123</v>
      </c>
      <c r="AF184" s="2602" t="s">
        <v>123</v>
      </c>
      <c r="AG184" s="2604" t="s">
        <v>123</v>
      </c>
      <c r="AH184" s="25"/>
      <c r="AI184" s="25"/>
    </row>
    <row r="185" spans="1:35" ht="25.5" customHeight="1">
      <c r="A185" s="36"/>
      <c r="B185" s="2767" t="s">
        <v>276</v>
      </c>
      <c r="C185" s="2602" t="s">
        <v>146</v>
      </c>
      <c r="D185" s="2602" t="s">
        <v>146</v>
      </c>
      <c r="E185" s="2602" t="s">
        <v>146</v>
      </c>
      <c r="F185" s="2602" t="s">
        <v>146</v>
      </c>
      <c r="G185" s="2602"/>
      <c r="H185" s="2602"/>
      <c r="I185" s="2602" t="s">
        <v>146</v>
      </c>
      <c r="J185" s="2602" t="s">
        <v>146</v>
      </c>
      <c r="K185" s="2602" t="s">
        <v>146</v>
      </c>
      <c r="L185" s="2602" t="s">
        <v>146</v>
      </c>
      <c r="M185" s="2602" t="s">
        <v>146</v>
      </c>
      <c r="N185" s="2602"/>
      <c r="O185" s="2602"/>
      <c r="P185" s="2602" t="s">
        <v>146</v>
      </c>
      <c r="Q185" s="2602" t="s">
        <v>146</v>
      </c>
      <c r="R185" s="2602" t="s">
        <v>146</v>
      </c>
      <c r="S185" s="2602" t="s">
        <v>146</v>
      </c>
      <c r="T185" s="2602" t="s">
        <v>146</v>
      </c>
      <c r="U185" s="2602"/>
      <c r="V185" s="2602"/>
      <c r="W185" s="2602" t="s">
        <v>146</v>
      </c>
      <c r="X185" s="2602" t="s">
        <v>146</v>
      </c>
      <c r="Y185" s="2602" t="s">
        <v>146</v>
      </c>
      <c r="Z185" s="2602" t="s">
        <v>146</v>
      </c>
      <c r="AA185" s="2602" t="s">
        <v>146</v>
      </c>
      <c r="AB185" s="2602"/>
      <c r="AC185" s="2602"/>
      <c r="AD185" s="2602" t="s">
        <v>146</v>
      </c>
      <c r="AE185" s="2602" t="s">
        <v>146</v>
      </c>
      <c r="AF185" s="2602" t="s">
        <v>146</v>
      </c>
      <c r="AG185" s="2604" t="s">
        <v>146</v>
      </c>
      <c r="AH185" s="25"/>
      <c r="AI185" s="25"/>
    </row>
    <row r="186" spans="1:35" ht="25.5" customHeight="1" thickBot="1">
      <c r="A186" s="36"/>
      <c r="B186" s="402" t="s">
        <v>277</v>
      </c>
      <c r="C186" s="408" t="s">
        <v>136</v>
      </c>
      <c r="D186" s="408" t="s">
        <v>136</v>
      </c>
      <c r="E186" s="408" t="s">
        <v>136</v>
      </c>
      <c r="F186" s="408" t="s">
        <v>136</v>
      </c>
      <c r="G186" s="408"/>
      <c r="H186" s="408"/>
      <c r="I186" s="408" t="s">
        <v>136</v>
      </c>
      <c r="J186" s="408" t="s">
        <v>136</v>
      </c>
      <c r="K186" s="408" t="s">
        <v>136</v>
      </c>
      <c r="L186" s="408" t="s">
        <v>136</v>
      </c>
      <c r="M186" s="408" t="s">
        <v>136</v>
      </c>
      <c r="N186" s="408"/>
      <c r="O186" s="408"/>
      <c r="P186" s="408" t="s">
        <v>136</v>
      </c>
      <c r="Q186" s="408" t="s">
        <v>136</v>
      </c>
      <c r="R186" s="408" t="s">
        <v>136</v>
      </c>
      <c r="S186" s="408" t="s">
        <v>136</v>
      </c>
      <c r="T186" s="408" t="s">
        <v>136</v>
      </c>
      <c r="U186" s="408"/>
      <c r="V186" s="408"/>
      <c r="W186" s="408" t="s">
        <v>136</v>
      </c>
      <c r="X186" s="408" t="s">
        <v>136</v>
      </c>
      <c r="Y186" s="408" t="s">
        <v>136</v>
      </c>
      <c r="Z186" s="408" t="s">
        <v>136</v>
      </c>
      <c r="AA186" s="408" t="s">
        <v>136</v>
      </c>
      <c r="AB186" s="408"/>
      <c r="AC186" s="408"/>
      <c r="AD186" s="408" t="s">
        <v>136</v>
      </c>
      <c r="AE186" s="408" t="s">
        <v>136</v>
      </c>
      <c r="AF186" s="408" t="s">
        <v>136</v>
      </c>
      <c r="AG186" s="90" t="s">
        <v>136</v>
      </c>
      <c r="AH186" s="25"/>
      <c r="AI186" s="25"/>
    </row>
    <row r="187" spans="1:35" ht="25.5" customHeight="1" thickBot="1">
      <c r="A187" s="36"/>
      <c r="B187" s="402" t="s">
        <v>278</v>
      </c>
      <c r="C187" s="90" t="s">
        <v>112</v>
      </c>
      <c r="D187" s="90" t="s">
        <v>112</v>
      </c>
      <c r="E187" s="90" t="s">
        <v>112</v>
      </c>
      <c r="F187" s="90" t="s">
        <v>112</v>
      </c>
      <c r="G187" s="408"/>
      <c r="H187" s="408"/>
      <c r="I187" s="90" t="s">
        <v>112</v>
      </c>
      <c r="J187" s="90" t="s">
        <v>112</v>
      </c>
      <c r="K187" s="90" t="s">
        <v>112</v>
      </c>
      <c r="L187" s="90" t="s">
        <v>112</v>
      </c>
      <c r="M187" s="90" t="s">
        <v>112</v>
      </c>
      <c r="N187" s="408"/>
      <c r="O187" s="408"/>
      <c r="P187" s="90" t="s">
        <v>112</v>
      </c>
      <c r="Q187" s="279" t="s">
        <v>112</v>
      </c>
      <c r="R187" s="90" t="s">
        <v>112</v>
      </c>
      <c r="S187" s="90" t="s">
        <v>112</v>
      </c>
      <c r="T187" s="90" t="s">
        <v>112</v>
      </c>
      <c r="U187" s="408"/>
      <c r="V187" s="408"/>
      <c r="W187" s="90" t="s">
        <v>112</v>
      </c>
      <c r="X187" s="90" t="s">
        <v>112</v>
      </c>
      <c r="Y187" s="90" t="s">
        <v>112</v>
      </c>
      <c r="Z187" s="90" t="s">
        <v>112</v>
      </c>
      <c r="AA187" s="90" t="s">
        <v>112</v>
      </c>
      <c r="AB187" s="408"/>
      <c r="AC187" s="408"/>
      <c r="AD187" s="90" t="s">
        <v>112</v>
      </c>
      <c r="AE187" s="90" t="s">
        <v>112</v>
      </c>
      <c r="AF187" s="90" t="s">
        <v>112</v>
      </c>
      <c r="AG187" s="90" t="s">
        <v>112</v>
      </c>
      <c r="AH187" s="76"/>
      <c r="AI187" s="76"/>
    </row>
    <row r="188" spans="1:35" ht="25.5" customHeight="1">
      <c r="A188" s="96"/>
      <c r="B188" s="98"/>
      <c r="C188" s="91"/>
      <c r="D188" s="91"/>
      <c r="E188" s="91"/>
      <c r="F188" s="91"/>
      <c r="G188" s="91"/>
      <c r="H188" s="91"/>
      <c r="I188" s="91"/>
      <c r="J188" s="91"/>
      <c r="K188" s="91"/>
      <c r="L188" s="91"/>
      <c r="M188" s="91"/>
      <c r="N188" s="91"/>
      <c r="O188" s="91"/>
      <c r="P188" s="91"/>
      <c r="Q188" s="91"/>
      <c r="R188" s="91"/>
      <c r="S188" s="91"/>
      <c r="T188" s="91"/>
      <c r="U188" s="91"/>
      <c r="V188" s="91"/>
      <c r="W188" s="91"/>
      <c r="X188" s="91"/>
      <c r="Y188" s="91"/>
      <c r="Z188" s="91"/>
      <c r="AA188" s="91"/>
      <c r="AB188" s="91"/>
      <c r="AC188" s="91"/>
      <c r="AD188" s="91"/>
      <c r="AE188" s="91"/>
      <c r="AF188" s="91"/>
      <c r="AG188" s="91"/>
      <c r="AH188" s="99"/>
    </row>
    <row r="189" spans="1:35" ht="25.5" customHeight="1" thickBot="1">
      <c r="A189" s="1" t="s">
        <v>280</v>
      </c>
      <c r="B189" s="42"/>
      <c r="C189" s="100"/>
      <c r="D189" s="100"/>
      <c r="E189" s="100"/>
      <c r="F189" s="100"/>
      <c r="G189" s="100"/>
      <c r="H189" s="100"/>
      <c r="I189" s="100"/>
      <c r="J189" s="100"/>
      <c r="K189" s="100"/>
      <c r="L189" s="100"/>
      <c r="M189" s="100"/>
      <c r="N189" s="100"/>
      <c r="O189" s="100"/>
      <c r="P189" s="100"/>
      <c r="Q189" s="100"/>
      <c r="R189" s="100"/>
      <c r="S189" s="100"/>
      <c r="T189" s="100"/>
      <c r="U189" s="100"/>
      <c r="V189" s="100"/>
      <c r="W189" s="100"/>
      <c r="X189" s="100"/>
      <c r="Y189" s="100"/>
      <c r="Z189" s="100"/>
      <c r="AA189" s="100"/>
      <c r="AB189" s="100"/>
      <c r="AC189" s="100"/>
      <c r="AD189" s="100"/>
      <c r="AE189" s="100"/>
      <c r="AF189" s="100"/>
      <c r="AG189" s="100"/>
    </row>
    <row r="190" spans="1:35" ht="25.5" customHeight="1">
      <c r="A190" s="1"/>
      <c r="B190" s="2778" t="s">
        <v>281</v>
      </c>
      <c r="C190" s="2779" t="s">
        <v>87</v>
      </c>
      <c r="D190" s="2779"/>
      <c r="E190" s="2779"/>
      <c r="F190" s="2779"/>
      <c r="G190" s="2780" t="s">
        <v>88</v>
      </c>
      <c r="H190" s="2779"/>
      <c r="I190" s="2779"/>
      <c r="J190" s="2779"/>
      <c r="K190" s="2780" t="s">
        <v>89</v>
      </c>
      <c r="L190" s="2779"/>
      <c r="M190" s="2779"/>
      <c r="N190" s="2779"/>
      <c r="O190" s="2780" t="s">
        <v>90</v>
      </c>
      <c r="P190" s="2779"/>
      <c r="Q190" s="2779"/>
      <c r="R190" s="2779"/>
      <c r="S190" s="2780" t="s">
        <v>91</v>
      </c>
      <c r="T190" s="2779"/>
      <c r="U190" s="2779"/>
      <c r="V190" s="2779"/>
      <c r="W190" s="2781" t="s">
        <v>92</v>
      </c>
      <c r="X190" s="705"/>
      <c r="Y190" s="2779"/>
      <c r="Z190" s="2782"/>
      <c r="AA190" s="2781" t="s">
        <v>93</v>
      </c>
      <c r="AB190" s="705"/>
      <c r="AC190" s="2779"/>
      <c r="AD190" s="2782"/>
      <c r="AE190" s="2783" t="s">
        <v>94</v>
      </c>
      <c r="AF190" s="2779"/>
      <c r="AG190" s="2779"/>
      <c r="AH190" s="2779"/>
      <c r="AI190" s="706"/>
    </row>
    <row r="191" spans="1:35" ht="25.5" customHeight="1">
      <c r="A191" s="1"/>
      <c r="B191" s="1665">
        <v>3701</v>
      </c>
      <c r="C191" s="87" t="s">
        <v>282</v>
      </c>
      <c r="D191" s="87"/>
      <c r="E191" s="87"/>
      <c r="F191" s="87"/>
      <c r="G191" s="1012" t="s">
        <v>283</v>
      </c>
      <c r="H191" s="87"/>
      <c r="I191" s="87"/>
      <c r="J191" s="87"/>
      <c r="K191" s="1012" t="s">
        <v>283</v>
      </c>
      <c r="L191" s="87"/>
      <c r="M191" s="87"/>
      <c r="N191" s="87"/>
      <c r="O191" s="1012" t="s">
        <v>283</v>
      </c>
      <c r="P191" s="87"/>
      <c r="Q191" s="87"/>
      <c r="R191" s="87"/>
      <c r="S191" s="1012" t="s">
        <v>284</v>
      </c>
      <c r="T191" s="87"/>
      <c r="U191" s="87"/>
      <c r="V191" s="87"/>
      <c r="W191" s="2784"/>
      <c r="X191" s="2785"/>
      <c r="Y191" s="2096"/>
      <c r="Z191" s="2786"/>
      <c r="AA191" s="2784"/>
      <c r="AB191" s="2785"/>
      <c r="AC191" s="2096"/>
      <c r="AD191" s="2786"/>
      <c r="AE191" s="2098"/>
      <c r="AF191" s="2096"/>
      <c r="AG191" s="2096"/>
      <c r="AH191" s="2096"/>
      <c r="AI191" s="2099"/>
    </row>
    <row r="192" spans="1:35" ht="25.5" customHeight="1">
      <c r="A192" s="2787"/>
      <c r="B192" s="2778"/>
      <c r="C192" s="2788"/>
      <c r="D192" s="2466"/>
      <c r="E192" s="2466"/>
      <c r="F192" s="2789"/>
      <c r="G192" s="2788"/>
      <c r="H192" s="2466"/>
      <c r="I192" s="2466"/>
      <c r="J192" s="2789"/>
      <c r="K192" s="2788"/>
      <c r="L192" s="2466"/>
      <c r="M192" s="2466"/>
      <c r="N192" s="2789"/>
      <c r="O192" s="2788"/>
      <c r="P192" s="2466"/>
      <c r="Q192" s="2466"/>
      <c r="R192" s="2789"/>
      <c r="S192" s="2788"/>
      <c r="T192" s="2466"/>
      <c r="U192" s="2466"/>
      <c r="V192" s="2466"/>
      <c r="W192" s="2784"/>
      <c r="X192" s="2785"/>
      <c r="Y192" s="2096"/>
      <c r="Z192" s="2786"/>
      <c r="AA192" s="2784"/>
      <c r="AB192" s="2785"/>
      <c r="AC192" s="2096"/>
      <c r="AD192" s="2786"/>
      <c r="AE192" s="2098"/>
      <c r="AF192" s="2096"/>
      <c r="AG192" s="2096"/>
      <c r="AH192" s="2096"/>
      <c r="AI192" s="2099"/>
    </row>
    <row r="193" spans="1:35" ht="25.5" customHeight="1">
      <c r="A193" s="2787"/>
      <c r="B193" s="2778"/>
      <c r="C193" s="2788"/>
      <c r="D193" s="2466"/>
      <c r="E193" s="2466"/>
      <c r="F193" s="2789"/>
      <c r="G193" s="2788"/>
      <c r="H193" s="2466"/>
      <c r="I193" s="2466"/>
      <c r="J193" s="2789"/>
      <c r="K193" s="2788"/>
      <c r="L193" s="2466"/>
      <c r="M193" s="2466"/>
      <c r="N193" s="2789"/>
      <c r="O193" s="2788"/>
      <c r="P193" s="2466"/>
      <c r="Q193" s="2466"/>
      <c r="R193" s="2789"/>
      <c r="S193" s="2788"/>
      <c r="T193" s="2466"/>
      <c r="U193" s="2466"/>
      <c r="V193" s="2466"/>
      <c r="W193" s="2784"/>
      <c r="X193" s="2785"/>
      <c r="Y193" s="2096"/>
      <c r="Z193" s="2786"/>
      <c r="AA193" s="2784"/>
      <c r="AB193" s="2785"/>
      <c r="AC193" s="2096"/>
      <c r="AD193" s="2786"/>
      <c r="AE193" s="2098"/>
      <c r="AF193" s="2096"/>
      <c r="AG193" s="2096"/>
      <c r="AH193" s="2096"/>
      <c r="AI193" s="2099"/>
    </row>
    <row r="194" spans="1:35" ht="25.5" customHeight="1" thickBot="1">
      <c r="A194" s="411"/>
      <c r="B194" s="412"/>
      <c r="C194" s="2790"/>
      <c r="D194" s="2791"/>
      <c r="E194" s="2791"/>
      <c r="F194" s="2792"/>
      <c r="G194" s="2790"/>
      <c r="H194" s="2791"/>
      <c r="I194" s="2791"/>
      <c r="J194" s="2792"/>
      <c r="K194" s="2790"/>
      <c r="L194" s="2791"/>
      <c r="M194" s="2791"/>
      <c r="N194" s="2792"/>
      <c r="O194" s="2790"/>
      <c r="P194" s="2791"/>
      <c r="Q194" s="2791"/>
      <c r="R194" s="2792"/>
      <c r="S194" s="2790"/>
      <c r="T194" s="2791"/>
      <c r="U194" s="2791"/>
      <c r="V194" s="2791"/>
      <c r="W194" s="2793"/>
      <c r="X194" s="2794"/>
      <c r="Y194" s="2795"/>
      <c r="Z194" s="2796"/>
      <c r="AA194" s="2793"/>
      <c r="AB194" s="2794"/>
      <c r="AC194" s="2795"/>
      <c r="AD194" s="2796"/>
      <c r="AE194" s="2694"/>
      <c r="AF194" s="2544"/>
      <c r="AG194" s="2544"/>
      <c r="AH194" s="2544"/>
      <c r="AI194" s="2547"/>
    </row>
    <row r="195" spans="1:35" ht="25.5" customHeight="1">
      <c r="A195" s="1"/>
      <c r="B195" s="42"/>
      <c r="C195" s="87"/>
      <c r="D195" s="87"/>
      <c r="E195" s="87"/>
      <c r="F195" s="87"/>
      <c r="G195" s="87"/>
      <c r="H195" s="87"/>
      <c r="I195" s="87"/>
      <c r="J195" s="87"/>
      <c r="K195" s="87"/>
      <c r="L195" s="87"/>
      <c r="M195" s="87"/>
      <c r="N195" s="87"/>
      <c r="O195" s="87"/>
      <c r="P195" s="87"/>
      <c r="Q195" s="87"/>
      <c r="R195" s="87"/>
      <c r="S195" s="87"/>
      <c r="T195" s="87"/>
      <c r="U195" s="87"/>
      <c r="V195" s="87"/>
      <c r="W195" s="87"/>
      <c r="X195" s="37"/>
      <c r="Y195" s="87"/>
      <c r="Z195" s="87"/>
      <c r="AA195" s="87"/>
      <c r="AB195" s="37"/>
      <c r="AC195" s="87"/>
      <c r="AD195" s="87"/>
      <c r="AE195" s="37"/>
      <c r="AF195" s="87"/>
      <c r="AG195" s="87"/>
      <c r="AH195" s="87"/>
    </row>
    <row r="196" spans="1:35" ht="25.5" customHeight="1">
      <c r="AG196" s="87"/>
      <c r="AH196" s="87"/>
    </row>
    <row r="197" spans="1:35" ht="25.5" customHeight="1">
      <c r="B197" s="2778">
        <v>3700</v>
      </c>
      <c r="C197" s="2096" t="s">
        <v>181</v>
      </c>
      <c r="D197" s="2096"/>
      <c r="E197" s="2096"/>
      <c r="F197" s="2096"/>
      <c r="G197" s="2797" t="s">
        <v>181</v>
      </c>
      <c r="H197" s="2096"/>
      <c r="I197" s="2096"/>
      <c r="J197" s="2096"/>
      <c r="K197" s="2797" t="s">
        <v>181</v>
      </c>
      <c r="L197" s="2096"/>
      <c r="M197" s="2096"/>
      <c r="N197" s="2096"/>
      <c r="O197" s="2797" t="s">
        <v>181</v>
      </c>
      <c r="P197" s="2096"/>
      <c r="Q197" s="2096"/>
      <c r="R197" s="2096"/>
      <c r="S197" s="2797" t="s">
        <v>182</v>
      </c>
      <c r="T197" s="2096"/>
      <c r="U197" s="2096"/>
      <c r="V197" s="2096"/>
      <c r="W197" s="2096"/>
      <c r="X197" s="2797"/>
      <c r="Y197" s="2096"/>
      <c r="Z197" s="2113"/>
      <c r="AA197" s="2098"/>
      <c r="AB197" s="2096"/>
      <c r="AC197" s="2096"/>
      <c r="AD197" s="2114"/>
      <c r="AE197" s="2798"/>
      <c r="AF197" s="2096"/>
      <c r="AG197" s="2096"/>
      <c r="AH197" s="2114"/>
      <c r="AI197" s="2099"/>
    </row>
    <row r="198" spans="1:35" ht="25.5" customHeight="1">
      <c r="A198" s="1"/>
      <c r="B198" s="2778">
        <v>8514</v>
      </c>
      <c r="C198" s="2096" t="s">
        <v>283</v>
      </c>
      <c r="D198" s="2096"/>
      <c r="E198" s="2096"/>
      <c r="F198" s="2096"/>
      <c r="G198" s="2797" t="s">
        <v>283</v>
      </c>
      <c r="H198" s="2096"/>
      <c r="I198" s="2096"/>
      <c r="J198" s="2096"/>
      <c r="K198" s="2797" t="s">
        <v>283</v>
      </c>
      <c r="L198" s="2096"/>
      <c r="M198" s="2096"/>
      <c r="N198" s="2096"/>
      <c r="O198" s="2797" t="s">
        <v>283</v>
      </c>
      <c r="P198" s="2096"/>
      <c r="Q198" s="2096"/>
      <c r="R198" s="2096"/>
      <c r="S198" s="2797" t="s">
        <v>285</v>
      </c>
      <c r="T198" s="2096"/>
      <c r="U198" s="2096"/>
      <c r="V198" s="2096"/>
      <c r="W198" s="2096"/>
      <c r="X198" s="2797"/>
      <c r="Y198" s="2096"/>
      <c r="Z198" s="2113"/>
      <c r="AA198" s="2303"/>
      <c r="AB198" s="2096"/>
      <c r="AC198" s="2096"/>
      <c r="AD198" s="2114"/>
      <c r="AE198" s="2303"/>
      <c r="AF198" s="2096"/>
      <c r="AG198" s="2096"/>
      <c r="AH198" s="2114"/>
      <c r="AI198" s="2099"/>
    </row>
    <row r="199" spans="1:35" ht="25.5" customHeight="1">
      <c r="A199" s="1"/>
      <c r="B199" s="2778">
        <v>8500</v>
      </c>
      <c r="C199" s="101" t="s">
        <v>286</v>
      </c>
      <c r="D199" s="101"/>
      <c r="E199" s="101"/>
      <c r="F199" s="101"/>
      <c r="G199" s="102" t="s">
        <v>286</v>
      </c>
      <c r="H199" s="101"/>
      <c r="I199" s="101"/>
      <c r="J199" s="101"/>
      <c r="K199" s="102" t="s">
        <v>286</v>
      </c>
      <c r="L199" s="101"/>
      <c r="M199" s="101"/>
      <c r="N199" s="101"/>
      <c r="O199" s="102" t="s">
        <v>286</v>
      </c>
      <c r="P199" s="101"/>
      <c r="Q199" s="101"/>
      <c r="R199" s="101"/>
      <c r="S199" s="102" t="s">
        <v>287</v>
      </c>
      <c r="T199" s="101"/>
      <c r="U199" s="101"/>
      <c r="V199" s="101"/>
      <c r="W199" s="101"/>
      <c r="X199" s="102"/>
      <c r="Y199" s="101"/>
      <c r="Z199" s="103"/>
      <c r="AA199" s="104"/>
      <c r="AB199" s="101"/>
      <c r="AC199" s="101"/>
      <c r="AD199" s="103"/>
      <c r="AE199" s="104"/>
      <c r="AF199" s="101"/>
      <c r="AG199" s="101"/>
      <c r="AH199" s="41"/>
      <c r="AI199" s="105"/>
    </row>
    <row r="200" spans="1:35" ht="25.5" customHeight="1">
      <c r="A200" s="1"/>
      <c r="B200" s="2778">
        <v>8514</v>
      </c>
      <c r="C200" s="106" t="s">
        <v>283</v>
      </c>
      <c r="D200" s="106"/>
      <c r="E200" s="106"/>
      <c r="F200" s="106"/>
      <c r="G200" s="107" t="s">
        <v>283</v>
      </c>
      <c r="H200" s="106"/>
      <c r="I200" s="106"/>
      <c r="J200" s="106"/>
      <c r="K200" s="107" t="s">
        <v>283</v>
      </c>
      <c r="L200" s="106"/>
      <c r="M200" s="106"/>
      <c r="N200" s="106"/>
      <c r="O200" s="107" t="s">
        <v>283</v>
      </c>
      <c r="P200" s="106"/>
      <c r="Q200" s="106"/>
      <c r="R200" s="106"/>
      <c r="S200" s="107" t="s">
        <v>285</v>
      </c>
      <c r="T200" s="106"/>
      <c r="U200" s="106"/>
      <c r="V200" s="106"/>
      <c r="W200" s="106"/>
      <c r="X200" s="108"/>
      <c r="Y200" s="101"/>
      <c r="Z200" s="109"/>
      <c r="AA200" s="110"/>
      <c r="AB200" s="111"/>
      <c r="AC200" s="101"/>
      <c r="AD200" s="101"/>
      <c r="AE200" s="112"/>
      <c r="AF200" s="101"/>
      <c r="AG200" s="101"/>
      <c r="AH200" s="101"/>
      <c r="AI200" s="105"/>
    </row>
    <row r="201" spans="1:35" ht="25.5" customHeight="1" thickBot="1">
      <c r="A201" s="1"/>
      <c r="B201" s="2799" t="s">
        <v>288</v>
      </c>
      <c r="C201" s="2544" t="s">
        <v>289</v>
      </c>
      <c r="D201" s="2544"/>
      <c r="E201" s="2544"/>
      <c r="F201" s="2544"/>
      <c r="G201" s="2800" t="s">
        <v>289</v>
      </c>
      <c r="H201" s="2544"/>
      <c r="I201" s="2544"/>
      <c r="J201" s="2544"/>
      <c r="K201" s="2801" t="s">
        <v>289</v>
      </c>
      <c r="L201" s="2544"/>
      <c r="M201" s="2544"/>
      <c r="N201" s="2544"/>
      <c r="O201" s="2800" t="s">
        <v>289</v>
      </c>
      <c r="P201" s="2544"/>
      <c r="Q201" s="2544"/>
      <c r="R201" s="2544"/>
      <c r="S201" s="2800" t="s">
        <v>290</v>
      </c>
      <c r="T201" s="2544"/>
      <c r="U201" s="2544"/>
      <c r="V201" s="2544"/>
      <c r="W201" s="2544"/>
      <c r="X201" s="2800"/>
      <c r="Y201" s="2544"/>
      <c r="Z201" s="2716"/>
      <c r="AA201" s="2694"/>
      <c r="AB201" s="2544"/>
      <c r="AC201" s="2544"/>
      <c r="AD201" s="2701"/>
      <c r="AE201" s="2802"/>
      <c r="AF201" s="2544"/>
      <c r="AG201" s="2544"/>
      <c r="AH201" s="2701"/>
      <c r="AI201" s="2547"/>
    </row>
    <row r="202" spans="1:35" ht="25.5" customHeight="1">
      <c r="A202" s="1"/>
      <c r="B202" s="113"/>
      <c r="C202" s="37"/>
      <c r="D202" s="87"/>
      <c r="E202" s="87"/>
      <c r="F202" s="22"/>
      <c r="G202" s="37"/>
      <c r="H202" s="87"/>
      <c r="I202" s="87"/>
      <c r="J202" s="22"/>
      <c r="K202" s="37"/>
      <c r="L202" s="87"/>
      <c r="M202" s="87"/>
      <c r="N202" s="22"/>
      <c r="O202" s="37"/>
      <c r="P202" s="87"/>
      <c r="Q202" s="87"/>
      <c r="R202" s="22"/>
      <c r="S202" s="37"/>
      <c r="T202" s="87"/>
      <c r="U202" s="87"/>
      <c r="V202" s="22"/>
      <c r="W202" s="22"/>
      <c r="Z202" s="22"/>
      <c r="AA202" s="22"/>
      <c r="AD202" s="22"/>
      <c r="AE202" s="22"/>
      <c r="AH202" s="22"/>
    </row>
    <row r="203" spans="1:35" ht="25.5" customHeight="1">
      <c r="A203" s="1" t="s">
        <v>291</v>
      </c>
      <c r="B203" s="113"/>
      <c r="C203" s="37"/>
      <c r="D203" s="87"/>
      <c r="E203" s="87"/>
      <c r="F203" s="22"/>
      <c r="G203" s="37"/>
      <c r="H203" s="87"/>
      <c r="I203" s="87"/>
      <c r="J203" s="22"/>
      <c r="K203" s="37"/>
      <c r="L203" s="87"/>
      <c r="M203" s="87"/>
      <c r="N203" s="22"/>
      <c r="O203" s="37"/>
      <c r="P203" s="87"/>
      <c r="Q203" s="87"/>
      <c r="R203" s="22"/>
      <c r="S203" s="37"/>
      <c r="T203" s="87"/>
      <c r="U203" s="87"/>
      <c r="V203" s="22"/>
      <c r="W203" s="22"/>
      <c r="Z203" s="22"/>
      <c r="AA203" s="22"/>
      <c r="AD203" s="22"/>
      <c r="AE203" s="22"/>
      <c r="AH203" s="22"/>
    </row>
    <row r="204" spans="1:35" ht="25.5" customHeight="1" thickBot="1">
      <c r="A204" s="2120"/>
      <c r="B204" s="2121" t="s">
        <v>29</v>
      </c>
      <c r="C204" s="2123">
        <v>1</v>
      </c>
      <c r="D204" s="2123">
        <v>2</v>
      </c>
      <c r="E204" s="2123">
        <v>3</v>
      </c>
      <c r="F204" s="2123">
        <v>4</v>
      </c>
      <c r="G204" s="2122">
        <v>5</v>
      </c>
      <c r="H204" s="2122">
        <v>6</v>
      </c>
      <c r="I204" s="2123">
        <v>7</v>
      </c>
      <c r="J204" s="2123">
        <v>8</v>
      </c>
      <c r="K204" s="2123">
        <v>9</v>
      </c>
      <c r="L204" s="2123">
        <v>10</v>
      </c>
      <c r="M204" s="2123">
        <v>11</v>
      </c>
      <c r="N204" s="2122">
        <v>12</v>
      </c>
      <c r="O204" s="2122">
        <v>13</v>
      </c>
      <c r="P204" s="2123">
        <v>14</v>
      </c>
      <c r="Q204" s="2123">
        <v>15</v>
      </c>
      <c r="R204" s="2123">
        <v>16</v>
      </c>
      <c r="S204" s="2123">
        <v>17</v>
      </c>
      <c r="T204" s="2123">
        <v>18</v>
      </c>
      <c r="U204" s="2122">
        <v>19</v>
      </c>
      <c r="V204" s="2122">
        <v>20</v>
      </c>
      <c r="W204" s="2123">
        <v>21</v>
      </c>
      <c r="X204" s="2123">
        <v>22</v>
      </c>
      <c r="Y204" s="2123">
        <v>23</v>
      </c>
      <c r="Z204" s="2123">
        <v>24</v>
      </c>
      <c r="AA204" s="2123">
        <v>25</v>
      </c>
      <c r="AB204" s="2122">
        <v>26</v>
      </c>
      <c r="AC204" s="2122">
        <v>27</v>
      </c>
      <c r="AD204" s="2123">
        <v>28</v>
      </c>
      <c r="AE204" s="2123">
        <v>29</v>
      </c>
      <c r="AF204" s="2123">
        <v>30</v>
      </c>
      <c r="AG204" s="2124">
        <v>31</v>
      </c>
      <c r="AH204" s="23"/>
      <c r="AI204" s="24"/>
    </row>
    <row r="205" spans="1:35" ht="25.5" customHeight="1">
      <c r="A205" s="2478"/>
      <c r="B205" s="2479" t="s">
        <v>292</v>
      </c>
      <c r="C205" s="1839" t="s">
        <v>31</v>
      </c>
      <c r="D205" s="2480" t="s">
        <v>31</v>
      </c>
      <c r="E205" s="1839" t="s">
        <v>31</v>
      </c>
      <c r="F205" s="1839" t="s">
        <v>31</v>
      </c>
      <c r="G205" s="1839"/>
      <c r="H205" s="1839"/>
      <c r="I205" s="1839" t="s">
        <v>31</v>
      </c>
      <c r="J205" s="1839" t="s">
        <v>31</v>
      </c>
      <c r="K205" s="1839" t="s">
        <v>31</v>
      </c>
      <c r="L205" s="1839" t="s">
        <v>31</v>
      </c>
      <c r="M205" s="1839" t="s">
        <v>31</v>
      </c>
      <c r="N205" s="1839"/>
      <c r="O205" s="1839"/>
      <c r="P205" s="2803" t="s">
        <v>31</v>
      </c>
      <c r="Q205" s="2803" t="s">
        <v>31</v>
      </c>
      <c r="R205" s="2803" t="s">
        <v>31</v>
      </c>
      <c r="S205" s="2803" t="s">
        <v>31</v>
      </c>
      <c r="T205" s="2803" t="s">
        <v>31</v>
      </c>
      <c r="U205" s="2803"/>
      <c r="V205" s="2803"/>
      <c r="W205" s="1839" t="s">
        <v>31</v>
      </c>
      <c r="X205" s="1839" t="s">
        <v>31</v>
      </c>
      <c r="Y205" s="1839" t="s">
        <v>31</v>
      </c>
      <c r="Z205" s="1839" t="s">
        <v>31</v>
      </c>
      <c r="AA205" s="1839" t="s">
        <v>31</v>
      </c>
      <c r="AB205" s="1839"/>
      <c r="AC205" s="1839"/>
      <c r="AD205" s="1839" t="s">
        <v>31</v>
      </c>
      <c r="AE205" s="1839" t="s">
        <v>31</v>
      </c>
      <c r="AF205" s="1839" t="s">
        <v>31</v>
      </c>
      <c r="AG205" s="397" t="s">
        <v>31</v>
      </c>
      <c r="AH205" s="23"/>
      <c r="AI205" s="24"/>
    </row>
    <row r="206" spans="1:35" ht="25.5" customHeight="1">
      <c r="A206" s="2804"/>
      <c r="B206" s="2805" t="s">
        <v>293</v>
      </c>
      <c r="C206" s="2590" t="s">
        <v>31</v>
      </c>
      <c r="D206" s="2603" t="s">
        <v>31</v>
      </c>
      <c r="E206" s="2590" t="s">
        <v>31</v>
      </c>
      <c r="F206" s="2590" t="s">
        <v>31</v>
      </c>
      <c r="G206" s="2590"/>
      <c r="H206" s="2590"/>
      <c r="I206" s="2590" t="s">
        <v>31</v>
      </c>
      <c r="J206" s="2590" t="s">
        <v>31</v>
      </c>
      <c r="K206" s="2590" t="s">
        <v>31</v>
      </c>
      <c r="L206" s="2590" t="s">
        <v>31</v>
      </c>
      <c r="M206" s="2590" t="s">
        <v>31</v>
      </c>
      <c r="N206" s="2590"/>
      <c r="O206" s="2590"/>
      <c r="P206" s="2590" t="s">
        <v>31</v>
      </c>
      <c r="Q206" s="2590" t="s">
        <v>31</v>
      </c>
      <c r="R206" s="2590" t="s">
        <v>31</v>
      </c>
      <c r="S206" s="2590" t="s">
        <v>31</v>
      </c>
      <c r="T206" s="2775" t="s">
        <v>31</v>
      </c>
      <c r="U206" s="2590"/>
      <c r="V206" s="2590"/>
      <c r="W206" s="2590" t="s">
        <v>31</v>
      </c>
      <c r="X206" s="2590" t="s">
        <v>31</v>
      </c>
      <c r="Y206" s="2590" t="s">
        <v>31</v>
      </c>
      <c r="Z206" s="2590" t="s">
        <v>31</v>
      </c>
      <c r="AA206" s="2590" t="s">
        <v>31</v>
      </c>
      <c r="AB206" s="2590"/>
      <c r="AC206" s="2590"/>
      <c r="AD206" s="2590" t="s">
        <v>31</v>
      </c>
      <c r="AE206" s="2590" t="s">
        <v>31</v>
      </c>
      <c r="AF206" s="2590" t="s">
        <v>31</v>
      </c>
      <c r="AG206" s="2806" t="s">
        <v>31</v>
      </c>
      <c r="AH206" s="23"/>
      <c r="AI206" s="24"/>
    </row>
    <row r="207" spans="1:35" ht="25.5" customHeight="1">
      <c r="A207" s="2807">
        <v>8514</v>
      </c>
      <c r="B207" s="2554" t="s">
        <v>393</v>
      </c>
      <c r="C207" s="2590" t="s">
        <v>31</v>
      </c>
      <c r="D207" s="2603" t="s">
        <v>31</v>
      </c>
      <c r="E207" s="2590" t="s">
        <v>31</v>
      </c>
      <c r="F207" s="2590" t="s">
        <v>31</v>
      </c>
      <c r="G207" s="2590"/>
      <c r="H207" s="2590"/>
      <c r="I207" s="2590" t="s">
        <v>31</v>
      </c>
      <c r="J207" s="2590" t="s">
        <v>31</v>
      </c>
      <c r="K207" s="2590" t="s">
        <v>31</v>
      </c>
      <c r="L207" s="2590" t="s">
        <v>31</v>
      </c>
      <c r="M207" s="2590" t="s">
        <v>31</v>
      </c>
      <c r="N207" s="2590"/>
      <c r="O207" s="2590"/>
      <c r="P207" s="2590" t="s">
        <v>31</v>
      </c>
      <c r="Q207" s="2590" t="s">
        <v>31</v>
      </c>
      <c r="R207" s="2775" t="s">
        <v>31</v>
      </c>
      <c r="S207" s="2590" t="s">
        <v>31</v>
      </c>
      <c r="T207" s="2590" t="s">
        <v>31</v>
      </c>
      <c r="U207" s="2590"/>
      <c r="V207" s="2590"/>
      <c r="W207" s="2590" t="s">
        <v>31</v>
      </c>
      <c r="X207" s="2590" t="s">
        <v>31</v>
      </c>
      <c r="Y207" s="2590" t="s">
        <v>31</v>
      </c>
      <c r="Z207" s="2590" t="s">
        <v>31</v>
      </c>
      <c r="AA207" s="2775" t="s">
        <v>31</v>
      </c>
      <c r="AB207" s="2590"/>
      <c r="AC207" s="2590"/>
      <c r="AD207" s="2590" t="s">
        <v>31</v>
      </c>
      <c r="AE207" s="2590" t="s">
        <v>31</v>
      </c>
      <c r="AF207" s="2590" t="s">
        <v>31</v>
      </c>
      <c r="AG207" s="2806" t="s">
        <v>31</v>
      </c>
      <c r="AH207" s="34"/>
      <c r="AI207" s="25"/>
    </row>
    <row r="208" spans="1:35" ht="25.5" customHeight="1">
      <c r="A208" s="2807">
        <v>3701</v>
      </c>
      <c r="B208" s="2554" t="s">
        <v>295</v>
      </c>
      <c r="C208" s="2590" t="s">
        <v>31</v>
      </c>
      <c r="D208" s="2590" t="s">
        <v>31</v>
      </c>
      <c r="E208" s="2590" t="s">
        <v>31</v>
      </c>
      <c r="F208" s="2590" t="s">
        <v>31</v>
      </c>
      <c r="G208" s="2590"/>
      <c r="H208" s="2590"/>
      <c r="I208" s="2590" t="s">
        <v>31</v>
      </c>
      <c r="J208" s="2590" t="s">
        <v>31</v>
      </c>
      <c r="K208" s="2590" t="s">
        <v>31</v>
      </c>
      <c r="L208" s="2590" t="s">
        <v>31</v>
      </c>
      <c r="M208" s="2590" t="s">
        <v>31</v>
      </c>
      <c r="N208" s="2590"/>
      <c r="O208" s="2590"/>
      <c r="P208" s="2530" t="s">
        <v>31</v>
      </c>
      <c r="Q208" s="2530" t="s">
        <v>31</v>
      </c>
      <c r="R208" s="2590" t="s">
        <v>31</v>
      </c>
      <c r="S208" s="2530" t="s">
        <v>31</v>
      </c>
      <c r="T208" s="2530" t="s">
        <v>31</v>
      </c>
      <c r="U208" s="2590"/>
      <c r="V208" s="2590"/>
      <c r="W208" s="2590" t="s">
        <v>31</v>
      </c>
      <c r="X208" s="2590" t="s">
        <v>31</v>
      </c>
      <c r="Y208" s="2590" t="s">
        <v>31</v>
      </c>
      <c r="Z208" s="2590" t="s">
        <v>31</v>
      </c>
      <c r="AA208" s="2590" t="s">
        <v>31</v>
      </c>
      <c r="AB208" s="2590"/>
      <c r="AC208" s="2590"/>
      <c r="AD208" s="2590" t="s">
        <v>31</v>
      </c>
      <c r="AE208" s="2590" t="s">
        <v>31</v>
      </c>
      <c r="AF208" s="2590" t="s">
        <v>31</v>
      </c>
      <c r="AG208" s="2806" t="s">
        <v>31</v>
      </c>
      <c r="AH208" s="34"/>
      <c r="AI208" s="25"/>
    </row>
    <row r="209" spans="1:35" ht="25.5" customHeight="1">
      <c r="A209" s="2807">
        <v>3701</v>
      </c>
      <c r="B209" s="2554" t="s">
        <v>296</v>
      </c>
      <c r="C209" s="2590" t="s">
        <v>31</v>
      </c>
      <c r="D209" s="2590" t="s">
        <v>31</v>
      </c>
      <c r="E209" s="2590" t="s">
        <v>31</v>
      </c>
      <c r="F209" s="2590" t="s">
        <v>31</v>
      </c>
      <c r="G209" s="2590"/>
      <c r="H209" s="2590"/>
      <c r="I209" s="2590" t="s">
        <v>31</v>
      </c>
      <c r="J209" s="2590" t="s">
        <v>31</v>
      </c>
      <c r="K209" s="2590" t="s">
        <v>31</v>
      </c>
      <c r="L209" s="2590" t="s">
        <v>31</v>
      </c>
      <c r="M209" s="2590" t="s">
        <v>31</v>
      </c>
      <c r="N209" s="2590"/>
      <c r="O209" s="2590"/>
      <c r="P209" s="2590" t="s">
        <v>31</v>
      </c>
      <c r="Q209" s="2590" t="s">
        <v>31</v>
      </c>
      <c r="R209" s="2599" t="s">
        <v>31</v>
      </c>
      <c r="S209" s="2599" t="s">
        <v>31</v>
      </c>
      <c r="T209" s="2777" t="s">
        <v>304</v>
      </c>
      <c r="U209" s="2590"/>
      <c r="V209" s="2590"/>
      <c r="W209" s="2590">
        <v>19</v>
      </c>
      <c r="X209" s="2590">
        <v>19</v>
      </c>
      <c r="Y209" s="2590">
        <v>19</v>
      </c>
      <c r="Z209" s="2590">
        <v>19</v>
      </c>
      <c r="AA209" s="2590">
        <v>19</v>
      </c>
      <c r="AB209" s="2590"/>
      <c r="AC209" s="2590"/>
      <c r="AD209" s="2590" t="s">
        <v>31</v>
      </c>
      <c r="AE209" s="2590" t="s">
        <v>31</v>
      </c>
      <c r="AF209" s="2590" t="s">
        <v>31</v>
      </c>
      <c r="AG209" s="2806" t="s">
        <v>31</v>
      </c>
      <c r="AH209" s="34"/>
      <c r="AI209" s="25"/>
    </row>
    <row r="210" spans="1:35" ht="25.5" customHeight="1">
      <c r="A210" s="2807">
        <v>3701</v>
      </c>
      <c r="B210" s="2554" t="s">
        <v>297</v>
      </c>
      <c r="C210" s="2590">
        <v>19</v>
      </c>
      <c r="D210" s="2590">
        <v>19</v>
      </c>
      <c r="E210" s="2590">
        <v>19</v>
      </c>
      <c r="F210" s="2590">
        <v>19</v>
      </c>
      <c r="G210" s="2590"/>
      <c r="H210" s="2590"/>
      <c r="I210" s="2590" t="s">
        <v>31</v>
      </c>
      <c r="J210" s="2590" t="s">
        <v>31</v>
      </c>
      <c r="K210" s="2590" t="s">
        <v>31</v>
      </c>
      <c r="L210" s="2590" t="s">
        <v>31</v>
      </c>
      <c r="M210" s="2590" t="s">
        <v>31</v>
      </c>
      <c r="N210" s="2590"/>
      <c r="O210" s="2590"/>
      <c r="P210" s="2590" t="s">
        <v>31</v>
      </c>
      <c r="Q210" s="2590" t="s">
        <v>31</v>
      </c>
      <c r="R210" s="2590" t="s">
        <v>31</v>
      </c>
      <c r="S210" s="2590" t="s">
        <v>31</v>
      </c>
      <c r="T210" s="2590" t="s">
        <v>31</v>
      </c>
      <c r="U210" s="2590"/>
      <c r="V210" s="2590"/>
      <c r="W210" s="2590" t="s">
        <v>31</v>
      </c>
      <c r="X210" s="2590" t="s">
        <v>31</v>
      </c>
      <c r="Y210" s="2590" t="s">
        <v>31</v>
      </c>
      <c r="Z210" s="2590" t="s">
        <v>31</v>
      </c>
      <c r="AA210" s="2590" t="s">
        <v>31</v>
      </c>
      <c r="AB210" s="2590"/>
      <c r="AC210" s="2593"/>
      <c r="AD210" s="2590" t="s">
        <v>31</v>
      </c>
      <c r="AE210" s="2590" t="s">
        <v>31</v>
      </c>
      <c r="AF210" s="2590" t="s">
        <v>31</v>
      </c>
      <c r="AG210" s="2806" t="s">
        <v>31</v>
      </c>
      <c r="AH210" s="34"/>
      <c r="AI210" s="25"/>
    </row>
    <row r="211" spans="1:35" ht="25.5" customHeight="1">
      <c r="A211" s="2807">
        <v>3701</v>
      </c>
      <c r="B211" s="2554" t="s">
        <v>298</v>
      </c>
      <c r="C211" s="2808" t="s">
        <v>31</v>
      </c>
      <c r="D211" s="2808" t="s">
        <v>31</v>
      </c>
      <c r="E211" s="2808" t="s">
        <v>31</v>
      </c>
      <c r="F211" s="2808" t="s">
        <v>31</v>
      </c>
      <c r="G211" s="2590"/>
      <c r="H211" s="2590"/>
      <c r="I211" s="2590" t="s">
        <v>31</v>
      </c>
      <c r="J211" s="2590" t="s">
        <v>31</v>
      </c>
      <c r="K211" s="2590" t="s">
        <v>31</v>
      </c>
      <c r="L211" s="2775" t="s">
        <v>31</v>
      </c>
      <c r="M211" s="2775" t="s">
        <v>31</v>
      </c>
      <c r="N211" s="2590"/>
      <c r="O211" s="2590"/>
      <c r="P211" s="2775">
        <v>19</v>
      </c>
      <c r="Q211" s="2618">
        <v>19</v>
      </c>
      <c r="R211" s="2618">
        <v>19</v>
      </c>
      <c r="S211" s="2618">
        <v>19</v>
      </c>
      <c r="T211" s="2775">
        <v>19</v>
      </c>
      <c r="U211" s="1699"/>
      <c r="V211" s="1699"/>
      <c r="W211" s="2590" t="s">
        <v>31</v>
      </c>
      <c r="X211" s="2590" t="s">
        <v>31</v>
      </c>
      <c r="Y211" s="2590" t="s">
        <v>31</v>
      </c>
      <c r="Z211" s="2590" t="s">
        <v>31</v>
      </c>
      <c r="AA211" s="2590" t="s">
        <v>31</v>
      </c>
      <c r="AB211" s="2590"/>
      <c r="AC211" s="2590"/>
      <c r="AD211" s="2590" t="s">
        <v>31</v>
      </c>
      <c r="AE211" s="2590" t="s">
        <v>31</v>
      </c>
      <c r="AF211" s="2590" t="s">
        <v>31</v>
      </c>
      <c r="AG211" s="2806" t="s">
        <v>31</v>
      </c>
      <c r="AH211" s="34"/>
      <c r="AI211" s="25"/>
    </row>
    <row r="212" spans="1:35" ht="25.5" customHeight="1">
      <c r="A212" s="2807">
        <v>3701</v>
      </c>
      <c r="B212" s="2554" t="s">
        <v>299</v>
      </c>
      <c r="C212" s="2530" t="s">
        <v>31</v>
      </c>
      <c r="D212" s="2530" t="s">
        <v>31</v>
      </c>
      <c r="E212" s="2530" t="s">
        <v>31</v>
      </c>
      <c r="F212" s="2530" t="s">
        <v>31</v>
      </c>
      <c r="G212" s="2590"/>
      <c r="H212" s="2590"/>
      <c r="I212" s="2590">
        <v>19</v>
      </c>
      <c r="J212" s="2590">
        <v>19</v>
      </c>
      <c r="K212" s="2590">
        <v>19</v>
      </c>
      <c r="L212" s="2590">
        <v>19</v>
      </c>
      <c r="M212" s="2590">
        <v>19</v>
      </c>
      <c r="N212" s="2590"/>
      <c r="O212" s="2590"/>
      <c r="P212" s="2590" t="s">
        <v>31</v>
      </c>
      <c r="Q212" s="2590" t="s">
        <v>31</v>
      </c>
      <c r="R212" s="2593" t="s">
        <v>31</v>
      </c>
      <c r="S212" s="2593" t="s">
        <v>31</v>
      </c>
      <c r="T212" s="2593" t="s">
        <v>31</v>
      </c>
      <c r="U212" s="2590"/>
      <c r="V212" s="2590"/>
      <c r="W212" s="2590" t="s">
        <v>31</v>
      </c>
      <c r="X212" s="2590" t="s">
        <v>31</v>
      </c>
      <c r="Y212" s="2590" t="s">
        <v>31</v>
      </c>
      <c r="Z212" s="2590" t="s">
        <v>31</v>
      </c>
      <c r="AA212" s="2590" t="s">
        <v>31</v>
      </c>
      <c r="AB212" s="2590"/>
      <c r="AC212" s="2590"/>
      <c r="AD212" s="2590" t="s">
        <v>31</v>
      </c>
      <c r="AE212" s="2590" t="s">
        <v>31</v>
      </c>
      <c r="AF212" s="2590" t="s">
        <v>31</v>
      </c>
      <c r="AG212" s="2806" t="s">
        <v>31</v>
      </c>
      <c r="AH212" s="34"/>
      <c r="AI212" s="25"/>
    </row>
    <row r="213" spans="1:35" ht="25.5" customHeight="1">
      <c r="A213" s="2807">
        <v>3701</v>
      </c>
      <c r="B213" s="2554" t="s">
        <v>300</v>
      </c>
      <c r="C213" s="2590" t="s">
        <v>31</v>
      </c>
      <c r="D213" s="2590" t="s">
        <v>31</v>
      </c>
      <c r="E213" s="2590" t="s">
        <v>31</v>
      </c>
      <c r="F213" s="2590" t="s">
        <v>31</v>
      </c>
      <c r="G213" s="2590"/>
      <c r="H213" s="2590"/>
      <c r="I213" s="2590" t="s">
        <v>31</v>
      </c>
      <c r="J213" s="2590" t="s">
        <v>31</v>
      </c>
      <c r="K213" s="2590" t="s">
        <v>31</v>
      </c>
      <c r="L213" s="2590" t="s">
        <v>31</v>
      </c>
      <c r="M213" s="2590" t="s">
        <v>31</v>
      </c>
      <c r="N213" s="2590"/>
      <c r="O213" s="2590"/>
      <c r="P213" s="2530" t="s">
        <v>31</v>
      </c>
      <c r="Q213" s="2530" t="s">
        <v>31</v>
      </c>
      <c r="R213" s="2530" t="s">
        <v>31</v>
      </c>
      <c r="S213" s="2530" t="s">
        <v>31</v>
      </c>
      <c r="T213" s="2530" t="s">
        <v>31</v>
      </c>
      <c r="U213" s="2590"/>
      <c r="V213" s="2590"/>
      <c r="W213" s="2590" t="s">
        <v>31</v>
      </c>
      <c r="X213" s="2590" t="s">
        <v>31</v>
      </c>
      <c r="Y213" s="2590" t="s">
        <v>31</v>
      </c>
      <c r="Z213" s="2590" t="s">
        <v>31</v>
      </c>
      <c r="AA213" s="2590" t="s">
        <v>31</v>
      </c>
      <c r="AB213" s="2590"/>
      <c r="AC213" s="2590"/>
      <c r="AD213" s="2590">
        <v>19</v>
      </c>
      <c r="AE213" s="2590">
        <v>19</v>
      </c>
      <c r="AF213" s="2590">
        <v>19</v>
      </c>
      <c r="AG213" s="2806">
        <v>19</v>
      </c>
      <c r="AH213" s="34"/>
      <c r="AI213" s="25"/>
    </row>
    <row r="214" spans="1:35" ht="25.5" customHeight="1">
      <c r="A214" s="2807">
        <v>3701</v>
      </c>
      <c r="B214" s="2554" t="s">
        <v>301</v>
      </c>
      <c r="C214" s="2590" t="s">
        <v>31</v>
      </c>
      <c r="D214" s="2590" t="s">
        <v>31</v>
      </c>
      <c r="E214" s="2590" t="s">
        <v>31</v>
      </c>
      <c r="F214" s="2590" t="s">
        <v>31</v>
      </c>
      <c r="G214" s="2590"/>
      <c r="H214" s="2590"/>
      <c r="I214" s="2590" t="s">
        <v>31</v>
      </c>
      <c r="J214" s="2619" t="s">
        <v>31</v>
      </c>
      <c r="K214" s="2619" t="s">
        <v>31</v>
      </c>
      <c r="L214" s="2590" t="s">
        <v>31</v>
      </c>
      <c r="M214" s="2590" t="s">
        <v>31</v>
      </c>
      <c r="N214" s="2590"/>
      <c r="O214" s="2590"/>
      <c r="P214" s="2590" t="s">
        <v>31</v>
      </c>
      <c r="Q214" s="2590" t="s">
        <v>31</v>
      </c>
      <c r="R214" s="2590" t="s">
        <v>31</v>
      </c>
      <c r="S214" s="2590" t="s">
        <v>31</v>
      </c>
      <c r="T214" s="2590" t="s">
        <v>31</v>
      </c>
      <c r="U214" s="2590"/>
      <c r="V214" s="2590"/>
      <c r="W214" s="2590" t="s">
        <v>31</v>
      </c>
      <c r="X214" s="2590" t="s">
        <v>31</v>
      </c>
      <c r="Y214" s="2590" t="s">
        <v>31</v>
      </c>
      <c r="Z214" s="2590" t="s">
        <v>31</v>
      </c>
      <c r="AA214" s="2590" t="s">
        <v>31</v>
      </c>
      <c r="AB214" s="2590"/>
      <c r="AC214" s="2590"/>
      <c r="AD214" s="2590" t="s">
        <v>31</v>
      </c>
      <c r="AE214" s="2590" t="s">
        <v>31</v>
      </c>
      <c r="AF214" s="2590" t="s">
        <v>31</v>
      </c>
      <c r="AG214" s="2806" t="s">
        <v>31</v>
      </c>
      <c r="AH214" s="34"/>
      <c r="AI214" s="25"/>
    </row>
    <row r="215" spans="1:35" ht="25.5" customHeight="1">
      <c r="A215" s="2809">
        <v>3701</v>
      </c>
      <c r="B215" s="2554" t="s">
        <v>302</v>
      </c>
      <c r="C215" s="2590" t="s">
        <v>31</v>
      </c>
      <c r="D215" s="2590" t="s">
        <v>31</v>
      </c>
      <c r="E215" s="2590" t="s">
        <v>31</v>
      </c>
      <c r="F215" s="2590" t="s">
        <v>31</v>
      </c>
      <c r="G215" s="2590"/>
      <c r="H215" s="2590"/>
      <c r="I215" s="2590" t="s">
        <v>31</v>
      </c>
      <c r="J215" s="2590" t="s">
        <v>31</v>
      </c>
      <c r="K215" s="2590" t="s">
        <v>31</v>
      </c>
      <c r="L215" s="2590" t="s">
        <v>31</v>
      </c>
      <c r="M215" s="2590" t="s">
        <v>31</v>
      </c>
      <c r="N215" s="2590"/>
      <c r="O215" s="2590"/>
      <c r="P215" s="2590" t="s">
        <v>31</v>
      </c>
      <c r="Q215" s="2590" t="s">
        <v>31</v>
      </c>
      <c r="R215" s="2590" t="s">
        <v>31</v>
      </c>
      <c r="S215" s="2593" t="s">
        <v>31</v>
      </c>
      <c r="T215" s="2593" t="s">
        <v>31</v>
      </c>
      <c r="U215" s="2593"/>
      <c r="V215" s="2593"/>
      <c r="W215" s="2530" t="s">
        <v>31</v>
      </c>
      <c r="X215" s="2530" t="s">
        <v>31</v>
      </c>
      <c r="Y215" s="2530" t="s">
        <v>31</v>
      </c>
      <c r="Z215" s="2530" t="s">
        <v>31</v>
      </c>
      <c r="AA215" s="2530" t="s">
        <v>31</v>
      </c>
      <c r="AB215" s="2590"/>
      <c r="AC215" s="2590"/>
      <c r="AD215" s="2590" t="s">
        <v>31</v>
      </c>
      <c r="AE215" s="2590" t="s">
        <v>31</v>
      </c>
      <c r="AF215" s="2590" t="s">
        <v>31</v>
      </c>
      <c r="AG215" s="2806" t="s">
        <v>31</v>
      </c>
      <c r="AH215" s="34"/>
      <c r="AI215" s="25"/>
    </row>
    <row r="216" spans="1:35" ht="25.5" customHeight="1">
      <c r="A216" s="2807">
        <v>3701</v>
      </c>
      <c r="B216" s="2554" t="s">
        <v>303</v>
      </c>
      <c r="C216" s="2530" t="s">
        <v>31</v>
      </c>
      <c r="D216" s="2590" t="s">
        <v>31</v>
      </c>
      <c r="E216" s="2590" t="s">
        <v>31</v>
      </c>
      <c r="F216" s="2590" t="s">
        <v>31</v>
      </c>
      <c r="G216" s="2590"/>
      <c r="H216" s="2590"/>
      <c r="I216" s="2590" t="s">
        <v>31</v>
      </c>
      <c r="J216" s="2590" t="s">
        <v>31</v>
      </c>
      <c r="K216" s="2590" t="s">
        <v>31</v>
      </c>
      <c r="L216" s="2590" t="s">
        <v>31</v>
      </c>
      <c r="M216" s="2590" t="s">
        <v>31</v>
      </c>
      <c r="N216" s="2590"/>
      <c r="O216" s="2590"/>
      <c r="P216" s="2590" t="s">
        <v>31</v>
      </c>
      <c r="Q216" s="2590" t="s">
        <v>31</v>
      </c>
      <c r="R216" s="2810" t="s">
        <v>31</v>
      </c>
      <c r="S216" s="2810" t="s">
        <v>31</v>
      </c>
      <c r="T216" s="2810" t="s">
        <v>31</v>
      </c>
      <c r="U216" s="2810"/>
      <c r="V216" s="2810"/>
      <c r="W216" s="1699" t="s">
        <v>31</v>
      </c>
      <c r="X216" s="1699" t="s">
        <v>31</v>
      </c>
      <c r="Y216" s="2590" t="s">
        <v>31</v>
      </c>
      <c r="Z216" s="2590" t="s">
        <v>31</v>
      </c>
      <c r="AA216" s="2777" t="s">
        <v>336</v>
      </c>
      <c r="AB216" s="2618"/>
      <c r="AC216" s="2618"/>
      <c r="AD216" s="2618" t="s">
        <v>31</v>
      </c>
      <c r="AE216" s="1699" t="s">
        <v>31</v>
      </c>
      <c r="AF216" s="1699" t="s">
        <v>31</v>
      </c>
      <c r="AG216" s="2811" t="s">
        <v>31</v>
      </c>
      <c r="AH216" s="34"/>
      <c r="AI216" s="25"/>
    </row>
    <row r="217" spans="1:35" ht="25.5" customHeight="1">
      <c r="A217" s="2807">
        <v>3701</v>
      </c>
      <c r="B217" s="2554" t="s">
        <v>305</v>
      </c>
      <c r="C217" s="2812" t="s">
        <v>31</v>
      </c>
      <c r="D217" s="2812" t="s">
        <v>31</v>
      </c>
      <c r="E217" s="2812" t="s">
        <v>31</v>
      </c>
      <c r="F217" s="2599" t="s">
        <v>31</v>
      </c>
      <c r="G217" s="2599"/>
      <c r="H217" s="2599"/>
      <c r="I217" s="2599" t="s">
        <v>31</v>
      </c>
      <c r="J217" s="2599" t="s">
        <v>31</v>
      </c>
      <c r="K217" s="2599" t="s">
        <v>31</v>
      </c>
      <c r="L217" s="2599" t="s">
        <v>31</v>
      </c>
      <c r="M217" s="2599" t="s">
        <v>304</v>
      </c>
      <c r="N217" s="2812"/>
      <c r="O217" s="2812"/>
      <c r="P217" s="2812" t="s">
        <v>31</v>
      </c>
      <c r="Q217" s="2812" t="s">
        <v>31</v>
      </c>
      <c r="R217" s="2812" t="s">
        <v>31</v>
      </c>
      <c r="S217" s="2812" t="s">
        <v>31</v>
      </c>
      <c r="T217" s="2812" t="s">
        <v>31</v>
      </c>
      <c r="U217" s="2812"/>
      <c r="V217" s="2812"/>
      <c r="W217" s="2812" t="s">
        <v>31</v>
      </c>
      <c r="X217" s="2812" t="s">
        <v>31</v>
      </c>
      <c r="Y217" s="2812" t="s">
        <v>31</v>
      </c>
      <c r="Z217" s="2812" t="s">
        <v>31</v>
      </c>
      <c r="AA217" s="2812" t="s">
        <v>31</v>
      </c>
      <c r="AB217" s="2590"/>
      <c r="AC217" s="2590"/>
      <c r="AD217" s="2590" t="s">
        <v>31</v>
      </c>
      <c r="AE217" s="2590" t="s">
        <v>31</v>
      </c>
      <c r="AF217" s="2590" t="s">
        <v>31</v>
      </c>
      <c r="AG217" s="2813" t="s">
        <v>31</v>
      </c>
      <c r="AH217" s="34"/>
      <c r="AI217" s="25"/>
    </row>
    <row r="218" spans="1:35" ht="25.5" customHeight="1">
      <c r="A218" s="2807"/>
      <c r="B218" s="2814" t="s">
        <v>277</v>
      </c>
      <c r="C218" s="2590"/>
      <c r="D218" s="2590"/>
      <c r="E218" s="2590"/>
      <c r="F218" s="2590"/>
      <c r="G218" s="2590"/>
      <c r="H218" s="2590"/>
      <c r="I218" s="2590"/>
      <c r="J218" s="2590"/>
      <c r="K218" s="2590"/>
      <c r="L218" s="2590"/>
      <c r="M218" s="2590"/>
      <c r="N218" s="2590"/>
      <c r="O218" s="2590"/>
      <c r="P218" s="2590"/>
      <c r="Q218" s="2590"/>
      <c r="R218" s="2590"/>
      <c r="S218" s="2590"/>
      <c r="T218" s="2590"/>
      <c r="U218" s="2590"/>
      <c r="V218" s="2590"/>
      <c r="W218" s="2590"/>
      <c r="X218" s="2590"/>
      <c r="Y218" s="2590"/>
      <c r="Z218" s="2590"/>
      <c r="AA218" s="2590"/>
      <c r="AB218" s="2590"/>
      <c r="AC218" s="2590"/>
      <c r="AD218" s="2590"/>
      <c r="AE218" s="2590"/>
      <c r="AF218" s="2590"/>
      <c r="AG218" s="2806"/>
      <c r="AH218" s="34"/>
      <c r="AI218" s="25"/>
    </row>
    <row r="219" spans="1:35" ht="25.5" customHeight="1">
      <c r="A219" s="2807"/>
      <c r="B219" s="2554" t="s">
        <v>306</v>
      </c>
      <c r="C219" s="2812" t="s">
        <v>31</v>
      </c>
      <c r="D219" s="2812" t="s">
        <v>31</v>
      </c>
      <c r="E219" s="2812" t="s">
        <v>31</v>
      </c>
      <c r="F219" s="2812" t="s">
        <v>31</v>
      </c>
      <c r="G219" s="2812"/>
      <c r="H219" s="2812"/>
      <c r="I219" s="2812" t="s">
        <v>31</v>
      </c>
      <c r="J219" s="2812" t="s">
        <v>31</v>
      </c>
      <c r="K219" s="2812" t="s">
        <v>31</v>
      </c>
      <c r="L219" s="2812" t="s">
        <v>31</v>
      </c>
      <c r="M219" s="2812" t="s">
        <v>31</v>
      </c>
      <c r="N219" s="2812"/>
      <c r="O219" s="2812"/>
      <c r="P219" s="2812" t="s">
        <v>31</v>
      </c>
      <c r="Q219" s="2812" t="s">
        <v>31</v>
      </c>
      <c r="R219" s="2812" t="s">
        <v>31</v>
      </c>
      <c r="S219" s="2812" t="s">
        <v>31</v>
      </c>
      <c r="T219" s="2812" t="s">
        <v>31</v>
      </c>
      <c r="U219" s="2812"/>
      <c r="V219" s="2812"/>
      <c r="W219" s="2812" t="s">
        <v>31</v>
      </c>
      <c r="X219" s="2812" t="s">
        <v>31</v>
      </c>
      <c r="Y219" s="2812" t="s">
        <v>31</v>
      </c>
      <c r="Z219" s="2812" t="s">
        <v>31</v>
      </c>
      <c r="AA219" s="2812" t="s">
        <v>31</v>
      </c>
      <c r="AB219" s="2812"/>
      <c r="AC219" s="2812"/>
      <c r="AD219" s="2812" t="s">
        <v>31</v>
      </c>
      <c r="AE219" s="2812" t="s">
        <v>31</v>
      </c>
      <c r="AF219" s="2590" t="s">
        <v>31</v>
      </c>
      <c r="AG219" s="2806" t="s">
        <v>31</v>
      </c>
      <c r="AH219" s="34"/>
      <c r="AI219" s="25"/>
    </row>
    <row r="220" spans="1:35" ht="25.5" customHeight="1">
      <c r="A220" s="2807"/>
      <c r="B220" s="2554" t="s">
        <v>307</v>
      </c>
      <c r="C220" s="2590" t="s">
        <v>31</v>
      </c>
      <c r="D220" s="2619" t="s">
        <v>31</v>
      </c>
      <c r="E220" s="2619" t="s">
        <v>31</v>
      </c>
      <c r="F220" s="2619" t="s">
        <v>31</v>
      </c>
      <c r="G220" s="2619"/>
      <c r="H220" s="2619"/>
      <c r="I220" s="2590" t="s">
        <v>31</v>
      </c>
      <c r="J220" s="2590" t="s">
        <v>31</v>
      </c>
      <c r="K220" s="2590" t="s">
        <v>31</v>
      </c>
      <c r="L220" s="2590" t="s">
        <v>31</v>
      </c>
      <c r="M220" s="2590" t="s">
        <v>31</v>
      </c>
      <c r="N220" s="2590"/>
      <c r="O220" s="2590"/>
      <c r="P220" s="2530" t="s">
        <v>31</v>
      </c>
      <c r="Q220" s="2530" t="s">
        <v>31</v>
      </c>
      <c r="R220" s="2530" t="s">
        <v>31</v>
      </c>
      <c r="S220" s="2530" t="s">
        <v>31</v>
      </c>
      <c r="T220" s="2530" t="s">
        <v>31</v>
      </c>
      <c r="U220" s="2590"/>
      <c r="V220" s="2590"/>
      <c r="W220" s="2590" t="s">
        <v>31</v>
      </c>
      <c r="X220" s="2590" t="s">
        <v>31</v>
      </c>
      <c r="Y220" s="2590" t="s">
        <v>31</v>
      </c>
      <c r="Z220" s="2590" t="s">
        <v>31</v>
      </c>
      <c r="AA220" s="2590" t="s">
        <v>31</v>
      </c>
      <c r="AB220" s="2590"/>
      <c r="AC220" s="2590"/>
      <c r="AD220" s="2590" t="s">
        <v>31</v>
      </c>
      <c r="AE220" s="2590" t="s">
        <v>31</v>
      </c>
      <c r="AF220" s="2590" t="s">
        <v>31</v>
      </c>
      <c r="AG220" s="2806" t="s">
        <v>31</v>
      </c>
      <c r="AH220" s="34"/>
      <c r="AI220" s="25"/>
    </row>
    <row r="221" spans="1:35" ht="25.5" customHeight="1">
      <c r="A221" s="2807"/>
      <c r="B221" s="2554" t="s">
        <v>308</v>
      </c>
      <c r="C221" s="2599" t="s">
        <v>31</v>
      </c>
      <c r="D221" s="2599" t="s">
        <v>31</v>
      </c>
      <c r="E221" s="2599" t="s">
        <v>31</v>
      </c>
      <c r="F221" s="2590" t="s">
        <v>31</v>
      </c>
      <c r="G221" s="2590"/>
      <c r="H221" s="2590"/>
      <c r="I221" s="2590" t="s">
        <v>31</v>
      </c>
      <c r="J221" s="2590" t="s">
        <v>31</v>
      </c>
      <c r="K221" s="2590" t="s">
        <v>31</v>
      </c>
      <c r="L221" s="2590" t="s">
        <v>31</v>
      </c>
      <c r="M221" s="2590" t="s">
        <v>31</v>
      </c>
      <c r="N221" s="2619"/>
      <c r="O221" s="2619"/>
      <c r="P221" s="2590" t="s">
        <v>31</v>
      </c>
      <c r="Q221" s="2590" t="s">
        <v>31</v>
      </c>
      <c r="R221" s="2590" t="s">
        <v>31</v>
      </c>
      <c r="S221" s="2590" t="s">
        <v>31</v>
      </c>
      <c r="T221" s="1699" t="s">
        <v>31</v>
      </c>
      <c r="U221" s="2590"/>
      <c r="V221" s="114"/>
      <c r="W221" s="2590" t="s">
        <v>31</v>
      </c>
      <c r="X221" s="2590" t="s">
        <v>31</v>
      </c>
      <c r="Y221" s="2590" t="s">
        <v>31</v>
      </c>
      <c r="Z221" s="2590" t="s">
        <v>31</v>
      </c>
      <c r="AA221" s="2590" t="s">
        <v>31</v>
      </c>
      <c r="AB221" s="2590"/>
      <c r="AC221" s="2590"/>
      <c r="AD221" s="2590" t="s">
        <v>31</v>
      </c>
      <c r="AE221" s="2590" t="s">
        <v>31</v>
      </c>
      <c r="AF221" s="2590" t="s">
        <v>31</v>
      </c>
      <c r="AG221" s="2806" t="s">
        <v>31</v>
      </c>
      <c r="AH221" s="34"/>
      <c r="AI221" s="25"/>
    </row>
    <row r="222" spans="1:35" ht="25.5" customHeight="1">
      <c r="A222" s="2807"/>
      <c r="B222" s="2554" t="s">
        <v>309</v>
      </c>
      <c r="C222" s="2530" t="s">
        <v>31</v>
      </c>
      <c r="D222" s="2530" t="s">
        <v>31</v>
      </c>
      <c r="E222" s="2530" t="s">
        <v>31</v>
      </c>
      <c r="F222" s="2530" t="s">
        <v>31</v>
      </c>
      <c r="G222" s="2530"/>
      <c r="H222" s="2530"/>
      <c r="I222" s="2530" t="s">
        <v>31</v>
      </c>
      <c r="J222" s="2530" t="s">
        <v>31</v>
      </c>
      <c r="K222" s="2530" t="s">
        <v>31</v>
      </c>
      <c r="L222" s="2530" t="s">
        <v>31</v>
      </c>
      <c r="M222" s="2530" t="s">
        <v>31</v>
      </c>
      <c r="N222" s="2530"/>
      <c r="O222" s="2530"/>
      <c r="P222" s="2530" t="s">
        <v>31</v>
      </c>
      <c r="Q222" s="2530" t="s">
        <v>31</v>
      </c>
      <c r="R222" s="2530" t="s">
        <v>31</v>
      </c>
      <c r="S222" s="2530" t="s">
        <v>31</v>
      </c>
      <c r="T222" s="2530" t="s">
        <v>31</v>
      </c>
      <c r="U222" s="2530"/>
      <c r="V222" s="2530"/>
      <c r="W222" s="2530" t="s">
        <v>31</v>
      </c>
      <c r="X222" s="2530" t="s">
        <v>31</v>
      </c>
      <c r="Y222" s="2618" t="s">
        <v>31</v>
      </c>
      <c r="Z222" s="2618" t="s">
        <v>31</v>
      </c>
      <c r="AA222" s="2618" t="s">
        <v>31</v>
      </c>
      <c r="AB222" s="2618"/>
      <c r="AC222" s="2618"/>
      <c r="AD222" s="2618" t="s">
        <v>31</v>
      </c>
      <c r="AE222" s="2618" t="s">
        <v>31</v>
      </c>
      <c r="AF222" s="2618" t="s">
        <v>31</v>
      </c>
      <c r="AG222" s="2815" t="s">
        <v>31</v>
      </c>
      <c r="AH222" s="34"/>
      <c r="AI222" s="25"/>
    </row>
    <row r="223" spans="1:35" ht="25.5" customHeight="1" thickBot="1">
      <c r="A223" s="2807"/>
      <c r="B223" s="2816" t="s">
        <v>445</v>
      </c>
      <c r="C223" s="2590"/>
      <c r="D223" s="2590"/>
      <c r="E223" s="2590"/>
      <c r="F223" s="2590"/>
      <c r="G223" s="2590"/>
      <c r="H223" s="2590"/>
      <c r="I223" s="2590"/>
      <c r="J223" s="2590"/>
      <c r="K223" s="2590"/>
      <c r="L223" s="2590"/>
      <c r="M223" s="2590"/>
      <c r="N223" s="2590"/>
      <c r="O223" s="2590"/>
      <c r="P223" s="2590"/>
      <c r="Q223" s="2590"/>
      <c r="R223" s="2590"/>
      <c r="S223" s="2590"/>
      <c r="T223" s="2590"/>
      <c r="U223" s="2590"/>
      <c r="V223" s="2590"/>
      <c r="W223" s="2590"/>
      <c r="X223" s="2590"/>
      <c r="Y223" s="2590"/>
      <c r="Z223" s="2590"/>
      <c r="AA223" s="2590"/>
      <c r="AB223" s="2590"/>
      <c r="AC223" s="2590"/>
      <c r="AD223" s="2590"/>
      <c r="AE223" s="2590"/>
      <c r="AF223" s="2590"/>
      <c r="AG223" s="2806"/>
      <c r="AH223" s="93"/>
      <c r="AI223" s="76"/>
    </row>
    <row r="224" spans="1:35" ht="25.5" customHeight="1">
      <c r="A224" s="2807"/>
      <c r="B224" s="2554" t="s">
        <v>446</v>
      </c>
      <c r="C224" s="1839" t="s">
        <v>31</v>
      </c>
      <c r="D224" s="2480" t="s">
        <v>31</v>
      </c>
      <c r="E224" s="1839" t="s">
        <v>31</v>
      </c>
      <c r="F224" s="1839" t="s">
        <v>31</v>
      </c>
      <c r="G224" s="1839"/>
      <c r="H224" s="1839"/>
      <c r="I224" s="1839" t="s">
        <v>31</v>
      </c>
      <c r="J224" s="1839" t="s">
        <v>31</v>
      </c>
      <c r="K224" s="1839" t="s">
        <v>31</v>
      </c>
      <c r="L224" s="2817" t="s">
        <v>304</v>
      </c>
      <c r="M224" s="2818" t="s">
        <v>31</v>
      </c>
      <c r="N224" s="1839"/>
      <c r="O224" s="1839"/>
      <c r="P224" s="1839" t="s">
        <v>31</v>
      </c>
      <c r="Q224" s="1839" t="s">
        <v>31</v>
      </c>
      <c r="R224" s="1839" t="s">
        <v>31</v>
      </c>
      <c r="S224" s="1839" t="s">
        <v>31</v>
      </c>
      <c r="T224" s="1839" t="s">
        <v>31</v>
      </c>
      <c r="U224" s="1839"/>
      <c r="V224" s="1839"/>
      <c r="W224" s="1839" t="s">
        <v>31</v>
      </c>
      <c r="X224" s="1839" t="s">
        <v>31</v>
      </c>
      <c r="Y224" s="1839" t="s">
        <v>31</v>
      </c>
      <c r="Z224" s="1839" t="s">
        <v>31</v>
      </c>
      <c r="AA224" s="1839" t="s">
        <v>31</v>
      </c>
      <c r="AB224" s="1839"/>
      <c r="AC224" s="1839"/>
      <c r="AD224" s="1839" t="s">
        <v>31</v>
      </c>
      <c r="AE224" s="1839" t="s">
        <v>31</v>
      </c>
      <c r="AF224" s="1839" t="s">
        <v>31</v>
      </c>
      <c r="AG224" s="397" t="s">
        <v>31</v>
      </c>
      <c r="AH224" s="93"/>
      <c r="AI224" s="76"/>
    </row>
    <row r="225" spans="1:35" ht="25.5" customHeight="1">
      <c r="A225" s="2601"/>
      <c r="B225" s="2601"/>
      <c r="C225" s="2590"/>
      <c r="D225" s="2590"/>
      <c r="E225" s="2590"/>
      <c r="F225" s="2590"/>
      <c r="G225" s="2590"/>
      <c r="H225" s="2590"/>
      <c r="I225" s="2590"/>
      <c r="J225" s="2590"/>
      <c r="K225" s="2590"/>
      <c r="L225" s="2590"/>
      <c r="M225" s="2590"/>
      <c r="N225" s="2590"/>
      <c r="O225" s="2590"/>
      <c r="P225" s="2590"/>
      <c r="Q225" s="2590"/>
      <c r="R225" s="2590"/>
      <c r="S225" s="2590"/>
      <c r="T225" s="2590"/>
      <c r="U225" s="2590"/>
      <c r="V225" s="2590"/>
      <c r="W225" s="2590"/>
      <c r="X225" s="2590"/>
      <c r="Y225" s="2590"/>
      <c r="Z225" s="2590"/>
      <c r="AA225" s="2590"/>
      <c r="AB225" s="2590"/>
      <c r="AC225" s="2590"/>
      <c r="AD225" s="2590"/>
      <c r="AE225" s="2590"/>
      <c r="AF225" s="2590"/>
      <c r="AG225" s="2806"/>
      <c r="AH225" s="93"/>
      <c r="AI225" s="76"/>
    </row>
    <row r="226" spans="1:35" ht="25.5" customHeight="1">
      <c r="A226" s="2601"/>
      <c r="B226" s="2601"/>
      <c r="C226" s="2590"/>
      <c r="D226" s="2590"/>
      <c r="E226" s="2590"/>
      <c r="F226" s="2590"/>
      <c r="G226" s="2590"/>
      <c r="H226" s="2769"/>
      <c r="I226" s="2590"/>
      <c r="J226" s="2590"/>
      <c r="K226" s="2590"/>
      <c r="L226" s="2590"/>
      <c r="M226" s="2590"/>
      <c r="N226" s="2590"/>
      <c r="O226" s="2590"/>
      <c r="P226" s="2590"/>
      <c r="Q226" s="2590"/>
      <c r="R226" s="2590"/>
      <c r="S226" s="2590"/>
      <c r="T226" s="2590"/>
      <c r="U226" s="2590"/>
      <c r="V226" s="2590"/>
      <c r="W226" s="2590"/>
      <c r="X226" s="2590"/>
      <c r="Y226" s="2590"/>
      <c r="Z226" s="2590"/>
      <c r="AA226" s="2590"/>
      <c r="AB226" s="2590"/>
      <c r="AC226" s="2590"/>
      <c r="AD226" s="2590"/>
      <c r="AE226" s="2590"/>
      <c r="AF226" s="2590"/>
      <c r="AG226" s="2819"/>
      <c r="AH226" s="93"/>
      <c r="AI226" s="76"/>
    </row>
    <row r="227" spans="1:35" ht="25.5" customHeight="1">
      <c r="A227" s="2601"/>
      <c r="B227" s="2601"/>
      <c r="C227" s="2590"/>
      <c r="D227" s="2590"/>
      <c r="E227" s="2590"/>
      <c r="F227" s="2590"/>
      <c r="G227" s="2590"/>
      <c r="H227" s="2590"/>
      <c r="I227" s="2590"/>
      <c r="J227" s="2590"/>
      <c r="K227" s="2590"/>
      <c r="L227" s="2590"/>
      <c r="M227" s="2590"/>
      <c r="N227" s="2590"/>
      <c r="O227" s="2590"/>
      <c r="P227" s="2590"/>
      <c r="Q227" s="2590"/>
      <c r="R227" s="2590"/>
      <c r="S227" s="2590"/>
      <c r="T227" s="2590"/>
      <c r="U227" s="2590"/>
      <c r="V227" s="2590"/>
      <c r="W227" s="2590"/>
      <c r="X227" s="2590"/>
      <c r="Y227" s="2590"/>
      <c r="Z227" s="2590"/>
      <c r="AA227" s="2590"/>
      <c r="AB227" s="2590"/>
      <c r="AC227" s="2590"/>
      <c r="AD227" s="2590"/>
      <c r="AE227" s="2590"/>
      <c r="AF227" s="2590"/>
      <c r="AG227" s="2806"/>
      <c r="AH227" s="93"/>
      <c r="AI227" s="76"/>
    </row>
    <row r="228" spans="1:35" ht="25.5" customHeight="1">
      <c r="A228" s="2601"/>
      <c r="B228" s="2601"/>
      <c r="C228" s="2590"/>
      <c r="D228" s="2590"/>
      <c r="E228" s="2590"/>
      <c r="F228" s="2590"/>
      <c r="G228" s="2590"/>
      <c r="H228" s="2769"/>
      <c r="I228" s="2590"/>
      <c r="J228" s="2590"/>
      <c r="K228" s="2590"/>
      <c r="L228" s="2590"/>
      <c r="M228" s="2590"/>
      <c r="N228" s="2590"/>
      <c r="O228" s="2590"/>
      <c r="P228" s="2590"/>
      <c r="Q228" s="2590"/>
      <c r="R228" s="2590"/>
      <c r="S228" s="2590"/>
      <c r="T228" s="2590"/>
      <c r="U228" s="2590"/>
      <c r="V228" s="2590"/>
      <c r="W228" s="2590"/>
      <c r="X228" s="2590"/>
      <c r="Y228" s="2590"/>
      <c r="Z228" s="2590"/>
      <c r="AA228" s="2590"/>
      <c r="AB228" s="2590"/>
      <c r="AC228" s="2590"/>
      <c r="AD228" s="2590"/>
      <c r="AE228" s="2590"/>
      <c r="AF228" s="2590"/>
      <c r="AG228" s="2819"/>
      <c r="AH228" s="93"/>
      <c r="AI228" s="76"/>
    </row>
    <row r="229" spans="1:35" ht="25.5" customHeight="1">
      <c r="A229" s="2807"/>
      <c r="B229" s="2814"/>
      <c r="C229" s="2590"/>
      <c r="D229" s="2590"/>
      <c r="E229" s="2590"/>
      <c r="F229" s="2590"/>
      <c r="G229" s="2590"/>
      <c r="H229" s="2590"/>
      <c r="I229" s="2590"/>
      <c r="J229" s="2590"/>
      <c r="K229" s="2590"/>
      <c r="L229" s="2590"/>
      <c r="M229" s="2590"/>
      <c r="N229" s="2590"/>
      <c r="O229" s="2590"/>
      <c r="P229" s="2590"/>
      <c r="Q229" s="2590"/>
      <c r="R229" s="2590"/>
      <c r="S229" s="2590"/>
      <c r="T229" s="2590"/>
      <c r="U229" s="2590"/>
      <c r="V229" s="2590"/>
      <c r="W229" s="2590"/>
      <c r="X229" s="2590"/>
      <c r="Y229" s="2590"/>
      <c r="Z229" s="2590"/>
      <c r="AA229" s="2590"/>
      <c r="AB229" s="2590"/>
      <c r="AC229" s="2590"/>
      <c r="AD229" s="2590"/>
      <c r="AE229" s="2590"/>
      <c r="AF229" s="2590"/>
      <c r="AG229" s="2819"/>
      <c r="AH229" s="93"/>
      <c r="AI229" s="76"/>
    </row>
    <row r="230" spans="1:35" ht="25.5" customHeight="1">
      <c r="A230" s="2807"/>
      <c r="B230" s="2820"/>
      <c r="C230" s="2590"/>
      <c r="D230" s="2590"/>
      <c r="E230" s="2590"/>
      <c r="F230" s="2590"/>
      <c r="G230" s="2590"/>
      <c r="H230" s="2590"/>
      <c r="I230" s="2590"/>
      <c r="J230" s="2590"/>
      <c r="K230" s="2590"/>
      <c r="L230" s="2590"/>
      <c r="M230" s="2590"/>
      <c r="N230" s="2590"/>
      <c r="O230" s="2590"/>
      <c r="P230" s="2590"/>
      <c r="Q230" s="2590"/>
      <c r="R230" s="2590"/>
      <c r="S230" s="2590"/>
      <c r="T230" s="2590"/>
      <c r="U230" s="2590"/>
      <c r="V230" s="2590"/>
      <c r="W230" s="2590"/>
      <c r="X230" s="2590"/>
      <c r="Y230" s="2590"/>
      <c r="Z230" s="2590"/>
      <c r="AA230" s="2590"/>
      <c r="AB230" s="2590"/>
      <c r="AC230" s="2590"/>
      <c r="AD230" s="2590"/>
      <c r="AE230" s="2590"/>
      <c r="AF230" s="2590"/>
      <c r="AG230" s="2819"/>
      <c r="AH230" s="93"/>
      <c r="AI230" s="76"/>
    </row>
    <row r="231" spans="1:35" ht="25.5" customHeight="1">
      <c r="A231" s="82"/>
      <c r="B231" s="115"/>
      <c r="C231" s="38"/>
      <c r="D231" s="38"/>
      <c r="E231" s="38"/>
      <c r="F231" s="38"/>
      <c r="G231" s="38"/>
      <c r="H231" s="38"/>
      <c r="I231" s="38"/>
      <c r="J231" s="38"/>
      <c r="L231" s="38"/>
      <c r="M231" s="38"/>
      <c r="N231" s="38"/>
      <c r="O231" s="38"/>
      <c r="P231" s="17"/>
      <c r="Q231" s="17"/>
      <c r="R231" s="17"/>
      <c r="S231" s="38"/>
      <c r="T231" s="38"/>
      <c r="U231" s="38"/>
      <c r="V231" s="38"/>
      <c r="W231" s="38"/>
      <c r="X231" s="38"/>
      <c r="Y231" s="38"/>
      <c r="Z231" s="38"/>
      <c r="AA231" s="38"/>
      <c r="AB231" s="38"/>
      <c r="AC231" s="38"/>
      <c r="AD231" s="38"/>
      <c r="AE231" s="38"/>
      <c r="AF231" s="38"/>
      <c r="AG231" s="38"/>
      <c r="AH231" s="76"/>
      <c r="AI231" s="76"/>
    </row>
    <row r="232" spans="1:35" ht="25.5" customHeight="1"/>
    <row r="233" spans="1:35" ht="25.5" customHeight="1"/>
    <row r="234" spans="1:35" ht="25.5" customHeight="1"/>
    <row r="235" spans="1:35" ht="25.5" customHeight="1" thickBot="1">
      <c r="A235" s="14" t="s">
        <v>311</v>
      </c>
    </row>
    <row r="236" spans="1:35" ht="25.5" customHeight="1">
      <c r="B236" s="1714" t="s">
        <v>281</v>
      </c>
      <c r="C236" s="901"/>
      <c r="D236" s="925" t="s">
        <v>87</v>
      </c>
      <c r="E236" s="705"/>
      <c r="F236" s="905"/>
      <c r="G236" s="901"/>
      <c r="H236" s="925" t="s">
        <v>88</v>
      </c>
      <c r="I236" s="705"/>
      <c r="J236" s="905"/>
      <c r="K236" s="901"/>
      <c r="L236" s="925" t="s">
        <v>89</v>
      </c>
      <c r="M236" s="705"/>
      <c r="N236" s="905"/>
      <c r="O236" s="901"/>
      <c r="P236" s="925" t="s">
        <v>90</v>
      </c>
      <c r="Q236" s="705"/>
      <c r="R236" s="905"/>
      <c r="S236" s="901"/>
      <c r="T236" s="925" t="s">
        <v>91</v>
      </c>
      <c r="U236" s="705"/>
      <c r="V236" s="905"/>
      <c r="W236" s="901"/>
      <c r="X236" s="925" t="s">
        <v>92</v>
      </c>
      <c r="Y236" s="705"/>
      <c r="Z236" s="905"/>
      <c r="AA236" s="901"/>
      <c r="AB236" s="925" t="s">
        <v>93</v>
      </c>
      <c r="AC236" s="705"/>
      <c r="AD236" s="705"/>
      <c r="AE236" s="928" t="s">
        <v>94</v>
      </c>
      <c r="AF236" s="705"/>
      <c r="AG236" s="705"/>
      <c r="AH236" s="705"/>
      <c r="AI236" s="706"/>
    </row>
    <row r="237" spans="1:35" ht="25.5" customHeight="1">
      <c r="B237" s="116"/>
      <c r="C237" s="110"/>
      <c r="D237" s="111"/>
      <c r="E237" s="101"/>
      <c r="F237" s="109"/>
      <c r="G237" s="110"/>
      <c r="H237" s="111"/>
      <c r="I237" s="101"/>
      <c r="J237" s="109"/>
      <c r="K237" s="110"/>
      <c r="L237" s="111"/>
      <c r="M237" s="101"/>
      <c r="N237" s="109"/>
      <c r="O237" s="110"/>
      <c r="P237" s="111"/>
      <c r="Q237" s="101"/>
      <c r="R237" s="109"/>
      <c r="S237" s="110"/>
      <c r="T237" s="111"/>
      <c r="U237" s="101"/>
      <c r="V237" s="109"/>
      <c r="W237" s="110"/>
      <c r="X237" s="111"/>
      <c r="Y237" s="101"/>
      <c r="Z237" s="109"/>
      <c r="AA237" s="110"/>
      <c r="AB237" s="111"/>
      <c r="AC237" s="101"/>
      <c r="AD237" s="101"/>
      <c r="AE237" s="112"/>
      <c r="AF237" s="101"/>
      <c r="AG237" s="8"/>
      <c r="AH237" s="8"/>
      <c r="AI237" s="105"/>
    </row>
    <row r="238" spans="1:35" ht="25.5" customHeight="1">
      <c r="A238" s="87"/>
      <c r="B238" s="2821">
        <v>3701</v>
      </c>
      <c r="C238" s="2303" t="s">
        <v>286</v>
      </c>
      <c r="D238" s="2114"/>
      <c r="E238" s="101"/>
      <c r="F238" s="109"/>
      <c r="G238" s="2303" t="s">
        <v>286</v>
      </c>
      <c r="H238" s="111"/>
      <c r="I238" s="101"/>
      <c r="J238" s="109"/>
      <c r="K238" s="2303" t="s">
        <v>286</v>
      </c>
      <c r="L238" s="111"/>
      <c r="M238" s="101"/>
      <c r="N238" s="109"/>
      <c r="O238" s="2303" t="s">
        <v>286</v>
      </c>
      <c r="P238" s="111"/>
      <c r="Q238" s="101"/>
      <c r="R238" s="109"/>
      <c r="S238" s="110" t="s">
        <v>287</v>
      </c>
      <c r="T238" s="111"/>
      <c r="U238" s="101"/>
      <c r="V238" s="109"/>
      <c r="W238" s="110"/>
      <c r="X238" s="111"/>
      <c r="Y238" s="101"/>
      <c r="Z238" s="109"/>
      <c r="AA238" s="110"/>
      <c r="AB238" s="111"/>
      <c r="AC238" s="101"/>
      <c r="AD238" s="101"/>
      <c r="AE238" s="112"/>
      <c r="AF238" s="101"/>
      <c r="AG238" s="8"/>
      <c r="AH238" s="8"/>
      <c r="AI238" s="105"/>
    </row>
    <row r="239" spans="1:35" ht="25.5" customHeight="1">
      <c r="B239" s="2821"/>
      <c r="C239" s="2303"/>
      <c r="D239" s="2114"/>
      <c r="E239" s="101"/>
      <c r="F239" s="109"/>
      <c r="G239" s="2303"/>
      <c r="H239" s="111"/>
      <c r="I239" s="101"/>
      <c r="J239" s="109"/>
      <c r="K239" s="2303"/>
      <c r="L239" s="111"/>
      <c r="M239" s="101"/>
      <c r="N239" s="109"/>
      <c r="O239" s="2303"/>
      <c r="P239" s="111"/>
      <c r="Q239" s="101"/>
      <c r="R239" s="109"/>
      <c r="S239" s="2303"/>
      <c r="T239" s="111"/>
      <c r="U239" s="101"/>
      <c r="V239" s="109"/>
      <c r="W239" s="110"/>
      <c r="X239" s="111"/>
      <c r="Y239" s="101"/>
      <c r="Z239" s="109"/>
      <c r="AA239" s="110"/>
      <c r="AB239" s="111"/>
      <c r="AC239" s="101"/>
      <c r="AD239" s="101"/>
      <c r="AE239" s="112"/>
      <c r="AF239" s="101"/>
      <c r="AG239" s="8"/>
      <c r="AH239" s="8"/>
      <c r="AI239" s="105"/>
    </row>
    <row r="240" spans="1:35" ht="25.5" customHeight="1">
      <c r="B240" s="2821">
        <v>3702</v>
      </c>
      <c r="C240" s="2303" t="s">
        <v>312</v>
      </c>
      <c r="D240" s="2114"/>
      <c r="E240" s="101"/>
      <c r="F240" s="109"/>
      <c r="G240" s="2303" t="s">
        <v>312</v>
      </c>
      <c r="H240" s="2114"/>
      <c r="I240" s="101"/>
      <c r="J240" s="109"/>
      <c r="K240" s="2303" t="s">
        <v>312</v>
      </c>
      <c r="L240" s="2114"/>
      <c r="M240" s="101"/>
      <c r="N240" s="109"/>
      <c r="O240" s="2303" t="s">
        <v>312</v>
      </c>
      <c r="P240" s="2114"/>
      <c r="Q240" s="101"/>
      <c r="R240" s="109"/>
      <c r="S240" s="2303" t="s">
        <v>313</v>
      </c>
      <c r="T240" s="2114"/>
      <c r="U240" s="101"/>
      <c r="V240" s="109"/>
      <c r="W240" s="110"/>
      <c r="X240" s="111"/>
      <c r="Y240" s="101"/>
      <c r="Z240" s="109"/>
      <c r="AA240" s="110"/>
      <c r="AB240" s="111"/>
      <c r="AC240" s="101"/>
      <c r="AD240" s="101"/>
      <c r="AE240" s="112"/>
      <c r="AF240" s="101"/>
      <c r="AG240" s="8"/>
      <c r="AH240" s="8"/>
      <c r="AI240" s="105"/>
    </row>
    <row r="241" spans="1:35" ht="25.5" customHeight="1">
      <c r="B241" s="2821"/>
      <c r="C241" s="2098"/>
      <c r="D241" s="2114"/>
      <c r="E241" s="101"/>
      <c r="F241" s="109"/>
      <c r="G241" s="111"/>
      <c r="H241" s="111"/>
      <c r="I241" s="101"/>
      <c r="J241" s="109"/>
      <c r="K241" s="111"/>
      <c r="L241" s="111"/>
      <c r="M241" s="101"/>
      <c r="N241" s="109"/>
      <c r="O241" s="111"/>
      <c r="P241" s="111"/>
      <c r="Q241" s="101"/>
      <c r="R241" s="109"/>
      <c r="S241" s="111"/>
      <c r="T241" s="111"/>
      <c r="U241" s="101"/>
      <c r="V241" s="109"/>
      <c r="W241" s="110"/>
      <c r="X241" s="111"/>
      <c r="Y241" s="101"/>
      <c r="Z241" s="109"/>
      <c r="AA241" s="110"/>
      <c r="AB241" s="111"/>
      <c r="AC241" s="101"/>
      <c r="AD241" s="101"/>
      <c r="AE241" s="112"/>
      <c r="AF241" s="101"/>
      <c r="AG241" s="8"/>
      <c r="AH241" s="8"/>
      <c r="AI241" s="105"/>
    </row>
    <row r="242" spans="1:35" ht="25.5" customHeight="1">
      <c r="B242" s="2821" t="s">
        <v>159</v>
      </c>
      <c r="C242" s="2098" t="s">
        <v>314</v>
      </c>
      <c r="D242" s="2114"/>
      <c r="E242" s="101"/>
      <c r="F242" s="109"/>
      <c r="G242" s="2098" t="s">
        <v>314</v>
      </c>
      <c r="H242" s="2114"/>
      <c r="I242" s="101"/>
      <c r="J242" s="109"/>
      <c r="K242" s="2098" t="s">
        <v>314</v>
      </c>
      <c r="L242" s="2114"/>
      <c r="M242" s="101"/>
      <c r="N242" s="109"/>
      <c r="O242" s="2098" t="s">
        <v>314</v>
      </c>
      <c r="P242" s="2114"/>
      <c r="Q242" s="101"/>
      <c r="R242" s="109"/>
      <c r="S242" s="111" t="s">
        <v>315</v>
      </c>
      <c r="T242" s="111"/>
      <c r="U242" s="101"/>
      <c r="V242" s="109"/>
      <c r="W242" s="110"/>
      <c r="X242" s="111"/>
      <c r="Y242" s="101"/>
      <c r="Z242" s="109"/>
      <c r="AA242" s="110"/>
      <c r="AB242" s="111"/>
      <c r="AC242" s="101"/>
      <c r="AD242" s="101"/>
      <c r="AE242" s="112"/>
      <c r="AF242" s="101"/>
      <c r="AG242" s="8"/>
      <c r="AH242" s="8"/>
      <c r="AI242" s="105"/>
    </row>
    <row r="243" spans="1:35" ht="25.5" customHeight="1">
      <c r="B243" s="2821" t="s">
        <v>163</v>
      </c>
      <c r="C243" s="2098" t="s">
        <v>316</v>
      </c>
      <c r="D243" s="2114"/>
      <c r="E243" s="101"/>
      <c r="F243" s="109"/>
      <c r="G243" s="2098" t="s">
        <v>316</v>
      </c>
      <c r="H243" s="2114"/>
      <c r="I243" s="101"/>
      <c r="J243" s="109"/>
      <c r="K243" s="2098" t="s">
        <v>316</v>
      </c>
      <c r="L243" s="2114"/>
      <c r="M243" s="101"/>
      <c r="N243" s="109"/>
      <c r="O243" s="2098" t="s">
        <v>316</v>
      </c>
      <c r="P243" s="2114"/>
      <c r="Q243" s="101"/>
      <c r="R243" s="109"/>
      <c r="S243" s="111" t="s">
        <v>317</v>
      </c>
      <c r="T243" s="111"/>
      <c r="U243" s="101"/>
      <c r="V243" s="109"/>
      <c r="W243" s="110"/>
      <c r="X243" s="111"/>
      <c r="Y243" s="101"/>
      <c r="Z243" s="109"/>
      <c r="AA243" s="110"/>
      <c r="AB243" s="111"/>
      <c r="AC243" s="101"/>
      <c r="AD243" s="101"/>
      <c r="AE243" s="112"/>
      <c r="AF243" s="101"/>
      <c r="AG243" s="8"/>
      <c r="AH243" s="8"/>
      <c r="AI243" s="105"/>
    </row>
    <row r="244" spans="1:35" ht="25.5" customHeight="1" thickBot="1">
      <c r="B244" s="2822" t="s">
        <v>171</v>
      </c>
      <c r="C244" s="2694" t="s">
        <v>318</v>
      </c>
      <c r="D244" s="2823"/>
      <c r="E244" s="2824"/>
      <c r="F244" s="2825"/>
      <c r="G244" s="2694" t="s">
        <v>318</v>
      </c>
      <c r="H244" s="2823"/>
      <c r="I244" s="2824"/>
      <c r="J244" s="2825"/>
      <c r="K244" s="2694" t="s">
        <v>318</v>
      </c>
      <c r="L244" s="2823"/>
      <c r="M244" s="2824"/>
      <c r="N244" s="2825"/>
      <c r="O244" s="2694" t="s">
        <v>318</v>
      </c>
      <c r="P244" s="2823"/>
      <c r="Q244" s="2824"/>
      <c r="R244" s="2825"/>
      <c r="S244" s="2826" t="s">
        <v>319</v>
      </c>
      <c r="T244" s="2826"/>
      <c r="U244" s="2824"/>
      <c r="V244" s="2825"/>
      <c r="W244" s="2827"/>
      <c r="X244" s="2826"/>
      <c r="Y244" s="2828"/>
      <c r="Z244" s="2829"/>
      <c r="AA244" s="2830"/>
      <c r="AB244" s="2826"/>
      <c r="AC244" s="2828"/>
      <c r="AD244" s="2828"/>
      <c r="AE244" s="2831"/>
      <c r="AF244" s="2828"/>
      <c r="AG244" s="2824"/>
      <c r="AH244" s="2824"/>
      <c r="AI244" s="2832"/>
    </row>
    <row r="245" spans="1:35" ht="25.5" customHeight="1">
      <c r="B245" s="42"/>
      <c r="C245" s="37"/>
      <c r="D245" s="113"/>
      <c r="G245" s="37"/>
      <c r="H245" s="113"/>
      <c r="K245" s="37"/>
      <c r="L245" s="113"/>
      <c r="O245" s="37"/>
      <c r="P245" s="113"/>
      <c r="S245" s="37"/>
      <c r="T245" s="37"/>
      <c r="X245" s="37"/>
      <c r="AB245" s="37"/>
      <c r="AE245" s="37"/>
    </row>
    <row r="246" spans="1:35" ht="25.5" customHeight="1">
      <c r="A246" s="117" t="s">
        <v>320</v>
      </c>
    </row>
    <row r="247" spans="1:35" ht="25.5" customHeight="1" thickBot="1">
      <c r="A247" s="2833"/>
      <c r="B247" s="2834" t="s">
        <v>29</v>
      </c>
      <c r="C247" s="2233">
        <v>1</v>
      </c>
      <c r="D247" s="2233">
        <v>2</v>
      </c>
      <c r="E247" s="2233">
        <v>3</v>
      </c>
      <c r="F247" s="2233">
        <v>4</v>
      </c>
      <c r="G247" s="2232">
        <v>5</v>
      </c>
      <c r="H247" s="2232">
        <v>6</v>
      </c>
      <c r="I247" s="2233">
        <v>7</v>
      </c>
      <c r="J247" s="2233">
        <v>8</v>
      </c>
      <c r="K247" s="2233">
        <v>9</v>
      </c>
      <c r="L247" s="2233">
        <v>10</v>
      </c>
      <c r="M247" s="2233">
        <v>11</v>
      </c>
      <c r="N247" s="2232">
        <v>12</v>
      </c>
      <c r="O247" s="2232">
        <v>13</v>
      </c>
      <c r="P247" s="2233">
        <v>14</v>
      </c>
      <c r="Q247" s="2233">
        <v>15</v>
      </c>
      <c r="R247" s="2233">
        <v>16</v>
      </c>
      <c r="S247" s="2233">
        <v>17</v>
      </c>
      <c r="T247" s="2233">
        <v>18</v>
      </c>
      <c r="U247" s="2232">
        <v>19</v>
      </c>
      <c r="V247" s="2232">
        <v>20</v>
      </c>
      <c r="W247" s="2233">
        <v>21</v>
      </c>
      <c r="X247" s="2233">
        <v>22</v>
      </c>
      <c r="Y247" s="2233">
        <v>23</v>
      </c>
      <c r="Z247" s="2233">
        <v>24</v>
      </c>
      <c r="AA247" s="2233">
        <v>25</v>
      </c>
      <c r="AB247" s="2232">
        <v>26</v>
      </c>
      <c r="AC247" s="2232">
        <v>27</v>
      </c>
      <c r="AD247" s="2233">
        <v>28</v>
      </c>
      <c r="AE247" s="2233">
        <v>29</v>
      </c>
      <c r="AF247" s="2233">
        <v>30</v>
      </c>
      <c r="AG247" s="2234">
        <v>31</v>
      </c>
      <c r="AH247" s="23"/>
      <c r="AI247" s="24"/>
    </row>
    <row r="248" spans="1:35" ht="25.5" customHeight="1">
      <c r="A248" s="2835">
        <v>3701</v>
      </c>
      <c r="B248" s="2521" t="s">
        <v>394</v>
      </c>
      <c r="C248" s="2287" t="s">
        <v>31</v>
      </c>
      <c r="D248" s="2287" t="s">
        <v>31</v>
      </c>
      <c r="E248" s="2287" t="s">
        <v>31</v>
      </c>
      <c r="F248" s="2287" t="s">
        <v>31</v>
      </c>
      <c r="G248" s="2603"/>
      <c r="H248" s="2287"/>
      <c r="I248" s="2287" t="s">
        <v>31</v>
      </c>
      <c r="J248" s="2287" t="s">
        <v>31</v>
      </c>
      <c r="K248" s="2332" t="s">
        <v>31</v>
      </c>
      <c r="L248" s="2332" t="s">
        <v>31</v>
      </c>
      <c r="M248" s="2332" t="s">
        <v>31</v>
      </c>
      <c r="N248" s="2332"/>
      <c r="O248" s="2332"/>
      <c r="P248" s="2332" t="s">
        <v>31</v>
      </c>
      <c r="Q248" s="2332" t="s">
        <v>31</v>
      </c>
      <c r="R248" s="2332" t="s">
        <v>31</v>
      </c>
      <c r="S248" s="2332" t="s">
        <v>31</v>
      </c>
      <c r="T248" s="2332" t="s">
        <v>31</v>
      </c>
      <c r="U248" s="2332"/>
      <c r="V248" s="2332"/>
      <c r="W248" s="2287" t="s">
        <v>31</v>
      </c>
      <c r="X248" s="2287" t="s">
        <v>31</v>
      </c>
      <c r="Y248" s="2287" t="s">
        <v>31</v>
      </c>
      <c r="Z248" s="2287" t="s">
        <v>31</v>
      </c>
      <c r="AA248" s="2287" t="s">
        <v>31</v>
      </c>
      <c r="AB248" s="2287"/>
      <c r="AC248" s="2288"/>
      <c r="AD248" s="2836" t="s">
        <v>31</v>
      </c>
      <c r="AE248" s="2836" t="s">
        <v>31</v>
      </c>
      <c r="AF248" s="2836" t="s">
        <v>31</v>
      </c>
      <c r="AG248" s="2837" t="s">
        <v>31</v>
      </c>
      <c r="AH248" s="34"/>
      <c r="AI248" s="25"/>
    </row>
    <row r="249" spans="1:35" ht="25.5" customHeight="1">
      <c r="A249" s="2835">
        <v>3702</v>
      </c>
      <c r="B249" s="2521" t="s">
        <v>321</v>
      </c>
      <c r="C249" s="2572" t="s">
        <v>31</v>
      </c>
      <c r="D249" s="2572" t="s">
        <v>304</v>
      </c>
      <c r="E249" s="2653" t="s">
        <v>31</v>
      </c>
      <c r="F249" s="2653" t="s">
        <v>31</v>
      </c>
      <c r="G249" s="2287"/>
      <c r="H249" s="2287"/>
      <c r="I249" s="2287" t="s">
        <v>31</v>
      </c>
      <c r="J249" s="2287" t="s">
        <v>31</v>
      </c>
      <c r="K249" s="2287" t="s">
        <v>31</v>
      </c>
      <c r="L249" s="2287" t="s">
        <v>31</v>
      </c>
      <c r="M249" s="2287" t="s">
        <v>31</v>
      </c>
      <c r="N249" s="2287"/>
      <c r="O249" s="2287"/>
      <c r="P249" s="2287" t="s">
        <v>31</v>
      </c>
      <c r="Q249" s="2287" t="s">
        <v>31</v>
      </c>
      <c r="R249" s="2287" t="s">
        <v>31</v>
      </c>
      <c r="S249" s="2287" t="s">
        <v>31</v>
      </c>
      <c r="T249" s="2287" t="s">
        <v>31</v>
      </c>
      <c r="U249" s="2287"/>
      <c r="V249" s="2287"/>
      <c r="W249" s="2287" t="s">
        <v>31</v>
      </c>
      <c r="X249" s="2287" t="s">
        <v>31</v>
      </c>
      <c r="Y249" s="2287" t="s">
        <v>31</v>
      </c>
      <c r="Z249" s="2287" t="s">
        <v>31</v>
      </c>
      <c r="AA249" s="2287" t="s">
        <v>31</v>
      </c>
      <c r="AB249" s="2287"/>
      <c r="AC249" s="2287"/>
      <c r="AD249" s="2287" t="s">
        <v>31</v>
      </c>
      <c r="AE249" s="2287" t="s">
        <v>31</v>
      </c>
      <c r="AF249" s="2287" t="s">
        <v>31</v>
      </c>
      <c r="AG249" s="2837" t="s">
        <v>31</v>
      </c>
      <c r="AH249" s="34"/>
      <c r="AI249" s="25"/>
    </row>
    <row r="250" spans="1:35" ht="25.5" customHeight="1">
      <c r="A250" s="2835"/>
      <c r="B250" s="2521"/>
      <c r="C250" s="2287"/>
      <c r="D250" s="2287"/>
      <c r="E250" s="2287"/>
      <c r="F250" s="2287"/>
      <c r="G250" s="2287"/>
      <c r="H250" s="2287"/>
      <c r="I250" s="2287"/>
      <c r="J250" s="2287"/>
      <c r="K250" s="2287"/>
      <c r="L250" s="2287"/>
      <c r="M250" s="2838"/>
      <c r="N250" s="2287"/>
      <c r="O250" s="2287"/>
      <c r="P250" s="2287"/>
      <c r="Q250" s="2287"/>
      <c r="R250" s="2287"/>
      <c r="S250" s="2287"/>
      <c r="T250" s="2287"/>
      <c r="U250" s="2287"/>
      <c r="V250" s="2287"/>
      <c r="W250" s="2287"/>
      <c r="X250" s="2287"/>
      <c r="Y250" s="2287"/>
      <c r="Z250" s="2287"/>
      <c r="AA250" s="2287"/>
      <c r="AB250" s="2287"/>
      <c r="AC250" s="2287"/>
      <c r="AD250" s="2287"/>
      <c r="AE250" s="2287"/>
      <c r="AF250" s="2287"/>
      <c r="AG250" s="2837"/>
      <c r="AH250" s="34"/>
      <c r="AI250" s="25"/>
    </row>
    <row r="251" spans="1:35" ht="25.5" customHeight="1">
      <c r="A251" s="2839"/>
      <c r="B251" s="118"/>
      <c r="C251" s="2840"/>
      <c r="D251" s="2840"/>
      <c r="E251" s="2840"/>
      <c r="F251" s="2840"/>
      <c r="G251" s="2840"/>
      <c r="H251" s="2840"/>
      <c r="I251" s="2840"/>
      <c r="J251" s="2840"/>
      <c r="K251" s="2840"/>
      <c r="L251" s="2840"/>
      <c r="M251" s="2840"/>
      <c r="N251" s="2840"/>
      <c r="O251" s="2840"/>
      <c r="P251" s="2840"/>
      <c r="Q251" s="2840"/>
      <c r="R251" s="2840"/>
      <c r="S251" s="2840"/>
      <c r="T251" s="2840"/>
      <c r="U251" s="2840"/>
      <c r="V251" s="2840"/>
      <c r="W251" s="2840"/>
      <c r="X251" s="2840"/>
      <c r="Y251" s="2840"/>
      <c r="Z251" s="2840"/>
      <c r="AA251" s="2840"/>
      <c r="AB251" s="2840"/>
      <c r="AC251" s="2840"/>
      <c r="AD251" s="2840"/>
      <c r="AE251" s="2840"/>
      <c r="AF251" s="2840"/>
      <c r="AG251" s="2841"/>
      <c r="AH251" s="34"/>
      <c r="AI251" s="25"/>
    </row>
    <row r="252" spans="1:35" ht="25.5" customHeight="1">
      <c r="A252" s="2842"/>
      <c r="B252" s="2160" t="s">
        <v>322</v>
      </c>
      <c r="C252" s="2843"/>
      <c r="D252" s="2843"/>
      <c r="E252" s="2843"/>
      <c r="F252" s="2843"/>
      <c r="G252" s="2843"/>
      <c r="H252" s="2843"/>
      <c r="I252" s="2843"/>
      <c r="J252" s="2843"/>
      <c r="K252" s="2843"/>
      <c r="L252" s="2843"/>
      <c r="M252" s="2843"/>
      <c r="N252" s="2843"/>
      <c r="O252" s="2843"/>
      <c r="P252" s="2843"/>
      <c r="Q252" s="2843"/>
      <c r="R252" s="2843"/>
      <c r="S252" s="2843"/>
      <c r="T252" s="2843"/>
      <c r="U252" s="2843"/>
      <c r="V252" s="2843"/>
      <c r="W252" s="2843"/>
      <c r="X252" s="2843"/>
      <c r="Y252" s="2843"/>
      <c r="Z252" s="2843"/>
      <c r="AA252" s="2843"/>
      <c r="AB252" s="2843"/>
      <c r="AC252" s="2843"/>
      <c r="AD252" s="2843"/>
      <c r="AE252" s="2843"/>
      <c r="AF252" s="2843"/>
      <c r="AG252" s="2844"/>
      <c r="AH252" s="119"/>
      <c r="AI252" s="26"/>
    </row>
    <row r="253" spans="1:35" ht="25.5" customHeight="1">
      <c r="A253" s="2835">
        <v>3702</v>
      </c>
      <c r="B253" s="2788" t="s">
        <v>323</v>
      </c>
      <c r="C253" s="2287" t="s">
        <v>152</v>
      </c>
      <c r="D253" s="2287" t="s">
        <v>152</v>
      </c>
      <c r="E253" s="2287" t="s">
        <v>152</v>
      </c>
      <c r="F253" s="2287" t="s">
        <v>152</v>
      </c>
      <c r="G253" s="2287"/>
      <c r="H253" s="2845"/>
      <c r="I253" s="2287" t="s">
        <v>152</v>
      </c>
      <c r="J253" s="2287" t="s">
        <v>152</v>
      </c>
      <c r="K253" s="2845" t="s">
        <v>152</v>
      </c>
      <c r="L253" s="2287" t="s">
        <v>152</v>
      </c>
      <c r="M253" s="2287" t="s">
        <v>152</v>
      </c>
      <c r="N253" s="2287"/>
      <c r="O253" s="2287"/>
      <c r="P253" s="2287" t="s">
        <v>152</v>
      </c>
      <c r="Q253" s="2287" t="s">
        <v>152</v>
      </c>
      <c r="R253" s="2287" t="s">
        <v>152</v>
      </c>
      <c r="S253" s="2287" t="s">
        <v>152</v>
      </c>
      <c r="T253" s="2287" t="s">
        <v>152</v>
      </c>
      <c r="U253" s="2603"/>
      <c r="V253" s="2287"/>
      <c r="W253" s="2287" t="s">
        <v>152</v>
      </c>
      <c r="X253" s="2287" t="s">
        <v>152</v>
      </c>
      <c r="Y253" s="2287" t="s">
        <v>152</v>
      </c>
      <c r="Z253" s="2287" t="s">
        <v>152</v>
      </c>
      <c r="AA253" s="2287" t="s">
        <v>152</v>
      </c>
      <c r="AB253" s="2287"/>
      <c r="AC253" s="2287"/>
      <c r="AD253" s="2287" t="s">
        <v>152</v>
      </c>
      <c r="AE253" s="2287" t="s">
        <v>152</v>
      </c>
      <c r="AF253" s="2287" t="s">
        <v>152</v>
      </c>
      <c r="AG253" s="2837" t="s">
        <v>152</v>
      </c>
      <c r="AH253" s="34"/>
      <c r="AI253" s="25"/>
    </row>
    <row r="254" spans="1:35" ht="25.5" customHeight="1">
      <c r="A254" s="2835"/>
      <c r="B254" s="2784" t="s">
        <v>325</v>
      </c>
      <c r="C254" s="2287" t="s">
        <v>326</v>
      </c>
      <c r="D254" s="2287" t="s">
        <v>326</v>
      </c>
      <c r="E254" s="2287" t="s">
        <v>326</v>
      </c>
      <c r="F254" s="2287" t="s">
        <v>326</v>
      </c>
      <c r="G254" s="2280"/>
      <c r="H254" s="2280"/>
      <c r="I254" s="2287" t="s">
        <v>326</v>
      </c>
      <c r="J254" s="2287" t="s">
        <v>326</v>
      </c>
      <c r="K254" s="2287" t="s">
        <v>326</v>
      </c>
      <c r="L254" s="2287" t="s">
        <v>326</v>
      </c>
      <c r="M254" s="2287" t="s">
        <v>326</v>
      </c>
      <c r="N254" s="2287"/>
      <c r="O254" s="2287"/>
      <c r="P254" s="2287" t="s">
        <v>326</v>
      </c>
      <c r="Q254" s="2287" t="s">
        <v>326</v>
      </c>
      <c r="R254" s="2731" t="s">
        <v>326</v>
      </c>
      <c r="S254" s="2731" t="s">
        <v>326</v>
      </c>
      <c r="T254" s="2731" t="s">
        <v>326</v>
      </c>
      <c r="U254" s="2846"/>
      <c r="V254" s="2607"/>
      <c r="W254" s="2603" t="s">
        <v>326</v>
      </c>
      <c r="X254" s="2287" t="s">
        <v>326</v>
      </c>
      <c r="Y254" s="2287" t="s">
        <v>326</v>
      </c>
      <c r="Z254" s="2287" t="s">
        <v>326</v>
      </c>
      <c r="AA254" s="2287" t="s">
        <v>326</v>
      </c>
      <c r="AB254" s="2287"/>
      <c r="AC254" s="2287"/>
      <c r="AD254" s="2323" t="s">
        <v>326</v>
      </c>
      <c r="AE254" s="2323" t="s">
        <v>326</v>
      </c>
      <c r="AF254" s="2323" t="s">
        <v>326</v>
      </c>
      <c r="AG254" s="2847" t="s">
        <v>395</v>
      </c>
      <c r="AH254" s="34"/>
      <c r="AI254" s="25"/>
    </row>
    <row r="255" spans="1:35" ht="25.5" customHeight="1" thickBot="1">
      <c r="A255" s="2848"/>
      <c r="B255" s="2793" t="s">
        <v>327</v>
      </c>
      <c r="C255" s="2849" t="s">
        <v>328</v>
      </c>
      <c r="D255" s="2733" t="s">
        <v>328</v>
      </c>
      <c r="E255" s="2849" t="s">
        <v>328</v>
      </c>
      <c r="F255" s="2849" t="s">
        <v>328</v>
      </c>
      <c r="G255" s="2849"/>
      <c r="H255" s="2850"/>
      <c r="I255" s="2849" t="s">
        <v>328</v>
      </c>
      <c r="J255" s="2849" t="s">
        <v>328</v>
      </c>
      <c r="K255" s="2849" t="s">
        <v>328</v>
      </c>
      <c r="L255" s="2849" t="s">
        <v>328</v>
      </c>
      <c r="M255" s="2849" t="s">
        <v>328</v>
      </c>
      <c r="N255" s="2849"/>
      <c r="O255" s="2849"/>
      <c r="P255" s="2849" t="s">
        <v>328</v>
      </c>
      <c r="Q255" s="2849" t="s">
        <v>328</v>
      </c>
      <c r="R255" s="2849" t="s">
        <v>328</v>
      </c>
      <c r="S255" s="2849" t="s">
        <v>328</v>
      </c>
      <c r="T255" s="2849" t="s">
        <v>328</v>
      </c>
      <c r="U255" s="2849"/>
      <c r="V255" s="2849"/>
      <c r="W255" s="2849" t="s">
        <v>328</v>
      </c>
      <c r="X255" s="2849" t="s">
        <v>328</v>
      </c>
      <c r="Y255" s="2851" t="s">
        <v>328</v>
      </c>
      <c r="Z255" s="2851" t="s">
        <v>328</v>
      </c>
      <c r="AA255" s="2851" t="s">
        <v>411</v>
      </c>
      <c r="AB255" s="2849"/>
      <c r="AC255" s="2849"/>
      <c r="AD255" s="2852" t="s">
        <v>328</v>
      </c>
      <c r="AE255" s="2849" t="s">
        <v>328</v>
      </c>
      <c r="AF255" s="2849" t="s">
        <v>328</v>
      </c>
      <c r="AG255" s="2853" t="s">
        <v>328</v>
      </c>
      <c r="AH255" s="34"/>
      <c r="AI255" s="25"/>
    </row>
    <row r="256" spans="1:35" ht="25.5" customHeight="1"/>
    <row r="257" spans="1:35" ht="25.5" customHeight="1"/>
    <row r="258" spans="1:35" ht="25.5" customHeight="1" thickBot="1">
      <c r="A258" s="14" t="s">
        <v>329</v>
      </c>
    </row>
    <row r="259" spans="1:35" ht="25.5" customHeight="1">
      <c r="B259" s="1714" t="s">
        <v>281</v>
      </c>
      <c r="C259" s="901"/>
      <c r="D259" s="925" t="s">
        <v>87</v>
      </c>
      <c r="E259" s="705"/>
      <c r="F259" s="905"/>
      <c r="G259" s="901"/>
      <c r="H259" s="925" t="s">
        <v>88</v>
      </c>
      <c r="I259" s="705"/>
      <c r="J259" s="905"/>
      <c r="K259" s="901"/>
      <c r="L259" s="925" t="s">
        <v>89</v>
      </c>
      <c r="M259" s="705"/>
      <c r="N259" s="905"/>
      <c r="O259" s="901"/>
      <c r="P259" s="925" t="s">
        <v>90</v>
      </c>
      <c r="Q259" s="705"/>
      <c r="R259" s="905"/>
      <c r="S259" s="901"/>
      <c r="T259" s="925" t="s">
        <v>91</v>
      </c>
      <c r="U259" s="705"/>
      <c r="V259" s="905"/>
      <c r="W259" s="901"/>
      <c r="X259" s="925" t="s">
        <v>92</v>
      </c>
      <c r="Y259" s="705"/>
      <c r="Z259" s="905"/>
      <c r="AA259" s="901"/>
      <c r="AB259" s="925" t="s">
        <v>93</v>
      </c>
      <c r="AC259" s="705"/>
      <c r="AD259" s="705"/>
      <c r="AE259" s="928" t="s">
        <v>94</v>
      </c>
      <c r="AF259" s="705"/>
      <c r="AG259" s="705"/>
      <c r="AH259" s="705"/>
      <c r="AI259" s="706"/>
    </row>
    <row r="260" spans="1:35" ht="25.5" customHeight="1">
      <c r="B260" s="116">
        <v>8500</v>
      </c>
      <c r="C260" s="2303" t="s">
        <v>330</v>
      </c>
      <c r="D260" s="111"/>
      <c r="E260" s="8"/>
      <c r="F260" s="120"/>
      <c r="G260" s="2303" t="s">
        <v>330</v>
      </c>
      <c r="H260" s="111"/>
      <c r="I260" s="8"/>
      <c r="J260" s="120"/>
      <c r="K260" s="2303" t="s">
        <v>330</v>
      </c>
      <c r="L260" s="111"/>
      <c r="M260" s="8"/>
      <c r="N260" s="120"/>
      <c r="O260" s="2303" t="s">
        <v>330</v>
      </c>
      <c r="P260" s="111"/>
      <c r="Q260" s="8"/>
      <c r="R260" s="120"/>
      <c r="S260" s="2303" t="s">
        <v>331</v>
      </c>
      <c r="T260" s="111"/>
      <c r="U260" s="8"/>
      <c r="V260" s="120"/>
      <c r="W260" s="121"/>
      <c r="X260" s="111"/>
      <c r="Y260" s="8"/>
      <c r="Z260" s="120"/>
      <c r="AA260" s="121"/>
      <c r="AB260" s="111"/>
      <c r="AC260" s="8"/>
      <c r="AD260" s="8"/>
      <c r="AE260" s="112"/>
      <c r="AF260" s="8"/>
      <c r="AG260" s="8"/>
      <c r="AH260" s="8"/>
      <c r="AI260" s="105"/>
    </row>
    <row r="261" spans="1:35" ht="25.5" customHeight="1" thickBot="1">
      <c r="A261" s="87"/>
      <c r="B261" s="2854"/>
      <c r="C261" s="2855"/>
      <c r="D261" s="2856"/>
      <c r="E261" s="2824"/>
      <c r="F261" s="2825"/>
      <c r="G261" s="2855"/>
      <c r="H261" s="2826"/>
      <c r="I261" s="2824"/>
      <c r="J261" s="2825"/>
      <c r="K261" s="2855"/>
      <c r="L261" s="2826"/>
      <c r="M261" s="2824"/>
      <c r="N261" s="2825"/>
      <c r="O261" s="2855"/>
      <c r="P261" s="2826"/>
      <c r="Q261" s="2824"/>
      <c r="R261" s="2825"/>
      <c r="S261" s="2855"/>
      <c r="T261" s="2826"/>
      <c r="U261" s="2824"/>
      <c r="V261" s="2825"/>
      <c r="W261" s="2827"/>
      <c r="X261" s="2826"/>
      <c r="Y261" s="2824"/>
      <c r="Z261" s="2825"/>
      <c r="AA261" s="2827"/>
      <c r="AB261" s="2826"/>
      <c r="AC261" s="2824"/>
      <c r="AD261" s="2824"/>
      <c r="AE261" s="2831"/>
      <c r="AF261" s="2824"/>
      <c r="AG261" s="2824"/>
      <c r="AH261" s="2824"/>
      <c r="AI261" s="2832"/>
    </row>
    <row r="262" spans="1:35" ht="25.5" customHeight="1">
      <c r="A262" s="122" t="s">
        <v>332</v>
      </c>
    </row>
    <row r="263" spans="1:35" ht="25.5" customHeight="1" thickBot="1">
      <c r="A263" s="2857"/>
      <c r="B263" s="2834" t="s">
        <v>29</v>
      </c>
      <c r="C263" s="2233">
        <v>1</v>
      </c>
      <c r="D263" s="2233">
        <v>2</v>
      </c>
      <c r="E263" s="2233">
        <v>3</v>
      </c>
      <c r="F263" s="2233">
        <v>4</v>
      </c>
      <c r="G263" s="2232">
        <v>5</v>
      </c>
      <c r="H263" s="2232">
        <v>6</v>
      </c>
      <c r="I263" s="2233">
        <v>7</v>
      </c>
      <c r="J263" s="2233">
        <v>8</v>
      </c>
      <c r="K263" s="2233">
        <v>9</v>
      </c>
      <c r="L263" s="2233">
        <v>10</v>
      </c>
      <c r="M263" s="2233">
        <v>11</v>
      </c>
      <c r="N263" s="2232">
        <v>12</v>
      </c>
      <c r="O263" s="2232">
        <v>13</v>
      </c>
      <c r="P263" s="2233">
        <v>14</v>
      </c>
      <c r="Q263" s="2233">
        <v>15</v>
      </c>
      <c r="R263" s="2233">
        <v>16</v>
      </c>
      <c r="S263" s="2233">
        <v>17</v>
      </c>
      <c r="T263" s="2233">
        <v>18</v>
      </c>
      <c r="U263" s="2232">
        <v>19</v>
      </c>
      <c r="V263" s="2232">
        <v>20</v>
      </c>
      <c r="W263" s="2233">
        <v>21</v>
      </c>
      <c r="X263" s="2233">
        <v>22</v>
      </c>
      <c r="Y263" s="2233">
        <v>23</v>
      </c>
      <c r="Z263" s="2233">
        <v>24</v>
      </c>
      <c r="AA263" s="2233">
        <v>25</v>
      </c>
      <c r="AB263" s="2232">
        <v>26</v>
      </c>
      <c r="AC263" s="2232">
        <v>27</v>
      </c>
      <c r="AD263" s="2233">
        <v>28</v>
      </c>
      <c r="AE263" s="2233">
        <v>29</v>
      </c>
      <c r="AF263" s="2233">
        <v>30</v>
      </c>
      <c r="AG263" s="2234">
        <v>31</v>
      </c>
      <c r="AH263" s="23"/>
      <c r="AI263" s="24"/>
    </row>
    <row r="264" spans="1:35" ht="25.5" customHeight="1">
      <c r="A264" s="121">
        <v>8500</v>
      </c>
      <c r="B264" s="123" t="s">
        <v>333</v>
      </c>
      <c r="C264" s="1839" t="s">
        <v>31</v>
      </c>
      <c r="D264" s="2480" t="s">
        <v>31</v>
      </c>
      <c r="E264" s="1839" t="s">
        <v>31</v>
      </c>
      <c r="F264" s="1839" t="s">
        <v>31</v>
      </c>
      <c r="G264" s="1839"/>
      <c r="H264" s="1839"/>
      <c r="I264" s="1839" t="s">
        <v>31</v>
      </c>
      <c r="J264" s="1839" t="s">
        <v>31</v>
      </c>
      <c r="K264" s="1839" t="s">
        <v>31</v>
      </c>
      <c r="L264" s="1839" t="s">
        <v>31</v>
      </c>
      <c r="M264" s="1839" t="s">
        <v>31</v>
      </c>
      <c r="N264" s="1839"/>
      <c r="O264" s="1839"/>
      <c r="P264" s="1839" t="s">
        <v>31</v>
      </c>
      <c r="Q264" s="2817" t="s">
        <v>31</v>
      </c>
      <c r="R264" s="2817" t="s">
        <v>31</v>
      </c>
      <c r="S264" s="2817" t="s">
        <v>31</v>
      </c>
      <c r="T264" s="2858" t="s">
        <v>304</v>
      </c>
      <c r="U264" s="1839"/>
      <c r="V264" s="1839"/>
      <c r="W264" s="1839" t="s">
        <v>31</v>
      </c>
      <c r="X264" s="1839" t="s">
        <v>31</v>
      </c>
      <c r="Y264" s="1839" t="s">
        <v>31</v>
      </c>
      <c r="Z264" s="1839" t="s">
        <v>31</v>
      </c>
      <c r="AA264" s="1839" t="s">
        <v>31</v>
      </c>
      <c r="AB264" s="1839"/>
      <c r="AC264" s="1839"/>
      <c r="AD264" s="2481" t="s">
        <v>31</v>
      </c>
      <c r="AE264" s="2817" t="s">
        <v>31</v>
      </c>
      <c r="AF264" s="2817" t="s">
        <v>31</v>
      </c>
      <c r="AG264" s="2777" t="s">
        <v>304</v>
      </c>
      <c r="AH264" s="124"/>
      <c r="AI264" s="125"/>
    </row>
    <row r="265" spans="1:35" ht="25.5" customHeight="1">
      <c r="A265" s="2304"/>
      <c r="B265" s="2859" t="s">
        <v>334</v>
      </c>
      <c r="C265" s="2528" t="s">
        <v>31</v>
      </c>
      <c r="D265" s="2528" t="s">
        <v>31</v>
      </c>
      <c r="E265" s="2528" t="s">
        <v>31</v>
      </c>
      <c r="F265" s="2528" t="s">
        <v>31</v>
      </c>
      <c r="G265" s="2528"/>
      <c r="H265" s="2528"/>
      <c r="I265" s="2528" t="s">
        <v>31</v>
      </c>
      <c r="J265" s="2528" t="s">
        <v>31</v>
      </c>
      <c r="K265" s="2528" t="s">
        <v>31</v>
      </c>
      <c r="L265" s="2528" t="s">
        <v>31</v>
      </c>
      <c r="M265" s="2528" t="s">
        <v>31</v>
      </c>
      <c r="N265" s="2528"/>
      <c r="O265" s="2528"/>
      <c r="P265" s="2528" t="s">
        <v>31</v>
      </c>
      <c r="Q265" s="2528" t="s">
        <v>31</v>
      </c>
      <c r="R265" s="2528" t="s">
        <v>31</v>
      </c>
      <c r="S265" s="2528" t="s">
        <v>31</v>
      </c>
      <c r="T265" s="2528" t="s">
        <v>31</v>
      </c>
      <c r="U265" s="2528"/>
      <c r="V265" s="2528"/>
      <c r="W265" s="2528" t="s">
        <v>31</v>
      </c>
      <c r="X265" s="2528" t="s">
        <v>31</v>
      </c>
      <c r="Y265" s="2528" t="s">
        <v>31</v>
      </c>
      <c r="Z265" s="2528" t="s">
        <v>31</v>
      </c>
      <c r="AA265" s="2528" t="s">
        <v>31</v>
      </c>
      <c r="AB265" s="2528"/>
      <c r="AC265" s="2528"/>
      <c r="AD265" s="2528" t="s">
        <v>31</v>
      </c>
      <c r="AE265" s="2528" t="s">
        <v>31</v>
      </c>
      <c r="AF265" s="2528" t="s">
        <v>31</v>
      </c>
      <c r="AG265" s="2528" t="s">
        <v>31</v>
      </c>
      <c r="AH265" s="124"/>
      <c r="AI265" s="125"/>
    </row>
    <row r="266" spans="1:35" ht="25.5" customHeight="1">
      <c r="A266" s="2860"/>
      <c r="B266" s="2859" t="s">
        <v>335</v>
      </c>
      <c r="C266" s="2528" t="s">
        <v>31</v>
      </c>
      <c r="D266" s="2528" t="s">
        <v>31</v>
      </c>
      <c r="E266" s="2528" t="s">
        <v>31</v>
      </c>
      <c r="F266" s="2528" t="s">
        <v>31</v>
      </c>
      <c r="G266" s="2528"/>
      <c r="H266" s="2528"/>
      <c r="I266" s="2528" t="s">
        <v>31</v>
      </c>
      <c r="J266" s="2528" t="s">
        <v>31</v>
      </c>
      <c r="K266" s="2528" t="s">
        <v>31</v>
      </c>
      <c r="L266" s="2861" t="s">
        <v>31</v>
      </c>
      <c r="M266" s="2528" t="s">
        <v>31</v>
      </c>
      <c r="N266" s="2528"/>
      <c r="O266" s="2528"/>
      <c r="P266" s="2528" t="s">
        <v>31</v>
      </c>
      <c r="Q266" s="2528" t="s">
        <v>31</v>
      </c>
      <c r="R266" s="2528" t="s">
        <v>31</v>
      </c>
      <c r="S266" s="2599" t="s">
        <v>31</v>
      </c>
      <c r="T266" s="2777" t="s">
        <v>336</v>
      </c>
      <c r="U266" s="2528"/>
      <c r="V266" s="2528"/>
      <c r="W266" s="2528" t="s">
        <v>31</v>
      </c>
      <c r="X266" s="2528" t="s">
        <v>31</v>
      </c>
      <c r="Y266" s="2528" t="s">
        <v>31</v>
      </c>
      <c r="Z266" s="2528" t="s">
        <v>31</v>
      </c>
      <c r="AA266" s="2528" t="s">
        <v>31</v>
      </c>
      <c r="AB266" s="2528"/>
      <c r="AC266" s="2528"/>
      <c r="AD266" s="2528" t="s">
        <v>31</v>
      </c>
      <c r="AE266" s="2528" t="s">
        <v>31</v>
      </c>
      <c r="AF266" s="2777" t="s">
        <v>304</v>
      </c>
      <c r="AG266" s="2528" t="s">
        <v>31</v>
      </c>
      <c r="AH266" s="124"/>
      <c r="AI266" s="125"/>
    </row>
    <row r="267" spans="1:35" ht="25.5" customHeight="1">
      <c r="A267" s="29"/>
      <c r="B267" s="2862"/>
      <c r="C267" s="2528"/>
      <c r="D267" s="2528"/>
      <c r="E267" s="2528"/>
      <c r="F267" s="2528"/>
      <c r="G267" s="2528"/>
      <c r="H267" s="2528"/>
      <c r="I267" s="2528"/>
      <c r="J267" s="2528"/>
      <c r="K267" s="2528"/>
      <c r="L267" s="2528"/>
      <c r="M267" s="2528"/>
      <c r="N267" s="2528"/>
      <c r="O267" s="2528"/>
      <c r="P267" s="2528"/>
      <c r="Q267" s="2528"/>
      <c r="R267" s="2528"/>
      <c r="S267" s="2528"/>
      <c r="T267" s="2528"/>
      <c r="U267" s="2528"/>
      <c r="V267" s="2528"/>
      <c r="W267" s="2528"/>
      <c r="X267" s="2528"/>
      <c r="Y267" s="2528"/>
      <c r="Z267" s="2528"/>
      <c r="AA267" s="2528"/>
      <c r="AB267" s="2528"/>
      <c r="AC267" s="2528"/>
      <c r="AD267" s="2528"/>
      <c r="AE267" s="2528"/>
      <c r="AF267" s="2528"/>
      <c r="AG267" s="2619"/>
      <c r="AH267" s="124"/>
      <c r="AI267" s="125"/>
    </row>
    <row r="268" spans="1:35" ht="25.5" customHeight="1">
      <c r="A268" s="2863"/>
      <c r="B268" s="2862"/>
      <c r="C268" s="2287"/>
      <c r="D268" s="2287"/>
      <c r="E268" s="2287"/>
      <c r="F268" s="2287"/>
      <c r="G268" s="2287"/>
      <c r="H268" s="2287"/>
      <c r="I268" s="2287"/>
      <c r="J268" s="2287"/>
      <c r="K268" s="2287"/>
      <c r="L268" s="2287"/>
      <c r="M268" s="2287"/>
      <c r="N268" s="2840"/>
      <c r="O268" s="2840"/>
      <c r="P268" s="2287"/>
      <c r="Q268" s="2287"/>
      <c r="R268" s="2287"/>
      <c r="S268" s="2287"/>
      <c r="T268" s="2287"/>
      <c r="U268" s="2287"/>
      <c r="V268" s="2287"/>
      <c r="W268" s="2287"/>
      <c r="X268" s="2287"/>
      <c r="Y268" s="2287"/>
      <c r="Z268" s="2287"/>
      <c r="AA268" s="2287"/>
      <c r="AB268" s="2840"/>
      <c r="AC268" s="2840"/>
      <c r="AD268" s="2287"/>
      <c r="AE268" s="2287"/>
      <c r="AF268" s="2287"/>
      <c r="AG268" s="2287"/>
      <c r="AH268" s="126"/>
      <c r="AI268" s="127"/>
    </row>
    <row r="269" spans="1:35" ht="25.5" customHeight="1">
      <c r="A269" s="2864"/>
      <c r="B269" s="2865"/>
      <c r="C269" s="2287"/>
      <c r="D269" s="2287"/>
      <c r="E269" s="2287"/>
      <c r="F269" s="2287"/>
      <c r="G269" s="2287"/>
      <c r="H269" s="2287"/>
      <c r="I269" s="2287"/>
      <c r="J269" s="2287"/>
      <c r="K269" s="2287"/>
      <c r="L269" s="2287"/>
      <c r="M269" s="2287"/>
      <c r="N269" s="2840"/>
      <c r="O269" s="2840"/>
      <c r="P269" s="2287"/>
      <c r="Q269" s="2287"/>
      <c r="R269" s="2287"/>
      <c r="S269" s="2287"/>
      <c r="T269" s="2287"/>
      <c r="U269" s="2287"/>
      <c r="V269" s="2287"/>
      <c r="W269" s="2287"/>
      <c r="X269" s="2287"/>
      <c r="Y269" s="2287"/>
      <c r="Z269" s="2287"/>
      <c r="AA269" s="2287"/>
      <c r="AB269" s="2840"/>
      <c r="AC269" s="2840"/>
      <c r="AD269" s="2287"/>
      <c r="AE269" s="2287"/>
      <c r="AF269" s="2287"/>
      <c r="AG269" s="2287"/>
      <c r="AH269" s="126"/>
      <c r="AI269" s="127"/>
    </row>
    <row r="270" spans="1:35" ht="25.5" customHeight="1" thickBot="1">
      <c r="A270" s="416"/>
      <c r="B270" s="413"/>
      <c r="C270" s="2866"/>
      <c r="D270" s="2867"/>
      <c r="E270" s="2867"/>
      <c r="F270" s="2867"/>
      <c r="G270" s="2867"/>
      <c r="H270" s="2867"/>
      <c r="I270" s="2867"/>
      <c r="J270" s="2867"/>
      <c r="K270" s="2867"/>
      <c r="L270" s="2867"/>
      <c r="M270" s="2867"/>
      <c r="N270" s="2868"/>
      <c r="O270" s="2868"/>
      <c r="P270" s="2867"/>
      <c r="Q270" s="2867"/>
      <c r="R270" s="2867"/>
      <c r="S270" s="2867"/>
      <c r="T270" s="2867"/>
      <c r="U270" s="2867"/>
      <c r="V270" s="2867"/>
      <c r="W270" s="2867"/>
      <c r="X270" s="2867"/>
      <c r="Y270" s="2867"/>
      <c r="Z270" s="2867"/>
      <c r="AA270" s="2867"/>
      <c r="AB270" s="2868"/>
      <c r="AC270" s="2868"/>
      <c r="AD270" s="2867"/>
      <c r="AE270" s="2867"/>
      <c r="AF270" s="2867"/>
      <c r="AG270" s="2869"/>
      <c r="AH270" s="126"/>
      <c r="AI270" s="127"/>
    </row>
    <row r="271" spans="1:35" ht="25.5" customHeight="1"/>
    <row r="272" spans="1:35" ht="25.5" customHeight="1" thickBot="1">
      <c r="A272" s="14" t="s">
        <v>337</v>
      </c>
    </row>
    <row r="273" spans="1:35" ht="25.5" customHeight="1">
      <c r="A273" s="1"/>
      <c r="B273" s="1714" t="s">
        <v>281</v>
      </c>
      <c r="C273" s="901"/>
      <c r="D273" s="925" t="s">
        <v>87</v>
      </c>
      <c r="E273" s="705"/>
      <c r="F273" s="905"/>
      <c r="G273" s="901"/>
      <c r="H273" s="925" t="s">
        <v>88</v>
      </c>
      <c r="I273" s="705"/>
      <c r="J273" s="905"/>
      <c r="K273" s="901"/>
      <c r="L273" s="925" t="s">
        <v>89</v>
      </c>
      <c r="M273" s="705"/>
      <c r="N273" s="905"/>
      <c r="O273" s="901"/>
      <c r="P273" s="925" t="s">
        <v>90</v>
      </c>
      <c r="Q273" s="705"/>
      <c r="R273" s="905"/>
      <c r="S273" s="901"/>
      <c r="T273" s="925" t="s">
        <v>91</v>
      </c>
      <c r="U273" s="705"/>
      <c r="V273" s="905"/>
      <c r="W273" s="901"/>
      <c r="X273" s="925" t="s">
        <v>92</v>
      </c>
      <c r="Y273" s="705"/>
      <c r="Z273" s="905"/>
      <c r="AA273" s="901"/>
      <c r="AB273" s="925" t="s">
        <v>93</v>
      </c>
      <c r="AC273" s="705"/>
      <c r="AD273" s="705"/>
      <c r="AE273" s="928" t="s">
        <v>94</v>
      </c>
      <c r="AF273" s="705"/>
      <c r="AG273" s="705"/>
      <c r="AH273" s="705"/>
      <c r="AI273" s="706"/>
    </row>
    <row r="274" spans="1:35" ht="25.5" customHeight="1">
      <c r="A274" s="1"/>
      <c r="B274" s="116"/>
      <c r="C274" s="121"/>
      <c r="D274" s="111"/>
      <c r="E274" s="8"/>
      <c r="F274" s="120"/>
      <c r="G274" s="121"/>
      <c r="H274" s="111"/>
      <c r="I274" s="8"/>
      <c r="J274" s="120"/>
      <c r="K274" s="121"/>
      <c r="L274" s="111"/>
      <c r="M274" s="8"/>
      <c r="N274" s="120"/>
      <c r="O274" s="121"/>
      <c r="P274" s="111"/>
      <c r="Q274" s="8"/>
      <c r="R274" s="120"/>
      <c r="S274" s="121"/>
      <c r="T274" s="111"/>
      <c r="U274" s="8"/>
      <c r="V274" s="120"/>
      <c r="W274" s="121"/>
      <c r="X274" s="111"/>
      <c r="Y274" s="8"/>
      <c r="Z274" s="120"/>
      <c r="AA274" s="121"/>
      <c r="AB274" s="111"/>
      <c r="AC274" s="8"/>
      <c r="AD274" s="8"/>
      <c r="AE274" s="112"/>
      <c r="AF274" s="8"/>
      <c r="AG274" s="8"/>
      <c r="AH274" s="8"/>
      <c r="AI274" s="105"/>
    </row>
    <row r="275" spans="1:35" ht="25.5" customHeight="1">
      <c r="A275" s="87"/>
      <c r="B275" s="2821"/>
      <c r="C275" s="2303"/>
      <c r="D275" s="2179"/>
      <c r="E275" s="2179"/>
      <c r="F275" s="2113"/>
      <c r="G275" s="2303"/>
      <c r="H275" s="2179"/>
      <c r="I275" s="2179"/>
      <c r="J275" s="2113"/>
      <c r="K275" s="2303"/>
      <c r="L275" s="2179"/>
      <c r="M275" s="2179"/>
      <c r="N275" s="2113"/>
      <c r="O275" s="2303"/>
      <c r="P275" s="2179"/>
      <c r="Q275" s="2179"/>
      <c r="R275" s="2113"/>
      <c r="S275" s="2303"/>
      <c r="T275" s="2179"/>
      <c r="U275" s="2179"/>
      <c r="V275" s="2113"/>
      <c r="W275" s="2303"/>
      <c r="X275" s="2179"/>
      <c r="Y275" s="2179"/>
      <c r="Z275" s="2113"/>
      <c r="AA275" s="2098"/>
      <c r="AB275" s="2179"/>
      <c r="AC275" s="2179"/>
      <c r="AD275" s="2114"/>
      <c r="AE275" s="2870"/>
      <c r="AF275" s="2179"/>
      <c r="AG275" s="2179"/>
      <c r="AH275" s="2114"/>
      <c r="AI275" s="2099"/>
    </row>
    <row r="276" spans="1:35" ht="25.5" customHeight="1" thickBot="1">
      <c r="A276" s="1"/>
      <c r="B276" s="2693"/>
      <c r="C276" s="2694"/>
      <c r="D276" s="2540"/>
      <c r="E276" s="2540"/>
      <c r="F276" s="2716"/>
      <c r="G276" s="2694"/>
      <c r="H276" s="2540"/>
      <c r="I276" s="2540"/>
      <c r="J276" s="2716"/>
      <c r="K276" s="2694"/>
      <c r="L276" s="2540"/>
      <c r="M276" s="2540"/>
      <c r="N276" s="2716"/>
      <c r="O276" s="2694"/>
      <c r="P276" s="2540"/>
      <c r="Q276" s="2540"/>
      <c r="R276" s="2716"/>
      <c r="S276" s="2694"/>
      <c r="T276" s="2540"/>
      <c r="U276" s="2540"/>
      <c r="V276" s="2716"/>
      <c r="W276" s="2714"/>
      <c r="X276" s="2540"/>
      <c r="Y276" s="2540"/>
      <c r="Z276" s="2716"/>
      <c r="AA276" s="2714"/>
      <c r="AB276" s="2540"/>
      <c r="AC276" s="2540"/>
      <c r="AD276" s="2701"/>
      <c r="AE276" s="2714"/>
      <c r="AF276" s="2540"/>
      <c r="AG276" s="2540"/>
      <c r="AH276" s="2701"/>
      <c r="AI276" s="2547"/>
    </row>
    <row r="277" spans="1:35" ht="25.5" customHeight="1">
      <c r="A277" s="1"/>
      <c r="B277" s="113"/>
      <c r="C277" s="37"/>
      <c r="F277" s="22"/>
      <c r="G277" s="37"/>
      <c r="J277" s="22"/>
      <c r="K277" s="37"/>
      <c r="N277" s="22"/>
      <c r="O277" s="37"/>
      <c r="R277" s="22"/>
      <c r="S277" s="37"/>
      <c r="V277" s="22"/>
      <c r="W277" s="22"/>
      <c r="Z277" s="22"/>
      <c r="AA277" s="22"/>
      <c r="AD277" s="22"/>
      <c r="AE277" s="22"/>
      <c r="AH277" s="22"/>
    </row>
    <row r="278" spans="1:35" ht="25.5" customHeight="1">
      <c r="A278" s="14" t="s">
        <v>338</v>
      </c>
      <c r="B278" s="113"/>
      <c r="C278" s="37"/>
      <c r="F278" s="22"/>
      <c r="G278" s="37"/>
      <c r="J278" s="22"/>
      <c r="K278" s="37"/>
      <c r="N278" s="22"/>
      <c r="O278" s="37"/>
      <c r="R278" s="22"/>
      <c r="S278" s="37"/>
      <c r="V278" s="22"/>
      <c r="W278" s="22"/>
      <c r="Z278" s="22"/>
      <c r="AA278" s="22"/>
      <c r="AD278" s="22"/>
      <c r="AE278" s="22"/>
      <c r="AH278" s="22"/>
    </row>
    <row r="279" spans="1:35" ht="25.5" customHeight="1" thickBot="1">
      <c r="A279" s="2833" t="s">
        <v>28</v>
      </c>
      <c r="B279" s="2834" t="s">
        <v>29</v>
      </c>
      <c r="C279" s="2233">
        <v>1</v>
      </c>
      <c r="D279" s="2233">
        <v>2</v>
      </c>
      <c r="E279" s="2233">
        <v>3</v>
      </c>
      <c r="F279" s="2233">
        <v>4</v>
      </c>
      <c r="G279" s="2232">
        <v>5</v>
      </c>
      <c r="H279" s="2232">
        <v>6</v>
      </c>
      <c r="I279" s="2233">
        <v>7</v>
      </c>
      <c r="J279" s="2233">
        <v>8</v>
      </c>
      <c r="K279" s="2233">
        <v>9</v>
      </c>
      <c r="L279" s="2233">
        <v>10</v>
      </c>
      <c r="M279" s="2233">
        <v>11</v>
      </c>
      <c r="N279" s="2232">
        <v>12</v>
      </c>
      <c r="O279" s="2232">
        <v>13</v>
      </c>
      <c r="P279" s="2233">
        <v>14</v>
      </c>
      <c r="Q279" s="2233">
        <v>15</v>
      </c>
      <c r="R279" s="2233">
        <v>16</v>
      </c>
      <c r="S279" s="2233">
        <v>17</v>
      </c>
      <c r="T279" s="2233">
        <v>18</v>
      </c>
      <c r="U279" s="2232">
        <v>19</v>
      </c>
      <c r="V279" s="2232">
        <v>20</v>
      </c>
      <c r="W279" s="2233">
        <v>21</v>
      </c>
      <c r="X279" s="2233">
        <v>22</v>
      </c>
      <c r="Y279" s="2233">
        <v>23</v>
      </c>
      <c r="Z279" s="2233">
        <v>24</v>
      </c>
      <c r="AA279" s="2233">
        <v>25</v>
      </c>
      <c r="AB279" s="2232">
        <v>26</v>
      </c>
      <c r="AC279" s="2232">
        <v>27</v>
      </c>
      <c r="AD279" s="2233">
        <v>28</v>
      </c>
      <c r="AE279" s="2233">
        <v>29</v>
      </c>
      <c r="AF279" s="2233">
        <v>30</v>
      </c>
      <c r="AG279" s="2234">
        <v>31</v>
      </c>
      <c r="AH279" s="128"/>
      <c r="AI279" s="24"/>
    </row>
    <row r="280" spans="1:35" ht="25.5" customHeight="1">
      <c r="A280" s="129"/>
      <c r="B280" s="130" t="s">
        <v>339</v>
      </c>
      <c r="C280" s="2528" t="s">
        <v>31</v>
      </c>
      <c r="D280" s="2603" t="s">
        <v>31</v>
      </c>
      <c r="E280" s="2528" t="s">
        <v>31</v>
      </c>
      <c r="F280" s="2528" t="s">
        <v>31</v>
      </c>
      <c r="G280" s="2528"/>
      <c r="H280" s="2528"/>
      <c r="I280" s="2528" t="s">
        <v>31</v>
      </c>
      <c r="J280" s="2528" t="s">
        <v>31</v>
      </c>
      <c r="K280" s="2528" t="s">
        <v>31</v>
      </c>
      <c r="L280" s="2528" t="s">
        <v>31</v>
      </c>
      <c r="M280" s="2528" t="s">
        <v>31</v>
      </c>
      <c r="N280" s="2528"/>
      <c r="O280" s="2528"/>
      <c r="P280" s="2528" t="s">
        <v>31</v>
      </c>
      <c r="Q280" s="2528" t="s">
        <v>31</v>
      </c>
      <c r="R280" s="2528" t="s">
        <v>31</v>
      </c>
      <c r="S280" s="2528" t="s">
        <v>31</v>
      </c>
      <c r="T280" s="2528" t="s">
        <v>31</v>
      </c>
      <c r="U280" s="2528"/>
      <c r="V280" s="2528"/>
      <c r="W280" s="2528" t="s">
        <v>31</v>
      </c>
      <c r="X280" s="2599" t="s">
        <v>31</v>
      </c>
      <c r="Y280" s="2599" t="s">
        <v>31</v>
      </c>
      <c r="Z280" s="2599" t="s">
        <v>31</v>
      </c>
      <c r="AA280" s="2777" t="s">
        <v>336</v>
      </c>
      <c r="AB280" s="2528"/>
      <c r="AC280" s="2528"/>
      <c r="AD280" s="2528" t="s">
        <v>31</v>
      </c>
      <c r="AE280" s="2528" t="s">
        <v>31</v>
      </c>
      <c r="AF280" s="2528" t="s">
        <v>31</v>
      </c>
      <c r="AG280" s="2528" t="s">
        <v>31</v>
      </c>
      <c r="AH280" s="131"/>
      <c r="AI280" s="125"/>
    </row>
    <row r="281" spans="1:35" ht="25.5" customHeight="1">
      <c r="A281" s="2871"/>
      <c r="B281" s="2872" t="s">
        <v>340</v>
      </c>
      <c r="C281" s="2528" t="s">
        <v>31</v>
      </c>
      <c r="D281" s="1699" t="s">
        <v>31</v>
      </c>
      <c r="E281" s="1699" t="s">
        <v>31</v>
      </c>
      <c r="F281" s="1699" t="s">
        <v>31</v>
      </c>
      <c r="G281" s="2607"/>
      <c r="H281" s="2607"/>
      <c r="I281" s="2528" t="s">
        <v>31</v>
      </c>
      <c r="J281" s="2528" t="s">
        <v>31</v>
      </c>
      <c r="K281" s="2528" t="s">
        <v>31</v>
      </c>
      <c r="L281" s="2528" t="s">
        <v>31</v>
      </c>
      <c r="M281" s="2528" t="s">
        <v>31</v>
      </c>
      <c r="N281" s="2528"/>
      <c r="O281" s="2528"/>
      <c r="P281" s="2528" t="s">
        <v>31</v>
      </c>
      <c r="Q281" s="2528" t="s">
        <v>31</v>
      </c>
      <c r="R281" s="2530" t="s">
        <v>31</v>
      </c>
      <c r="S281" s="2530" t="s">
        <v>31</v>
      </c>
      <c r="T281" s="2530" t="s">
        <v>31</v>
      </c>
      <c r="U281" s="2528"/>
      <c r="V281" s="2528"/>
      <c r="W281" s="2528" t="s">
        <v>31</v>
      </c>
      <c r="X281" s="2528" t="s">
        <v>31</v>
      </c>
      <c r="Y281" s="2528" t="s">
        <v>31</v>
      </c>
      <c r="Z281" s="2528" t="s">
        <v>31</v>
      </c>
      <c r="AA281" s="2530" t="s">
        <v>31</v>
      </c>
      <c r="AB281" s="2528"/>
      <c r="AC281" s="2528"/>
      <c r="AD281" s="2528" t="s">
        <v>31</v>
      </c>
      <c r="AE281" s="2528" t="s">
        <v>31</v>
      </c>
      <c r="AF281" s="2528" t="s">
        <v>31</v>
      </c>
      <c r="AG281" s="2528" t="s">
        <v>31</v>
      </c>
      <c r="AH281" s="131"/>
      <c r="AI281" s="125"/>
    </row>
    <row r="282" spans="1:35" ht="25.5" customHeight="1">
      <c r="A282" s="2835"/>
      <c r="B282" s="2872" t="s">
        <v>341</v>
      </c>
      <c r="C282" s="2528" t="s">
        <v>31</v>
      </c>
      <c r="D282" s="2603" t="s">
        <v>31</v>
      </c>
      <c r="E282" s="2528" t="s">
        <v>31</v>
      </c>
      <c r="F282" s="2528" t="s">
        <v>31</v>
      </c>
      <c r="G282" s="2528"/>
      <c r="H282" s="2528"/>
      <c r="I282" s="2530" t="s">
        <v>31</v>
      </c>
      <c r="J282" s="2528" t="s">
        <v>31</v>
      </c>
      <c r="K282" s="2528" t="s">
        <v>31</v>
      </c>
      <c r="L282" s="2528" t="s">
        <v>31</v>
      </c>
      <c r="M282" s="2528" t="s">
        <v>31</v>
      </c>
      <c r="N282" s="2528"/>
      <c r="O282" s="2528"/>
      <c r="P282" s="2528" t="s">
        <v>31</v>
      </c>
      <c r="Q282" s="2528" t="s">
        <v>31</v>
      </c>
      <c r="R282" s="2528" t="s">
        <v>31</v>
      </c>
      <c r="S282" s="2528" t="s">
        <v>31</v>
      </c>
      <c r="T282" s="2528" t="s">
        <v>31</v>
      </c>
      <c r="U282" s="2528"/>
      <c r="V282" s="2528"/>
      <c r="W282" s="2528" t="s">
        <v>31</v>
      </c>
      <c r="X282" s="2528" t="s">
        <v>31</v>
      </c>
      <c r="Y282" s="2528" t="s">
        <v>31</v>
      </c>
      <c r="Z282" s="2528" t="s">
        <v>31</v>
      </c>
      <c r="AA282" s="2528" t="s">
        <v>31</v>
      </c>
      <c r="AB282" s="2528"/>
      <c r="AC282" s="2528"/>
      <c r="AD282" s="2528" t="s">
        <v>31</v>
      </c>
      <c r="AE282" s="2528" t="s">
        <v>31</v>
      </c>
      <c r="AF282" s="2528" t="s">
        <v>31</v>
      </c>
      <c r="AG282" s="2528" t="s">
        <v>31</v>
      </c>
      <c r="AH282" s="131"/>
      <c r="AI282" s="125"/>
    </row>
    <row r="283" spans="1:35" ht="25.5" customHeight="1">
      <c r="A283" s="2835"/>
      <c r="B283" s="2872" t="s">
        <v>342</v>
      </c>
      <c r="C283" s="2528" t="s">
        <v>31</v>
      </c>
      <c r="D283" s="2603" t="s">
        <v>31</v>
      </c>
      <c r="E283" s="2528" t="s">
        <v>31</v>
      </c>
      <c r="F283" s="2528" t="s">
        <v>31</v>
      </c>
      <c r="G283" s="2528"/>
      <c r="H283" s="2528"/>
      <c r="I283" s="2528" t="s">
        <v>31</v>
      </c>
      <c r="J283" s="2528" t="s">
        <v>31</v>
      </c>
      <c r="K283" s="2528" t="s">
        <v>31</v>
      </c>
      <c r="L283" s="2528" t="s">
        <v>31</v>
      </c>
      <c r="M283" s="2528" t="s">
        <v>31</v>
      </c>
      <c r="N283" s="2528"/>
      <c r="O283" s="2528"/>
      <c r="P283" s="2528" t="s">
        <v>31</v>
      </c>
      <c r="Q283" s="2528" t="s">
        <v>31</v>
      </c>
      <c r="R283" s="2528" t="s">
        <v>31</v>
      </c>
      <c r="S283" s="2528" t="s">
        <v>31</v>
      </c>
      <c r="T283" s="2528" t="s">
        <v>31</v>
      </c>
      <c r="U283" s="2528"/>
      <c r="V283" s="2528"/>
      <c r="W283" s="2528" t="s">
        <v>31</v>
      </c>
      <c r="X283" s="2528" t="s">
        <v>31</v>
      </c>
      <c r="Y283" s="2528" t="s">
        <v>31</v>
      </c>
      <c r="Z283" s="2528" t="s">
        <v>31</v>
      </c>
      <c r="AA283" s="2528" t="s">
        <v>31</v>
      </c>
      <c r="AB283" s="2528"/>
      <c r="AC283" s="2528"/>
      <c r="AD283" s="2528" t="s">
        <v>31</v>
      </c>
      <c r="AE283" s="2528" t="s">
        <v>31</v>
      </c>
      <c r="AF283" s="2528" t="s">
        <v>31</v>
      </c>
      <c r="AG283" s="2528" t="s">
        <v>31</v>
      </c>
      <c r="AH283" s="131"/>
      <c r="AI283" s="125"/>
    </row>
    <row r="284" spans="1:35" ht="25.5" customHeight="1">
      <c r="A284" s="2835"/>
      <c r="B284" s="2872" t="s">
        <v>343</v>
      </c>
      <c r="C284" s="2528" t="s">
        <v>31</v>
      </c>
      <c r="D284" s="2603" t="s">
        <v>31</v>
      </c>
      <c r="E284" s="2528" t="s">
        <v>31</v>
      </c>
      <c r="F284" s="2530" t="s">
        <v>31</v>
      </c>
      <c r="G284" s="2528"/>
      <c r="H284" s="2528"/>
      <c r="I284" s="2528" t="s">
        <v>31</v>
      </c>
      <c r="J284" s="2528" t="s">
        <v>31</v>
      </c>
      <c r="K284" s="2528" t="s">
        <v>31</v>
      </c>
      <c r="L284" s="2528" t="s">
        <v>31</v>
      </c>
      <c r="M284" s="2528" t="s">
        <v>31</v>
      </c>
      <c r="N284" s="2528"/>
      <c r="O284" s="2528"/>
      <c r="P284" s="2528" t="s">
        <v>31</v>
      </c>
      <c r="Q284" s="2530" t="s">
        <v>31</v>
      </c>
      <c r="R284" s="2530" t="s">
        <v>31</v>
      </c>
      <c r="S284" s="2530" t="s">
        <v>31</v>
      </c>
      <c r="T284" s="2530" t="s">
        <v>31</v>
      </c>
      <c r="U284" s="2528"/>
      <c r="V284" s="2528"/>
      <c r="W284" s="2528" t="s">
        <v>31</v>
      </c>
      <c r="X284" s="2873" t="s">
        <v>31</v>
      </c>
      <c r="Y284" s="2528" t="s">
        <v>31</v>
      </c>
      <c r="Z284" s="2528" t="s">
        <v>31</v>
      </c>
      <c r="AA284" s="2528" t="s">
        <v>31</v>
      </c>
      <c r="AB284" s="2528"/>
      <c r="AC284" s="2528"/>
      <c r="AD284" s="2528" t="s">
        <v>31</v>
      </c>
      <c r="AE284" s="2528" t="s">
        <v>31</v>
      </c>
      <c r="AF284" s="2528" t="s">
        <v>31</v>
      </c>
      <c r="AG284" s="2287" t="s">
        <v>31</v>
      </c>
      <c r="AH284" s="131"/>
      <c r="AI284" s="125"/>
    </row>
    <row r="285" spans="1:35" ht="25.5" customHeight="1">
      <c r="A285" s="2835"/>
      <c r="B285" s="2872" t="s">
        <v>344</v>
      </c>
      <c r="C285" s="2528" t="s">
        <v>31</v>
      </c>
      <c r="D285" s="1699" t="s">
        <v>31</v>
      </c>
      <c r="E285" s="1699" t="s">
        <v>31</v>
      </c>
      <c r="F285" s="2724" t="s">
        <v>31</v>
      </c>
      <c r="G285" s="2607"/>
      <c r="H285" s="2607"/>
      <c r="I285" s="2528" t="s">
        <v>31</v>
      </c>
      <c r="J285" s="2528" t="s">
        <v>31</v>
      </c>
      <c r="K285" s="2528" t="s">
        <v>31</v>
      </c>
      <c r="L285" s="2528" t="s">
        <v>31</v>
      </c>
      <c r="M285" s="2528" t="s">
        <v>31</v>
      </c>
      <c r="N285" s="2528"/>
      <c r="O285" s="2528"/>
      <c r="P285" s="2528" t="s">
        <v>31</v>
      </c>
      <c r="Q285" s="2528" t="s">
        <v>31</v>
      </c>
      <c r="R285" s="2873" t="s">
        <v>31</v>
      </c>
      <c r="S285" s="2528" t="s">
        <v>31</v>
      </c>
      <c r="T285" s="2528" t="s">
        <v>31</v>
      </c>
      <c r="U285" s="2528"/>
      <c r="V285" s="2528"/>
      <c r="W285" s="2599" t="s">
        <v>31</v>
      </c>
      <c r="X285" s="2599" t="s">
        <v>31</v>
      </c>
      <c r="Y285" s="2599" t="s">
        <v>31</v>
      </c>
      <c r="Z285" s="2777" t="s">
        <v>336</v>
      </c>
      <c r="AA285" s="2640" t="s">
        <v>31</v>
      </c>
      <c r="AB285" s="2528"/>
      <c r="AC285" s="2528"/>
      <c r="AD285" s="2528" t="s">
        <v>31</v>
      </c>
      <c r="AE285" s="2528" t="s">
        <v>31</v>
      </c>
      <c r="AF285" s="2528" t="s">
        <v>31</v>
      </c>
      <c r="AG285" s="2287" t="s">
        <v>31</v>
      </c>
      <c r="AH285" s="131"/>
      <c r="AI285" s="125"/>
    </row>
    <row r="286" spans="1:35" ht="25.5" customHeight="1">
      <c r="A286" s="2835"/>
      <c r="B286" s="2872" t="s">
        <v>345</v>
      </c>
      <c r="C286" s="2528" t="s">
        <v>31</v>
      </c>
      <c r="D286" s="2603" t="s">
        <v>31</v>
      </c>
      <c r="E286" s="2528" t="s">
        <v>31</v>
      </c>
      <c r="F286" s="2530" t="s">
        <v>31</v>
      </c>
      <c r="G286" s="2528"/>
      <c r="H286" s="2528"/>
      <c r="I286" s="2528" t="s">
        <v>31</v>
      </c>
      <c r="J286" s="2528" t="s">
        <v>31</v>
      </c>
      <c r="K286" s="2528" t="s">
        <v>31</v>
      </c>
      <c r="L286" s="2528" t="s">
        <v>31</v>
      </c>
      <c r="M286" s="2528" t="s">
        <v>31</v>
      </c>
      <c r="N286" s="2528"/>
      <c r="O286" s="2528"/>
      <c r="P286" s="2528" t="s">
        <v>31</v>
      </c>
      <c r="Q286" s="2528" t="s">
        <v>31</v>
      </c>
      <c r="R286" s="2528" t="s">
        <v>31</v>
      </c>
      <c r="S286" s="2528" t="s">
        <v>31</v>
      </c>
      <c r="T286" s="2528" t="s">
        <v>31</v>
      </c>
      <c r="U286" s="2528"/>
      <c r="V286" s="2528"/>
      <c r="W286" s="2528" t="s">
        <v>31</v>
      </c>
      <c r="X286" s="2528" t="s">
        <v>31</v>
      </c>
      <c r="Y286" s="2528" t="s">
        <v>31</v>
      </c>
      <c r="Z286" s="2530" t="s">
        <v>31</v>
      </c>
      <c r="AA286" s="2530" t="s">
        <v>31</v>
      </c>
      <c r="AB286" s="2528"/>
      <c r="AC286" s="2528"/>
      <c r="AD286" s="2528" t="s">
        <v>31</v>
      </c>
      <c r="AE286" s="2528" t="s">
        <v>31</v>
      </c>
      <c r="AF286" s="2528" t="s">
        <v>31</v>
      </c>
      <c r="AG286" s="2287" t="s">
        <v>31</v>
      </c>
      <c r="AH286" s="131"/>
      <c r="AI286" s="125"/>
    </row>
    <row r="287" spans="1:35" ht="25.5" customHeight="1">
      <c r="A287" s="2835"/>
      <c r="B287" s="2872" t="s">
        <v>346</v>
      </c>
      <c r="C287" s="2528" t="s">
        <v>31</v>
      </c>
      <c r="D287" s="2603" t="s">
        <v>31</v>
      </c>
      <c r="E287" s="2528" t="s">
        <v>31</v>
      </c>
      <c r="F287" s="2528" t="s">
        <v>31</v>
      </c>
      <c r="G287" s="2528"/>
      <c r="H287" s="2528"/>
      <c r="I287" s="2528" t="s">
        <v>31</v>
      </c>
      <c r="J287" s="2528" t="s">
        <v>31</v>
      </c>
      <c r="K287" s="2528" t="s">
        <v>31</v>
      </c>
      <c r="L287" s="2528" t="s">
        <v>31</v>
      </c>
      <c r="M287" s="2528" t="s">
        <v>31</v>
      </c>
      <c r="N287" s="2528"/>
      <c r="O287" s="2528"/>
      <c r="P287" s="2599" t="s">
        <v>31</v>
      </c>
      <c r="Q287" s="2777" t="s">
        <v>304</v>
      </c>
      <c r="R287" s="2601" t="s">
        <v>31</v>
      </c>
      <c r="S287" s="2601" t="s">
        <v>31</v>
      </c>
      <c r="T287" s="2601" t="s">
        <v>31</v>
      </c>
      <c r="U287" s="2528"/>
      <c r="V287" s="2528"/>
      <c r="W287" s="2528" t="s">
        <v>31</v>
      </c>
      <c r="X287" s="2528" t="s">
        <v>31</v>
      </c>
      <c r="Y287" s="2528" t="s">
        <v>31</v>
      </c>
      <c r="Z287" s="2528" t="s">
        <v>31</v>
      </c>
      <c r="AA287" s="2528" t="s">
        <v>31</v>
      </c>
      <c r="AB287" s="2528"/>
      <c r="AC287" s="2528"/>
      <c r="AD287" s="2528" t="s">
        <v>31</v>
      </c>
      <c r="AE287" s="2528" t="s">
        <v>31</v>
      </c>
      <c r="AF287" s="2528" t="s">
        <v>31</v>
      </c>
      <c r="AG287" s="2287" t="s">
        <v>31</v>
      </c>
      <c r="AH287" s="131"/>
      <c r="AI287" s="125"/>
    </row>
    <row r="288" spans="1:35" ht="25.5" customHeight="1">
      <c r="A288" s="2835"/>
      <c r="B288" s="2859" t="s">
        <v>347</v>
      </c>
      <c r="C288" s="2536" t="s">
        <v>31</v>
      </c>
      <c r="D288" s="2536" t="s">
        <v>31</v>
      </c>
      <c r="E288" s="2528" t="s">
        <v>31</v>
      </c>
      <c r="F288" s="2528" t="s">
        <v>31</v>
      </c>
      <c r="G288" s="2528"/>
      <c r="H288" s="2528"/>
      <c r="I288" s="2528" t="s">
        <v>31</v>
      </c>
      <c r="J288" s="2528" t="s">
        <v>31</v>
      </c>
      <c r="K288" s="2528" t="s">
        <v>31</v>
      </c>
      <c r="L288" s="2528" t="s">
        <v>31</v>
      </c>
      <c r="M288" s="2528" t="s">
        <v>31</v>
      </c>
      <c r="N288" s="2528"/>
      <c r="O288" s="2528"/>
      <c r="P288" s="2528" t="s">
        <v>31</v>
      </c>
      <c r="Q288" s="2528" t="s">
        <v>31</v>
      </c>
      <c r="R288" s="2528" t="s">
        <v>31</v>
      </c>
      <c r="S288" s="2528" t="s">
        <v>31</v>
      </c>
      <c r="T288" s="2528" t="s">
        <v>31</v>
      </c>
      <c r="U288" s="2528"/>
      <c r="V288" s="2528"/>
      <c r="W288" s="2528" t="s">
        <v>31</v>
      </c>
      <c r="X288" s="2528" t="s">
        <v>31</v>
      </c>
      <c r="Y288" s="2528" t="s">
        <v>31</v>
      </c>
      <c r="Z288" s="2528" t="s">
        <v>31</v>
      </c>
      <c r="AA288" s="2528" t="s">
        <v>31</v>
      </c>
      <c r="AB288" s="2528"/>
      <c r="AC288" s="2528"/>
      <c r="AD288" s="2528" t="s">
        <v>31</v>
      </c>
      <c r="AE288" s="2528" t="s">
        <v>31</v>
      </c>
      <c r="AF288" s="2528" t="s">
        <v>31</v>
      </c>
      <c r="AG288" s="2287" t="s">
        <v>31</v>
      </c>
      <c r="AH288" s="131"/>
      <c r="AI288" s="125"/>
    </row>
    <row r="289" spans="1:35" ht="25.5" customHeight="1">
      <c r="A289" s="2835"/>
      <c r="B289" s="2874" t="s">
        <v>348</v>
      </c>
      <c r="C289" s="2528" t="s">
        <v>31</v>
      </c>
      <c r="D289" s="1699" t="s">
        <v>31</v>
      </c>
      <c r="E289" s="1699" t="s">
        <v>31</v>
      </c>
      <c r="F289" s="1699" t="s">
        <v>31</v>
      </c>
      <c r="G289" s="2607"/>
      <c r="H289" s="2607"/>
      <c r="I289" s="2528" t="s">
        <v>31</v>
      </c>
      <c r="J289" s="2528" t="s">
        <v>31</v>
      </c>
      <c r="K289" s="2528" t="s">
        <v>31</v>
      </c>
      <c r="L289" s="2528" t="s">
        <v>31</v>
      </c>
      <c r="M289" s="2528" t="s">
        <v>31</v>
      </c>
      <c r="N289" s="2528"/>
      <c r="O289" s="2528"/>
      <c r="P289" s="2528" t="s">
        <v>31</v>
      </c>
      <c r="Q289" s="2528" t="s">
        <v>31</v>
      </c>
      <c r="R289" s="2528" t="s">
        <v>31</v>
      </c>
      <c r="S289" s="2530" t="s">
        <v>31</v>
      </c>
      <c r="T289" s="2530" t="s">
        <v>31</v>
      </c>
      <c r="U289" s="2528"/>
      <c r="V289" s="2528"/>
      <c r="W289" s="2528" t="s">
        <v>31</v>
      </c>
      <c r="X289" s="2528" t="s">
        <v>31</v>
      </c>
      <c r="Y289" s="2528" t="s">
        <v>31</v>
      </c>
      <c r="Z289" s="2528" t="s">
        <v>31</v>
      </c>
      <c r="AA289" s="2528" t="s">
        <v>31</v>
      </c>
      <c r="AB289" s="2528"/>
      <c r="AC289" s="2528"/>
      <c r="AD289" s="2528" t="s">
        <v>31</v>
      </c>
      <c r="AE289" s="2528" t="s">
        <v>31</v>
      </c>
      <c r="AF289" s="2528" t="s">
        <v>31</v>
      </c>
      <c r="AG289" s="2287" t="s">
        <v>31</v>
      </c>
      <c r="AH289" s="131"/>
      <c r="AI289" s="125"/>
    </row>
    <row r="290" spans="1:35" ht="25.5" customHeight="1">
      <c r="A290" s="2835"/>
      <c r="B290" s="2554" t="s">
        <v>349</v>
      </c>
      <c r="C290" s="2590" t="s">
        <v>31</v>
      </c>
      <c r="D290" s="2603" t="s">
        <v>31</v>
      </c>
      <c r="E290" s="2590" t="s">
        <v>31</v>
      </c>
      <c r="F290" s="2590" t="s">
        <v>31</v>
      </c>
      <c r="G290" s="2590"/>
      <c r="H290" s="2590"/>
      <c r="I290" s="2590" t="s">
        <v>31</v>
      </c>
      <c r="J290" s="2590" t="s">
        <v>31</v>
      </c>
      <c r="K290" s="2590" t="s">
        <v>31</v>
      </c>
      <c r="L290" s="2590" t="s">
        <v>31</v>
      </c>
      <c r="M290" s="2590" t="s">
        <v>31</v>
      </c>
      <c r="N290" s="2590"/>
      <c r="O290" s="2590"/>
      <c r="P290" s="2590" t="s">
        <v>31</v>
      </c>
      <c r="Q290" s="2590" t="s">
        <v>31</v>
      </c>
      <c r="R290" s="2875" t="s">
        <v>31</v>
      </c>
      <c r="S290" s="2590" t="s">
        <v>31</v>
      </c>
      <c r="T290" s="2590" t="s">
        <v>31</v>
      </c>
      <c r="U290" s="2590"/>
      <c r="V290" s="2590"/>
      <c r="W290" s="2599" t="s">
        <v>304</v>
      </c>
      <c r="X290" s="2601" t="s">
        <v>31</v>
      </c>
      <c r="Y290" s="2601" t="s">
        <v>31</v>
      </c>
      <c r="Z290" s="2601" t="s">
        <v>31</v>
      </c>
      <c r="AA290" s="2601" t="s">
        <v>31</v>
      </c>
      <c r="AB290" s="2590"/>
      <c r="AC290" s="2590"/>
      <c r="AD290" s="2590" t="s">
        <v>31</v>
      </c>
      <c r="AE290" s="2590" t="s">
        <v>31</v>
      </c>
      <c r="AF290" s="2590" t="s">
        <v>31</v>
      </c>
      <c r="AG290" s="2287" t="s">
        <v>31</v>
      </c>
      <c r="AH290" s="131"/>
      <c r="AI290" s="125"/>
    </row>
    <row r="291" spans="1:35" ht="25.5" customHeight="1">
      <c r="A291" s="2835"/>
      <c r="B291" s="2874"/>
      <c r="C291" s="2528"/>
      <c r="D291" s="2603"/>
      <c r="E291" s="2528"/>
      <c r="F291" s="2528"/>
      <c r="G291" s="2528"/>
      <c r="H291" s="2528"/>
      <c r="I291" s="2528"/>
      <c r="J291" s="2528"/>
      <c r="K291" s="2528"/>
      <c r="L291" s="2528"/>
      <c r="M291" s="2528"/>
      <c r="N291" s="2528"/>
      <c r="O291" s="2528"/>
      <c r="P291" s="2528"/>
      <c r="Q291" s="2528"/>
      <c r="R291" s="2528"/>
      <c r="S291" s="2528"/>
      <c r="T291" s="2528"/>
      <c r="U291" s="2528"/>
      <c r="V291" s="2528"/>
      <c r="W291" s="2528"/>
      <c r="X291" s="2528"/>
      <c r="Y291" s="2528"/>
      <c r="Z291" s="2528"/>
      <c r="AA291" s="2528"/>
      <c r="AB291" s="2528"/>
      <c r="AC291" s="2528"/>
      <c r="AD291" s="2528"/>
      <c r="AE291" s="2528"/>
      <c r="AF291" s="2528"/>
      <c r="AG291" s="2287"/>
      <c r="AH291" s="131"/>
      <c r="AI291" s="125"/>
    </row>
    <row r="292" spans="1:35" ht="25.5" customHeight="1">
      <c r="A292" s="2185"/>
      <c r="B292" s="2874"/>
      <c r="C292" s="2287"/>
      <c r="D292" s="2287"/>
      <c r="E292" s="2287"/>
      <c r="F292" s="2287"/>
      <c r="G292" s="2287"/>
      <c r="H292" s="2287"/>
      <c r="I292" s="2287"/>
      <c r="J292" s="2287"/>
      <c r="K292" s="2287"/>
      <c r="L292" s="2287"/>
      <c r="M292" s="2287"/>
      <c r="N292" s="2840"/>
      <c r="O292" s="2840"/>
      <c r="P292" s="2287"/>
      <c r="Q292" s="2287"/>
      <c r="R292" s="2287"/>
      <c r="S292" s="2287"/>
      <c r="T292" s="2287"/>
      <c r="U292" s="2287"/>
      <c r="V292" s="2287"/>
      <c r="W292" s="2287"/>
      <c r="X292" s="2287"/>
      <c r="Y292" s="2287"/>
      <c r="Z292" s="2287"/>
      <c r="AA292" s="2287"/>
      <c r="AB292" s="2840"/>
      <c r="AC292" s="2840"/>
      <c r="AD292" s="2287"/>
      <c r="AE292" s="2287"/>
      <c r="AF292" s="2287"/>
      <c r="AG292" s="2287"/>
      <c r="AH292" s="131"/>
      <c r="AI292" s="127"/>
    </row>
    <row r="293" spans="1:35" ht="25.5" customHeight="1" thickBot="1">
      <c r="A293" s="414"/>
      <c r="B293" s="415"/>
      <c r="C293" s="2866"/>
      <c r="D293" s="2867"/>
      <c r="E293" s="2867"/>
      <c r="F293" s="2867"/>
      <c r="G293" s="2867"/>
      <c r="H293" s="2867"/>
      <c r="I293" s="2867"/>
      <c r="J293" s="2867"/>
      <c r="K293" s="2867"/>
      <c r="L293" s="2867"/>
      <c r="M293" s="2867"/>
      <c r="N293" s="2868"/>
      <c r="O293" s="2868"/>
      <c r="P293" s="2867"/>
      <c r="Q293" s="2867"/>
      <c r="R293" s="2867"/>
      <c r="S293" s="2867"/>
      <c r="T293" s="2867"/>
      <c r="U293" s="2867"/>
      <c r="V293" s="2867"/>
      <c r="W293" s="2867"/>
      <c r="X293" s="2867"/>
      <c r="Y293" s="2867"/>
      <c r="Z293" s="2867"/>
      <c r="AA293" s="2867"/>
      <c r="AB293" s="2868"/>
      <c r="AC293" s="2868"/>
      <c r="AD293" s="2867"/>
      <c r="AE293" s="2867"/>
      <c r="AF293" s="2867"/>
      <c r="AG293" s="2867"/>
      <c r="AH293" s="131"/>
      <c r="AI293" s="127"/>
    </row>
    <row r="294" spans="1:35" ht="25.5" customHeight="1"/>
  </sheetData>
  <sheetProtection algorithmName="SHA-512" hashValue="/MEIdAQAkKM5f4qYfKBbjRrWTC/5/bNFjDHNQDssW0MvlPyb64krCF/9o04wSkKmpG/+6yA0kUe4OpznYVSJbA==" saltValue="yrGugdQrnuvitEIxvYEyOw==" spinCount="100000" sheet="1" objects="1" scenarios="1"/>
  <protectedRanges>
    <protectedRange sqref="B219" name="Område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19:B120" name="Område1_3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22:B123" name="Område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</protectedRanges>
  <mergeCells count="1">
    <mergeCell ref="T31:Z31"/>
  </mergeCells>
  <pageMargins left="0.7" right="0.7" top="0.75" bottom="0.75" header="0.3" footer="0.3"/>
  <pageSetup paperSize="9" scale="60" orientation="landscape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4AC9D-2236-4930-91E2-DC2650D3D0F6}">
  <sheetPr codeName="Ark7"/>
  <dimension ref="A1:AI294"/>
  <sheetViews>
    <sheetView topLeftCell="A261" zoomScale="70" zoomScaleNormal="70" workbookViewId="0">
      <selection activeCell="AK57" sqref="AK57"/>
    </sheetView>
  </sheetViews>
  <sheetFormatPr defaultRowHeight="15"/>
  <cols>
    <col min="2" max="2" width="27.28515625" customWidth="1"/>
    <col min="3" max="35" width="5.28515625" customWidth="1"/>
  </cols>
  <sheetData>
    <row r="1" spans="1:35" ht="24" customHeight="1">
      <c r="A1" t="s">
        <v>0</v>
      </c>
      <c r="B1" s="1" t="s">
        <v>1</v>
      </c>
    </row>
    <row r="2" spans="1:35" ht="24" customHeight="1">
      <c r="B2" s="2876" t="s">
        <v>2</v>
      </c>
      <c r="C2" s="2877" t="s">
        <v>3</v>
      </c>
      <c r="D2" s="2878"/>
      <c r="E2" s="2879" t="s">
        <v>4</v>
      </c>
      <c r="F2" s="2880"/>
      <c r="G2" s="2881"/>
      <c r="H2" s="2881"/>
      <c r="I2" s="2881"/>
      <c r="J2" s="2881"/>
      <c r="K2" s="2882"/>
      <c r="L2" s="2883" t="s">
        <v>5</v>
      </c>
      <c r="M2" s="2884"/>
      <c r="N2" s="2885"/>
      <c r="O2" s="2886" t="s">
        <v>6</v>
      </c>
      <c r="P2" s="2887"/>
      <c r="Q2" s="2888"/>
      <c r="R2" s="2889"/>
      <c r="S2" s="2890" t="s">
        <v>7</v>
      </c>
      <c r="T2" s="2891"/>
      <c r="U2" s="2892"/>
      <c r="V2" s="2891"/>
      <c r="W2" s="2893" t="s">
        <v>8</v>
      </c>
      <c r="X2" s="2894"/>
      <c r="Y2" s="2895"/>
      <c r="Z2" s="2" t="s">
        <v>9</v>
      </c>
      <c r="AA2" s="2896"/>
      <c r="AB2" s="2897"/>
      <c r="AC2" s="2898"/>
      <c r="AD2" s="2899" t="s">
        <v>10</v>
      </c>
      <c r="AE2" s="2900"/>
      <c r="AF2" s="2900"/>
      <c r="AG2" s="2901"/>
    </row>
    <row r="3" spans="1:35" ht="24" customHeight="1">
      <c r="A3" s="1"/>
      <c r="B3" s="2902" t="s">
        <v>11</v>
      </c>
      <c r="C3" s="2903" t="s">
        <v>12</v>
      </c>
      <c r="D3" s="2904"/>
      <c r="E3" s="3"/>
      <c r="F3" s="4"/>
      <c r="G3" s="4"/>
      <c r="H3" s="5" t="s">
        <v>13</v>
      </c>
      <c r="I3" s="6"/>
      <c r="J3" s="6"/>
      <c r="K3" s="7"/>
      <c r="L3" s="2905" t="s">
        <v>14</v>
      </c>
      <c r="M3" s="2906"/>
      <c r="N3" s="2907"/>
      <c r="O3" s="6"/>
      <c r="P3" s="6"/>
      <c r="Q3" s="6"/>
      <c r="R3" s="6"/>
      <c r="S3" s="8"/>
      <c r="T3" s="9" t="s">
        <v>15</v>
      </c>
      <c r="U3" s="10"/>
      <c r="V3" s="11"/>
      <c r="W3" s="12"/>
      <c r="X3" s="13"/>
      <c r="Y3" s="5" t="s">
        <v>16</v>
      </c>
      <c r="Z3" s="2906"/>
      <c r="AA3" s="2906"/>
      <c r="AB3" s="2908"/>
      <c r="AC3" s="2909"/>
      <c r="AD3" s="2910" t="s">
        <v>17</v>
      </c>
      <c r="AE3" s="2911"/>
      <c r="AF3" s="2911"/>
      <c r="AG3" s="2912"/>
    </row>
    <row r="4" spans="1:35" ht="24" customHeight="1">
      <c r="A4" s="14" t="s">
        <v>18</v>
      </c>
      <c r="B4" s="15"/>
      <c r="C4" s="16"/>
      <c r="D4" s="17"/>
      <c r="E4" s="17"/>
      <c r="F4" s="17"/>
      <c r="G4" s="17"/>
      <c r="H4" s="16"/>
      <c r="I4" s="17"/>
      <c r="J4" s="17"/>
      <c r="K4" s="18"/>
      <c r="L4" s="17"/>
      <c r="M4" s="18"/>
      <c r="N4" s="18"/>
      <c r="O4" s="17"/>
      <c r="P4" s="17"/>
      <c r="Q4" s="17"/>
      <c r="R4" s="17"/>
      <c r="T4" s="18"/>
      <c r="U4" s="16"/>
      <c r="W4" s="17"/>
      <c r="X4" s="17"/>
      <c r="Y4" s="16"/>
      <c r="Z4" s="17"/>
      <c r="AB4" s="17"/>
      <c r="AC4" s="17"/>
      <c r="AD4" s="17"/>
      <c r="AE4" s="17"/>
      <c r="AF4" s="17"/>
      <c r="AG4" s="17"/>
    </row>
    <row r="5" spans="1:35" ht="24" customHeight="1">
      <c r="A5" s="14" t="s">
        <v>19</v>
      </c>
      <c r="B5" s="1"/>
    </row>
    <row r="6" spans="1:35" ht="24" customHeight="1">
      <c r="A6" s="2913" t="s">
        <v>20</v>
      </c>
      <c r="B6" s="2906"/>
      <c r="C6" s="2914"/>
      <c r="D6" s="2913" t="s">
        <v>21</v>
      </c>
      <c r="E6" s="2906"/>
      <c r="F6" s="2906"/>
      <c r="G6" s="2906"/>
      <c r="H6" s="2915"/>
      <c r="I6" s="2906"/>
      <c r="J6" s="2906"/>
      <c r="K6" s="2906"/>
      <c r="L6" s="2916" t="s">
        <v>22</v>
      </c>
      <c r="M6" s="2906"/>
      <c r="N6" s="2906"/>
      <c r="O6" s="2906"/>
      <c r="P6" s="2906"/>
      <c r="Q6" s="2906"/>
      <c r="R6" s="2906"/>
      <c r="S6" s="2914"/>
      <c r="T6" s="2917"/>
      <c r="U6" s="2906"/>
      <c r="V6" s="2906"/>
      <c r="W6" s="2906"/>
      <c r="X6" s="2906"/>
      <c r="Y6" s="2906"/>
      <c r="Z6" s="2906"/>
      <c r="AA6" s="2914"/>
      <c r="AB6" s="2918"/>
      <c r="AC6" s="2919"/>
      <c r="AD6" s="2919"/>
      <c r="AE6" s="2919"/>
      <c r="AF6" s="2919"/>
      <c r="AG6" s="2920"/>
    </row>
    <row r="7" spans="1:35" ht="24" customHeight="1">
      <c r="A7" s="2913" t="s">
        <v>23</v>
      </c>
      <c r="B7" s="2906"/>
      <c r="C7" s="2906"/>
      <c r="D7" s="2906"/>
      <c r="E7" s="2906"/>
      <c r="F7" s="2906"/>
      <c r="G7" s="2906"/>
      <c r="H7" s="2906"/>
      <c r="I7" s="2906"/>
      <c r="J7" s="2906"/>
      <c r="K7" s="2914"/>
      <c r="L7" s="19" t="s">
        <v>24</v>
      </c>
      <c r="M7" s="8"/>
      <c r="N7" s="8"/>
      <c r="O7" s="8"/>
      <c r="P7" s="8"/>
      <c r="Q7" s="8"/>
      <c r="R7" s="8"/>
      <c r="S7" s="8"/>
      <c r="T7" s="8"/>
      <c r="U7" s="2906"/>
      <c r="V7" s="2906"/>
      <c r="W7" s="2906"/>
      <c r="X7" s="2906"/>
      <c r="Y7" s="2906"/>
      <c r="Z7" s="2906"/>
      <c r="AA7" s="2906"/>
      <c r="AB7" s="2921"/>
      <c r="AC7" s="2906"/>
      <c r="AD7" s="2906"/>
      <c r="AE7" s="2906"/>
      <c r="AF7" s="2906"/>
      <c r="AG7" s="2914"/>
    </row>
    <row r="8" spans="1:35" ht="24" customHeight="1">
      <c r="A8" s="14" t="s">
        <v>25</v>
      </c>
      <c r="L8" s="20"/>
      <c r="AB8" s="1"/>
    </row>
    <row r="9" spans="1:35" ht="24" customHeight="1">
      <c r="A9" s="14" t="s">
        <v>26</v>
      </c>
      <c r="L9" s="20"/>
      <c r="AB9" s="1"/>
    </row>
    <row r="10" spans="1:35" ht="24" customHeight="1">
      <c r="B10" s="21" t="s">
        <v>27</v>
      </c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</row>
    <row r="11" spans="1:35" ht="24" customHeight="1" thickBot="1">
      <c r="A11" s="2922" t="s">
        <v>28</v>
      </c>
      <c r="B11" s="2923" t="s">
        <v>29</v>
      </c>
      <c r="C11" s="2924">
        <v>1</v>
      </c>
      <c r="D11" s="2925">
        <v>2</v>
      </c>
      <c r="E11" s="2925">
        <v>3</v>
      </c>
      <c r="F11" s="2924">
        <v>4</v>
      </c>
      <c r="G11" s="2924">
        <v>5</v>
      </c>
      <c r="H11" s="2924">
        <v>6</v>
      </c>
      <c r="I11" s="2924">
        <v>7</v>
      </c>
      <c r="J11" s="2924">
        <v>8</v>
      </c>
      <c r="K11" s="2925">
        <v>9</v>
      </c>
      <c r="L11" s="2925">
        <v>10</v>
      </c>
      <c r="M11" s="2924">
        <v>11</v>
      </c>
      <c r="N11" s="2924">
        <v>12</v>
      </c>
      <c r="O11" s="2924">
        <v>13</v>
      </c>
      <c r="P11" s="2924">
        <v>14</v>
      </c>
      <c r="Q11" s="2924">
        <v>15</v>
      </c>
      <c r="R11" s="2925">
        <v>16</v>
      </c>
      <c r="S11" s="2925">
        <v>17</v>
      </c>
      <c r="T11" s="2924">
        <v>18</v>
      </c>
      <c r="U11" s="2924">
        <v>19</v>
      </c>
      <c r="V11" s="2924">
        <v>20</v>
      </c>
      <c r="W11" s="2924">
        <v>21</v>
      </c>
      <c r="X11" s="2924">
        <v>22</v>
      </c>
      <c r="Y11" s="2925">
        <v>23</v>
      </c>
      <c r="Z11" s="2925">
        <v>24</v>
      </c>
      <c r="AA11" s="2924">
        <v>25</v>
      </c>
      <c r="AB11" s="2924">
        <v>26</v>
      </c>
      <c r="AC11" s="2924">
        <v>27</v>
      </c>
      <c r="AD11" s="2924">
        <v>28</v>
      </c>
      <c r="AE11" s="2924">
        <v>29</v>
      </c>
      <c r="AF11" s="2925">
        <v>30</v>
      </c>
      <c r="AG11" s="2926"/>
      <c r="AH11" s="23"/>
      <c r="AI11" s="24"/>
    </row>
    <row r="12" spans="1:35" ht="24" customHeight="1">
      <c r="A12" s="2927">
        <v>8500</v>
      </c>
      <c r="B12" s="1815" t="s">
        <v>30</v>
      </c>
      <c r="C12" s="1816" t="s">
        <v>31</v>
      </c>
      <c r="D12" s="1816"/>
      <c r="E12" s="1816"/>
      <c r="F12" s="1818" t="s">
        <v>31</v>
      </c>
      <c r="G12" s="1818" t="s">
        <v>31</v>
      </c>
      <c r="H12" s="1818" t="s">
        <v>31</v>
      </c>
      <c r="I12" s="1817" t="s">
        <v>31</v>
      </c>
      <c r="J12" s="1818" t="s">
        <v>31</v>
      </c>
      <c r="K12" s="1816"/>
      <c r="L12" s="1816"/>
      <c r="M12" s="1816" t="s">
        <v>31</v>
      </c>
      <c r="N12" s="1816" t="s">
        <v>31</v>
      </c>
      <c r="O12" s="1816" t="s">
        <v>31</v>
      </c>
      <c r="P12" s="1816" t="s">
        <v>31</v>
      </c>
      <c r="Q12" s="1816" t="s">
        <v>31</v>
      </c>
      <c r="R12" s="1816"/>
      <c r="S12" s="1816"/>
      <c r="T12" s="1816" t="s">
        <v>31</v>
      </c>
      <c r="U12" s="1816">
        <v>1</v>
      </c>
      <c r="V12" s="1816" t="s">
        <v>31</v>
      </c>
      <c r="W12" s="1816" t="s">
        <v>31</v>
      </c>
      <c r="X12" s="1818" t="s">
        <v>31</v>
      </c>
      <c r="Y12" s="1816"/>
      <c r="Z12" s="1816"/>
      <c r="AA12" s="1816" t="s">
        <v>31</v>
      </c>
      <c r="AB12" s="1816" t="s">
        <v>31</v>
      </c>
      <c r="AC12" s="1816" t="s">
        <v>31</v>
      </c>
      <c r="AD12" s="1816" t="s">
        <v>31</v>
      </c>
      <c r="AE12" s="1816" t="s">
        <v>31</v>
      </c>
      <c r="AF12" s="1816"/>
      <c r="AG12" s="1819"/>
      <c r="AH12" s="25"/>
      <c r="AI12" s="25"/>
    </row>
    <row r="13" spans="1:35" ht="24" customHeight="1">
      <c r="A13" s="2928" t="s">
        <v>32</v>
      </c>
      <c r="B13" s="2929"/>
      <c r="C13" s="2929"/>
      <c r="D13" s="2929"/>
      <c r="E13" s="2929"/>
      <c r="F13" s="2929"/>
      <c r="G13" s="2929"/>
      <c r="H13" s="2929"/>
      <c r="I13" s="2929"/>
      <c r="J13" s="2929"/>
      <c r="K13" s="2929"/>
      <c r="L13" s="2929"/>
      <c r="M13" s="2929"/>
      <c r="N13" s="2929"/>
      <c r="O13" s="2929"/>
      <c r="P13" s="2929"/>
      <c r="Q13" s="2929"/>
      <c r="R13" s="2929"/>
      <c r="S13" s="2929"/>
      <c r="T13" s="2929"/>
      <c r="U13" s="2929"/>
      <c r="V13" s="2929"/>
      <c r="W13" s="2929"/>
      <c r="X13" s="2929"/>
      <c r="Y13" s="2929"/>
      <c r="Z13" s="2929"/>
      <c r="AA13" s="2929"/>
      <c r="AB13" s="2929"/>
      <c r="AC13" s="2929"/>
      <c r="AD13" s="2929"/>
      <c r="AE13" s="2929"/>
      <c r="AF13" s="2929"/>
      <c r="AG13" s="2930"/>
      <c r="AH13" s="26"/>
      <c r="AI13" s="26"/>
    </row>
    <row r="14" spans="1:35" ht="24" customHeight="1">
      <c r="A14" s="27">
        <v>8546</v>
      </c>
      <c r="B14" s="2931" t="s">
        <v>33</v>
      </c>
      <c r="C14" s="2932">
        <v>4</v>
      </c>
      <c r="D14" s="2932" t="s">
        <v>36</v>
      </c>
      <c r="E14" s="2932" t="s">
        <v>36</v>
      </c>
      <c r="F14" s="2932" t="s">
        <v>35</v>
      </c>
      <c r="G14" s="2933" t="s">
        <v>351</v>
      </c>
      <c r="H14" s="2934" t="s">
        <v>35</v>
      </c>
      <c r="I14" s="2934" t="s">
        <v>35</v>
      </c>
      <c r="J14" s="2934" t="s">
        <v>35</v>
      </c>
      <c r="K14" s="2935"/>
      <c r="L14" s="2934"/>
      <c r="M14" s="2936">
        <v>1</v>
      </c>
      <c r="N14" s="2932">
        <v>1</v>
      </c>
      <c r="O14" s="2932" t="s">
        <v>398</v>
      </c>
      <c r="P14" s="2937">
        <v>1</v>
      </c>
      <c r="Q14" s="2937">
        <v>1</v>
      </c>
      <c r="R14" s="2934"/>
      <c r="S14" s="2938"/>
      <c r="T14" s="2937">
        <v>2</v>
      </c>
      <c r="U14" s="2937">
        <v>2</v>
      </c>
      <c r="V14" s="2934">
        <v>2</v>
      </c>
      <c r="W14" s="2934">
        <v>2</v>
      </c>
      <c r="X14" s="2934">
        <v>2</v>
      </c>
      <c r="Y14" s="2934" t="s">
        <v>34</v>
      </c>
      <c r="Z14" s="2934" t="s">
        <v>34</v>
      </c>
      <c r="AA14" s="2934" t="s">
        <v>35</v>
      </c>
      <c r="AB14" s="2934" t="s">
        <v>35</v>
      </c>
      <c r="AC14" s="2934" t="s">
        <v>35</v>
      </c>
      <c r="AD14" s="2845" t="s">
        <v>35</v>
      </c>
      <c r="AE14" s="2934" t="s">
        <v>35</v>
      </c>
      <c r="AF14" s="2934"/>
      <c r="AG14" s="2939"/>
      <c r="AH14" s="25"/>
      <c r="AI14" s="25"/>
    </row>
    <row r="15" spans="1:35" ht="24" customHeight="1">
      <c r="A15" s="2940">
        <v>8546</v>
      </c>
      <c r="B15" s="2941" t="s">
        <v>37</v>
      </c>
      <c r="C15" s="2935" t="s">
        <v>35</v>
      </c>
      <c r="D15" s="2934"/>
      <c r="E15" s="2934"/>
      <c r="F15" s="2845">
        <v>4</v>
      </c>
      <c r="G15" s="2845">
        <v>4</v>
      </c>
      <c r="H15" s="2845">
        <v>4</v>
      </c>
      <c r="I15" s="2934">
        <v>4</v>
      </c>
      <c r="J15" s="2935">
        <v>4</v>
      </c>
      <c r="K15" s="2845" t="s">
        <v>36</v>
      </c>
      <c r="L15" s="2934" t="s">
        <v>36</v>
      </c>
      <c r="M15" s="2934" t="s">
        <v>35</v>
      </c>
      <c r="N15" s="2934" t="s">
        <v>35</v>
      </c>
      <c r="O15" s="2934" t="s">
        <v>35</v>
      </c>
      <c r="P15" s="2934" t="s">
        <v>35</v>
      </c>
      <c r="Q15" s="2934" t="s">
        <v>35</v>
      </c>
      <c r="R15" s="2934"/>
      <c r="S15" s="2934"/>
      <c r="T15" s="2942">
        <v>1</v>
      </c>
      <c r="U15" s="2942">
        <v>1</v>
      </c>
      <c r="V15" s="2942">
        <v>1</v>
      </c>
      <c r="W15" s="2942">
        <v>1</v>
      </c>
      <c r="X15" s="2942">
        <v>1</v>
      </c>
      <c r="Y15" s="2934"/>
      <c r="Z15" s="2934"/>
      <c r="AA15" s="2934">
        <v>2</v>
      </c>
      <c r="AB15" s="2934">
        <v>2</v>
      </c>
      <c r="AC15" s="2934">
        <v>2</v>
      </c>
      <c r="AD15" s="2934">
        <v>2</v>
      </c>
      <c r="AE15" s="2934">
        <v>2</v>
      </c>
      <c r="AF15" s="2934" t="s">
        <v>34</v>
      </c>
      <c r="AG15" s="2939"/>
      <c r="AH15" s="25"/>
      <c r="AI15" s="25"/>
    </row>
    <row r="16" spans="1:35" ht="24" customHeight="1">
      <c r="A16" s="2940">
        <v>8546</v>
      </c>
      <c r="B16" s="2931" t="s">
        <v>38</v>
      </c>
      <c r="C16" s="2937">
        <v>1</v>
      </c>
      <c r="D16" s="2934"/>
      <c r="E16" s="2934"/>
      <c r="F16" s="2934">
        <v>2</v>
      </c>
      <c r="G16" s="2934">
        <v>2</v>
      </c>
      <c r="H16" s="2934">
        <v>2</v>
      </c>
      <c r="I16" s="2934">
        <v>2</v>
      </c>
      <c r="J16" s="2934">
        <v>2</v>
      </c>
      <c r="K16" s="2934" t="s">
        <v>34</v>
      </c>
      <c r="L16" s="2934" t="s">
        <v>34</v>
      </c>
      <c r="M16" s="2934" t="s">
        <v>35</v>
      </c>
      <c r="N16" s="2845" t="s">
        <v>35</v>
      </c>
      <c r="O16" s="2845" t="s">
        <v>35</v>
      </c>
      <c r="P16" s="2845" t="s">
        <v>35</v>
      </c>
      <c r="Q16" s="2845" t="s">
        <v>35</v>
      </c>
      <c r="R16" s="2845"/>
      <c r="S16" s="2934"/>
      <c r="T16" s="2943">
        <v>4</v>
      </c>
      <c r="U16" s="2943">
        <v>4</v>
      </c>
      <c r="V16" s="2943">
        <v>4</v>
      </c>
      <c r="W16" s="2944" t="s">
        <v>412</v>
      </c>
      <c r="X16" s="2936">
        <v>4</v>
      </c>
      <c r="Y16" s="2845" t="s">
        <v>36</v>
      </c>
      <c r="Z16" s="2845" t="s">
        <v>36</v>
      </c>
      <c r="AA16" s="2845" t="s">
        <v>35</v>
      </c>
      <c r="AB16" s="2845" t="s">
        <v>35</v>
      </c>
      <c r="AC16" s="2845" t="s">
        <v>35</v>
      </c>
      <c r="AD16" s="2934" t="s">
        <v>35</v>
      </c>
      <c r="AE16" s="2934" t="s">
        <v>35</v>
      </c>
      <c r="AF16" s="2934"/>
      <c r="AG16" s="2939"/>
      <c r="AH16" s="25"/>
      <c r="AI16" s="25"/>
    </row>
    <row r="17" spans="1:35" ht="24" customHeight="1">
      <c r="A17" s="2940">
        <v>8546</v>
      </c>
      <c r="B17" s="2941" t="s">
        <v>39</v>
      </c>
      <c r="C17" s="2934" t="s">
        <v>35</v>
      </c>
      <c r="D17" s="2935"/>
      <c r="E17" s="2934"/>
      <c r="F17" s="2845">
        <v>1</v>
      </c>
      <c r="G17" s="2934">
        <v>1</v>
      </c>
      <c r="H17" s="2934">
        <v>1</v>
      </c>
      <c r="I17" s="2934">
        <v>1</v>
      </c>
      <c r="J17" s="2934">
        <v>1</v>
      </c>
      <c r="K17" s="2934"/>
      <c r="L17" s="2934"/>
      <c r="M17" s="2932">
        <v>2</v>
      </c>
      <c r="N17" s="2932">
        <v>2</v>
      </c>
      <c r="O17" s="2932" t="s">
        <v>447</v>
      </c>
      <c r="P17" s="2945">
        <v>2</v>
      </c>
      <c r="Q17" s="2945">
        <v>2</v>
      </c>
      <c r="R17" s="2945" t="s">
        <v>34</v>
      </c>
      <c r="S17" s="2945" t="s">
        <v>34</v>
      </c>
      <c r="T17" s="2934" t="s">
        <v>35</v>
      </c>
      <c r="U17" s="2934" t="s">
        <v>35</v>
      </c>
      <c r="V17" s="2934" t="s">
        <v>35</v>
      </c>
      <c r="W17" s="2934" t="s">
        <v>35</v>
      </c>
      <c r="X17" s="2935" t="s">
        <v>35</v>
      </c>
      <c r="Y17" s="2934"/>
      <c r="Z17" s="2934"/>
      <c r="AA17" s="2946">
        <v>4</v>
      </c>
      <c r="AB17" s="2946">
        <v>4</v>
      </c>
      <c r="AC17" s="2946">
        <v>4</v>
      </c>
      <c r="AD17" s="2946">
        <v>4</v>
      </c>
      <c r="AE17" s="2946">
        <v>4</v>
      </c>
      <c r="AF17" s="2946" t="s">
        <v>36</v>
      </c>
      <c r="AG17" s="2939"/>
      <c r="AH17" s="25"/>
      <c r="AI17" s="25"/>
    </row>
    <row r="18" spans="1:35" ht="24" customHeight="1">
      <c r="A18" s="2940">
        <v>8546</v>
      </c>
      <c r="B18" s="2931" t="s">
        <v>40</v>
      </c>
      <c r="C18" s="2934">
        <v>2</v>
      </c>
      <c r="D18" s="2935" t="s">
        <v>34</v>
      </c>
      <c r="E18" s="2934" t="s">
        <v>34</v>
      </c>
      <c r="F18" s="2934" t="s">
        <v>35</v>
      </c>
      <c r="G18" s="2934" t="s">
        <v>35</v>
      </c>
      <c r="H18" s="2934" t="s">
        <v>35</v>
      </c>
      <c r="I18" s="2934" t="s">
        <v>35</v>
      </c>
      <c r="J18" s="2845" t="s">
        <v>35</v>
      </c>
      <c r="K18" s="2845"/>
      <c r="L18" s="2934"/>
      <c r="M18" s="2845">
        <v>4</v>
      </c>
      <c r="N18" s="2845">
        <v>4</v>
      </c>
      <c r="O18" s="2934">
        <v>4</v>
      </c>
      <c r="P18" s="2934">
        <v>4</v>
      </c>
      <c r="Q18" s="2934">
        <v>4</v>
      </c>
      <c r="R18" s="2934" t="s">
        <v>36</v>
      </c>
      <c r="S18" s="2934" t="s">
        <v>36</v>
      </c>
      <c r="T18" s="2934" t="s">
        <v>35</v>
      </c>
      <c r="U18" s="2845" t="s">
        <v>35</v>
      </c>
      <c r="V18" s="2845" t="s">
        <v>35</v>
      </c>
      <c r="W18" s="2934" t="s">
        <v>35</v>
      </c>
      <c r="X18" s="2934" t="s">
        <v>35</v>
      </c>
      <c r="Y18" s="2934"/>
      <c r="Z18" s="2934"/>
      <c r="AA18" s="2934">
        <v>1</v>
      </c>
      <c r="AB18" s="2934">
        <v>1</v>
      </c>
      <c r="AC18" s="2947">
        <v>1</v>
      </c>
      <c r="AD18" s="2942">
        <v>1</v>
      </c>
      <c r="AE18" s="2942">
        <v>1</v>
      </c>
      <c r="AF18" s="2934"/>
      <c r="AG18" s="2939"/>
      <c r="AH18" s="25"/>
      <c r="AI18" s="25"/>
    </row>
    <row r="19" spans="1:35" ht="24" customHeight="1" thickBot="1">
      <c r="A19" s="2948" t="s">
        <v>41</v>
      </c>
      <c r="B19" s="2949"/>
      <c r="C19" s="2950"/>
      <c r="D19" s="2950"/>
      <c r="E19" s="2950"/>
      <c r="F19" s="2950"/>
      <c r="G19" s="2950"/>
      <c r="H19" s="2950"/>
      <c r="I19" s="2950"/>
      <c r="J19" s="2950"/>
      <c r="K19" s="2950"/>
      <c r="L19" s="2950"/>
      <c r="M19" s="2950"/>
      <c r="N19" s="2950"/>
      <c r="O19" s="2950"/>
      <c r="P19" s="2950"/>
      <c r="Q19" s="2950"/>
      <c r="R19" s="2950"/>
      <c r="S19" s="2950"/>
      <c r="T19" s="2950"/>
      <c r="U19" s="2950"/>
      <c r="V19" s="2950"/>
      <c r="W19" s="2950"/>
      <c r="X19" s="2950"/>
      <c r="Y19" s="2950"/>
      <c r="Z19" s="2950"/>
      <c r="AA19" s="2950"/>
      <c r="AB19" s="2950"/>
      <c r="AC19" s="2950"/>
      <c r="AD19" s="2950"/>
      <c r="AE19" s="2950"/>
      <c r="AF19" s="2950"/>
      <c r="AG19" s="2951"/>
      <c r="AH19" s="26"/>
      <c r="AI19" s="26"/>
    </row>
    <row r="20" spans="1:35" ht="24" customHeight="1" thickBot="1">
      <c r="A20" s="1837">
        <v>8500</v>
      </c>
      <c r="B20" s="2595" t="s">
        <v>42</v>
      </c>
      <c r="C20" s="1839" t="s">
        <v>31</v>
      </c>
      <c r="D20" s="1839"/>
      <c r="E20" s="1839"/>
      <c r="F20" s="1839" t="s">
        <v>107</v>
      </c>
      <c r="G20" s="1839" t="s">
        <v>107</v>
      </c>
      <c r="H20" s="1839" t="s">
        <v>107</v>
      </c>
      <c r="I20" s="1840" t="s">
        <v>107</v>
      </c>
      <c r="J20" s="1839" t="s">
        <v>31</v>
      </c>
      <c r="K20" s="1839"/>
      <c r="L20" s="1839"/>
      <c r="M20" s="2952" t="s">
        <v>31</v>
      </c>
      <c r="N20" s="1839" t="s">
        <v>31</v>
      </c>
      <c r="O20" s="1839" t="s">
        <v>31</v>
      </c>
      <c r="P20" s="1839">
        <v>1</v>
      </c>
      <c r="Q20" s="1839" t="s">
        <v>31</v>
      </c>
      <c r="R20" s="1839"/>
      <c r="S20" s="1839"/>
      <c r="T20" s="2596">
        <v>1</v>
      </c>
      <c r="U20" s="2596" t="s">
        <v>251</v>
      </c>
      <c r="V20" s="2596">
        <v>1</v>
      </c>
      <c r="W20" s="2596">
        <v>1</v>
      </c>
      <c r="X20" s="2596" t="s">
        <v>31</v>
      </c>
      <c r="Y20" s="1839"/>
      <c r="Z20" s="1841"/>
      <c r="AA20" s="1840" t="s">
        <v>31</v>
      </c>
      <c r="AB20" s="1840" t="s">
        <v>31</v>
      </c>
      <c r="AC20" s="1840" t="s">
        <v>31</v>
      </c>
      <c r="AD20" s="1840" t="s">
        <v>31</v>
      </c>
      <c r="AE20" s="1840" t="s">
        <v>31</v>
      </c>
      <c r="AF20" s="1840"/>
      <c r="AG20" s="1843"/>
      <c r="AH20" s="25"/>
      <c r="AI20" s="25"/>
    </row>
    <row r="21" spans="1:35" ht="24" customHeight="1" thickBot="1">
      <c r="A21" s="2953">
        <v>8500</v>
      </c>
      <c r="B21" s="2623" t="s">
        <v>43</v>
      </c>
      <c r="C21" s="2596" t="s">
        <v>107</v>
      </c>
      <c r="D21" s="2596"/>
      <c r="E21" s="2596"/>
      <c r="F21" s="2596" t="s">
        <v>31</v>
      </c>
      <c r="G21" s="2596" t="s">
        <v>31</v>
      </c>
      <c r="H21" s="2590" t="s">
        <v>31</v>
      </c>
      <c r="I21" s="2590" t="s">
        <v>31</v>
      </c>
      <c r="J21" s="2954" t="s">
        <v>31</v>
      </c>
      <c r="K21" s="2596"/>
      <c r="L21" s="2593"/>
      <c r="M21" s="2596" t="s">
        <v>31</v>
      </c>
      <c r="N21" s="2590">
        <v>1</v>
      </c>
      <c r="O21" s="2596">
        <v>1</v>
      </c>
      <c r="P21" s="2596" t="s">
        <v>31</v>
      </c>
      <c r="Q21" s="2596">
        <v>1</v>
      </c>
      <c r="R21" s="2596"/>
      <c r="S21" s="2596"/>
      <c r="T21" s="2596" t="s">
        <v>31</v>
      </c>
      <c r="U21" s="2596" t="s">
        <v>31</v>
      </c>
      <c r="V21" s="2596" t="s">
        <v>31</v>
      </c>
      <c r="W21" s="2596" t="s">
        <v>31</v>
      </c>
      <c r="X21" s="2596">
        <v>1</v>
      </c>
      <c r="Y21" s="2845" t="s">
        <v>0</v>
      </c>
      <c r="Z21" s="2845" t="s">
        <v>0</v>
      </c>
      <c r="AA21" s="2955" t="s">
        <v>31</v>
      </c>
      <c r="AB21" s="2596" t="s">
        <v>201</v>
      </c>
      <c r="AC21" s="1840" t="s">
        <v>31</v>
      </c>
      <c r="AD21" s="2596">
        <v>1</v>
      </c>
      <c r="AE21" s="2590">
        <v>1</v>
      </c>
      <c r="AF21" s="2590" t="s">
        <v>45</v>
      </c>
      <c r="AG21" s="2531"/>
      <c r="AH21" s="25"/>
      <c r="AI21" s="25"/>
    </row>
    <row r="22" spans="1:35" ht="24" customHeight="1">
      <c r="A22" s="2953">
        <v>8500</v>
      </c>
      <c r="B22" s="2549" t="s">
        <v>46</v>
      </c>
      <c r="C22" s="2596">
        <v>1</v>
      </c>
      <c r="D22" s="2596" t="s">
        <v>36</v>
      </c>
      <c r="E22" s="2596" t="s">
        <v>36</v>
      </c>
      <c r="F22" s="2590" t="s">
        <v>35</v>
      </c>
      <c r="G22" s="2596" t="s">
        <v>35</v>
      </c>
      <c r="H22" s="2596" t="s">
        <v>35</v>
      </c>
      <c r="I22" s="2596" t="s">
        <v>31</v>
      </c>
      <c r="J22" s="2596" t="s">
        <v>31</v>
      </c>
      <c r="K22" s="2596"/>
      <c r="L22" s="2596"/>
      <c r="M22" s="2596">
        <v>2</v>
      </c>
      <c r="N22" s="2607">
        <v>2</v>
      </c>
      <c r="O22" s="2607">
        <v>2</v>
      </c>
      <c r="P22" s="2607" t="s">
        <v>31</v>
      </c>
      <c r="Q22" s="2775" t="s">
        <v>31</v>
      </c>
      <c r="R22" s="2607"/>
      <c r="S22" s="2596"/>
      <c r="T22" s="2596">
        <v>2</v>
      </c>
      <c r="U22" s="2607">
        <v>2</v>
      </c>
      <c r="V22" s="2607" t="s">
        <v>251</v>
      </c>
      <c r="W22" s="2607" t="s">
        <v>31</v>
      </c>
      <c r="X22" s="2775" t="s">
        <v>31</v>
      </c>
      <c r="Y22" s="2607"/>
      <c r="Z22" s="2596"/>
      <c r="AA22" s="2596">
        <v>4</v>
      </c>
      <c r="AB22" s="2596">
        <v>4</v>
      </c>
      <c r="AC22" s="2596">
        <v>4</v>
      </c>
      <c r="AD22" s="2590">
        <v>4</v>
      </c>
      <c r="AE22" s="2596">
        <v>4</v>
      </c>
      <c r="AF22" s="2590" t="s">
        <v>36</v>
      </c>
      <c r="AG22" s="2531"/>
      <c r="AH22" s="25"/>
      <c r="AI22" s="25"/>
    </row>
    <row r="23" spans="1:35" ht="24" customHeight="1">
      <c r="A23" s="2953"/>
      <c r="B23" s="2956"/>
      <c r="C23" s="2590"/>
      <c r="D23" s="2593"/>
      <c r="E23" s="2596"/>
      <c r="F23" s="2596"/>
      <c r="G23" s="2596"/>
      <c r="H23" s="2596"/>
      <c r="I23" s="2590"/>
      <c r="J23" s="2590"/>
      <c r="K23" s="2590"/>
      <c r="L23" s="2590"/>
      <c r="M23" s="2590"/>
      <c r="N23" s="2590"/>
      <c r="O23" s="2619"/>
      <c r="P23" s="2590"/>
      <c r="Q23" s="2590"/>
      <c r="R23" s="2957"/>
      <c r="S23" s="2957"/>
      <c r="T23" s="2590"/>
      <c r="U23" s="2590"/>
      <c r="V23" s="2590"/>
      <c r="W23" s="2590"/>
      <c r="X23" s="2590"/>
      <c r="Y23" s="2590"/>
      <c r="Z23" s="2590"/>
      <c r="AA23" s="2590"/>
      <c r="AB23" s="2590"/>
      <c r="AC23" s="2607"/>
      <c r="AD23" s="2607"/>
      <c r="AE23" s="2607"/>
      <c r="AF23" s="2607"/>
      <c r="AG23" s="2531"/>
    </row>
    <row r="24" spans="1:35" ht="24" customHeight="1" thickBot="1">
      <c r="A24" s="416"/>
      <c r="B24" s="2956" t="s">
        <v>353</v>
      </c>
      <c r="C24" s="418"/>
      <c r="D24" s="418"/>
      <c r="E24" s="418"/>
      <c r="F24" s="418"/>
      <c r="G24" s="418" t="s">
        <v>0</v>
      </c>
      <c r="H24" s="418"/>
      <c r="I24" s="418"/>
      <c r="J24" s="418"/>
      <c r="K24" s="418"/>
      <c r="L24" s="418" t="s">
        <v>0</v>
      </c>
      <c r="M24" s="418"/>
      <c r="N24" s="418" t="s">
        <v>0</v>
      </c>
      <c r="O24" s="418" t="s">
        <v>0</v>
      </c>
      <c r="P24" s="418"/>
      <c r="Q24" s="418"/>
      <c r="R24" s="418"/>
      <c r="S24" s="418"/>
      <c r="T24" s="418"/>
      <c r="U24" s="418" t="s">
        <v>0</v>
      </c>
      <c r="V24" s="418"/>
      <c r="W24" s="418"/>
      <c r="X24" s="418"/>
      <c r="Y24" s="418"/>
      <c r="Z24" s="418"/>
      <c r="AA24" s="418"/>
      <c r="AB24" s="418"/>
      <c r="AC24" s="418"/>
      <c r="AD24" s="418"/>
      <c r="AE24" s="418"/>
      <c r="AF24" s="418"/>
      <c r="AG24" s="28"/>
    </row>
    <row r="25" spans="1:35" ht="24" customHeight="1">
      <c r="A25" s="29"/>
      <c r="AE25" t="s">
        <v>47</v>
      </c>
      <c r="AF25" t="s">
        <v>69</v>
      </c>
    </row>
    <row r="26" spans="1:35" ht="24" customHeight="1">
      <c r="A26" s="29"/>
    </row>
    <row r="27" spans="1:35" ht="24" customHeight="1">
      <c r="A27" s="29"/>
    </row>
    <row r="28" spans="1:35" ht="24" customHeight="1">
      <c r="A28" s="29"/>
    </row>
    <row r="29" spans="1:35" ht="24" customHeight="1">
      <c r="A29" s="29"/>
    </row>
    <row r="30" spans="1:35" ht="24" customHeight="1" thickBot="1">
      <c r="A30" s="14" t="s">
        <v>49</v>
      </c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</row>
    <row r="31" spans="1:35" ht="24" customHeight="1">
      <c r="A31" s="695" t="s">
        <v>50</v>
      </c>
      <c r="B31" s="696"/>
      <c r="C31" s="696"/>
      <c r="D31" s="697" t="s">
        <v>51</v>
      </c>
      <c r="E31" s="698"/>
      <c r="F31" s="698"/>
      <c r="G31" s="698"/>
      <c r="H31" s="698"/>
      <c r="I31" s="698"/>
      <c r="J31" s="698"/>
      <c r="K31" s="698"/>
      <c r="L31" s="698"/>
      <c r="M31" s="699" t="s">
        <v>52</v>
      </c>
      <c r="N31" s="698"/>
      <c r="O31" s="698"/>
      <c r="P31" s="698"/>
      <c r="Q31" s="698"/>
      <c r="R31" s="698"/>
      <c r="S31" s="700"/>
      <c r="T31" s="701" t="s">
        <v>53</v>
      </c>
      <c r="U31" s="702"/>
      <c r="V31" s="702"/>
      <c r="W31" s="702"/>
      <c r="X31" s="702"/>
      <c r="Y31" s="702"/>
      <c r="Z31" s="703"/>
      <c r="AA31" s="704" t="s">
        <v>54</v>
      </c>
      <c r="AB31" s="705"/>
      <c r="AC31" s="705"/>
      <c r="AD31" s="705"/>
      <c r="AE31" s="705"/>
      <c r="AF31" s="705"/>
      <c r="AG31" s="706"/>
    </row>
    <row r="32" spans="1:35" ht="24" customHeight="1">
      <c r="A32" s="2958" t="s">
        <v>55</v>
      </c>
      <c r="B32" s="2919"/>
      <c r="C32" s="2919"/>
      <c r="D32" s="2959" t="s">
        <v>56</v>
      </c>
      <c r="E32" s="2960"/>
      <c r="F32" s="2906"/>
      <c r="G32" s="2906"/>
      <c r="H32" s="2906"/>
      <c r="I32" s="2906"/>
      <c r="J32" s="2906"/>
      <c r="K32" s="2906"/>
      <c r="L32" s="2914"/>
      <c r="M32" s="2961" t="s">
        <v>57</v>
      </c>
      <c r="N32" s="2919"/>
      <c r="O32" s="2962"/>
      <c r="P32" s="2919"/>
      <c r="Q32" s="2919"/>
      <c r="R32" s="2919"/>
      <c r="S32" s="2963"/>
      <c r="T32" s="2959" t="s">
        <v>58</v>
      </c>
      <c r="U32" s="2906"/>
      <c r="V32" s="2960"/>
      <c r="W32" s="2906"/>
      <c r="X32" s="2906"/>
      <c r="Y32" s="2906"/>
      <c r="Z32" s="2914"/>
      <c r="AA32" s="31" t="s">
        <v>59</v>
      </c>
      <c r="AD32" s="20"/>
      <c r="AG32" s="32"/>
    </row>
    <row r="33" spans="1:35" ht="24" customHeight="1">
      <c r="A33" s="2964" t="s">
        <v>60</v>
      </c>
      <c r="B33" s="2906"/>
      <c r="C33" s="2906"/>
      <c r="D33" s="2965"/>
      <c r="E33" s="2906"/>
      <c r="F33" s="2906"/>
      <c r="G33" s="2914"/>
      <c r="H33" s="2921" t="s">
        <v>61</v>
      </c>
      <c r="I33" s="2906"/>
      <c r="J33" s="2906"/>
      <c r="K33" s="2906"/>
      <c r="L33" s="2906"/>
      <c r="M33" s="2966"/>
      <c r="N33" s="2906"/>
      <c r="O33" s="2906"/>
      <c r="P33" s="2906"/>
      <c r="Q33" s="2906"/>
      <c r="R33" s="2906"/>
      <c r="S33" s="2906"/>
      <c r="T33" s="2965"/>
      <c r="U33" s="14" t="s">
        <v>62</v>
      </c>
      <c r="AA33" s="2962"/>
      <c r="AB33" s="2919"/>
      <c r="AC33" s="2919"/>
      <c r="AD33" s="2919"/>
      <c r="AE33" s="2919"/>
      <c r="AF33" s="2919"/>
      <c r="AG33" s="2967"/>
    </row>
    <row r="34" spans="1:35" ht="24" customHeight="1" thickBot="1">
      <c r="A34" s="2968" t="s">
        <v>63</v>
      </c>
      <c r="B34" s="2969"/>
      <c r="C34" s="2969"/>
      <c r="D34" s="2970"/>
      <c r="E34" s="2969"/>
      <c r="F34" s="2969"/>
      <c r="G34" s="2971"/>
      <c r="H34" s="2972" t="s">
        <v>64</v>
      </c>
      <c r="I34" s="2971"/>
      <c r="J34" s="2969"/>
      <c r="K34" s="2969"/>
      <c r="L34" s="2969"/>
      <c r="M34" s="2973"/>
      <c r="N34" s="2969"/>
      <c r="O34" s="2969"/>
      <c r="P34" s="2969"/>
      <c r="Q34" s="2974"/>
      <c r="R34" s="2974"/>
      <c r="S34" s="2974"/>
      <c r="T34" s="2970"/>
      <c r="U34" s="2975" t="s">
        <v>65</v>
      </c>
      <c r="V34" s="2969"/>
      <c r="W34" s="2969"/>
      <c r="X34" s="2969"/>
      <c r="Y34" s="2969"/>
      <c r="Z34" s="2969"/>
      <c r="AA34" s="2969"/>
      <c r="AB34" s="2969"/>
      <c r="AC34" s="2969"/>
      <c r="AD34" s="2969"/>
      <c r="AE34" s="2969"/>
      <c r="AF34" s="2969"/>
      <c r="AG34" s="2976"/>
    </row>
    <row r="35" spans="1:35" ht="24" customHeight="1">
      <c r="B35" s="33" t="s">
        <v>27</v>
      </c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"/>
    </row>
    <row r="36" spans="1:35" ht="24" customHeight="1" thickBot="1">
      <c r="A36" s="2977" t="s">
        <v>28</v>
      </c>
      <c r="B36" s="2978" t="s">
        <v>29</v>
      </c>
      <c r="C36" s="2924">
        <v>1</v>
      </c>
      <c r="D36" s="2925">
        <v>2</v>
      </c>
      <c r="E36" s="2925">
        <v>3</v>
      </c>
      <c r="F36" s="2924">
        <v>4</v>
      </c>
      <c r="G36" s="2924">
        <v>5</v>
      </c>
      <c r="H36" s="2924">
        <v>6</v>
      </c>
      <c r="I36" s="2924">
        <v>7</v>
      </c>
      <c r="J36" s="2924">
        <v>8</v>
      </c>
      <c r="K36" s="2925">
        <v>9</v>
      </c>
      <c r="L36" s="2925">
        <v>10</v>
      </c>
      <c r="M36" s="2924">
        <v>11</v>
      </c>
      <c r="N36" s="2924">
        <v>12</v>
      </c>
      <c r="O36" s="2924">
        <v>13</v>
      </c>
      <c r="P36" s="2924">
        <v>14</v>
      </c>
      <c r="Q36" s="2924">
        <v>15</v>
      </c>
      <c r="R36" s="2925">
        <v>16</v>
      </c>
      <c r="S36" s="2925">
        <v>17</v>
      </c>
      <c r="T36" s="2924">
        <v>18</v>
      </c>
      <c r="U36" s="2924">
        <v>19</v>
      </c>
      <c r="V36" s="2924">
        <v>20</v>
      </c>
      <c r="W36" s="2924">
        <v>21</v>
      </c>
      <c r="X36" s="2924">
        <v>22</v>
      </c>
      <c r="Y36" s="2925">
        <v>23</v>
      </c>
      <c r="Z36" s="2925">
        <v>24</v>
      </c>
      <c r="AA36" s="2924">
        <v>25</v>
      </c>
      <c r="AB36" s="2924">
        <v>26</v>
      </c>
      <c r="AC36" s="2924">
        <v>27</v>
      </c>
      <c r="AD36" s="2924">
        <v>28</v>
      </c>
      <c r="AE36" s="2924">
        <v>29</v>
      </c>
      <c r="AF36" s="2925">
        <v>30</v>
      </c>
      <c r="AG36" s="2926"/>
      <c r="AH36" s="23"/>
      <c r="AI36" s="24"/>
    </row>
    <row r="37" spans="1:35" ht="24" customHeight="1" thickBot="1">
      <c r="A37" s="2548">
        <v>1</v>
      </c>
      <c r="B37" s="2549" t="s">
        <v>66</v>
      </c>
      <c r="C37" s="2550">
        <v>5</v>
      </c>
      <c r="D37" s="1816"/>
      <c r="E37" s="802"/>
      <c r="F37" s="802">
        <v>10</v>
      </c>
      <c r="G37" s="802">
        <v>10</v>
      </c>
      <c r="H37" s="802">
        <v>10</v>
      </c>
      <c r="I37" s="802">
        <v>10</v>
      </c>
      <c r="J37" s="1816">
        <v>10</v>
      </c>
      <c r="K37" s="802" t="s">
        <v>72</v>
      </c>
      <c r="L37" s="802" t="s">
        <v>72</v>
      </c>
      <c r="M37" s="802" t="s">
        <v>35</v>
      </c>
      <c r="N37" s="802" t="s">
        <v>35</v>
      </c>
      <c r="O37" s="1816" t="s">
        <v>35</v>
      </c>
      <c r="P37" s="802" t="s">
        <v>35</v>
      </c>
      <c r="Q37" s="801" t="s">
        <v>35</v>
      </c>
      <c r="R37" s="1816" t="s">
        <v>67</v>
      </c>
      <c r="S37" s="802" t="s">
        <v>67</v>
      </c>
      <c r="T37" s="802">
        <v>7</v>
      </c>
      <c r="U37" s="2979">
        <v>7</v>
      </c>
      <c r="V37" s="2979">
        <v>7</v>
      </c>
      <c r="W37" s="802">
        <v>7</v>
      </c>
      <c r="X37" s="801">
        <v>7</v>
      </c>
      <c r="Y37" s="801"/>
      <c r="Z37" s="802"/>
      <c r="AA37" s="802">
        <v>4</v>
      </c>
      <c r="AB37" s="801">
        <v>4</v>
      </c>
      <c r="AC37" s="801">
        <v>4</v>
      </c>
      <c r="AD37" s="801">
        <v>4</v>
      </c>
      <c r="AE37" s="802">
        <v>4</v>
      </c>
      <c r="AF37" s="802"/>
      <c r="AG37" s="2553"/>
      <c r="AH37" s="34"/>
      <c r="AI37" s="25"/>
    </row>
    <row r="38" spans="1:35" ht="24" customHeight="1">
      <c r="A38" s="2980">
        <v>6</v>
      </c>
      <c r="B38" s="2554" t="s">
        <v>0</v>
      </c>
      <c r="C38" s="2981">
        <v>3</v>
      </c>
      <c r="D38" s="2981"/>
      <c r="E38" s="2981"/>
      <c r="F38" s="2981">
        <v>11</v>
      </c>
      <c r="G38" s="2981">
        <v>11</v>
      </c>
      <c r="H38" s="2981">
        <v>11</v>
      </c>
      <c r="I38" s="2981">
        <v>11</v>
      </c>
      <c r="J38" s="2981">
        <v>11</v>
      </c>
      <c r="K38" s="2981" t="s">
        <v>68</v>
      </c>
      <c r="L38" s="2981" t="s">
        <v>68</v>
      </c>
      <c r="M38" s="2981" t="s">
        <v>35</v>
      </c>
      <c r="N38" s="2981" t="s">
        <v>35</v>
      </c>
      <c r="O38" s="2981" t="s">
        <v>35</v>
      </c>
      <c r="P38" s="2981" t="s">
        <v>35</v>
      </c>
      <c r="Q38" s="2981" t="s">
        <v>35</v>
      </c>
      <c r="R38" s="2981" t="s">
        <v>69</v>
      </c>
      <c r="S38" s="2981" t="s">
        <v>69</v>
      </c>
      <c r="T38" s="801">
        <v>8</v>
      </c>
      <c r="U38" s="801">
        <v>8</v>
      </c>
      <c r="V38" s="801">
        <v>8</v>
      </c>
      <c r="W38" s="802">
        <v>8</v>
      </c>
      <c r="X38" s="802">
        <v>8</v>
      </c>
      <c r="Y38" s="2982"/>
      <c r="Z38" s="2982"/>
      <c r="AA38" s="2981" t="s">
        <v>35</v>
      </c>
      <c r="AB38" s="2981" t="s">
        <v>35</v>
      </c>
      <c r="AC38" s="2981" t="s">
        <v>35</v>
      </c>
      <c r="AD38" s="2981" t="s">
        <v>35</v>
      </c>
      <c r="AE38" s="2981" t="s">
        <v>35</v>
      </c>
      <c r="AF38" s="2981"/>
      <c r="AG38" s="2983"/>
      <c r="AH38" s="34"/>
      <c r="AI38" s="25"/>
    </row>
    <row r="39" spans="1:35" ht="24" customHeight="1" thickBot="1">
      <c r="A39" s="2984">
        <v>11</v>
      </c>
      <c r="B39" s="2985" t="s">
        <v>71</v>
      </c>
      <c r="C39" s="2986">
        <v>1</v>
      </c>
      <c r="D39" s="2849"/>
      <c r="E39" s="2849"/>
      <c r="F39" s="2849">
        <v>9</v>
      </c>
      <c r="G39" s="2849">
        <v>9</v>
      </c>
      <c r="H39" s="2849">
        <v>9</v>
      </c>
      <c r="I39" s="2849">
        <v>9</v>
      </c>
      <c r="J39" s="2849">
        <v>9</v>
      </c>
      <c r="K39" s="2849" t="s">
        <v>70</v>
      </c>
      <c r="L39" s="2849" t="s">
        <v>72</v>
      </c>
      <c r="M39" s="2849" t="s">
        <v>35</v>
      </c>
      <c r="N39" s="2849" t="s">
        <v>35</v>
      </c>
      <c r="O39" s="2924" t="s">
        <v>35</v>
      </c>
      <c r="P39" s="2849" t="s">
        <v>35</v>
      </c>
      <c r="Q39" s="2924" t="s">
        <v>35</v>
      </c>
      <c r="R39" s="2924" t="s">
        <v>75</v>
      </c>
      <c r="S39" s="2849" t="s">
        <v>69</v>
      </c>
      <c r="T39" s="2987">
        <v>6</v>
      </c>
      <c r="U39" s="2987">
        <v>6</v>
      </c>
      <c r="V39" s="2987">
        <v>6</v>
      </c>
      <c r="W39" s="2987">
        <v>6</v>
      </c>
      <c r="X39" s="2987">
        <v>6</v>
      </c>
      <c r="Y39" s="2851"/>
      <c r="Z39" s="2851" t="s">
        <v>109</v>
      </c>
      <c r="AA39" s="2849" t="s">
        <v>35</v>
      </c>
      <c r="AB39" s="2988" t="s">
        <v>35</v>
      </c>
      <c r="AC39" s="2988" t="s">
        <v>35</v>
      </c>
      <c r="AD39" s="2988" t="s">
        <v>35</v>
      </c>
      <c r="AE39" s="2849" t="s">
        <v>35</v>
      </c>
      <c r="AF39" s="2849"/>
      <c r="AG39" s="2989"/>
      <c r="AH39" s="34"/>
      <c r="AI39" s="25"/>
    </row>
    <row r="40" spans="1:35" ht="24" customHeight="1">
      <c r="A40" s="2548">
        <v>2</v>
      </c>
      <c r="B40" s="35" t="s">
        <v>73</v>
      </c>
      <c r="C40" s="1816">
        <v>10</v>
      </c>
      <c r="D40" s="1816" t="s">
        <v>72</v>
      </c>
      <c r="E40" s="1816" t="s">
        <v>72</v>
      </c>
      <c r="F40" s="1816" t="s">
        <v>35</v>
      </c>
      <c r="G40" s="1816" t="s">
        <v>35</v>
      </c>
      <c r="H40" s="802" t="s">
        <v>35</v>
      </c>
      <c r="I40" s="802" t="s">
        <v>35</v>
      </c>
      <c r="J40" s="1816" t="s">
        <v>35</v>
      </c>
      <c r="K40" s="1816" t="s">
        <v>67</v>
      </c>
      <c r="L40" s="802" t="s">
        <v>67</v>
      </c>
      <c r="M40" s="802">
        <v>7</v>
      </c>
      <c r="N40" s="802">
        <v>7</v>
      </c>
      <c r="O40" s="801">
        <v>7</v>
      </c>
      <c r="P40" s="802">
        <v>7</v>
      </c>
      <c r="Q40" s="801">
        <v>7</v>
      </c>
      <c r="R40" s="801"/>
      <c r="S40" s="1816"/>
      <c r="T40" s="1818">
        <v>4</v>
      </c>
      <c r="U40" s="1818">
        <v>4</v>
      </c>
      <c r="V40" s="1818">
        <v>4</v>
      </c>
      <c r="W40" s="1818">
        <v>4</v>
      </c>
      <c r="X40" s="1818">
        <v>4</v>
      </c>
      <c r="Y40" s="802"/>
      <c r="Z40" s="802"/>
      <c r="AA40" s="2565">
        <v>3</v>
      </c>
      <c r="AB40" s="2565">
        <v>3</v>
      </c>
      <c r="AC40" s="2564">
        <v>3</v>
      </c>
      <c r="AD40" s="2564">
        <v>3</v>
      </c>
      <c r="AE40" s="2565">
        <v>3</v>
      </c>
      <c r="AF40" s="2565"/>
      <c r="AG40" s="2553"/>
      <c r="AH40" s="34"/>
      <c r="AI40" s="25"/>
    </row>
    <row r="41" spans="1:35" ht="24" customHeight="1">
      <c r="A41" s="2980">
        <v>7</v>
      </c>
      <c r="B41" s="2941" t="s">
        <v>74</v>
      </c>
      <c r="C41" s="2990" t="s">
        <v>434</v>
      </c>
      <c r="D41" s="2840" t="s">
        <v>68</v>
      </c>
      <c r="E41" s="2990" t="s">
        <v>68</v>
      </c>
      <c r="F41" s="2990" t="s">
        <v>35</v>
      </c>
      <c r="G41" s="2990" t="s">
        <v>35</v>
      </c>
      <c r="H41" s="2990" t="s">
        <v>35</v>
      </c>
      <c r="I41" s="2990" t="s">
        <v>35</v>
      </c>
      <c r="J41" s="2840" t="s">
        <v>35</v>
      </c>
      <c r="K41" s="2991" t="s">
        <v>69</v>
      </c>
      <c r="L41" s="2991" t="s">
        <v>69</v>
      </c>
      <c r="M41" s="2991">
        <v>8</v>
      </c>
      <c r="N41" s="2990">
        <v>8</v>
      </c>
      <c r="O41" s="2990">
        <v>8</v>
      </c>
      <c r="P41" s="2990">
        <v>8</v>
      </c>
      <c r="Q41" s="2840">
        <v>8</v>
      </c>
      <c r="R41" s="2990"/>
      <c r="S41" s="2990"/>
      <c r="T41" s="2992">
        <v>4</v>
      </c>
      <c r="U41" s="2992">
        <v>4</v>
      </c>
      <c r="V41" s="2992">
        <v>4</v>
      </c>
      <c r="W41" s="2992">
        <v>4</v>
      </c>
      <c r="X41" s="2990" t="s">
        <v>35</v>
      </c>
      <c r="Y41" s="2990"/>
      <c r="Z41" s="2990"/>
      <c r="AA41" s="2990">
        <v>1</v>
      </c>
      <c r="AB41" s="2990">
        <v>1</v>
      </c>
      <c r="AC41" s="2990">
        <v>1</v>
      </c>
      <c r="AD41" s="2990">
        <v>1</v>
      </c>
      <c r="AE41" s="2990">
        <v>1</v>
      </c>
      <c r="AF41" s="2990"/>
      <c r="AG41" s="2993"/>
      <c r="AH41" s="34"/>
      <c r="AI41" s="25"/>
    </row>
    <row r="42" spans="1:35" ht="24" customHeight="1" thickBot="1">
      <c r="A42" s="2984">
        <v>12</v>
      </c>
      <c r="B42" s="2994" t="s">
        <v>76</v>
      </c>
      <c r="C42" s="2849">
        <v>9</v>
      </c>
      <c r="D42" s="2988" t="s">
        <v>70</v>
      </c>
      <c r="E42" s="2849" t="s">
        <v>72</v>
      </c>
      <c r="F42" s="2849" t="s">
        <v>35</v>
      </c>
      <c r="G42" s="2849" t="s">
        <v>35</v>
      </c>
      <c r="H42" s="2849" t="s">
        <v>35</v>
      </c>
      <c r="I42" s="2849" t="s">
        <v>35</v>
      </c>
      <c r="J42" s="2849" t="s">
        <v>35</v>
      </c>
      <c r="K42" s="2995" t="s">
        <v>75</v>
      </c>
      <c r="L42" s="2996" t="s">
        <v>69</v>
      </c>
      <c r="M42" s="2996">
        <v>6</v>
      </c>
      <c r="N42" s="2996">
        <v>6</v>
      </c>
      <c r="O42" s="2996">
        <v>6</v>
      </c>
      <c r="P42" s="2996">
        <v>6</v>
      </c>
      <c r="Q42" s="2995">
        <v>6</v>
      </c>
      <c r="R42" s="2996"/>
      <c r="S42" s="2996"/>
      <c r="T42" s="2849" t="s">
        <v>35</v>
      </c>
      <c r="U42" s="2988" t="s">
        <v>35</v>
      </c>
      <c r="V42" s="2988" t="s">
        <v>35</v>
      </c>
      <c r="W42" s="2988" t="s">
        <v>35</v>
      </c>
      <c r="X42" s="2849" t="s">
        <v>35</v>
      </c>
      <c r="Y42" s="2849"/>
      <c r="Z42" s="2849"/>
      <c r="AA42" s="2849">
        <v>5</v>
      </c>
      <c r="AB42" s="2849">
        <v>5</v>
      </c>
      <c r="AC42" s="2924">
        <v>5</v>
      </c>
      <c r="AD42" s="2924">
        <v>5</v>
      </c>
      <c r="AE42" s="2924">
        <v>5</v>
      </c>
      <c r="AF42" s="2997" t="s">
        <v>0</v>
      </c>
      <c r="AG42" s="2926"/>
      <c r="AH42" s="34"/>
      <c r="AI42" s="25"/>
    </row>
    <row r="43" spans="1:35" ht="24" customHeight="1">
      <c r="A43" s="2548">
        <v>3</v>
      </c>
      <c r="B43" s="2563" t="s">
        <v>77</v>
      </c>
      <c r="C43" s="2551" t="s">
        <v>35</v>
      </c>
      <c r="D43" s="801" t="s">
        <v>67</v>
      </c>
      <c r="E43" s="802" t="s">
        <v>67</v>
      </c>
      <c r="F43" s="802">
        <v>7</v>
      </c>
      <c r="G43" s="802">
        <v>7</v>
      </c>
      <c r="H43" s="802">
        <v>7</v>
      </c>
      <c r="I43" s="802">
        <v>7</v>
      </c>
      <c r="J43" s="801">
        <v>7</v>
      </c>
      <c r="K43" s="801"/>
      <c r="L43" s="801"/>
      <c r="M43" s="801">
        <v>4</v>
      </c>
      <c r="N43" s="801">
        <v>4</v>
      </c>
      <c r="O43" s="801">
        <v>4</v>
      </c>
      <c r="P43" s="801">
        <v>4</v>
      </c>
      <c r="Q43" s="1818">
        <v>4</v>
      </c>
      <c r="R43" s="802"/>
      <c r="S43" s="802"/>
      <c r="T43" s="802">
        <v>3</v>
      </c>
      <c r="U43" s="802">
        <v>3</v>
      </c>
      <c r="V43" s="802">
        <v>3</v>
      </c>
      <c r="W43" s="801">
        <v>3</v>
      </c>
      <c r="X43" s="1816">
        <v>3</v>
      </c>
      <c r="Y43" s="802"/>
      <c r="Z43" s="802"/>
      <c r="AA43" s="802">
        <v>11</v>
      </c>
      <c r="AB43" s="802">
        <v>11</v>
      </c>
      <c r="AC43" s="2646">
        <v>11</v>
      </c>
      <c r="AD43" s="802">
        <v>11</v>
      </c>
      <c r="AE43" s="802">
        <v>11</v>
      </c>
      <c r="AF43" s="802" t="s">
        <v>68</v>
      </c>
      <c r="AG43" s="2553"/>
      <c r="AH43" s="34"/>
      <c r="AI43" s="25"/>
    </row>
    <row r="44" spans="1:35" ht="24" customHeight="1">
      <c r="A44" s="2980">
        <v>8</v>
      </c>
      <c r="B44" s="2941" t="s">
        <v>358</v>
      </c>
      <c r="C44" s="2845" t="s">
        <v>35</v>
      </c>
      <c r="D44" s="2845" t="s">
        <v>69</v>
      </c>
      <c r="E44" s="2845" t="s">
        <v>69</v>
      </c>
      <c r="F44" s="2845">
        <v>8</v>
      </c>
      <c r="G44" s="2845">
        <v>8</v>
      </c>
      <c r="H44" s="2845">
        <v>8</v>
      </c>
      <c r="I44" s="2990">
        <v>8</v>
      </c>
      <c r="J44" s="2840">
        <v>8</v>
      </c>
      <c r="K44" s="2981"/>
      <c r="L44" s="2981"/>
      <c r="M44" s="2981" t="s">
        <v>35</v>
      </c>
      <c r="N44" s="2845" t="s">
        <v>35</v>
      </c>
      <c r="O44" s="2990" t="s">
        <v>35</v>
      </c>
      <c r="P44" s="2990" t="s">
        <v>35</v>
      </c>
      <c r="Q44" s="2990" t="s">
        <v>35</v>
      </c>
      <c r="R44" s="2990"/>
      <c r="S44" s="2990"/>
      <c r="T44" s="2990">
        <v>1</v>
      </c>
      <c r="U44" s="2990">
        <v>1</v>
      </c>
      <c r="V44" s="2990">
        <v>1</v>
      </c>
      <c r="W44" s="2990">
        <v>1</v>
      </c>
      <c r="X44" s="2840">
        <v>1</v>
      </c>
      <c r="Y44" s="2990"/>
      <c r="Z44" s="2990"/>
      <c r="AA44" s="2990">
        <v>9</v>
      </c>
      <c r="AB44" s="2990">
        <v>9</v>
      </c>
      <c r="AC44" s="2990">
        <v>9</v>
      </c>
      <c r="AD44" s="2937">
        <v>9</v>
      </c>
      <c r="AE44" s="2937">
        <v>9</v>
      </c>
      <c r="AF44" s="2998" t="s">
        <v>70</v>
      </c>
      <c r="AG44" s="2993"/>
      <c r="AH44" s="34"/>
      <c r="AI44" s="25"/>
    </row>
    <row r="45" spans="1:35" ht="24" customHeight="1" thickBot="1">
      <c r="A45" s="2984">
        <v>13</v>
      </c>
      <c r="B45" s="2985" t="s">
        <v>79</v>
      </c>
      <c r="C45" s="2924" t="s">
        <v>35</v>
      </c>
      <c r="D45" s="2924" t="s">
        <v>75</v>
      </c>
      <c r="E45" s="2849" t="s">
        <v>69</v>
      </c>
      <c r="F45" s="2849">
        <v>6</v>
      </c>
      <c r="G45" s="2849">
        <v>6</v>
      </c>
      <c r="H45" s="2849">
        <v>6</v>
      </c>
      <c r="I45" s="2849">
        <v>6</v>
      </c>
      <c r="J45" s="2924">
        <v>6</v>
      </c>
      <c r="K45" s="2849"/>
      <c r="L45" s="2988"/>
      <c r="M45" s="2849" t="s">
        <v>35</v>
      </c>
      <c r="N45" s="2988" t="s">
        <v>35</v>
      </c>
      <c r="O45" s="2988" t="s">
        <v>35</v>
      </c>
      <c r="P45" s="2988" t="s">
        <v>35</v>
      </c>
      <c r="Q45" s="2849" t="s">
        <v>35</v>
      </c>
      <c r="R45" s="2849"/>
      <c r="S45" s="2849"/>
      <c r="T45" s="2996">
        <v>5</v>
      </c>
      <c r="U45" s="2996">
        <v>5</v>
      </c>
      <c r="V45" s="2996">
        <v>5</v>
      </c>
      <c r="W45" s="2996">
        <v>5</v>
      </c>
      <c r="X45" s="2996">
        <v>5</v>
      </c>
      <c r="Y45" s="2995"/>
      <c r="Z45" s="2996"/>
      <c r="AA45" s="2849">
        <v>10</v>
      </c>
      <c r="AB45" s="2849">
        <v>10</v>
      </c>
      <c r="AC45" s="2849">
        <v>10</v>
      </c>
      <c r="AD45" s="2849">
        <v>10</v>
      </c>
      <c r="AE45" s="2924">
        <v>10</v>
      </c>
      <c r="AF45" s="2849" t="s">
        <v>72</v>
      </c>
      <c r="AG45" s="2989"/>
      <c r="AH45" s="34"/>
      <c r="AI45" s="25"/>
    </row>
    <row r="46" spans="1:35" ht="24" customHeight="1">
      <c r="A46" s="2548">
        <v>4</v>
      </c>
      <c r="B46" s="2549" t="s">
        <v>80</v>
      </c>
      <c r="C46" s="801" t="s">
        <v>225</v>
      </c>
      <c r="D46" s="801"/>
      <c r="E46" s="802"/>
      <c r="F46" s="2999">
        <v>4</v>
      </c>
      <c r="G46" s="2999">
        <v>4</v>
      </c>
      <c r="H46" s="2999">
        <v>4</v>
      </c>
      <c r="I46" s="2999">
        <v>4</v>
      </c>
      <c r="J46" s="2999">
        <v>4</v>
      </c>
      <c r="K46" s="2999"/>
      <c r="L46" s="2999"/>
      <c r="M46" s="2999">
        <v>3</v>
      </c>
      <c r="N46" s="2999">
        <v>3</v>
      </c>
      <c r="O46" s="3000">
        <v>3</v>
      </c>
      <c r="P46" s="3000">
        <v>3</v>
      </c>
      <c r="Q46" s="3000">
        <v>3</v>
      </c>
      <c r="R46" s="3000"/>
      <c r="S46" s="3000"/>
      <c r="T46" s="2570">
        <v>11</v>
      </c>
      <c r="U46" s="2570">
        <v>11</v>
      </c>
      <c r="V46" s="2569">
        <v>11</v>
      </c>
      <c r="W46" s="2570">
        <v>11</v>
      </c>
      <c r="X46" s="2570">
        <v>11</v>
      </c>
      <c r="Y46" s="3000" t="s">
        <v>68</v>
      </c>
      <c r="Z46" s="2570" t="s">
        <v>68</v>
      </c>
      <c r="AA46" s="2570" t="s">
        <v>35</v>
      </c>
      <c r="AB46" s="2570" t="s">
        <v>35</v>
      </c>
      <c r="AC46" s="2570" t="s">
        <v>35</v>
      </c>
      <c r="AD46" s="2570" t="s">
        <v>35</v>
      </c>
      <c r="AE46" s="3001" t="s">
        <v>35</v>
      </c>
      <c r="AF46" s="2570" t="s">
        <v>69</v>
      </c>
      <c r="AG46" s="2553"/>
      <c r="AH46" s="34"/>
      <c r="AI46" s="25"/>
    </row>
    <row r="47" spans="1:35" ht="24" customHeight="1">
      <c r="A47" s="2980">
        <v>9</v>
      </c>
      <c r="B47" s="2941" t="s">
        <v>81</v>
      </c>
      <c r="C47" s="2840">
        <v>8</v>
      </c>
      <c r="D47" s="2990"/>
      <c r="E47" s="2990"/>
      <c r="F47" s="2990" t="s">
        <v>35</v>
      </c>
      <c r="G47" s="2990" t="s">
        <v>35</v>
      </c>
      <c r="H47" s="2990" t="s">
        <v>35</v>
      </c>
      <c r="I47" s="2990" t="s">
        <v>35</v>
      </c>
      <c r="J47" s="2990" t="s">
        <v>35</v>
      </c>
      <c r="K47" s="2990"/>
      <c r="L47" s="2990"/>
      <c r="M47" s="2990">
        <v>1</v>
      </c>
      <c r="N47" s="2990">
        <v>1</v>
      </c>
      <c r="O47" s="2990">
        <v>1</v>
      </c>
      <c r="P47" s="2990">
        <v>1</v>
      </c>
      <c r="Q47" s="2840">
        <v>1</v>
      </c>
      <c r="R47" s="2990"/>
      <c r="S47" s="2990"/>
      <c r="T47" s="2990">
        <v>9</v>
      </c>
      <c r="U47" s="2990">
        <v>9</v>
      </c>
      <c r="V47" s="2990">
        <v>9</v>
      </c>
      <c r="W47" s="2990">
        <v>9</v>
      </c>
      <c r="X47" s="2990">
        <v>9</v>
      </c>
      <c r="Y47" s="2990" t="s">
        <v>70</v>
      </c>
      <c r="Z47" s="2990" t="s">
        <v>72</v>
      </c>
      <c r="AA47" s="2990" t="s">
        <v>35</v>
      </c>
      <c r="AB47" s="2990" t="s">
        <v>35</v>
      </c>
      <c r="AC47" s="2990" t="s">
        <v>35</v>
      </c>
      <c r="AD47" s="2990" t="s">
        <v>35</v>
      </c>
      <c r="AE47" s="2990" t="s">
        <v>35</v>
      </c>
      <c r="AF47" s="2990" t="s">
        <v>75</v>
      </c>
      <c r="AG47" s="2993"/>
      <c r="AH47" s="34"/>
      <c r="AI47" s="25"/>
    </row>
    <row r="48" spans="1:35" ht="24" customHeight="1" thickBot="1">
      <c r="A48" s="2984">
        <v>14</v>
      </c>
      <c r="B48" s="2985" t="s">
        <v>82</v>
      </c>
      <c r="C48" s="2924">
        <v>6</v>
      </c>
      <c r="D48" s="2849"/>
      <c r="E48" s="2849"/>
      <c r="F48" s="2849" t="s">
        <v>35</v>
      </c>
      <c r="G48" s="2988" t="s">
        <v>35</v>
      </c>
      <c r="H48" s="2988" t="s">
        <v>35</v>
      </c>
      <c r="I48" s="2988" t="s">
        <v>35</v>
      </c>
      <c r="J48" s="2849" t="s">
        <v>35</v>
      </c>
      <c r="K48" s="2849"/>
      <c r="L48" s="2849"/>
      <c r="M48" s="2849">
        <v>5</v>
      </c>
      <c r="N48" s="2849">
        <v>5</v>
      </c>
      <c r="O48" s="2924">
        <v>5</v>
      </c>
      <c r="P48" s="2849">
        <v>5</v>
      </c>
      <c r="Q48" s="2849">
        <v>5</v>
      </c>
      <c r="R48" s="2924"/>
      <c r="S48" s="2849"/>
      <c r="T48" s="2849">
        <v>10</v>
      </c>
      <c r="U48" s="2849">
        <v>10</v>
      </c>
      <c r="V48" s="2849">
        <v>10</v>
      </c>
      <c r="W48" s="2849">
        <v>10</v>
      </c>
      <c r="X48" s="2924">
        <v>10</v>
      </c>
      <c r="Y48" s="2849" t="s">
        <v>72</v>
      </c>
      <c r="Z48" s="2849" t="s">
        <v>72</v>
      </c>
      <c r="AA48" s="2849" t="s">
        <v>35</v>
      </c>
      <c r="AB48" s="2849" t="s">
        <v>35</v>
      </c>
      <c r="AC48" s="2924" t="s">
        <v>35</v>
      </c>
      <c r="AD48" s="2849" t="s">
        <v>35</v>
      </c>
      <c r="AE48" s="2849" t="s">
        <v>35</v>
      </c>
      <c r="AF48" s="2924" t="s">
        <v>67</v>
      </c>
      <c r="AG48" s="2926"/>
      <c r="AH48" s="34"/>
      <c r="AI48" s="25"/>
    </row>
    <row r="49" spans="1:35" ht="24" customHeight="1">
      <c r="A49" s="2548">
        <v>5</v>
      </c>
      <c r="B49" s="2941" t="s">
        <v>83</v>
      </c>
      <c r="C49" s="1818">
        <v>4</v>
      </c>
      <c r="D49" s="802"/>
      <c r="E49" s="802"/>
      <c r="F49" s="1818">
        <v>3</v>
      </c>
      <c r="G49" s="1818">
        <v>3</v>
      </c>
      <c r="H49" s="1818">
        <v>3</v>
      </c>
      <c r="I49" s="1818">
        <v>3</v>
      </c>
      <c r="J49" s="1818">
        <v>3</v>
      </c>
      <c r="K49" s="802"/>
      <c r="L49" s="802"/>
      <c r="M49" s="802">
        <v>11</v>
      </c>
      <c r="N49" s="802">
        <v>11</v>
      </c>
      <c r="O49" s="1816">
        <v>11</v>
      </c>
      <c r="P49" s="802">
        <v>11</v>
      </c>
      <c r="Q49" s="802">
        <v>11</v>
      </c>
      <c r="R49" s="1816" t="s">
        <v>68</v>
      </c>
      <c r="S49" s="802" t="s">
        <v>68</v>
      </c>
      <c r="T49" s="802" t="s">
        <v>35</v>
      </c>
      <c r="U49" s="801" t="s">
        <v>35</v>
      </c>
      <c r="V49" s="801" t="s">
        <v>35</v>
      </c>
      <c r="W49" s="801" t="s">
        <v>35</v>
      </c>
      <c r="X49" s="801" t="s">
        <v>35</v>
      </c>
      <c r="Y49" s="1817" t="s">
        <v>69</v>
      </c>
      <c r="Z49" s="801" t="s">
        <v>69</v>
      </c>
      <c r="AA49" s="801">
        <v>8</v>
      </c>
      <c r="AB49" s="801">
        <v>8</v>
      </c>
      <c r="AC49" s="801">
        <v>8</v>
      </c>
      <c r="AD49" s="802">
        <v>8</v>
      </c>
      <c r="AE49" s="802">
        <v>8</v>
      </c>
      <c r="AF49" s="3002"/>
      <c r="AG49" s="3003"/>
      <c r="AH49" s="34"/>
      <c r="AI49" s="25"/>
    </row>
    <row r="50" spans="1:35" ht="24" customHeight="1">
      <c r="A50" s="2980">
        <v>10</v>
      </c>
      <c r="B50" s="2941" t="s">
        <v>84</v>
      </c>
      <c r="C50" s="2990" t="s">
        <v>35</v>
      </c>
      <c r="D50" s="2990"/>
      <c r="E50" s="2990"/>
      <c r="F50" s="2845">
        <v>1</v>
      </c>
      <c r="G50" s="2981">
        <v>1</v>
      </c>
      <c r="H50" s="2981">
        <v>1</v>
      </c>
      <c r="I50" s="2981">
        <v>1</v>
      </c>
      <c r="J50" s="2981">
        <v>1</v>
      </c>
      <c r="K50" s="2981"/>
      <c r="L50" s="2981"/>
      <c r="M50" s="2981">
        <v>9</v>
      </c>
      <c r="N50" s="2981">
        <v>9</v>
      </c>
      <c r="O50" s="2981">
        <v>9</v>
      </c>
      <c r="P50" s="2981">
        <v>9</v>
      </c>
      <c r="Q50" s="2981">
        <v>9</v>
      </c>
      <c r="R50" s="2981" t="s">
        <v>70</v>
      </c>
      <c r="S50" s="2981" t="s">
        <v>72</v>
      </c>
      <c r="T50" s="2981" t="s">
        <v>35</v>
      </c>
      <c r="U50" s="2981" t="s">
        <v>35</v>
      </c>
      <c r="V50" s="2981" t="s">
        <v>35</v>
      </c>
      <c r="W50" s="2845" t="s">
        <v>35</v>
      </c>
      <c r="X50" s="2990" t="s">
        <v>35</v>
      </c>
      <c r="Y50" s="2840" t="s">
        <v>75</v>
      </c>
      <c r="Z50" s="2990" t="s">
        <v>69</v>
      </c>
      <c r="AA50" s="2990">
        <v>6</v>
      </c>
      <c r="AB50" s="2990">
        <v>6</v>
      </c>
      <c r="AC50" s="2990">
        <v>6</v>
      </c>
      <c r="AD50" s="2990">
        <v>6</v>
      </c>
      <c r="AE50" s="2990">
        <v>6</v>
      </c>
      <c r="AF50" s="2990"/>
      <c r="AG50" s="2993"/>
      <c r="AH50" s="34"/>
      <c r="AI50" s="25"/>
    </row>
    <row r="51" spans="1:35" ht="24" customHeight="1" thickBot="1">
      <c r="A51" s="2984">
        <v>15</v>
      </c>
      <c r="B51" s="2985" t="s">
        <v>85</v>
      </c>
      <c r="C51" s="2849" t="s">
        <v>35</v>
      </c>
      <c r="D51" s="2849"/>
      <c r="E51" s="2849"/>
      <c r="F51" s="3004">
        <v>5</v>
      </c>
      <c r="G51" s="3004">
        <v>5</v>
      </c>
      <c r="H51" s="3004">
        <v>5</v>
      </c>
      <c r="I51" s="3004">
        <v>5</v>
      </c>
      <c r="J51" s="3004">
        <v>5</v>
      </c>
      <c r="K51" s="2924"/>
      <c r="L51" s="2849"/>
      <c r="M51" s="2849">
        <v>10</v>
      </c>
      <c r="N51" s="2849">
        <v>10</v>
      </c>
      <c r="O51" s="2849">
        <v>10</v>
      </c>
      <c r="P51" s="2849">
        <v>10</v>
      </c>
      <c r="Q51" s="2924">
        <v>10</v>
      </c>
      <c r="R51" s="2849" t="s">
        <v>72</v>
      </c>
      <c r="S51" s="2849" t="s">
        <v>72</v>
      </c>
      <c r="T51" s="2849" t="s">
        <v>35</v>
      </c>
      <c r="U51" s="2849" t="s">
        <v>35</v>
      </c>
      <c r="V51" s="2849" t="s">
        <v>35</v>
      </c>
      <c r="W51" s="2849" t="s">
        <v>35</v>
      </c>
      <c r="X51" s="2849" t="s">
        <v>35</v>
      </c>
      <c r="Y51" s="2924" t="s">
        <v>67</v>
      </c>
      <c r="Z51" s="2849" t="s">
        <v>67</v>
      </c>
      <c r="AA51" s="2849">
        <v>7</v>
      </c>
      <c r="AB51" s="2849">
        <v>7</v>
      </c>
      <c r="AC51" s="2849">
        <v>7</v>
      </c>
      <c r="AD51" s="2849">
        <v>7</v>
      </c>
      <c r="AE51" s="2924">
        <v>7</v>
      </c>
      <c r="AF51" s="2988"/>
      <c r="AG51" s="3005"/>
      <c r="AH51" s="34"/>
      <c r="AI51" s="25"/>
    </row>
    <row r="52" spans="1:35" ht="24" customHeight="1">
      <c r="A52" s="29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"/>
    </row>
    <row r="53" spans="1:35" ht="24" customHeight="1">
      <c r="A53" s="36"/>
      <c r="B53" s="37" t="s">
        <v>86</v>
      </c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1"/>
    </row>
    <row r="54" spans="1:35" ht="24" customHeight="1">
      <c r="A54" s="3006" t="s">
        <v>28</v>
      </c>
      <c r="B54" s="3006"/>
      <c r="C54" s="2936"/>
      <c r="D54" s="3006" t="s">
        <v>87</v>
      </c>
      <c r="E54" s="3007"/>
      <c r="F54" s="2936"/>
      <c r="G54" s="3006" t="s">
        <v>88</v>
      </c>
      <c r="H54" s="3007"/>
      <c r="I54" s="2936"/>
      <c r="J54" s="3006" t="s">
        <v>89</v>
      </c>
      <c r="K54" s="3007"/>
      <c r="L54" s="2936"/>
      <c r="M54" s="3006" t="s">
        <v>90</v>
      </c>
      <c r="N54" s="3007"/>
      <c r="O54" s="2936"/>
      <c r="P54" s="3006" t="s">
        <v>91</v>
      </c>
      <c r="Q54" s="3007"/>
      <c r="R54" s="3008"/>
      <c r="S54" s="3009" t="s">
        <v>92</v>
      </c>
      <c r="T54" s="3007"/>
      <c r="U54" s="2936"/>
      <c r="V54" s="3006" t="s">
        <v>93</v>
      </c>
      <c r="W54" s="3007"/>
      <c r="X54" s="3010" t="s">
        <v>94</v>
      </c>
      <c r="Y54" s="3007"/>
      <c r="Z54" s="3007"/>
      <c r="AA54" s="3011"/>
      <c r="AB54" s="2908"/>
      <c r="AC54" s="2908"/>
      <c r="AD54" s="2908"/>
      <c r="AE54" s="2908"/>
      <c r="AF54" s="2908"/>
      <c r="AG54" s="2909"/>
      <c r="AH54" s="1"/>
    </row>
    <row r="55" spans="1:35" ht="24" customHeight="1">
      <c r="A55" s="3012">
        <v>8517</v>
      </c>
      <c r="B55" s="2940" t="s">
        <v>95</v>
      </c>
      <c r="C55" s="3013" t="s">
        <v>96</v>
      </c>
      <c r="D55" s="3014"/>
      <c r="E55" s="2907"/>
      <c r="F55" s="3013" t="s">
        <v>96</v>
      </c>
      <c r="G55" s="3014"/>
      <c r="H55" s="2907"/>
      <c r="I55" s="3013" t="s">
        <v>96</v>
      </c>
      <c r="J55" s="3014"/>
      <c r="K55" s="2907"/>
      <c r="L55" s="3013" t="s">
        <v>96</v>
      </c>
      <c r="M55" s="3014"/>
      <c r="N55" s="2907"/>
      <c r="O55" s="3013" t="s">
        <v>97</v>
      </c>
      <c r="P55" s="3014"/>
      <c r="Q55" s="2907"/>
      <c r="R55" s="3013" t="s">
        <v>96</v>
      </c>
      <c r="S55" s="3014"/>
      <c r="T55" s="2907"/>
      <c r="U55" s="3013" t="s">
        <v>96</v>
      </c>
      <c r="V55" s="3014"/>
      <c r="W55" s="2907"/>
      <c r="X55" s="2905"/>
      <c r="Y55" s="2908"/>
      <c r="Z55" s="2908"/>
      <c r="AA55" s="2908"/>
      <c r="AB55" s="2908"/>
      <c r="AC55" s="2908"/>
      <c r="AD55" s="2908"/>
      <c r="AE55" s="2908"/>
      <c r="AF55" s="2908"/>
      <c r="AG55" s="2909"/>
      <c r="AH55" s="1"/>
    </row>
    <row r="56" spans="1:35" ht="24" customHeight="1">
      <c r="B56" s="3015" t="s">
        <v>98</v>
      </c>
      <c r="C56" s="3016" t="s">
        <v>99</v>
      </c>
      <c r="D56" s="3017"/>
      <c r="E56" s="3018"/>
      <c r="F56" s="3016" t="s">
        <v>99</v>
      </c>
      <c r="G56" s="3019"/>
      <c r="H56" s="3018"/>
      <c r="I56" s="3013" t="s">
        <v>99</v>
      </c>
      <c r="J56" s="3014"/>
      <c r="K56" s="3020"/>
      <c r="L56" s="3013" t="s">
        <v>99</v>
      </c>
      <c r="M56" s="3014"/>
      <c r="N56" s="3020"/>
      <c r="O56" s="3013" t="s">
        <v>100</v>
      </c>
      <c r="P56" s="3014"/>
      <c r="Q56" s="2907"/>
      <c r="R56" s="3021" t="s">
        <v>0</v>
      </c>
      <c r="S56" s="3014"/>
      <c r="T56" s="3020"/>
      <c r="U56" s="3014" t="s">
        <v>0</v>
      </c>
      <c r="V56" s="3014"/>
      <c r="W56" s="2907"/>
      <c r="X56" s="1229" t="s">
        <v>0</v>
      </c>
      <c r="Y56" s="17"/>
      <c r="Z56" s="17"/>
      <c r="AA56" s="17"/>
      <c r="AB56" s="17"/>
      <c r="AC56" s="17"/>
      <c r="AD56" s="17"/>
      <c r="AE56" s="17"/>
      <c r="AF56" s="17"/>
      <c r="AG56" s="39"/>
      <c r="AH56" s="1"/>
    </row>
    <row r="57" spans="1:35" ht="24" customHeight="1">
      <c r="A57" s="3022"/>
      <c r="B57" s="2940" t="s">
        <v>101</v>
      </c>
      <c r="C57" s="3013" t="s">
        <v>102</v>
      </c>
      <c r="D57" s="3014"/>
      <c r="E57" s="2907"/>
      <c r="F57" s="3013" t="s">
        <v>102</v>
      </c>
      <c r="G57" s="3014"/>
      <c r="H57" s="3020"/>
      <c r="I57" s="3013" t="s">
        <v>102</v>
      </c>
      <c r="J57" s="3014"/>
      <c r="K57" s="3020"/>
      <c r="L57" s="3013" t="s">
        <v>102</v>
      </c>
      <c r="M57" s="3014"/>
      <c r="N57" s="3020"/>
      <c r="O57" s="3013" t="s">
        <v>103</v>
      </c>
      <c r="P57" s="3014"/>
      <c r="Q57" s="2907"/>
      <c r="R57" s="40"/>
      <c r="S57" s="41"/>
      <c r="T57" s="3020"/>
      <c r="U57" s="3014"/>
      <c r="V57" s="3014"/>
      <c r="W57" s="2907"/>
      <c r="X57" s="2905"/>
      <c r="Y57" s="2908"/>
      <c r="Z57" s="2908"/>
      <c r="AA57" s="2908"/>
      <c r="AB57" s="2908"/>
      <c r="AC57" s="2908"/>
      <c r="AD57" s="2908"/>
      <c r="AE57" s="2908"/>
      <c r="AF57" s="2908"/>
      <c r="AG57" s="2909"/>
      <c r="AH57" s="1"/>
    </row>
    <row r="58" spans="1:35" ht="24" customHeight="1">
      <c r="A58" s="3006"/>
      <c r="B58" s="3015" t="s">
        <v>104</v>
      </c>
      <c r="C58" s="3023" t="s">
        <v>105</v>
      </c>
      <c r="D58" s="3023"/>
      <c r="E58" s="3024"/>
      <c r="F58" s="3023" t="s">
        <v>105</v>
      </c>
      <c r="G58" s="3023"/>
      <c r="H58" s="3024"/>
      <c r="I58" s="3023" t="s">
        <v>105</v>
      </c>
      <c r="J58" s="3023"/>
      <c r="K58" s="3024"/>
      <c r="L58" s="3023" t="s">
        <v>105</v>
      </c>
      <c r="M58" s="3023"/>
      <c r="N58" s="3024"/>
      <c r="O58" s="3023" t="s">
        <v>105</v>
      </c>
      <c r="P58" s="3023"/>
      <c r="Q58" s="3024"/>
      <c r="R58" s="3023" t="s">
        <v>105</v>
      </c>
      <c r="S58" s="3023"/>
      <c r="T58" s="3024"/>
      <c r="U58" s="3023" t="s">
        <v>105</v>
      </c>
      <c r="V58" s="3023"/>
      <c r="W58" s="3024"/>
      <c r="X58" s="2905"/>
      <c r="Y58" s="2908"/>
      <c r="Z58" s="2908"/>
      <c r="AA58" s="2908"/>
      <c r="AB58" s="2908"/>
      <c r="AC58" s="2908"/>
      <c r="AD58" s="2908"/>
      <c r="AE58" s="2908"/>
      <c r="AF58" s="2908"/>
      <c r="AG58" s="2909"/>
      <c r="AH58" s="1"/>
    </row>
    <row r="59" spans="1:35" ht="24" customHeight="1">
      <c r="A59" s="42"/>
      <c r="B59" s="29"/>
      <c r="C59" s="22"/>
      <c r="D59" s="22"/>
      <c r="E59" s="18"/>
      <c r="F59" s="22"/>
      <c r="G59" s="22"/>
      <c r="H59" s="18"/>
      <c r="I59" s="22"/>
      <c r="J59" s="22"/>
      <c r="K59" s="18"/>
      <c r="L59" s="22"/>
      <c r="M59" s="22"/>
      <c r="N59" s="18"/>
      <c r="O59" s="22"/>
      <c r="P59" s="22"/>
      <c r="Q59" s="18"/>
      <c r="R59" s="22"/>
      <c r="S59" s="22"/>
      <c r="T59" s="18"/>
      <c r="U59" s="22"/>
      <c r="V59" s="22"/>
      <c r="W59" s="18"/>
      <c r="X59" s="18"/>
      <c r="Y59" s="17"/>
      <c r="Z59" s="17"/>
      <c r="AA59" s="17"/>
      <c r="AB59" s="17"/>
      <c r="AC59" s="17"/>
      <c r="AD59" s="17"/>
      <c r="AE59" s="17"/>
      <c r="AF59" s="17"/>
      <c r="AG59" s="17"/>
      <c r="AH59" s="1"/>
    </row>
    <row r="60" spans="1:35" ht="24" customHeight="1" thickBot="1">
      <c r="A60" s="3025"/>
      <c r="B60" s="2978" t="s">
        <v>29</v>
      </c>
      <c r="C60" s="3026">
        <v>1</v>
      </c>
      <c r="D60" s="3027">
        <v>2</v>
      </c>
      <c r="E60" s="3027">
        <v>3</v>
      </c>
      <c r="F60" s="3026">
        <v>4</v>
      </c>
      <c r="G60" s="3026">
        <v>5</v>
      </c>
      <c r="H60" s="3026">
        <v>6</v>
      </c>
      <c r="I60" s="3026">
        <v>7</v>
      </c>
      <c r="J60" s="3026">
        <v>8</v>
      </c>
      <c r="K60" s="3027">
        <v>9</v>
      </c>
      <c r="L60" s="3027">
        <v>10</v>
      </c>
      <c r="M60" s="3026">
        <v>11</v>
      </c>
      <c r="N60" s="3026">
        <v>12</v>
      </c>
      <c r="O60" s="3026">
        <v>13</v>
      </c>
      <c r="P60" s="3026">
        <v>14</v>
      </c>
      <c r="Q60" s="3026">
        <v>15</v>
      </c>
      <c r="R60" s="3027">
        <v>16</v>
      </c>
      <c r="S60" s="3027">
        <v>17</v>
      </c>
      <c r="T60" s="3026">
        <v>18</v>
      </c>
      <c r="U60" s="3026">
        <v>19</v>
      </c>
      <c r="V60" s="3026">
        <v>20</v>
      </c>
      <c r="W60" s="3026">
        <v>21</v>
      </c>
      <c r="X60" s="3026">
        <v>22</v>
      </c>
      <c r="Y60" s="3027">
        <v>23</v>
      </c>
      <c r="Z60" s="3027">
        <v>24</v>
      </c>
      <c r="AA60" s="3026">
        <v>25</v>
      </c>
      <c r="AB60" s="3026">
        <v>26</v>
      </c>
      <c r="AC60" s="3026">
        <v>27</v>
      </c>
      <c r="AD60" s="3026">
        <v>28</v>
      </c>
      <c r="AE60" s="3026">
        <v>29</v>
      </c>
      <c r="AF60" s="3027">
        <v>30</v>
      </c>
      <c r="AG60" s="3028"/>
      <c r="AH60" s="1"/>
    </row>
    <row r="61" spans="1:35" ht="24" customHeight="1">
      <c r="A61" s="2584"/>
      <c r="B61" s="2589" t="s">
        <v>106</v>
      </c>
      <c r="C61" s="1839">
        <v>25</v>
      </c>
      <c r="D61" s="1839"/>
      <c r="E61" s="1839"/>
      <c r="F61" s="1839" t="s">
        <v>35</v>
      </c>
      <c r="G61" s="1839" t="s">
        <v>35</v>
      </c>
      <c r="H61" s="1839" t="s">
        <v>35</v>
      </c>
      <c r="I61" s="1839" t="s">
        <v>35</v>
      </c>
      <c r="J61" s="1839" t="s">
        <v>35</v>
      </c>
      <c r="K61" s="1839" t="s">
        <v>75</v>
      </c>
      <c r="L61" s="1839" t="s">
        <v>69</v>
      </c>
      <c r="M61" s="1839">
        <v>6</v>
      </c>
      <c r="N61" s="1839">
        <v>6</v>
      </c>
      <c r="O61" s="1839">
        <v>6</v>
      </c>
      <c r="P61" s="1839">
        <v>6</v>
      </c>
      <c r="Q61" s="1839">
        <v>6</v>
      </c>
      <c r="R61" s="1839"/>
      <c r="S61" s="1839"/>
      <c r="T61" s="1839">
        <v>25</v>
      </c>
      <c r="U61" s="1839">
        <v>25</v>
      </c>
      <c r="V61" s="1839">
        <v>25</v>
      </c>
      <c r="W61" s="1839">
        <v>25</v>
      </c>
      <c r="X61" s="2586">
        <v>25</v>
      </c>
      <c r="Y61" s="2720" t="s">
        <v>108</v>
      </c>
      <c r="Z61" s="2586" t="s">
        <v>108</v>
      </c>
      <c r="AA61" s="2586" t="s">
        <v>35</v>
      </c>
      <c r="AB61" s="2587" t="s">
        <v>35</v>
      </c>
      <c r="AC61" s="2587">
        <v>1</v>
      </c>
      <c r="AD61" s="2587" t="s">
        <v>35</v>
      </c>
      <c r="AE61" s="2587" t="s">
        <v>35</v>
      </c>
      <c r="AF61" s="2587" t="s">
        <v>35</v>
      </c>
      <c r="AG61" s="1843"/>
      <c r="AH61" s="1"/>
    </row>
    <row r="62" spans="1:35" ht="24" customHeight="1">
      <c r="A62" s="2589"/>
      <c r="B62" s="2554" t="s">
        <v>111</v>
      </c>
      <c r="C62" s="2590">
        <v>4</v>
      </c>
      <c r="D62" s="2596"/>
      <c r="E62" s="2596"/>
      <c r="F62" s="2596">
        <v>25</v>
      </c>
      <c r="G62" s="2596">
        <v>25</v>
      </c>
      <c r="H62" s="2596">
        <v>25</v>
      </c>
      <c r="I62" s="2596">
        <v>25</v>
      </c>
      <c r="J62" s="2596">
        <v>25</v>
      </c>
      <c r="K62" s="2596"/>
      <c r="L62" s="2590"/>
      <c r="M62" s="2590" t="s">
        <v>237</v>
      </c>
      <c r="N62" s="2954" t="s">
        <v>31</v>
      </c>
      <c r="O62" s="2954" t="s">
        <v>31</v>
      </c>
      <c r="P62" s="2596" t="s">
        <v>146</v>
      </c>
      <c r="Q62" s="2596">
        <v>23</v>
      </c>
      <c r="R62" s="2596">
        <v>23</v>
      </c>
      <c r="S62" s="2596">
        <v>23</v>
      </c>
      <c r="T62" s="2596" t="s">
        <v>35</v>
      </c>
      <c r="U62" s="2596" t="s">
        <v>35</v>
      </c>
      <c r="V62" s="3029" t="s">
        <v>31</v>
      </c>
      <c r="W62" s="2608" t="s">
        <v>31</v>
      </c>
      <c r="X62" s="2608" t="s">
        <v>31</v>
      </c>
      <c r="Y62" s="2600" t="s">
        <v>48</v>
      </c>
      <c r="Z62" s="2600" t="s">
        <v>48</v>
      </c>
      <c r="AA62" s="3030">
        <v>26</v>
      </c>
      <c r="AB62" s="2596">
        <v>26</v>
      </c>
      <c r="AC62" s="2596">
        <v>26</v>
      </c>
      <c r="AD62" s="2596">
        <v>26</v>
      </c>
      <c r="AE62" s="2775">
        <v>26</v>
      </c>
      <c r="AF62" s="2596" t="s">
        <v>45</v>
      </c>
      <c r="AG62" s="2531"/>
      <c r="AH62" s="1"/>
    </row>
    <row r="63" spans="1:35" ht="24" customHeight="1">
      <c r="A63" s="2595"/>
      <c r="B63" s="2554" t="s">
        <v>113</v>
      </c>
      <c r="C63" s="2593">
        <v>7</v>
      </c>
      <c r="D63" s="2593"/>
      <c r="E63" s="2602"/>
      <c r="F63" s="2775">
        <v>4</v>
      </c>
      <c r="G63" s="2775">
        <v>4</v>
      </c>
      <c r="H63" s="2775">
        <v>4</v>
      </c>
      <c r="I63" s="2775">
        <v>4</v>
      </c>
      <c r="J63" s="2775">
        <v>4</v>
      </c>
      <c r="K63" s="2618"/>
      <c r="L63" s="2618"/>
      <c r="M63" s="2775">
        <v>3</v>
      </c>
      <c r="N63" s="2775">
        <v>3</v>
      </c>
      <c r="O63" s="2775">
        <v>3</v>
      </c>
      <c r="P63" s="2775">
        <v>3</v>
      </c>
      <c r="Q63" s="2775">
        <v>3</v>
      </c>
      <c r="R63" s="64"/>
      <c r="S63" s="2601"/>
      <c r="T63" s="2618">
        <v>11</v>
      </c>
      <c r="U63" s="2618">
        <v>11</v>
      </c>
      <c r="V63" s="2618">
        <v>11</v>
      </c>
      <c r="W63" s="2618">
        <v>11</v>
      </c>
      <c r="X63" s="2618">
        <v>11</v>
      </c>
      <c r="Y63" s="2772" t="s">
        <v>68</v>
      </c>
      <c r="Z63" s="2772" t="s">
        <v>68</v>
      </c>
      <c r="AA63" s="2602" t="s">
        <v>35</v>
      </c>
      <c r="AB63" s="2602" t="s">
        <v>35</v>
      </c>
      <c r="AC63" s="2602" t="s">
        <v>35</v>
      </c>
      <c r="AD63" s="2602" t="s">
        <v>35</v>
      </c>
      <c r="AE63" s="2593" t="s">
        <v>35</v>
      </c>
      <c r="AF63" s="2772" t="s">
        <v>69</v>
      </c>
      <c r="AG63" s="2531"/>
      <c r="AH63" s="1"/>
    </row>
    <row r="64" spans="1:35" ht="24" customHeight="1">
      <c r="A64" s="2554"/>
      <c r="B64" s="2605" t="s">
        <v>116</v>
      </c>
      <c r="C64" s="2596">
        <v>3</v>
      </c>
      <c r="D64" s="2594" t="s">
        <v>45</v>
      </c>
      <c r="E64" s="2594"/>
      <c r="F64" s="2596">
        <v>5</v>
      </c>
      <c r="G64" s="2596">
        <v>5</v>
      </c>
      <c r="H64" s="2596">
        <v>5</v>
      </c>
      <c r="I64" s="2590">
        <v>5</v>
      </c>
      <c r="J64" s="2590">
        <v>5</v>
      </c>
      <c r="K64" s="2594"/>
      <c r="L64" s="2594"/>
      <c r="M64" s="2594">
        <v>3</v>
      </c>
      <c r="N64" s="2590">
        <v>3</v>
      </c>
      <c r="O64" s="2590">
        <v>3</v>
      </c>
      <c r="P64" s="2590">
        <v>3</v>
      </c>
      <c r="Q64" s="2590">
        <v>3</v>
      </c>
      <c r="R64" s="2590" t="s">
        <v>45</v>
      </c>
      <c r="S64" s="2590"/>
      <c r="T64" s="2590">
        <v>5</v>
      </c>
      <c r="U64" s="2590">
        <v>5</v>
      </c>
      <c r="V64" s="2590">
        <v>5</v>
      </c>
      <c r="W64" s="2775">
        <v>5</v>
      </c>
      <c r="X64" s="2590">
        <v>5</v>
      </c>
      <c r="Y64" s="2590" t="s">
        <v>69</v>
      </c>
      <c r="Z64" s="2596" t="s">
        <v>0</v>
      </c>
      <c r="AA64" s="2590">
        <v>25</v>
      </c>
      <c r="AB64" s="2590">
        <v>25</v>
      </c>
      <c r="AC64" s="2590">
        <v>25</v>
      </c>
      <c r="AD64" s="2590">
        <v>25</v>
      </c>
      <c r="AE64" s="2590">
        <v>25</v>
      </c>
      <c r="AF64" s="2602" t="s">
        <v>45</v>
      </c>
      <c r="AG64" s="2531"/>
      <c r="AH64" s="1"/>
    </row>
    <row r="65" spans="1:34" ht="24" customHeight="1">
      <c r="A65" s="2554"/>
      <c r="B65" s="2605" t="s">
        <v>122</v>
      </c>
      <c r="C65" s="2590" t="s">
        <v>35</v>
      </c>
      <c r="D65" s="2594"/>
      <c r="E65" s="2594"/>
      <c r="F65" s="2596" t="s">
        <v>110</v>
      </c>
      <c r="G65" s="2596" t="s">
        <v>110</v>
      </c>
      <c r="H65" s="2596" t="s">
        <v>110</v>
      </c>
      <c r="I65" s="2590" t="s">
        <v>110</v>
      </c>
      <c r="J65" s="2590" t="s">
        <v>110</v>
      </c>
      <c r="K65" s="2594" t="s">
        <v>108</v>
      </c>
      <c r="L65" s="2594" t="s">
        <v>108</v>
      </c>
      <c r="M65" s="2594" t="s">
        <v>35</v>
      </c>
      <c r="N65" s="2590" t="s">
        <v>35</v>
      </c>
      <c r="O65" s="2590" t="s">
        <v>35</v>
      </c>
      <c r="P65" s="3031">
        <v>99</v>
      </c>
      <c r="Q65" s="2590" t="s">
        <v>31</v>
      </c>
      <c r="R65" s="2590"/>
      <c r="S65" s="2590"/>
      <c r="T65" s="2608">
        <v>26</v>
      </c>
      <c r="U65" s="2590">
        <v>26</v>
      </c>
      <c r="V65" s="2590">
        <v>26</v>
      </c>
      <c r="W65" s="2590">
        <v>26</v>
      </c>
      <c r="X65" s="2775">
        <v>26</v>
      </c>
      <c r="Y65" s="2594" t="s">
        <v>45</v>
      </c>
      <c r="Z65" s="2594" t="s">
        <v>45</v>
      </c>
      <c r="AA65" s="2596" t="s">
        <v>31</v>
      </c>
      <c r="AB65" s="2596" t="s">
        <v>31</v>
      </c>
      <c r="AC65" s="2596" t="s">
        <v>31</v>
      </c>
      <c r="AD65" s="2596" t="s">
        <v>31</v>
      </c>
      <c r="AE65" s="2596" t="s">
        <v>31</v>
      </c>
      <c r="AF65" s="2590">
        <v>26</v>
      </c>
      <c r="AG65" s="2531"/>
      <c r="AH65" s="1"/>
    </row>
    <row r="66" spans="1:34" ht="24" customHeight="1">
      <c r="A66" s="2554"/>
      <c r="B66" s="2554" t="s">
        <v>124</v>
      </c>
      <c r="C66" s="2590" t="s">
        <v>127</v>
      </c>
      <c r="D66" s="2590"/>
      <c r="E66" s="3032"/>
      <c r="F66" s="2590">
        <v>4</v>
      </c>
      <c r="G66" s="2607">
        <v>4</v>
      </c>
      <c r="H66" s="2607">
        <v>4</v>
      </c>
      <c r="I66" s="2590">
        <v>4</v>
      </c>
      <c r="J66" s="2590">
        <v>4</v>
      </c>
      <c r="K66" s="2590"/>
      <c r="L66" s="2602"/>
      <c r="M66" s="2590">
        <v>26</v>
      </c>
      <c r="N66" s="2590">
        <v>26</v>
      </c>
      <c r="O66" s="2593">
        <v>26</v>
      </c>
      <c r="P66" s="2593">
        <v>26</v>
      </c>
      <c r="Q66" s="2590">
        <v>26</v>
      </c>
      <c r="R66" s="2590">
        <v>26</v>
      </c>
      <c r="S66" s="2590">
        <v>26</v>
      </c>
      <c r="T66" s="2590" t="s">
        <v>35</v>
      </c>
      <c r="U66" s="2596" t="s">
        <v>35</v>
      </c>
      <c r="V66" s="2590" t="s">
        <v>35</v>
      </c>
      <c r="W66" s="2590">
        <v>5</v>
      </c>
      <c r="X66" s="2594">
        <v>26</v>
      </c>
      <c r="Y66" s="2594"/>
      <c r="Z66" s="2594"/>
      <c r="AA66" s="2596">
        <v>3</v>
      </c>
      <c r="AB66" s="2596">
        <v>3</v>
      </c>
      <c r="AC66" s="2596">
        <v>3</v>
      </c>
      <c r="AD66" s="2596">
        <v>3</v>
      </c>
      <c r="AE66" s="2596">
        <v>3</v>
      </c>
      <c r="AF66" s="2618" t="s">
        <v>70</v>
      </c>
      <c r="AG66" s="2531"/>
      <c r="AH66" s="1"/>
    </row>
    <row r="67" spans="1:34" ht="24" customHeight="1">
      <c r="A67" s="2554"/>
      <c r="B67" s="2605" t="s">
        <v>126</v>
      </c>
      <c r="C67" s="3031">
        <v>25</v>
      </c>
      <c r="D67" s="2611"/>
      <c r="E67" s="2590"/>
      <c r="F67" s="2622" t="s">
        <v>201</v>
      </c>
      <c r="G67" s="2611">
        <v>89</v>
      </c>
      <c r="H67" s="2611">
        <v>89</v>
      </c>
      <c r="I67" s="2612">
        <v>5</v>
      </c>
      <c r="J67" s="2612">
        <v>26</v>
      </c>
      <c r="K67" s="2611"/>
      <c r="L67" s="2590"/>
      <c r="M67" s="3033" t="s">
        <v>110</v>
      </c>
      <c r="N67" s="2596" t="s">
        <v>110</v>
      </c>
      <c r="O67" s="2596" t="s">
        <v>110</v>
      </c>
      <c r="P67" s="2590" t="s">
        <v>110</v>
      </c>
      <c r="Q67" s="2590" t="s">
        <v>110</v>
      </c>
      <c r="R67" s="2590" t="s">
        <v>108</v>
      </c>
      <c r="S67" s="2590" t="s">
        <v>108</v>
      </c>
      <c r="T67" s="2590" t="s">
        <v>35</v>
      </c>
      <c r="U67" s="2608" t="s">
        <v>35</v>
      </c>
      <c r="V67" s="2590" t="s">
        <v>35</v>
      </c>
      <c r="W67" s="2590" t="s">
        <v>201</v>
      </c>
      <c r="X67" s="2596" t="s">
        <v>31</v>
      </c>
      <c r="Y67" s="2590" t="s">
        <v>68</v>
      </c>
      <c r="Z67" s="2590" t="s">
        <v>68</v>
      </c>
      <c r="AA67" s="2590" t="s">
        <v>35</v>
      </c>
      <c r="AB67" s="2590" t="s">
        <v>35</v>
      </c>
      <c r="AC67" s="2596" t="s">
        <v>35</v>
      </c>
      <c r="AD67" s="3034" t="s">
        <v>31</v>
      </c>
      <c r="AE67" s="2590">
        <v>69</v>
      </c>
      <c r="AF67" s="2590">
        <v>89</v>
      </c>
      <c r="AG67" s="2531"/>
      <c r="AH67" s="1"/>
    </row>
    <row r="68" spans="1:34" ht="24" customHeight="1">
      <c r="A68" s="2554"/>
      <c r="B68" s="2605" t="s">
        <v>129</v>
      </c>
      <c r="C68" s="2590">
        <v>1</v>
      </c>
      <c r="D68" s="2594"/>
      <c r="E68" s="2594"/>
      <c r="F68" s="2596">
        <v>3</v>
      </c>
      <c r="G68" s="2596">
        <v>3</v>
      </c>
      <c r="H68" s="2596">
        <v>3</v>
      </c>
      <c r="I68" s="2596">
        <v>3</v>
      </c>
      <c r="J68" s="2596">
        <v>3</v>
      </c>
      <c r="K68" s="2596">
        <v>89</v>
      </c>
      <c r="L68" s="2594"/>
      <c r="M68" s="2594">
        <v>25</v>
      </c>
      <c r="N68" s="2594">
        <v>25</v>
      </c>
      <c r="O68" s="2594">
        <v>25</v>
      </c>
      <c r="P68" s="2594">
        <v>99</v>
      </c>
      <c r="Q68" s="2594">
        <v>25</v>
      </c>
      <c r="R68" s="2594"/>
      <c r="S68" s="2594"/>
      <c r="T68" s="2615" t="s">
        <v>31</v>
      </c>
      <c r="U68" s="3035" t="s">
        <v>31</v>
      </c>
      <c r="V68" s="3035" t="s">
        <v>31</v>
      </c>
      <c r="W68" s="2590" t="s">
        <v>31</v>
      </c>
      <c r="X68" s="2590" t="s">
        <v>31</v>
      </c>
      <c r="Y68" s="2590" t="s">
        <v>45</v>
      </c>
      <c r="Z68" s="2590" t="s">
        <v>45</v>
      </c>
      <c r="AA68" s="2592" t="s">
        <v>31</v>
      </c>
      <c r="AB68" s="2591" t="s">
        <v>31</v>
      </c>
      <c r="AC68" s="3036" t="s">
        <v>31</v>
      </c>
      <c r="AD68" s="3036" t="s">
        <v>31</v>
      </c>
      <c r="AE68" s="3036" t="s">
        <v>31</v>
      </c>
      <c r="AF68" s="3036"/>
      <c r="AG68" s="2610"/>
      <c r="AH68" s="1"/>
    </row>
    <row r="69" spans="1:34" ht="24" customHeight="1">
      <c r="A69" s="2605"/>
      <c r="B69" s="2617" t="s">
        <v>130</v>
      </c>
      <c r="C69" s="2596" t="s">
        <v>31</v>
      </c>
      <c r="D69" s="2590"/>
      <c r="E69" s="2590"/>
      <c r="F69" s="2590" t="s">
        <v>127</v>
      </c>
      <c r="G69" s="2590" t="s">
        <v>127</v>
      </c>
      <c r="H69" s="2590" t="s">
        <v>127</v>
      </c>
      <c r="I69" s="2590" t="s">
        <v>127</v>
      </c>
      <c r="J69" s="2590" t="s">
        <v>127</v>
      </c>
      <c r="K69" s="2619"/>
      <c r="L69" s="2619"/>
      <c r="M69" s="2596" t="s">
        <v>31</v>
      </c>
      <c r="N69" s="2596" t="s">
        <v>31</v>
      </c>
      <c r="O69" s="2596" t="s">
        <v>31</v>
      </c>
      <c r="P69" s="2596" t="s">
        <v>31</v>
      </c>
      <c r="Q69" s="2596" t="s">
        <v>31</v>
      </c>
      <c r="R69" s="2619"/>
      <c r="S69" s="2590"/>
      <c r="T69" s="2608">
        <v>99</v>
      </c>
      <c r="U69" s="2608">
        <v>99</v>
      </c>
      <c r="V69" s="2590">
        <v>99</v>
      </c>
      <c r="W69" s="2590">
        <v>99</v>
      </c>
      <c r="X69" s="2590" t="s">
        <v>35</v>
      </c>
      <c r="Y69" s="2590" t="s">
        <v>45</v>
      </c>
      <c r="Z69" s="2596" t="s">
        <v>45</v>
      </c>
      <c r="AA69" s="2601" t="s">
        <v>127</v>
      </c>
      <c r="AB69" s="2601" t="s">
        <v>127</v>
      </c>
      <c r="AC69" s="2601" t="s">
        <v>127</v>
      </c>
      <c r="AD69" s="2601" t="s">
        <v>127</v>
      </c>
      <c r="AE69" s="2601" t="s">
        <v>127</v>
      </c>
      <c r="AF69" s="2601"/>
      <c r="AG69" s="2604"/>
      <c r="AH69" s="1"/>
    </row>
    <row r="70" spans="1:34" ht="24" customHeight="1">
      <c r="A70" s="2605"/>
      <c r="B70" s="2605" t="s">
        <v>439</v>
      </c>
      <c r="C70" s="2590" t="s">
        <v>201</v>
      </c>
      <c r="D70" s="2590"/>
      <c r="E70" s="2590"/>
      <c r="F70" s="2590">
        <v>26</v>
      </c>
      <c r="G70" s="2590">
        <v>26</v>
      </c>
      <c r="H70" s="2590">
        <v>26</v>
      </c>
      <c r="I70" s="2590">
        <v>26</v>
      </c>
      <c r="J70" s="2590">
        <v>26</v>
      </c>
      <c r="K70" s="2619">
        <v>26</v>
      </c>
      <c r="L70" s="2619">
        <v>26</v>
      </c>
      <c r="M70" s="2619" t="s">
        <v>35</v>
      </c>
      <c r="N70" s="2619" t="s">
        <v>35</v>
      </c>
      <c r="O70" s="2619" t="s">
        <v>35</v>
      </c>
      <c r="P70" s="2619" t="s">
        <v>31</v>
      </c>
      <c r="Q70" s="2619">
        <v>1</v>
      </c>
      <c r="R70" s="2619"/>
      <c r="S70" s="2590"/>
      <c r="T70" s="2601" t="s">
        <v>47</v>
      </c>
      <c r="U70" s="2601">
        <v>3</v>
      </c>
      <c r="V70" s="2601">
        <v>3</v>
      </c>
      <c r="W70" s="2601" t="s">
        <v>47</v>
      </c>
      <c r="X70" s="2601" t="s">
        <v>47</v>
      </c>
      <c r="Y70" s="2601"/>
      <c r="Z70" s="2601"/>
      <c r="AA70" s="3037">
        <v>25</v>
      </c>
      <c r="AB70" s="3037">
        <v>25</v>
      </c>
      <c r="AC70" s="3037">
        <v>25</v>
      </c>
      <c r="AD70" s="3037">
        <v>25</v>
      </c>
      <c r="AE70" s="3037">
        <v>25</v>
      </c>
      <c r="AF70" s="3038"/>
      <c r="AG70" s="2616"/>
      <c r="AH70" s="1"/>
    </row>
    <row r="71" spans="1:34" ht="24" customHeight="1">
      <c r="A71" s="2618"/>
      <c r="B71" s="2620" t="s">
        <v>448</v>
      </c>
      <c r="C71" s="2618">
        <v>69</v>
      </c>
      <c r="D71" s="2618"/>
      <c r="E71" s="2618"/>
      <c r="F71" s="2618">
        <v>79</v>
      </c>
      <c r="G71" s="2618">
        <v>79</v>
      </c>
      <c r="H71" s="2618" t="s">
        <v>31</v>
      </c>
      <c r="I71" s="2624" t="s">
        <v>31</v>
      </c>
      <c r="J71" s="2624" t="s">
        <v>31</v>
      </c>
      <c r="K71" s="2618" t="s">
        <v>45</v>
      </c>
      <c r="L71" s="2618"/>
      <c r="M71" s="2618">
        <v>89</v>
      </c>
      <c r="N71" s="2618">
        <v>89</v>
      </c>
      <c r="O71" s="2618">
        <v>89</v>
      </c>
      <c r="P71" s="2618">
        <v>89</v>
      </c>
      <c r="Q71" s="2618">
        <v>89</v>
      </c>
      <c r="R71" s="2618">
        <v>89</v>
      </c>
      <c r="S71" s="2618"/>
      <c r="T71" s="2618">
        <v>4</v>
      </c>
      <c r="U71" s="2618">
        <v>4</v>
      </c>
      <c r="V71" s="2608">
        <v>4</v>
      </c>
      <c r="W71" s="2618">
        <v>4</v>
      </c>
      <c r="X71" s="2608">
        <v>4</v>
      </c>
      <c r="Y71" s="2618"/>
      <c r="Z71" s="2618" t="s">
        <v>45</v>
      </c>
      <c r="AA71" s="2624" t="s">
        <v>199</v>
      </c>
      <c r="AB71" s="2624" t="s">
        <v>199</v>
      </c>
      <c r="AC71" s="2624" t="s">
        <v>199</v>
      </c>
      <c r="AD71" s="2624" t="s">
        <v>199</v>
      </c>
      <c r="AE71" s="2624">
        <v>89</v>
      </c>
      <c r="AF71" s="2618" t="s">
        <v>45</v>
      </c>
      <c r="AG71" s="2773"/>
      <c r="AH71" s="1"/>
    </row>
    <row r="72" spans="1:34" ht="24" customHeight="1">
      <c r="A72" s="2618"/>
      <c r="B72" s="2623" t="s">
        <v>133</v>
      </c>
      <c r="C72" s="2624">
        <v>26</v>
      </c>
      <c r="D72" s="2618">
        <v>26</v>
      </c>
      <c r="E72" s="2618">
        <v>26</v>
      </c>
      <c r="F72" s="2608" t="s">
        <v>201</v>
      </c>
      <c r="G72" s="2624" t="s">
        <v>35</v>
      </c>
      <c r="H72" s="2624" t="s">
        <v>35</v>
      </c>
      <c r="I72" s="2624">
        <v>89</v>
      </c>
      <c r="J72" s="2624">
        <v>89</v>
      </c>
      <c r="K72" s="2618"/>
      <c r="L72" s="2618"/>
      <c r="M72" s="3039">
        <v>99</v>
      </c>
      <c r="N72" s="3039">
        <v>99</v>
      </c>
      <c r="O72" s="3039">
        <v>99</v>
      </c>
      <c r="P72" s="3039">
        <v>25</v>
      </c>
      <c r="Q72" s="2624">
        <v>4</v>
      </c>
      <c r="R72" s="2618"/>
      <c r="S72" s="2618"/>
      <c r="T72" s="2624" t="s">
        <v>146</v>
      </c>
      <c r="U72" s="2624" t="s">
        <v>146</v>
      </c>
      <c r="V72" s="2624" t="s">
        <v>146</v>
      </c>
      <c r="W72" s="2624" t="s">
        <v>146</v>
      </c>
      <c r="X72" s="2624" t="s">
        <v>146</v>
      </c>
      <c r="Y72" s="2618"/>
      <c r="Z72" s="2618"/>
      <c r="AA72" s="2624">
        <v>69</v>
      </c>
      <c r="AB72" s="2624">
        <v>69</v>
      </c>
      <c r="AC72" s="2624">
        <v>69</v>
      </c>
      <c r="AD72" s="2624">
        <v>69</v>
      </c>
      <c r="AE72" s="2624">
        <v>26</v>
      </c>
      <c r="AF72" s="2618" t="s">
        <v>449</v>
      </c>
      <c r="AG72" s="2773"/>
      <c r="AH72" s="1"/>
    </row>
    <row r="73" spans="1:34" ht="24" customHeight="1">
      <c r="A73" s="2618"/>
      <c r="B73" s="2617"/>
      <c r="C73" s="2618"/>
      <c r="D73" s="2618"/>
      <c r="E73" s="2618"/>
      <c r="F73" s="2618"/>
      <c r="G73" s="2618"/>
      <c r="H73" s="2618"/>
      <c r="I73" s="2618"/>
      <c r="J73" s="2618"/>
      <c r="K73" s="2618"/>
      <c r="L73" s="2618"/>
      <c r="M73" s="2618"/>
      <c r="N73" s="2618"/>
      <c r="O73" s="2618"/>
      <c r="P73" s="2618"/>
      <c r="Q73" s="2618"/>
      <c r="R73" s="2618"/>
      <c r="S73" s="2618"/>
      <c r="T73" s="2618"/>
      <c r="U73" s="2618"/>
      <c r="V73" s="2618"/>
      <c r="W73" s="2618"/>
      <c r="X73" s="2618"/>
      <c r="Y73" s="2618"/>
      <c r="Z73" s="2618"/>
      <c r="AA73" s="2618"/>
      <c r="AB73" s="2618"/>
      <c r="AC73" s="2618"/>
      <c r="AD73" s="2618"/>
      <c r="AE73" s="2618"/>
      <c r="AF73" s="2618"/>
      <c r="AG73" s="2773"/>
      <c r="AH73" s="1"/>
    </row>
    <row r="74" spans="1:34" ht="24" customHeight="1" thickBot="1">
      <c r="A74" s="423"/>
      <c r="B74" s="432"/>
      <c r="C74" s="423"/>
      <c r="D74" s="423"/>
      <c r="E74" s="423"/>
      <c r="F74" s="423"/>
      <c r="G74" s="423"/>
      <c r="H74" s="423"/>
      <c r="I74" s="423"/>
      <c r="J74" s="423"/>
      <c r="K74" s="423"/>
      <c r="L74" s="423"/>
      <c r="M74" s="423"/>
      <c r="N74" s="423"/>
      <c r="O74" s="423"/>
      <c r="P74" s="423"/>
      <c r="Q74" s="423"/>
      <c r="R74" s="423"/>
      <c r="S74" s="423"/>
      <c r="T74" s="423"/>
      <c r="U74" s="423"/>
      <c r="V74" s="423"/>
      <c r="W74" s="423"/>
      <c r="X74" s="423"/>
      <c r="Y74" s="423"/>
      <c r="Z74" s="423"/>
      <c r="AA74" s="423"/>
      <c r="AB74" s="423"/>
      <c r="AC74" s="423"/>
      <c r="AD74" s="423"/>
      <c r="AE74" s="423"/>
      <c r="AF74" s="423"/>
      <c r="AG74" s="43"/>
      <c r="AH74" s="1"/>
    </row>
    <row r="75" spans="1:34" ht="24" customHeight="1" thickBot="1">
      <c r="A75" s="2628"/>
      <c r="B75" s="3040"/>
      <c r="C75" s="2328"/>
      <c r="D75" s="2328"/>
      <c r="E75" s="2328"/>
      <c r="F75" s="2328"/>
      <c r="G75" s="2328"/>
      <c r="H75" s="2328"/>
      <c r="I75" s="2328"/>
      <c r="J75" s="2328"/>
      <c r="K75" s="2328"/>
      <c r="L75" s="2328"/>
      <c r="M75" s="2328"/>
      <c r="N75" s="2328"/>
      <c r="O75" s="2328"/>
      <c r="P75" s="2328"/>
      <c r="Q75" s="2328"/>
      <c r="R75" s="2328"/>
      <c r="S75" s="2328"/>
      <c r="T75" s="2328"/>
      <c r="U75" s="2328"/>
      <c r="V75" s="2328"/>
      <c r="W75" s="2328"/>
      <c r="X75" s="2328"/>
      <c r="Y75" s="2328"/>
      <c r="Z75" s="2328"/>
      <c r="AA75" s="2328"/>
      <c r="AB75" s="2328"/>
      <c r="AC75" s="2328"/>
      <c r="AD75" s="2328"/>
      <c r="AE75" s="2328"/>
      <c r="AF75" s="2328"/>
      <c r="AG75" s="3041"/>
      <c r="AH75" s="1"/>
    </row>
    <row r="76" spans="1:34" ht="24" customHeight="1" thickBot="1">
      <c r="A76" s="2631"/>
      <c r="B76" s="2632" t="s">
        <v>138</v>
      </c>
      <c r="C76" s="2924">
        <v>1</v>
      </c>
      <c r="D76" s="2925">
        <v>2</v>
      </c>
      <c r="E76" s="2925">
        <v>3</v>
      </c>
      <c r="F76" s="2924">
        <v>4</v>
      </c>
      <c r="G76" s="2924">
        <v>5</v>
      </c>
      <c r="H76" s="2924">
        <v>6</v>
      </c>
      <c r="I76" s="2924">
        <v>7</v>
      </c>
      <c r="J76" s="2924">
        <v>8</v>
      </c>
      <c r="K76" s="2925">
        <v>9</v>
      </c>
      <c r="L76" s="2925">
        <v>10</v>
      </c>
      <c r="M76" s="2924">
        <v>11</v>
      </c>
      <c r="N76" s="2924">
        <v>12</v>
      </c>
      <c r="O76" s="2924">
        <v>13</v>
      </c>
      <c r="P76" s="2924">
        <v>14</v>
      </c>
      <c r="Q76" s="2924">
        <v>15</v>
      </c>
      <c r="R76" s="2925">
        <v>16</v>
      </c>
      <c r="S76" s="2925">
        <v>17</v>
      </c>
      <c r="T76" s="2924">
        <v>18</v>
      </c>
      <c r="U76" s="2924">
        <v>19</v>
      </c>
      <c r="V76" s="2924">
        <v>20</v>
      </c>
      <c r="W76" s="2924">
        <v>21</v>
      </c>
      <c r="X76" s="2924">
        <v>22</v>
      </c>
      <c r="Y76" s="2925">
        <v>23</v>
      </c>
      <c r="Z76" s="2925">
        <v>24</v>
      </c>
      <c r="AA76" s="2924">
        <v>25</v>
      </c>
      <c r="AB76" s="2924">
        <v>26</v>
      </c>
      <c r="AC76" s="2924">
        <v>27</v>
      </c>
      <c r="AD76" s="2924">
        <v>28</v>
      </c>
      <c r="AE76" s="2924">
        <v>29</v>
      </c>
      <c r="AF76" s="2925">
        <v>30</v>
      </c>
      <c r="AG76" s="2926"/>
      <c r="AH76" s="1"/>
    </row>
    <row r="77" spans="1:34" ht="24" customHeight="1">
      <c r="A77" s="2636"/>
      <c r="B77" s="2636" t="s">
        <v>135</v>
      </c>
      <c r="C77" s="1839">
        <v>11</v>
      </c>
      <c r="D77" s="3042" t="s">
        <v>0</v>
      </c>
      <c r="E77" s="3043" t="s">
        <v>0</v>
      </c>
      <c r="F77" s="2981" t="s">
        <v>35</v>
      </c>
      <c r="G77" s="2981" t="s">
        <v>35</v>
      </c>
      <c r="H77" s="2981">
        <v>79</v>
      </c>
      <c r="I77" s="2981">
        <v>79</v>
      </c>
      <c r="J77" s="2981">
        <v>79</v>
      </c>
      <c r="K77" s="2981" t="s">
        <v>0</v>
      </c>
      <c r="L77" s="2981" t="s">
        <v>0</v>
      </c>
      <c r="M77" s="2587">
        <v>22</v>
      </c>
      <c r="N77" s="2587">
        <v>22</v>
      </c>
      <c r="O77" s="2587">
        <v>22</v>
      </c>
      <c r="P77" s="2587">
        <v>22</v>
      </c>
      <c r="Q77" s="2587">
        <v>22</v>
      </c>
      <c r="R77" s="2587">
        <v>22</v>
      </c>
      <c r="S77" s="2587">
        <v>22</v>
      </c>
      <c r="T77" s="2590" t="s">
        <v>35</v>
      </c>
      <c r="U77" s="2590" t="s">
        <v>35</v>
      </c>
      <c r="V77" s="2590" t="s">
        <v>35</v>
      </c>
      <c r="W77" s="2590" t="s">
        <v>35</v>
      </c>
      <c r="X77" s="2590" t="s">
        <v>35</v>
      </c>
      <c r="Y77" s="1839" t="s">
        <v>0</v>
      </c>
      <c r="Z77" s="1839"/>
      <c r="AA77" s="1839">
        <v>23</v>
      </c>
      <c r="AB77" s="1839">
        <v>23</v>
      </c>
      <c r="AC77" s="1839">
        <v>23</v>
      </c>
      <c r="AD77" s="1839">
        <v>9</v>
      </c>
      <c r="AE77" s="1839">
        <v>9</v>
      </c>
      <c r="AF77" s="1839">
        <v>23</v>
      </c>
      <c r="AG77" s="1843"/>
      <c r="AH77" s="1"/>
    </row>
    <row r="78" spans="1:34" ht="24" customHeight="1">
      <c r="A78" s="2605"/>
      <c r="B78" s="2605"/>
      <c r="C78" s="2590"/>
      <c r="D78" s="2590"/>
      <c r="E78" s="2590"/>
      <c r="F78" s="2590"/>
      <c r="G78" s="2590"/>
      <c r="H78" s="2590"/>
      <c r="I78" s="2590"/>
      <c r="J78" s="2590"/>
      <c r="K78" s="2619"/>
      <c r="L78" s="2619"/>
      <c r="M78" s="2619"/>
      <c r="N78" s="2619"/>
      <c r="O78" s="2619"/>
      <c r="P78" s="2619"/>
      <c r="Q78" s="2619"/>
      <c r="R78" s="2619"/>
      <c r="S78" s="2590"/>
      <c r="T78" s="2590"/>
      <c r="U78" s="2602"/>
      <c r="V78" s="2602"/>
      <c r="W78" s="2602"/>
      <c r="X78" s="2590"/>
      <c r="Y78" s="2602"/>
      <c r="Z78" s="2602"/>
      <c r="AA78" s="2602"/>
      <c r="AB78" s="2590"/>
      <c r="AC78" s="2590"/>
      <c r="AD78" s="2590"/>
      <c r="AE78" s="2590"/>
      <c r="AF78" s="2590"/>
      <c r="AG78" s="2610"/>
      <c r="AH78" s="1"/>
    </row>
    <row r="79" spans="1:34" ht="24" customHeight="1">
      <c r="A79" s="3044"/>
      <c r="B79" s="2605"/>
      <c r="C79" s="2590"/>
      <c r="D79" s="2590"/>
      <c r="E79" s="2590"/>
      <c r="F79" s="2590"/>
      <c r="G79" s="2590"/>
      <c r="H79" s="2590"/>
      <c r="I79" s="2590"/>
      <c r="J79" s="2590"/>
      <c r="K79" s="2590"/>
      <c r="L79" s="2590"/>
      <c r="M79" s="2590"/>
      <c r="N79" s="2590"/>
      <c r="O79" s="2590"/>
      <c r="P79" s="2590"/>
      <c r="Q79" s="2590"/>
      <c r="R79" s="2590"/>
      <c r="S79" s="2590"/>
      <c r="T79" s="2590"/>
      <c r="U79" s="2590"/>
      <c r="V79" s="2590"/>
      <c r="W79" s="2590"/>
      <c r="X79" s="2590"/>
      <c r="Y79" s="2590"/>
      <c r="Z79" s="2590"/>
      <c r="AA79" s="2590"/>
      <c r="AB79" s="2590"/>
      <c r="AC79" s="2590"/>
      <c r="AD79" s="2590"/>
      <c r="AE79" s="2590"/>
      <c r="AF79" s="2590"/>
      <c r="AG79" s="2604"/>
      <c r="AH79" s="1"/>
    </row>
    <row r="80" spans="1:34" ht="24" customHeight="1" thickBot="1">
      <c r="A80" s="401"/>
      <c r="B80" s="402"/>
      <c r="C80" s="418"/>
      <c r="D80" s="424"/>
      <c r="E80" s="424"/>
      <c r="F80" s="424"/>
      <c r="G80" s="424"/>
      <c r="H80" s="424"/>
      <c r="I80" s="418"/>
      <c r="J80" s="418"/>
      <c r="K80" s="424"/>
      <c r="L80" s="424"/>
      <c r="M80" s="424"/>
      <c r="N80" s="424"/>
      <c r="O80" s="424"/>
      <c r="P80" s="408"/>
      <c r="Q80" s="408"/>
      <c r="R80" s="418"/>
      <c r="S80" s="408"/>
      <c r="T80" s="408"/>
      <c r="U80" s="408"/>
      <c r="V80" s="408"/>
      <c r="W80" s="408"/>
      <c r="X80" s="418"/>
      <c r="Y80" s="408"/>
      <c r="Z80" s="408"/>
      <c r="AA80" s="408"/>
      <c r="AB80" s="408"/>
      <c r="AC80" s="418"/>
      <c r="AD80" s="408"/>
      <c r="AE80" s="408"/>
      <c r="AF80" s="418"/>
      <c r="AG80" s="28"/>
      <c r="AH80" s="1"/>
    </row>
    <row r="81" spans="1:35" ht="24" customHeight="1" thickBot="1">
      <c r="A81" s="44"/>
      <c r="B81" s="45" t="s">
        <v>147</v>
      </c>
      <c r="C81" s="46"/>
      <c r="D81" s="47"/>
      <c r="E81" s="47"/>
      <c r="F81" s="47"/>
      <c r="G81" s="47"/>
      <c r="H81" s="47"/>
      <c r="I81" s="46"/>
      <c r="J81" s="46"/>
      <c r="K81" s="47"/>
      <c r="L81" s="47"/>
      <c r="M81" s="47"/>
      <c r="N81" s="47"/>
      <c r="O81" s="47"/>
      <c r="P81" s="46"/>
      <c r="Q81" s="46"/>
      <c r="R81" s="46"/>
      <c r="S81" s="48"/>
      <c r="T81" s="48"/>
      <c r="U81" s="48"/>
      <c r="V81" s="49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50"/>
      <c r="AH81" s="1"/>
    </row>
    <row r="82" spans="1:35" ht="24" customHeight="1" thickBot="1">
      <c r="A82" s="51"/>
      <c r="B82" s="52" t="s">
        <v>148</v>
      </c>
      <c r="C82" s="132" t="s">
        <v>31</v>
      </c>
      <c r="D82" s="132"/>
      <c r="E82" s="132"/>
      <c r="F82" s="132">
        <v>11</v>
      </c>
      <c r="G82" s="132">
        <v>11</v>
      </c>
      <c r="H82" s="132">
        <v>11</v>
      </c>
      <c r="I82" s="132">
        <v>11</v>
      </c>
      <c r="J82" s="132">
        <v>11</v>
      </c>
      <c r="K82" s="132" t="s">
        <v>68</v>
      </c>
      <c r="L82" s="132" t="s">
        <v>68</v>
      </c>
      <c r="M82" s="132" t="s">
        <v>35</v>
      </c>
      <c r="N82" s="132" t="s">
        <v>35</v>
      </c>
      <c r="O82" s="132" t="s">
        <v>35</v>
      </c>
      <c r="P82" s="132" t="s">
        <v>35</v>
      </c>
      <c r="Q82" s="132" t="s">
        <v>35</v>
      </c>
      <c r="R82" s="132" t="s">
        <v>69</v>
      </c>
      <c r="S82" s="132" t="s">
        <v>69</v>
      </c>
      <c r="T82" s="132">
        <v>8</v>
      </c>
      <c r="U82" s="132">
        <v>8</v>
      </c>
      <c r="V82" s="132">
        <v>8</v>
      </c>
      <c r="W82" s="132">
        <v>8</v>
      </c>
      <c r="X82" s="132">
        <v>8</v>
      </c>
      <c r="Y82" s="132"/>
      <c r="Z82" s="132"/>
      <c r="AA82" s="2981" t="s">
        <v>35</v>
      </c>
      <c r="AB82" s="2981" t="s">
        <v>35</v>
      </c>
      <c r="AC82" s="2981" t="s">
        <v>35</v>
      </c>
      <c r="AD82" s="2981" t="s">
        <v>35</v>
      </c>
      <c r="AE82" s="2981" t="s">
        <v>35</v>
      </c>
      <c r="AF82" s="132"/>
      <c r="AG82" s="53"/>
      <c r="AH82" s="1"/>
    </row>
    <row r="83" spans="1:35" ht="24" customHeight="1">
      <c r="A83" s="37" t="s">
        <v>149</v>
      </c>
      <c r="AH83" s="1"/>
    </row>
    <row r="84" spans="1:35" ht="24" customHeight="1" thickBot="1">
      <c r="A84" s="3025"/>
      <c r="B84" s="2978" t="s">
        <v>29</v>
      </c>
      <c r="C84" s="2924">
        <v>1</v>
      </c>
      <c r="D84" s="2925">
        <v>2</v>
      </c>
      <c r="E84" s="2925">
        <v>3</v>
      </c>
      <c r="F84" s="2924">
        <v>4</v>
      </c>
      <c r="G84" s="2924">
        <v>5</v>
      </c>
      <c r="H84" s="2924">
        <v>6</v>
      </c>
      <c r="I84" s="2924">
        <v>7</v>
      </c>
      <c r="J84" s="2924">
        <v>8</v>
      </c>
      <c r="K84" s="2925">
        <v>9</v>
      </c>
      <c r="L84" s="2925">
        <v>10</v>
      </c>
      <c r="M84" s="2924">
        <v>11</v>
      </c>
      <c r="N84" s="2924">
        <v>12</v>
      </c>
      <c r="O84" s="2924">
        <v>13</v>
      </c>
      <c r="P84" s="2924">
        <v>14</v>
      </c>
      <c r="Q84" s="2924">
        <v>15</v>
      </c>
      <c r="R84" s="2925">
        <v>16</v>
      </c>
      <c r="S84" s="2925">
        <v>17</v>
      </c>
      <c r="T84" s="2924">
        <v>18</v>
      </c>
      <c r="U84" s="2924">
        <v>19</v>
      </c>
      <c r="V84" s="2924">
        <v>20</v>
      </c>
      <c r="W84" s="2924">
        <v>21</v>
      </c>
      <c r="X84" s="2924">
        <v>22</v>
      </c>
      <c r="Y84" s="2925">
        <v>23</v>
      </c>
      <c r="Z84" s="2925">
        <v>24</v>
      </c>
      <c r="AA84" s="2924">
        <v>25</v>
      </c>
      <c r="AB84" s="2924">
        <v>26</v>
      </c>
      <c r="AC84" s="2924">
        <v>27</v>
      </c>
      <c r="AD84" s="2924">
        <v>28</v>
      </c>
      <c r="AE84" s="2924">
        <v>29</v>
      </c>
      <c r="AF84" s="2925">
        <v>30</v>
      </c>
      <c r="AG84" s="2926"/>
      <c r="AH84" s="1"/>
    </row>
    <row r="85" spans="1:35" ht="24" customHeight="1">
      <c r="A85" s="2644"/>
      <c r="B85" s="2645" t="s">
        <v>150</v>
      </c>
      <c r="C85" s="1816"/>
      <c r="D85" s="2646"/>
      <c r="E85" s="1816"/>
      <c r="F85" s="1816"/>
      <c r="G85" s="1816"/>
      <c r="H85" s="1816"/>
      <c r="I85" s="1816"/>
      <c r="J85" s="1816"/>
      <c r="K85" s="1816"/>
      <c r="L85" s="1816"/>
      <c r="M85" s="1816"/>
      <c r="N85" s="1816"/>
      <c r="O85" s="1816"/>
      <c r="P85" s="1816"/>
      <c r="Q85" s="1816"/>
      <c r="R85" s="1816"/>
      <c r="S85" s="1816"/>
      <c r="T85" s="1816"/>
      <c r="U85" s="1816"/>
      <c r="V85" s="1816"/>
      <c r="W85" s="1816"/>
      <c r="X85" s="1816"/>
      <c r="Y85" s="1816"/>
      <c r="Z85" s="1816"/>
      <c r="AA85" s="1816"/>
      <c r="AB85" s="1816"/>
      <c r="AC85" s="1816"/>
      <c r="AD85" s="1816"/>
      <c r="AE85" s="1816"/>
      <c r="AF85" s="1816"/>
      <c r="AG85" s="1819"/>
      <c r="AH85" s="1"/>
    </row>
    <row r="86" spans="1:35" ht="24" customHeight="1">
      <c r="A86" s="3045">
        <v>2</v>
      </c>
      <c r="B86" s="3046" t="s">
        <v>418</v>
      </c>
      <c r="C86" s="3047">
        <v>3</v>
      </c>
      <c r="D86" s="3047"/>
      <c r="E86" s="3047"/>
      <c r="F86" s="3048">
        <v>25</v>
      </c>
      <c r="G86" s="3048">
        <v>25</v>
      </c>
      <c r="H86" s="3048">
        <v>25</v>
      </c>
      <c r="I86" s="3048">
        <v>25</v>
      </c>
      <c r="J86" s="3048">
        <v>25</v>
      </c>
      <c r="K86" s="3048"/>
      <c r="L86" s="3048"/>
      <c r="M86" s="3048" t="s">
        <v>35</v>
      </c>
      <c r="N86" s="3048">
        <v>11</v>
      </c>
      <c r="O86" s="3048">
        <v>11</v>
      </c>
      <c r="P86" s="3048">
        <v>11</v>
      </c>
      <c r="Q86" s="3048" t="s">
        <v>450</v>
      </c>
      <c r="R86" s="3049"/>
      <c r="S86" s="3049"/>
      <c r="T86" s="3049" t="s">
        <v>119</v>
      </c>
      <c r="U86" s="3049" t="s">
        <v>119</v>
      </c>
      <c r="V86" s="3049" t="s">
        <v>119</v>
      </c>
      <c r="W86" s="3047" t="s">
        <v>119</v>
      </c>
      <c r="X86" s="3047" t="s">
        <v>119</v>
      </c>
      <c r="Y86" s="3049"/>
      <c r="Z86" s="3049"/>
      <c r="AA86" s="3049">
        <v>99</v>
      </c>
      <c r="AB86" s="3049">
        <v>99</v>
      </c>
      <c r="AC86" s="3049">
        <v>99</v>
      </c>
      <c r="AD86" s="3047">
        <v>99</v>
      </c>
      <c r="AE86" s="3047" t="s">
        <v>35</v>
      </c>
      <c r="AF86" s="3050"/>
      <c r="AG86" s="3051"/>
      <c r="AH86" s="1"/>
    </row>
    <row r="87" spans="1:35" ht="24" customHeight="1">
      <c r="A87" s="3045">
        <v>3</v>
      </c>
      <c r="B87" s="3052"/>
      <c r="C87" s="3053"/>
      <c r="D87" s="3053"/>
      <c r="E87" s="3053"/>
      <c r="F87" s="3053"/>
      <c r="G87" s="3053"/>
      <c r="H87" s="3053"/>
      <c r="I87" s="3053"/>
      <c r="J87" s="3053"/>
      <c r="K87" s="3053"/>
      <c r="L87" s="3053"/>
      <c r="M87" s="3053"/>
      <c r="N87" s="3053"/>
      <c r="O87" s="3053"/>
      <c r="P87" s="3053"/>
      <c r="Q87" s="3053"/>
      <c r="R87" s="3053"/>
      <c r="S87" s="3053"/>
      <c r="T87" s="3053"/>
      <c r="U87" s="3053"/>
      <c r="V87" s="3053"/>
      <c r="W87" s="3053"/>
      <c r="X87" s="3053"/>
      <c r="Y87" s="3053"/>
      <c r="Z87" s="3053"/>
      <c r="AA87" s="3053"/>
      <c r="AB87" s="3053"/>
      <c r="AC87" s="3053"/>
      <c r="AD87" s="3053"/>
      <c r="AE87" s="3053"/>
      <c r="AF87" s="3054"/>
      <c r="AG87" s="2983"/>
      <c r="AH87" s="1"/>
    </row>
    <row r="88" spans="1:35" ht="24" customHeight="1" thickBot="1">
      <c r="A88" s="3045">
        <v>4</v>
      </c>
      <c r="B88" s="2985" t="s">
        <v>451</v>
      </c>
      <c r="C88" s="3055"/>
      <c r="D88" s="3055"/>
      <c r="E88" s="3055"/>
      <c r="F88" s="3055" t="s">
        <v>107</v>
      </c>
      <c r="G88" s="3055" t="s">
        <v>107</v>
      </c>
      <c r="H88" s="3055" t="s">
        <v>107</v>
      </c>
      <c r="I88" s="3055" t="s">
        <v>107</v>
      </c>
      <c r="J88" s="3055" t="s">
        <v>107</v>
      </c>
      <c r="K88" s="3055"/>
      <c r="L88" s="3055"/>
      <c r="M88" s="3055"/>
      <c r="N88" s="3055"/>
      <c r="O88" s="3055"/>
      <c r="P88" s="3055"/>
      <c r="Q88" s="3055"/>
      <c r="R88" s="3056"/>
      <c r="S88" s="3056"/>
      <c r="T88" s="3056"/>
      <c r="U88" s="3055"/>
      <c r="V88" s="3055"/>
      <c r="W88" s="3055"/>
      <c r="X88" s="3055"/>
      <c r="Y88" s="3055"/>
      <c r="Z88" s="3055"/>
      <c r="AA88" s="3055"/>
      <c r="AB88" s="3055"/>
      <c r="AC88" s="3055"/>
      <c r="AD88" s="3055"/>
      <c r="AE88" s="3055"/>
      <c r="AF88" s="2924"/>
      <c r="AG88" s="2926"/>
      <c r="AH88" s="1"/>
    </row>
    <row r="89" spans="1:35" ht="24" customHeight="1">
      <c r="A89" s="54"/>
      <c r="B89" s="55"/>
      <c r="C89" s="30"/>
      <c r="D89" s="30"/>
      <c r="E89" s="30"/>
      <c r="F89" s="30"/>
      <c r="G89" s="30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56"/>
      <c r="S89" s="56"/>
      <c r="T89" s="56"/>
      <c r="U89" s="30"/>
      <c r="V89" s="30"/>
      <c r="W89" s="30"/>
      <c r="X89" s="30"/>
      <c r="Y89" s="30"/>
      <c r="Z89" s="30"/>
      <c r="AA89" s="30"/>
      <c r="AB89" s="30"/>
      <c r="AC89" s="30"/>
      <c r="AD89" s="30"/>
      <c r="AE89" s="30"/>
      <c r="AF89" s="30"/>
      <c r="AG89" s="30"/>
      <c r="AH89" s="1"/>
    </row>
    <row r="90" spans="1:35" ht="24" customHeight="1" thickBot="1">
      <c r="A90" s="57" t="s">
        <v>154</v>
      </c>
      <c r="B90" s="58"/>
      <c r="C90" s="58"/>
      <c r="D90" s="58"/>
      <c r="E90" s="58"/>
      <c r="F90" s="58"/>
      <c r="G90" s="59"/>
      <c r="H90" s="58"/>
      <c r="I90" s="58"/>
      <c r="J90" s="58"/>
      <c r="K90" s="58"/>
      <c r="L90" s="58"/>
      <c r="M90" s="58"/>
      <c r="N90" s="58"/>
      <c r="O90" s="58"/>
      <c r="P90" s="58"/>
      <c r="Q90" s="58"/>
      <c r="R90" s="58"/>
      <c r="S90" s="58"/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8"/>
      <c r="AI90" s="58"/>
    </row>
    <row r="91" spans="1:35" ht="24" customHeight="1" thickBot="1">
      <c r="A91" s="60"/>
      <c r="B91" s="836" t="s">
        <v>155</v>
      </c>
      <c r="C91" s="837"/>
      <c r="D91" s="838" t="s">
        <v>87</v>
      </c>
      <c r="E91" s="839"/>
      <c r="F91" s="840"/>
      <c r="G91" s="837"/>
      <c r="H91" s="838" t="s">
        <v>88</v>
      </c>
      <c r="I91" s="839"/>
      <c r="J91" s="840"/>
      <c r="K91" s="837"/>
      <c r="L91" s="838" t="s">
        <v>89</v>
      </c>
      <c r="M91" s="839"/>
      <c r="N91" s="840"/>
      <c r="O91" s="837"/>
      <c r="P91" s="838" t="s">
        <v>90</v>
      </c>
      <c r="Q91" s="839"/>
      <c r="R91" s="840"/>
      <c r="S91" s="841" t="s">
        <v>156</v>
      </c>
      <c r="T91" s="838"/>
      <c r="U91" s="839"/>
      <c r="V91" s="840"/>
      <c r="W91" s="837" t="s">
        <v>108</v>
      </c>
      <c r="X91" s="838" t="s">
        <v>157</v>
      </c>
      <c r="Y91" s="839"/>
      <c r="Z91" s="840"/>
      <c r="AA91" s="837" t="s">
        <v>108</v>
      </c>
      <c r="AB91" s="838" t="s">
        <v>93</v>
      </c>
      <c r="AC91" s="839"/>
      <c r="AD91" s="839"/>
      <c r="AE91" s="842" t="s">
        <v>158</v>
      </c>
      <c r="AF91" s="839"/>
      <c r="AG91" s="839"/>
      <c r="AH91" s="839"/>
      <c r="AI91" s="843"/>
    </row>
    <row r="92" spans="1:35" ht="24" customHeight="1">
      <c r="A92" s="60"/>
      <c r="B92" s="2655" t="s">
        <v>159</v>
      </c>
      <c r="C92" s="845" t="s">
        <v>160</v>
      </c>
      <c r="D92" s="839"/>
      <c r="E92" s="846"/>
      <c r="F92" s="847"/>
      <c r="G92" s="845" t="s">
        <v>160</v>
      </c>
      <c r="H92" s="846"/>
      <c r="I92" s="846"/>
      <c r="J92" s="847"/>
      <c r="K92" s="848" t="s">
        <v>160</v>
      </c>
      <c r="L92" s="839"/>
      <c r="M92" s="839"/>
      <c r="N92" s="849"/>
      <c r="O92" s="848" t="s">
        <v>161</v>
      </c>
      <c r="P92" s="839"/>
      <c r="Q92" s="846"/>
      <c r="R92" s="847"/>
      <c r="S92" s="845" t="s">
        <v>162</v>
      </c>
      <c r="T92" s="846"/>
      <c r="U92" s="846"/>
      <c r="V92" s="850"/>
      <c r="W92" s="2656"/>
      <c r="X92" s="2657"/>
      <c r="Y92" s="2657"/>
      <c r="Z92" s="2658"/>
      <c r="AA92" s="850"/>
      <c r="AB92" s="846"/>
      <c r="AC92" s="846"/>
      <c r="AD92" s="850"/>
      <c r="AE92" s="854">
        <v>37</v>
      </c>
      <c r="AF92" s="839"/>
      <c r="AG92" s="846"/>
      <c r="AH92" s="850"/>
      <c r="AI92" s="855"/>
    </row>
    <row r="93" spans="1:35" ht="24" customHeight="1">
      <c r="A93" s="60"/>
      <c r="B93" s="3057" t="s">
        <v>163</v>
      </c>
      <c r="C93" s="3058" t="s">
        <v>156</v>
      </c>
      <c r="D93" s="3059"/>
      <c r="E93" s="3059"/>
      <c r="F93" s="3060"/>
      <c r="G93" s="3058" t="s">
        <v>164</v>
      </c>
      <c r="H93" s="3059"/>
      <c r="I93" s="3059"/>
      <c r="J93" s="3060"/>
      <c r="K93" s="3058" t="s">
        <v>165</v>
      </c>
      <c r="L93" s="3061" t="s">
        <v>166</v>
      </c>
      <c r="M93" s="3059"/>
      <c r="N93" s="3060"/>
      <c r="O93" s="3058" t="s">
        <v>165</v>
      </c>
      <c r="P93" s="3061" t="s">
        <v>166</v>
      </c>
      <c r="Q93" s="3059"/>
      <c r="R93" s="3060"/>
      <c r="S93" s="3058" t="s">
        <v>164</v>
      </c>
      <c r="T93" s="3061" t="s">
        <v>167</v>
      </c>
      <c r="U93" s="3059"/>
      <c r="V93" s="3060"/>
      <c r="W93" s="61" t="s">
        <v>168</v>
      </c>
      <c r="X93" s="62" t="s">
        <v>169</v>
      </c>
      <c r="Y93" s="63"/>
      <c r="Z93" s="63"/>
      <c r="AA93" s="3058" t="s">
        <v>170</v>
      </c>
      <c r="AB93" s="3062" t="s">
        <v>157</v>
      </c>
      <c r="AC93" s="3058"/>
      <c r="AD93" s="3058"/>
      <c r="AE93" s="3063">
        <v>68</v>
      </c>
      <c r="AF93" s="3059"/>
      <c r="AG93" s="3064"/>
      <c r="AH93" s="3065"/>
      <c r="AI93" s="3066"/>
    </row>
    <row r="94" spans="1:35" ht="24" customHeight="1">
      <c r="A94" s="60"/>
      <c r="B94" s="3057" t="s">
        <v>171</v>
      </c>
      <c r="C94" s="3067" t="s">
        <v>172</v>
      </c>
      <c r="D94" s="3059"/>
      <c r="E94" s="3059"/>
      <c r="F94" s="3060"/>
      <c r="G94" s="3059" t="s">
        <v>172</v>
      </c>
      <c r="H94" s="3059"/>
      <c r="I94" s="3059"/>
      <c r="J94" s="3060"/>
      <c r="K94" s="3059" t="s">
        <v>172</v>
      </c>
      <c r="L94" s="3059"/>
      <c r="M94" s="3059"/>
      <c r="N94" s="3060"/>
      <c r="O94" s="3059" t="s">
        <v>172</v>
      </c>
      <c r="P94" s="3059"/>
      <c r="Q94" s="3059"/>
      <c r="R94" s="3060"/>
      <c r="S94" s="3059" t="s">
        <v>172</v>
      </c>
      <c r="T94" s="3059"/>
      <c r="U94" s="3059"/>
      <c r="V94" s="3060"/>
      <c r="W94" s="3058"/>
      <c r="X94" s="3059"/>
      <c r="Y94" s="3059"/>
      <c r="Z94" s="3060"/>
      <c r="AA94" s="3058"/>
      <c r="AB94" s="3059"/>
      <c r="AC94" s="3059"/>
      <c r="AD94" s="3061"/>
      <c r="AE94" s="3063">
        <v>0</v>
      </c>
      <c r="AF94" s="3064"/>
      <c r="AG94" s="3059"/>
      <c r="AH94" s="3061"/>
      <c r="AI94" s="3068"/>
    </row>
    <row r="95" spans="1:35" ht="24" customHeight="1" thickBot="1">
      <c r="A95" s="60"/>
      <c r="B95" s="3069" t="s">
        <v>173</v>
      </c>
      <c r="C95" s="64"/>
      <c r="D95" s="65" t="s">
        <v>174</v>
      </c>
      <c r="E95" s="64"/>
      <c r="F95" s="64"/>
      <c r="G95" s="3070" t="s">
        <v>175</v>
      </c>
      <c r="H95" s="2661"/>
      <c r="I95" s="3071"/>
      <c r="J95" s="3072"/>
      <c r="K95" s="3070" t="s">
        <v>174</v>
      </c>
      <c r="L95" s="2661"/>
      <c r="M95" s="3071"/>
      <c r="N95" s="3072"/>
      <c r="O95" s="3070" t="s">
        <v>174</v>
      </c>
      <c r="P95" s="2661"/>
      <c r="Q95" s="3071"/>
      <c r="R95" s="3072"/>
      <c r="S95" s="3070" t="s">
        <v>174</v>
      </c>
      <c r="T95" s="2661"/>
      <c r="U95" s="3071"/>
      <c r="V95" s="3072"/>
      <c r="W95" s="3073"/>
      <c r="X95" s="3071"/>
      <c r="Y95" s="3071"/>
      <c r="Z95" s="3074"/>
      <c r="AA95" s="3075"/>
      <c r="AB95" s="3071"/>
      <c r="AC95" s="3071"/>
      <c r="AD95" s="3075"/>
      <c r="AE95" s="3076">
        <v>37</v>
      </c>
      <c r="AF95" s="3071"/>
      <c r="AG95" s="3071"/>
      <c r="AH95" s="3075"/>
      <c r="AI95" s="3077"/>
    </row>
    <row r="96" spans="1:35" ht="24" customHeight="1">
      <c r="A96" s="66"/>
      <c r="B96" s="60"/>
      <c r="C96" s="58"/>
      <c r="D96" s="63"/>
      <c r="E96" s="58"/>
      <c r="F96" s="58"/>
      <c r="G96" s="58"/>
      <c r="H96" s="58"/>
      <c r="I96" s="58"/>
      <c r="J96" s="58"/>
      <c r="K96" s="58"/>
      <c r="L96" s="58"/>
      <c r="M96" s="58"/>
      <c r="N96" s="58"/>
      <c r="O96" s="58"/>
      <c r="P96" s="58"/>
      <c r="Q96" s="58"/>
      <c r="R96" s="58"/>
      <c r="S96" s="58"/>
      <c r="T96" s="58"/>
      <c r="U96" s="58"/>
      <c r="V96" s="58"/>
      <c r="W96" s="58"/>
      <c r="X96" s="58"/>
      <c r="Y96" s="58"/>
      <c r="Z96" s="58"/>
      <c r="AA96" s="58"/>
      <c r="AB96" s="58"/>
      <c r="AC96" s="58"/>
      <c r="AD96" s="58"/>
      <c r="AE96" s="58"/>
      <c r="AF96" s="58"/>
      <c r="AG96" s="58"/>
      <c r="AH96" s="58"/>
      <c r="AI96" s="58"/>
    </row>
    <row r="97" spans="1:35" ht="24" customHeight="1" thickBot="1">
      <c r="A97" s="3078"/>
      <c r="B97" s="3079" t="s">
        <v>29</v>
      </c>
      <c r="C97" s="2924">
        <v>1</v>
      </c>
      <c r="D97" s="2925">
        <v>2</v>
      </c>
      <c r="E97" s="2925">
        <v>3</v>
      </c>
      <c r="F97" s="2924">
        <v>4</v>
      </c>
      <c r="G97" s="2924">
        <v>5</v>
      </c>
      <c r="H97" s="2924">
        <v>6</v>
      </c>
      <c r="I97" s="2924">
        <v>7</v>
      </c>
      <c r="J97" s="2924">
        <v>8</v>
      </c>
      <c r="K97" s="2925">
        <v>9</v>
      </c>
      <c r="L97" s="2925">
        <v>10</v>
      </c>
      <c r="M97" s="2924">
        <v>11</v>
      </c>
      <c r="N97" s="2924">
        <v>12</v>
      </c>
      <c r="O97" s="2924">
        <v>13</v>
      </c>
      <c r="P97" s="2924">
        <v>14</v>
      </c>
      <c r="Q97" s="2924">
        <v>15</v>
      </c>
      <c r="R97" s="2925">
        <v>16</v>
      </c>
      <c r="S97" s="2925">
        <v>17</v>
      </c>
      <c r="T97" s="2924">
        <v>18</v>
      </c>
      <c r="U97" s="2924">
        <v>19</v>
      </c>
      <c r="V97" s="2924">
        <v>20</v>
      </c>
      <c r="W97" s="2924">
        <v>21</v>
      </c>
      <c r="X97" s="2924">
        <v>22</v>
      </c>
      <c r="Y97" s="2925">
        <v>23</v>
      </c>
      <c r="Z97" s="2925">
        <v>24</v>
      </c>
      <c r="AA97" s="2924">
        <v>25</v>
      </c>
      <c r="AB97" s="2924">
        <v>26</v>
      </c>
      <c r="AC97" s="2924">
        <v>27</v>
      </c>
      <c r="AD97" s="2924">
        <v>28</v>
      </c>
      <c r="AE97" s="2924">
        <v>29</v>
      </c>
      <c r="AF97" s="2925">
        <v>30</v>
      </c>
      <c r="AG97" s="2926"/>
      <c r="AH97" s="67"/>
      <c r="AI97" s="68"/>
    </row>
    <row r="98" spans="1:35" ht="24" customHeight="1" thickBot="1">
      <c r="A98" s="2671">
        <v>1</v>
      </c>
      <c r="B98" s="2549"/>
      <c r="C98" s="2672" t="s">
        <v>31</v>
      </c>
      <c r="D98" s="2672"/>
      <c r="E98" s="2672"/>
      <c r="F98" s="3080" t="s">
        <v>127</v>
      </c>
      <c r="G98" s="3080" t="s">
        <v>127</v>
      </c>
      <c r="H98" s="3080" t="s">
        <v>127</v>
      </c>
      <c r="I98" s="3080" t="s">
        <v>127</v>
      </c>
      <c r="J98" s="3080" t="s">
        <v>127</v>
      </c>
      <c r="K98" s="2672"/>
      <c r="L98" s="2672"/>
      <c r="M98" s="2672" t="s">
        <v>110</v>
      </c>
      <c r="N98" s="2672" t="s">
        <v>110</v>
      </c>
      <c r="O98" s="2672" t="s">
        <v>110</v>
      </c>
      <c r="P98" s="2673" t="s">
        <v>110</v>
      </c>
      <c r="Q98" s="2672" t="s">
        <v>110</v>
      </c>
      <c r="R98" s="2672" t="s">
        <v>108</v>
      </c>
      <c r="S98" s="2672" t="s">
        <v>108</v>
      </c>
      <c r="T98" s="2672" t="s">
        <v>35</v>
      </c>
      <c r="U98" s="2672" t="s">
        <v>35</v>
      </c>
      <c r="V98" s="2672" t="s">
        <v>35</v>
      </c>
      <c r="W98" s="2672" t="s">
        <v>35</v>
      </c>
      <c r="X98" s="2674" t="s">
        <v>35</v>
      </c>
      <c r="Y98" s="2674"/>
      <c r="Z98" s="2674"/>
      <c r="AA98" s="2674" t="s">
        <v>176</v>
      </c>
      <c r="AB98" s="2672" t="s">
        <v>176</v>
      </c>
      <c r="AC98" s="2672" t="s">
        <v>176</v>
      </c>
      <c r="AD98" s="2672" t="s">
        <v>176</v>
      </c>
      <c r="AE98" s="2672" t="s">
        <v>176</v>
      </c>
      <c r="AF98" s="2672"/>
      <c r="AG98" s="2675"/>
      <c r="AH98" s="69"/>
      <c r="AI98" s="70"/>
    </row>
    <row r="99" spans="1:35" ht="24" customHeight="1">
      <c r="A99" s="3081">
        <v>2</v>
      </c>
      <c r="B99" s="2941" t="s">
        <v>177</v>
      </c>
      <c r="C99" s="3082" t="s">
        <v>35</v>
      </c>
      <c r="D99" s="3082"/>
      <c r="E99" s="3082"/>
      <c r="F99" s="3082" t="s">
        <v>176</v>
      </c>
      <c r="G99" s="3082" t="s">
        <v>176</v>
      </c>
      <c r="H99" s="3082" t="s">
        <v>176</v>
      </c>
      <c r="I99" s="3082" t="s">
        <v>261</v>
      </c>
      <c r="J99" s="3082" t="s">
        <v>261</v>
      </c>
      <c r="K99" s="3083"/>
      <c r="L99" s="3084"/>
      <c r="M99" s="3080" t="s">
        <v>127</v>
      </c>
      <c r="N99" s="3080" t="s">
        <v>127</v>
      </c>
      <c r="O99" s="3080" t="s">
        <v>127</v>
      </c>
      <c r="P99" s="3080" t="s">
        <v>127</v>
      </c>
      <c r="Q99" s="3080" t="s">
        <v>127</v>
      </c>
      <c r="R99" s="3084"/>
      <c r="S99" s="3084"/>
      <c r="T99" s="3084" t="s">
        <v>110</v>
      </c>
      <c r="U99" s="3085" t="s">
        <v>110</v>
      </c>
      <c r="V99" s="3084" t="s">
        <v>110</v>
      </c>
      <c r="W99" s="3086" t="s">
        <v>110</v>
      </c>
      <c r="X99" s="3084" t="s">
        <v>110</v>
      </c>
      <c r="Y99" s="3087" t="s">
        <v>108</v>
      </c>
      <c r="Z99" s="3087" t="s">
        <v>108</v>
      </c>
      <c r="AA99" s="3039" t="s">
        <v>35</v>
      </c>
      <c r="AB99" s="3039" t="s">
        <v>35</v>
      </c>
      <c r="AC99" s="3039" t="s">
        <v>35</v>
      </c>
      <c r="AD99" s="3039" t="s">
        <v>35</v>
      </c>
      <c r="AE99" s="3039" t="s">
        <v>35</v>
      </c>
      <c r="AF99" s="3039"/>
      <c r="AG99" s="3088"/>
      <c r="AH99" s="69"/>
      <c r="AI99" s="70"/>
    </row>
    <row r="100" spans="1:35" ht="24" customHeight="1">
      <c r="A100" s="3081">
        <v>3</v>
      </c>
      <c r="B100" s="3089" t="s">
        <v>178</v>
      </c>
      <c r="C100" s="3084" t="s">
        <v>110</v>
      </c>
      <c r="D100" s="3090" t="s">
        <v>108</v>
      </c>
      <c r="E100" s="3091" t="s">
        <v>108</v>
      </c>
      <c r="F100" s="2992" t="s">
        <v>35</v>
      </c>
      <c r="G100" s="3092" t="s">
        <v>35</v>
      </c>
      <c r="H100" s="3093" t="s">
        <v>35</v>
      </c>
      <c r="I100" s="3093" t="s">
        <v>35</v>
      </c>
      <c r="J100" s="3082" t="s">
        <v>35</v>
      </c>
      <c r="K100" s="3082"/>
      <c r="L100" s="3082"/>
      <c r="M100" s="3082" t="s">
        <v>176</v>
      </c>
      <c r="N100" s="2990" t="s">
        <v>176</v>
      </c>
      <c r="O100" s="2990" t="s">
        <v>176</v>
      </c>
      <c r="P100" s="2990" t="s">
        <v>452</v>
      </c>
      <c r="Q100" s="3094" t="s">
        <v>176</v>
      </c>
      <c r="R100" s="2990"/>
      <c r="S100" s="3085"/>
      <c r="T100" s="3095" t="s">
        <v>127</v>
      </c>
      <c r="U100" s="3096" t="s">
        <v>127</v>
      </c>
      <c r="V100" s="3096" t="s">
        <v>127</v>
      </c>
      <c r="W100" s="3096" t="s">
        <v>127</v>
      </c>
      <c r="X100" s="3096" t="s">
        <v>127</v>
      </c>
      <c r="Y100" s="2990"/>
      <c r="Z100" s="3085"/>
      <c r="AA100" s="2992" t="s">
        <v>110</v>
      </c>
      <c r="AB100" s="3085" t="s">
        <v>110</v>
      </c>
      <c r="AC100" s="3097" t="s">
        <v>110</v>
      </c>
      <c r="AD100" s="3086" t="s">
        <v>110</v>
      </c>
      <c r="AE100" s="3084" t="s">
        <v>110</v>
      </c>
      <c r="AF100" s="3084" t="s">
        <v>108</v>
      </c>
      <c r="AG100" s="3098"/>
      <c r="AH100" s="69"/>
      <c r="AI100" s="70"/>
    </row>
    <row r="101" spans="1:35" ht="24" customHeight="1" thickBot="1">
      <c r="A101" s="3099">
        <v>4</v>
      </c>
      <c r="B101" s="3100"/>
      <c r="C101" s="3101" t="s">
        <v>176</v>
      </c>
      <c r="D101" s="3101" t="s">
        <v>0</v>
      </c>
      <c r="E101" s="3101" t="s">
        <v>0</v>
      </c>
      <c r="F101" s="3101" t="s">
        <v>110</v>
      </c>
      <c r="G101" s="3101" t="s">
        <v>110</v>
      </c>
      <c r="H101" s="3101" t="s">
        <v>110</v>
      </c>
      <c r="I101" s="3101" t="s">
        <v>110</v>
      </c>
      <c r="J101" s="3101" t="s">
        <v>110</v>
      </c>
      <c r="K101" s="3101" t="s">
        <v>108</v>
      </c>
      <c r="L101" s="3101" t="s">
        <v>108</v>
      </c>
      <c r="M101" s="3101" t="s">
        <v>35</v>
      </c>
      <c r="N101" s="3101" t="s">
        <v>35</v>
      </c>
      <c r="O101" s="3101" t="s">
        <v>35</v>
      </c>
      <c r="P101" s="3101" t="s">
        <v>35</v>
      </c>
      <c r="Q101" s="3101" t="s">
        <v>35</v>
      </c>
      <c r="R101" s="3101"/>
      <c r="S101" s="3101"/>
      <c r="T101" s="3101" t="s">
        <v>176</v>
      </c>
      <c r="U101" s="3101" t="s">
        <v>176</v>
      </c>
      <c r="V101" s="3101" t="s">
        <v>176</v>
      </c>
      <c r="W101" s="3101" t="s">
        <v>176</v>
      </c>
      <c r="X101" s="3101" t="s">
        <v>176</v>
      </c>
      <c r="Y101" s="3101"/>
      <c r="Z101" s="3101"/>
      <c r="AA101" s="3096" t="s">
        <v>127</v>
      </c>
      <c r="AB101" s="3096" t="s">
        <v>127</v>
      </c>
      <c r="AC101" s="3096" t="s">
        <v>127</v>
      </c>
      <c r="AD101" s="3096" t="s">
        <v>127</v>
      </c>
      <c r="AE101" s="3096" t="s">
        <v>127</v>
      </c>
      <c r="AF101" s="3101" t="s">
        <v>0</v>
      </c>
      <c r="AG101" s="3102"/>
      <c r="AH101" s="69"/>
      <c r="AI101" s="70"/>
    </row>
    <row r="102" spans="1:35" ht="24" customHeight="1" thickBot="1">
      <c r="A102" s="71"/>
      <c r="B102" s="72"/>
      <c r="C102" s="73"/>
      <c r="D102" s="73"/>
      <c r="E102" s="73"/>
      <c r="F102" s="73"/>
      <c r="G102" s="73"/>
      <c r="H102" s="73"/>
      <c r="I102" s="73"/>
      <c r="J102" s="73"/>
      <c r="K102" s="73"/>
      <c r="L102" s="73"/>
      <c r="M102" s="73"/>
      <c r="N102" s="73"/>
      <c r="O102" s="73"/>
      <c r="P102" s="73"/>
      <c r="Q102" s="73"/>
      <c r="R102" s="73"/>
      <c r="S102" s="73"/>
      <c r="T102" s="73"/>
      <c r="U102" s="73"/>
      <c r="V102" s="73"/>
      <c r="W102" s="73"/>
      <c r="X102" s="73"/>
      <c r="Y102" s="73"/>
      <c r="Z102" s="73"/>
      <c r="AA102" s="73"/>
      <c r="AB102" s="73"/>
      <c r="AC102" s="73"/>
      <c r="AD102" s="73"/>
      <c r="AE102" s="73"/>
      <c r="AF102" s="73"/>
      <c r="AG102" s="74"/>
      <c r="AH102" s="75"/>
      <c r="AI102" s="70"/>
    </row>
    <row r="103" spans="1:35" ht="24" customHeight="1">
      <c r="A103" s="17"/>
      <c r="B103" s="900" t="s">
        <v>179</v>
      </c>
      <c r="C103" s="901"/>
      <c r="D103" s="902" t="s">
        <v>87</v>
      </c>
      <c r="E103" s="903"/>
      <c r="F103" s="901"/>
      <c r="G103" s="904" t="s">
        <v>88</v>
      </c>
      <c r="H103" s="905"/>
      <c r="I103" s="906"/>
      <c r="J103" s="904" t="s">
        <v>89</v>
      </c>
      <c r="K103" s="907"/>
      <c r="L103" s="906"/>
      <c r="M103" s="908" t="s">
        <v>90</v>
      </c>
      <c r="N103" s="907"/>
      <c r="O103" s="906"/>
      <c r="P103" s="904" t="s">
        <v>91</v>
      </c>
      <c r="Q103" s="909"/>
      <c r="R103" s="906"/>
      <c r="S103" s="904" t="s">
        <v>92</v>
      </c>
      <c r="T103" s="910"/>
      <c r="U103" s="906"/>
      <c r="V103" s="904" t="s">
        <v>93</v>
      </c>
      <c r="W103" s="909"/>
      <c r="X103" s="911" t="s">
        <v>158</v>
      </c>
      <c r="Y103" s="912"/>
      <c r="Z103" s="912"/>
      <c r="AA103" s="913"/>
      <c r="AB103" s="914" t="s">
        <v>94</v>
      </c>
      <c r="AC103" s="915"/>
      <c r="AD103" s="915"/>
      <c r="AE103" s="916"/>
      <c r="AF103" s="916"/>
      <c r="AG103" s="917"/>
      <c r="AH103" s="75"/>
      <c r="AI103" s="70"/>
    </row>
    <row r="104" spans="1:35" ht="24" customHeight="1">
      <c r="A104" s="17"/>
      <c r="B104" s="3103" t="s">
        <v>180</v>
      </c>
      <c r="C104" s="3104" t="s">
        <v>181</v>
      </c>
      <c r="D104" s="2908"/>
      <c r="E104" s="2909"/>
      <c r="F104" s="3104" t="s">
        <v>181</v>
      </c>
      <c r="G104" s="2908"/>
      <c r="H104" s="2909"/>
      <c r="I104" s="3104" t="s">
        <v>181</v>
      </c>
      <c r="J104" s="2908"/>
      <c r="K104" s="2909"/>
      <c r="L104" s="3104" t="s">
        <v>181</v>
      </c>
      <c r="M104" s="2908"/>
      <c r="N104" s="2909"/>
      <c r="O104" s="3104" t="s">
        <v>182</v>
      </c>
      <c r="P104" s="2908"/>
      <c r="Q104" s="2909"/>
      <c r="R104" s="3104"/>
      <c r="S104" s="2908"/>
      <c r="T104" s="2909"/>
      <c r="U104" s="3104"/>
      <c r="V104" s="2908"/>
      <c r="W104" s="2909"/>
      <c r="X104" s="3104"/>
      <c r="Y104" s="3105"/>
      <c r="Z104" s="3105"/>
      <c r="AA104" s="3105"/>
      <c r="AB104" s="2905"/>
      <c r="AC104" s="3105"/>
      <c r="AD104" s="3105"/>
      <c r="AE104" s="3105"/>
      <c r="AF104" s="3105"/>
      <c r="AG104" s="3106"/>
      <c r="AH104" s="75"/>
      <c r="AI104" s="70"/>
    </row>
    <row r="105" spans="1:35" ht="24" customHeight="1">
      <c r="A105" s="17"/>
      <c r="B105" s="16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75"/>
      <c r="AI105" s="70"/>
    </row>
    <row r="106" spans="1:35" ht="24" customHeight="1" thickBot="1">
      <c r="A106" s="3025" t="s">
        <v>28</v>
      </c>
      <c r="B106" s="2978" t="s">
        <v>29</v>
      </c>
      <c r="C106" s="2924">
        <v>1</v>
      </c>
      <c r="D106" s="2925">
        <v>2</v>
      </c>
      <c r="E106" s="2925">
        <v>3</v>
      </c>
      <c r="F106" s="2924">
        <v>4</v>
      </c>
      <c r="G106" s="2924">
        <v>5</v>
      </c>
      <c r="H106" s="2924">
        <v>6</v>
      </c>
      <c r="I106" s="2924">
        <v>7</v>
      </c>
      <c r="J106" s="2924">
        <v>8</v>
      </c>
      <c r="K106" s="2925">
        <v>9</v>
      </c>
      <c r="L106" s="2925">
        <v>10</v>
      </c>
      <c r="M106" s="2924">
        <v>11</v>
      </c>
      <c r="N106" s="2924">
        <v>12</v>
      </c>
      <c r="O106" s="2924">
        <v>13</v>
      </c>
      <c r="P106" s="2924">
        <v>14</v>
      </c>
      <c r="Q106" s="2924">
        <v>15</v>
      </c>
      <c r="R106" s="2925">
        <v>16</v>
      </c>
      <c r="S106" s="2925">
        <v>17</v>
      </c>
      <c r="T106" s="2924">
        <v>18</v>
      </c>
      <c r="U106" s="2924">
        <v>19</v>
      </c>
      <c r="V106" s="2924">
        <v>20</v>
      </c>
      <c r="W106" s="2924">
        <v>21</v>
      </c>
      <c r="X106" s="2924">
        <v>22</v>
      </c>
      <c r="Y106" s="2925">
        <v>23</v>
      </c>
      <c r="Z106" s="2925">
        <v>24</v>
      </c>
      <c r="AA106" s="2924">
        <v>25</v>
      </c>
      <c r="AB106" s="2924">
        <v>26</v>
      </c>
      <c r="AC106" s="2924">
        <v>27</v>
      </c>
      <c r="AD106" s="2924">
        <v>28</v>
      </c>
      <c r="AE106" s="2924">
        <v>29</v>
      </c>
      <c r="AF106" s="2925">
        <v>30</v>
      </c>
      <c r="AG106" s="2926"/>
      <c r="AH106" s="75"/>
      <c r="AI106" s="70"/>
    </row>
    <row r="107" spans="1:35" ht="24" customHeight="1">
      <c r="A107" s="2690">
        <v>8520</v>
      </c>
      <c r="B107" s="2691" t="s">
        <v>183</v>
      </c>
      <c r="C107" s="1816" t="s">
        <v>118</v>
      </c>
      <c r="D107" s="1816"/>
      <c r="E107" s="1816"/>
      <c r="F107" s="1816" t="s">
        <v>118</v>
      </c>
      <c r="G107" s="1816" t="s">
        <v>118</v>
      </c>
      <c r="H107" s="1816" t="s">
        <v>118</v>
      </c>
      <c r="I107" s="1816" t="s">
        <v>118</v>
      </c>
      <c r="J107" s="1816" t="s">
        <v>118</v>
      </c>
      <c r="K107" s="1816"/>
      <c r="L107" s="1816"/>
      <c r="M107" s="1816" t="s">
        <v>118</v>
      </c>
      <c r="N107" s="1816" t="s">
        <v>118</v>
      </c>
      <c r="O107" s="1816" t="s">
        <v>118</v>
      </c>
      <c r="P107" s="1816" t="s">
        <v>118</v>
      </c>
      <c r="Q107" s="1816" t="s">
        <v>118</v>
      </c>
      <c r="R107" s="1816"/>
      <c r="S107" s="1816"/>
      <c r="T107" s="1816" t="s">
        <v>118</v>
      </c>
      <c r="U107" s="1816" t="s">
        <v>118</v>
      </c>
      <c r="V107" s="1816" t="s">
        <v>118</v>
      </c>
      <c r="W107" s="1816" t="s">
        <v>118</v>
      </c>
      <c r="X107" s="1816" t="s">
        <v>118</v>
      </c>
      <c r="Y107" s="1816"/>
      <c r="Z107" s="1816"/>
      <c r="AA107" s="1816" t="s">
        <v>118</v>
      </c>
      <c r="AB107" s="1816" t="s">
        <v>118</v>
      </c>
      <c r="AC107" s="1816" t="s">
        <v>118</v>
      </c>
      <c r="AD107" s="1816" t="s">
        <v>118</v>
      </c>
      <c r="AE107" s="1816" t="s">
        <v>118</v>
      </c>
      <c r="AF107" s="1816"/>
      <c r="AG107" s="1819"/>
      <c r="AH107" s="75"/>
      <c r="AI107" s="70"/>
    </row>
    <row r="108" spans="1:35" ht="24" customHeight="1">
      <c r="AH108" s="76"/>
      <c r="AI108" s="76"/>
    </row>
    <row r="109" spans="1:35" ht="24" customHeight="1" thickBot="1">
      <c r="A109" s="77" t="s">
        <v>185</v>
      </c>
      <c r="B109" s="78"/>
      <c r="C109" s="78"/>
      <c r="D109" s="79"/>
      <c r="E109" s="79"/>
      <c r="F109" s="79"/>
      <c r="G109" s="80"/>
      <c r="H109" s="79"/>
      <c r="I109" s="79"/>
      <c r="J109" s="79"/>
      <c r="K109" s="79"/>
      <c r="L109" s="79"/>
      <c r="M109" s="79"/>
      <c r="N109" s="79"/>
      <c r="O109" s="79"/>
      <c r="P109" s="79"/>
      <c r="Q109" s="79"/>
      <c r="R109" s="79"/>
      <c r="S109" s="79"/>
      <c r="T109" s="79"/>
      <c r="U109" s="79"/>
      <c r="V109" s="79"/>
      <c r="W109" s="79"/>
      <c r="X109" s="79"/>
      <c r="Y109" s="79"/>
      <c r="Z109" s="79"/>
      <c r="AA109" s="79"/>
      <c r="AB109" s="79"/>
      <c r="AC109" s="79"/>
      <c r="AD109" s="79"/>
      <c r="AE109" s="79"/>
      <c r="AF109" s="79"/>
      <c r="AG109" s="79"/>
      <c r="AH109" s="78"/>
      <c r="AI109" s="78"/>
    </row>
    <row r="110" spans="1:35" ht="24" customHeight="1">
      <c r="A110" s="77"/>
      <c r="B110" s="900" t="s">
        <v>186</v>
      </c>
      <c r="C110" s="924"/>
      <c r="D110" s="925" t="s">
        <v>87</v>
      </c>
      <c r="E110" s="926"/>
      <c r="F110" s="927"/>
      <c r="G110" s="924"/>
      <c r="H110" s="925" t="s">
        <v>88</v>
      </c>
      <c r="I110" s="926"/>
      <c r="J110" s="927"/>
      <c r="K110" s="924"/>
      <c r="L110" s="925" t="s">
        <v>89</v>
      </c>
      <c r="M110" s="926"/>
      <c r="N110" s="927"/>
      <c r="O110" s="924"/>
      <c r="P110" s="925" t="s">
        <v>90</v>
      </c>
      <c r="Q110" s="926"/>
      <c r="R110" s="927"/>
      <c r="S110" s="924"/>
      <c r="T110" s="925" t="s">
        <v>91</v>
      </c>
      <c r="U110" s="926"/>
      <c r="V110" s="927"/>
      <c r="W110" s="924"/>
      <c r="X110" s="925" t="s">
        <v>92</v>
      </c>
      <c r="Y110" s="926"/>
      <c r="Z110" s="927"/>
      <c r="AA110" s="924"/>
      <c r="AB110" s="925" t="s">
        <v>93</v>
      </c>
      <c r="AC110" s="926"/>
      <c r="AD110" s="926"/>
      <c r="AE110" s="928" t="s">
        <v>94</v>
      </c>
      <c r="AF110" s="926"/>
      <c r="AG110" s="926"/>
      <c r="AH110" s="926"/>
      <c r="AI110" s="929"/>
    </row>
    <row r="111" spans="1:35" ht="24" customHeight="1">
      <c r="A111" s="77"/>
      <c r="B111" s="3107" t="s">
        <v>159</v>
      </c>
      <c r="C111" s="3108">
        <v>69</v>
      </c>
      <c r="D111" s="3109" t="s">
        <v>187</v>
      </c>
      <c r="E111" s="3109"/>
      <c r="F111" s="3110"/>
      <c r="G111" s="3108">
        <v>69</v>
      </c>
      <c r="H111" s="3109" t="s">
        <v>187</v>
      </c>
      <c r="I111" s="3109"/>
      <c r="J111" s="3110"/>
      <c r="K111" s="3108">
        <v>69</v>
      </c>
      <c r="L111" s="3109" t="s">
        <v>187</v>
      </c>
      <c r="M111" s="3109"/>
      <c r="N111" s="3110"/>
      <c r="O111" s="3108">
        <v>69</v>
      </c>
      <c r="P111" s="3109" t="s">
        <v>187</v>
      </c>
      <c r="Q111" s="3109"/>
      <c r="R111" s="3110"/>
      <c r="S111" s="3108">
        <v>69</v>
      </c>
      <c r="T111" s="3109" t="s">
        <v>187</v>
      </c>
      <c r="U111" s="3109"/>
      <c r="V111" s="3110"/>
      <c r="W111" s="3108"/>
      <c r="X111" s="3111"/>
      <c r="Y111" s="3111"/>
      <c r="Z111" s="3112"/>
      <c r="AA111" s="3108"/>
      <c r="AB111" s="3109"/>
      <c r="AC111" s="3109"/>
      <c r="AD111" s="3014"/>
      <c r="AE111" s="3113">
        <v>35</v>
      </c>
      <c r="AF111" s="3109"/>
      <c r="AG111" s="3109"/>
      <c r="AH111" s="3014"/>
      <c r="AI111" s="3114"/>
    </row>
    <row r="112" spans="1:35" ht="24" customHeight="1">
      <c r="A112" s="77"/>
      <c r="B112" s="3107" t="s">
        <v>163</v>
      </c>
      <c r="C112" s="3108">
        <v>79</v>
      </c>
      <c r="D112" s="3109" t="s">
        <v>188</v>
      </c>
      <c r="E112" s="3109"/>
      <c r="F112" s="3110"/>
      <c r="G112" s="3108">
        <v>79</v>
      </c>
      <c r="H112" s="3109" t="s">
        <v>188</v>
      </c>
      <c r="I112" s="3109"/>
      <c r="J112" s="3110"/>
      <c r="K112" s="3108">
        <v>79</v>
      </c>
      <c r="L112" s="3109" t="s">
        <v>188</v>
      </c>
      <c r="M112" s="3109"/>
      <c r="N112" s="3110"/>
      <c r="O112" s="3108">
        <v>79</v>
      </c>
      <c r="P112" s="3109" t="s">
        <v>188</v>
      </c>
      <c r="Q112" s="3109"/>
      <c r="R112" s="3110"/>
      <c r="S112" s="3108">
        <v>79</v>
      </c>
      <c r="T112" s="3109" t="s">
        <v>188</v>
      </c>
      <c r="U112" s="3109"/>
      <c r="V112" s="3110"/>
      <c r="W112" s="3108"/>
      <c r="X112" s="3109"/>
      <c r="Y112" s="3109"/>
      <c r="Z112" s="3110"/>
      <c r="AA112" s="3109"/>
      <c r="AB112" s="3109"/>
      <c r="AC112" s="3109"/>
      <c r="AD112" s="3014"/>
      <c r="AE112" s="3113">
        <v>40</v>
      </c>
      <c r="AF112" s="3109"/>
      <c r="AG112" s="3109"/>
      <c r="AH112" s="3014"/>
      <c r="AI112" s="3114"/>
    </row>
    <row r="113" spans="1:35" ht="24" customHeight="1">
      <c r="A113" s="77"/>
      <c r="B113" s="3107" t="s">
        <v>171</v>
      </c>
      <c r="C113" s="3108">
        <v>89</v>
      </c>
      <c r="D113" s="3109" t="s">
        <v>189</v>
      </c>
      <c r="E113" s="3109"/>
      <c r="F113" s="3110"/>
      <c r="G113" s="3108">
        <v>89</v>
      </c>
      <c r="H113" s="3109" t="s">
        <v>189</v>
      </c>
      <c r="I113" s="3109"/>
      <c r="J113" s="3110"/>
      <c r="K113" s="3108">
        <v>89</v>
      </c>
      <c r="L113" s="3109" t="s">
        <v>189</v>
      </c>
      <c r="M113" s="3109"/>
      <c r="N113" s="3110"/>
      <c r="O113" s="3108">
        <v>89</v>
      </c>
      <c r="P113" s="3109" t="s">
        <v>189</v>
      </c>
      <c r="Q113" s="3109"/>
      <c r="R113" s="3110"/>
      <c r="S113" s="3108">
        <v>89</v>
      </c>
      <c r="T113" s="3109" t="s">
        <v>190</v>
      </c>
      <c r="U113" s="3109"/>
      <c r="V113" s="3110"/>
      <c r="W113" s="3115"/>
      <c r="X113" s="3116" t="s">
        <v>191</v>
      </c>
      <c r="Y113" s="3116"/>
      <c r="Z113" s="3117"/>
      <c r="AA113" s="3115"/>
      <c r="AB113" s="3116"/>
      <c r="AC113" s="3116"/>
      <c r="AD113" s="3017"/>
      <c r="AE113" s="3113">
        <v>44</v>
      </c>
      <c r="AF113" s="3109"/>
      <c r="AG113" s="3109"/>
      <c r="AH113" s="3014"/>
      <c r="AI113" s="3114"/>
    </row>
    <row r="114" spans="1:35" ht="24" customHeight="1">
      <c r="A114" s="77"/>
      <c r="B114" s="81" t="s">
        <v>173</v>
      </c>
      <c r="C114" s="3115">
        <v>99</v>
      </c>
      <c r="D114" s="3116" t="s">
        <v>192</v>
      </c>
      <c r="E114" s="3116"/>
      <c r="F114" s="3117"/>
      <c r="G114" s="3115">
        <v>99</v>
      </c>
      <c r="H114" s="3116" t="s">
        <v>192</v>
      </c>
      <c r="I114" s="3116"/>
      <c r="J114" s="3117"/>
      <c r="K114" s="3115">
        <v>99</v>
      </c>
      <c r="L114" s="3116" t="s">
        <v>192</v>
      </c>
      <c r="M114" s="3116"/>
      <c r="N114" s="3117"/>
      <c r="O114" s="3115">
        <v>99</v>
      </c>
      <c r="P114" s="3116" t="s">
        <v>192</v>
      </c>
      <c r="Q114" s="3116"/>
      <c r="R114" s="3117"/>
      <c r="S114" s="3115">
        <v>99</v>
      </c>
      <c r="T114" s="3116" t="s">
        <v>172</v>
      </c>
      <c r="U114" s="3116"/>
      <c r="V114" s="3017"/>
      <c r="W114" s="3016"/>
      <c r="X114" s="3017"/>
      <c r="Y114" s="3116"/>
      <c r="Z114" s="3117"/>
      <c r="AA114" s="3016"/>
      <c r="AB114" s="3017"/>
      <c r="AC114" s="3116"/>
      <c r="AD114" s="3117"/>
      <c r="AE114" s="3118">
        <v>28</v>
      </c>
      <c r="AF114" s="3116"/>
      <c r="AG114" s="3116"/>
      <c r="AH114" s="3017"/>
      <c r="AI114" s="3119"/>
    </row>
    <row r="115" spans="1:35" ht="24" customHeight="1" thickBot="1">
      <c r="A115" s="77"/>
      <c r="B115" s="3120" t="s">
        <v>193</v>
      </c>
      <c r="C115" s="3121" t="s">
        <v>47</v>
      </c>
      <c r="D115" s="3122" t="s">
        <v>194</v>
      </c>
      <c r="E115" s="3123"/>
      <c r="F115" s="2971"/>
      <c r="G115" s="3121" t="s">
        <v>47</v>
      </c>
      <c r="H115" s="3122" t="s">
        <v>194</v>
      </c>
      <c r="I115" s="2969"/>
      <c r="J115" s="3123"/>
      <c r="K115" s="3121" t="s">
        <v>47</v>
      </c>
      <c r="L115" s="3122" t="s">
        <v>194</v>
      </c>
      <c r="M115" s="3123"/>
      <c r="N115" s="3124"/>
      <c r="O115" s="3121" t="s">
        <v>47</v>
      </c>
      <c r="P115" s="3122" t="s">
        <v>194</v>
      </c>
      <c r="Q115" s="3123"/>
      <c r="R115" s="3122"/>
      <c r="S115" s="3121" t="s">
        <v>47</v>
      </c>
      <c r="T115" s="2973" t="s">
        <v>195</v>
      </c>
      <c r="U115" s="3122"/>
      <c r="V115" s="3124"/>
      <c r="W115" s="3123"/>
      <c r="X115" s="3122"/>
      <c r="Y115" s="3122"/>
      <c r="Z115" s="3122"/>
      <c r="AA115" s="3125"/>
      <c r="AB115" s="3126"/>
      <c r="AC115" s="3122"/>
      <c r="AD115" s="3127"/>
      <c r="AE115" s="3122"/>
      <c r="AF115" s="3122"/>
      <c r="AG115" s="3122"/>
      <c r="AH115" s="3128"/>
      <c r="AI115" s="3129"/>
    </row>
    <row r="116" spans="1:35" ht="24" customHeight="1">
      <c r="A116" s="82"/>
      <c r="B116" s="77"/>
      <c r="C116" s="79"/>
      <c r="D116" s="79"/>
      <c r="E116" s="79"/>
      <c r="F116" s="79"/>
      <c r="G116" s="79"/>
      <c r="H116" s="79"/>
      <c r="I116" s="79"/>
      <c r="J116" s="79"/>
      <c r="K116" s="79"/>
      <c r="L116" s="79"/>
      <c r="M116" s="79"/>
      <c r="N116" s="79"/>
      <c r="O116" s="79"/>
      <c r="P116" s="79"/>
      <c r="Q116" s="79"/>
      <c r="R116" s="79"/>
      <c r="S116" s="79"/>
      <c r="T116" s="79"/>
      <c r="U116" s="79"/>
      <c r="V116" s="79"/>
      <c r="W116" s="79"/>
      <c r="X116" s="79"/>
      <c r="Y116" s="79"/>
      <c r="Z116" s="79"/>
      <c r="AA116" s="79"/>
      <c r="AB116" s="79"/>
      <c r="AC116" s="79"/>
      <c r="AD116" s="79"/>
      <c r="AE116" s="79"/>
      <c r="AF116" s="79"/>
      <c r="AG116" s="79"/>
      <c r="AH116" s="78"/>
      <c r="AI116" s="78"/>
    </row>
    <row r="117" spans="1:35" ht="24" customHeight="1" thickBot="1">
      <c r="A117" s="3025"/>
      <c r="B117" s="2978" t="s">
        <v>29</v>
      </c>
      <c r="C117" s="2924">
        <v>1</v>
      </c>
      <c r="D117" s="2925">
        <v>2</v>
      </c>
      <c r="E117" s="2925">
        <v>3</v>
      </c>
      <c r="F117" s="2924">
        <v>4</v>
      </c>
      <c r="G117" s="2924">
        <v>5</v>
      </c>
      <c r="H117" s="2924">
        <v>6</v>
      </c>
      <c r="I117" s="2924">
        <v>7</v>
      </c>
      <c r="J117" s="2924">
        <v>8</v>
      </c>
      <c r="K117" s="2925">
        <v>9</v>
      </c>
      <c r="L117" s="2925">
        <v>10</v>
      </c>
      <c r="M117" s="2924">
        <v>11</v>
      </c>
      <c r="N117" s="2924">
        <v>12</v>
      </c>
      <c r="O117" s="2924">
        <v>13</v>
      </c>
      <c r="P117" s="2924">
        <v>14</v>
      </c>
      <c r="Q117" s="2924">
        <v>15</v>
      </c>
      <c r="R117" s="2925">
        <v>16</v>
      </c>
      <c r="S117" s="2925">
        <v>17</v>
      </c>
      <c r="T117" s="2924">
        <v>18</v>
      </c>
      <c r="U117" s="2924">
        <v>19</v>
      </c>
      <c r="V117" s="2924">
        <v>20</v>
      </c>
      <c r="W117" s="2924">
        <v>21</v>
      </c>
      <c r="X117" s="2924">
        <v>22</v>
      </c>
      <c r="Y117" s="2925">
        <v>23</v>
      </c>
      <c r="Z117" s="2925">
        <v>24</v>
      </c>
      <c r="AA117" s="2924">
        <v>25</v>
      </c>
      <c r="AB117" s="2924">
        <v>26</v>
      </c>
      <c r="AC117" s="2924">
        <v>27</v>
      </c>
      <c r="AD117" s="2924">
        <v>28</v>
      </c>
      <c r="AE117" s="2924">
        <v>29</v>
      </c>
      <c r="AF117" s="2925">
        <v>30</v>
      </c>
      <c r="AG117" s="2926"/>
      <c r="AH117" s="23"/>
      <c r="AI117" s="24"/>
    </row>
    <row r="118" spans="1:35" ht="24" customHeight="1">
      <c r="A118" s="2703">
        <v>1</v>
      </c>
      <c r="B118" s="2647" t="s">
        <v>196</v>
      </c>
      <c r="C118" s="802" t="s">
        <v>35</v>
      </c>
      <c r="D118" s="802"/>
      <c r="E118" s="1816"/>
      <c r="F118" s="1816" t="s">
        <v>47</v>
      </c>
      <c r="G118" s="801">
        <v>1</v>
      </c>
      <c r="H118" s="802" t="s">
        <v>47</v>
      </c>
      <c r="I118" s="801" t="s">
        <v>47</v>
      </c>
      <c r="J118" s="801" t="s">
        <v>47</v>
      </c>
      <c r="K118" s="802"/>
      <c r="L118" s="801"/>
      <c r="M118" s="1816">
        <v>69</v>
      </c>
      <c r="N118" s="802">
        <v>69</v>
      </c>
      <c r="O118" s="802">
        <v>69</v>
      </c>
      <c r="P118" s="802">
        <v>69</v>
      </c>
      <c r="Q118" s="802">
        <v>69</v>
      </c>
      <c r="R118" s="802"/>
      <c r="S118" s="1816"/>
      <c r="T118" s="1816">
        <v>79</v>
      </c>
      <c r="U118" s="802">
        <v>79</v>
      </c>
      <c r="V118" s="802">
        <v>79</v>
      </c>
      <c r="W118" s="802">
        <v>79</v>
      </c>
      <c r="X118" s="802">
        <v>79</v>
      </c>
      <c r="Y118" s="802"/>
      <c r="Z118" s="802"/>
      <c r="AA118" s="801">
        <v>89</v>
      </c>
      <c r="AB118" s="802">
        <v>89</v>
      </c>
      <c r="AC118" s="802">
        <v>89</v>
      </c>
      <c r="AD118" s="802">
        <v>89</v>
      </c>
      <c r="AE118" s="1818">
        <v>89</v>
      </c>
      <c r="AF118" s="1818">
        <v>89</v>
      </c>
      <c r="AG118" s="2553"/>
      <c r="AH118" s="83"/>
      <c r="AI118" s="76"/>
    </row>
    <row r="119" spans="1:35" ht="24" customHeight="1">
      <c r="A119" s="3130">
        <v>2</v>
      </c>
      <c r="B119" s="3046" t="s">
        <v>197</v>
      </c>
      <c r="C119" s="2845" t="s">
        <v>47</v>
      </c>
      <c r="D119" s="2990"/>
      <c r="E119" s="2840"/>
      <c r="F119" s="2840">
        <v>69</v>
      </c>
      <c r="G119" s="2990">
        <v>69</v>
      </c>
      <c r="H119" s="2990">
        <v>69</v>
      </c>
      <c r="I119" s="2990">
        <v>69</v>
      </c>
      <c r="J119" s="2990">
        <v>69</v>
      </c>
      <c r="K119" s="2990"/>
      <c r="L119" s="2840"/>
      <c r="M119" s="2840">
        <v>79</v>
      </c>
      <c r="N119" s="2990">
        <v>79</v>
      </c>
      <c r="O119" s="2990">
        <v>79</v>
      </c>
      <c r="P119" s="2990">
        <v>79</v>
      </c>
      <c r="Q119" s="2990">
        <v>79</v>
      </c>
      <c r="R119" s="2845"/>
      <c r="S119" s="2990"/>
      <c r="T119" s="2840">
        <v>89</v>
      </c>
      <c r="U119" s="2990">
        <v>89</v>
      </c>
      <c r="V119" s="2990">
        <v>89</v>
      </c>
      <c r="W119" s="2990">
        <v>89</v>
      </c>
      <c r="X119" s="2990">
        <v>89</v>
      </c>
      <c r="Y119" s="2990">
        <v>89</v>
      </c>
      <c r="Z119" s="2840"/>
      <c r="AA119" s="2840">
        <v>99</v>
      </c>
      <c r="AB119" s="2845">
        <v>99</v>
      </c>
      <c r="AC119" s="2990">
        <v>99</v>
      </c>
      <c r="AD119" s="2845">
        <v>99</v>
      </c>
      <c r="AE119" s="2845" t="s">
        <v>35</v>
      </c>
      <c r="AF119" s="2990"/>
      <c r="AG119" s="3131"/>
      <c r="AH119" s="84"/>
      <c r="AI119" s="85"/>
    </row>
    <row r="120" spans="1:35" ht="24" customHeight="1">
      <c r="A120" s="3130">
        <v>3</v>
      </c>
      <c r="B120" s="3046" t="s">
        <v>198</v>
      </c>
      <c r="C120" s="3132">
        <v>69</v>
      </c>
      <c r="D120" s="3132"/>
      <c r="E120" s="3132"/>
      <c r="F120" s="3132">
        <v>79</v>
      </c>
      <c r="G120" s="3132">
        <v>79</v>
      </c>
      <c r="H120" s="3132">
        <v>79</v>
      </c>
      <c r="I120" s="3132">
        <v>79</v>
      </c>
      <c r="J120" s="3132">
        <v>79</v>
      </c>
      <c r="K120" s="3132"/>
      <c r="L120" s="3132"/>
      <c r="M120" s="3132">
        <v>89</v>
      </c>
      <c r="N120" s="3132">
        <v>89</v>
      </c>
      <c r="O120" s="3132">
        <v>89</v>
      </c>
      <c r="P120" s="3132">
        <v>89</v>
      </c>
      <c r="Q120" s="3132">
        <v>89</v>
      </c>
      <c r="R120" s="3132">
        <v>89</v>
      </c>
      <c r="S120" s="3132"/>
      <c r="T120" s="3132">
        <v>99</v>
      </c>
      <c r="U120" s="3132">
        <v>99</v>
      </c>
      <c r="V120" s="3132">
        <v>99</v>
      </c>
      <c r="W120" s="3132">
        <v>99</v>
      </c>
      <c r="X120" s="3132" t="s">
        <v>35</v>
      </c>
      <c r="Y120" s="3132"/>
      <c r="Z120" s="3132"/>
      <c r="AA120" s="3132" t="s">
        <v>47</v>
      </c>
      <c r="AB120" s="3132" t="s">
        <v>47</v>
      </c>
      <c r="AC120" s="3132" t="s">
        <v>47</v>
      </c>
      <c r="AD120" s="3132" t="s">
        <v>47</v>
      </c>
      <c r="AE120" s="3132" t="s">
        <v>47</v>
      </c>
      <c r="AF120" s="3132"/>
      <c r="AG120" s="3133"/>
      <c r="AH120" s="83"/>
      <c r="AI120" s="76"/>
    </row>
    <row r="121" spans="1:35" ht="24" customHeight="1">
      <c r="A121" s="3130">
        <v>4</v>
      </c>
      <c r="B121" s="3046" t="s">
        <v>441</v>
      </c>
      <c r="C121" s="3050">
        <v>79</v>
      </c>
      <c r="D121" s="3134"/>
      <c r="E121" s="3050"/>
      <c r="F121" s="2840" t="s">
        <v>244</v>
      </c>
      <c r="G121" s="2840" t="s">
        <v>244</v>
      </c>
      <c r="H121" s="2840" t="s">
        <v>244</v>
      </c>
      <c r="I121" s="2840" t="s">
        <v>244</v>
      </c>
      <c r="J121" s="2840" t="s">
        <v>244</v>
      </c>
      <c r="K121" s="2990"/>
      <c r="L121" s="2840"/>
      <c r="M121" s="2840" t="s">
        <v>244</v>
      </c>
      <c r="N121" s="2840" t="s">
        <v>244</v>
      </c>
      <c r="O121" s="2840" t="s">
        <v>244</v>
      </c>
      <c r="P121" s="2840" t="s">
        <v>244</v>
      </c>
      <c r="Q121" s="3050" t="s">
        <v>244</v>
      </c>
      <c r="R121" s="3050"/>
      <c r="S121" s="2840"/>
      <c r="T121" s="2840" t="s">
        <v>244</v>
      </c>
      <c r="U121" s="2840" t="s">
        <v>244</v>
      </c>
      <c r="V121" s="2840" t="s">
        <v>244</v>
      </c>
      <c r="W121" s="2840" t="s">
        <v>244</v>
      </c>
      <c r="X121" s="2840" t="s">
        <v>244</v>
      </c>
      <c r="Y121" s="3050"/>
      <c r="Z121" s="2846"/>
      <c r="AA121" s="2840" t="s">
        <v>244</v>
      </c>
      <c r="AB121" s="2840" t="s">
        <v>244</v>
      </c>
      <c r="AC121" s="2840" t="s">
        <v>244</v>
      </c>
      <c r="AD121" s="2840" t="s">
        <v>244</v>
      </c>
      <c r="AE121" s="2840" t="s">
        <v>244</v>
      </c>
      <c r="AF121" s="3050"/>
      <c r="AG121" s="3135"/>
      <c r="AH121" s="83"/>
      <c r="AI121" s="76"/>
    </row>
    <row r="122" spans="1:35" ht="24" customHeight="1" thickBot="1">
      <c r="A122" s="3136">
        <v>5</v>
      </c>
      <c r="B122" s="3137" t="s">
        <v>200</v>
      </c>
      <c r="C122" s="3138">
        <v>89</v>
      </c>
      <c r="D122" s="3138">
        <v>89</v>
      </c>
      <c r="E122" s="3138"/>
      <c r="F122" s="2924">
        <v>99</v>
      </c>
      <c r="G122" s="2849">
        <v>99</v>
      </c>
      <c r="H122" s="2849">
        <v>99</v>
      </c>
      <c r="I122" s="2849">
        <v>99</v>
      </c>
      <c r="J122" s="2849" t="s">
        <v>35</v>
      </c>
      <c r="K122" s="2849"/>
      <c r="L122" s="2924"/>
      <c r="M122" s="2924" t="s">
        <v>47</v>
      </c>
      <c r="N122" s="3138" t="s">
        <v>47</v>
      </c>
      <c r="O122" s="3138" t="s">
        <v>47</v>
      </c>
      <c r="P122" s="3138" t="s">
        <v>47</v>
      </c>
      <c r="Q122" s="3138" t="s">
        <v>47</v>
      </c>
      <c r="R122" s="3138"/>
      <c r="S122" s="2924"/>
      <c r="T122" s="3139">
        <v>69</v>
      </c>
      <c r="U122" s="3138">
        <v>69</v>
      </c>
      <c r="V122" s="3138">
        <v>69</v>
      </c>
      <c r="W122" s="3138">
        <v>69</v>
      </c>
      <c r="X122" s="3138">
        <v>69</v>
      </c>
      <c r="Y122" s="3138"/>
      <c r="Z122" s="3140"/>
      <c r="AA122" s="3140">
        <v>79</v>
      </c>
      <c r="AB122" s="3138">
        <v>79</v>
      </c>
      <c r="AC122" s="3138">
        <v>79</v>
      </c>
      <c r="AD122" s="3138">
        <v>79</v>
      </c>
      <c r="AE122" s="3138">
        <v>79</v>
      </c>
      <c r="AF122" s="3138"/>
      <c r="AG122" s="3141"/>
      <c r="AH122" s="83"/>
      <c r="AI122" s="76"/>
    </row>
    <row r="123" spans="1:35" ht="24" customHeight="1">
      <c r="A123" s="36"/>
      <c r="B123" s="87"/>
      <c r="C123" s="38"/>
      <c r="D123" s="38"/>
      <c r="E123" s="38"/>
      <c r="F123" s="38"/>
      <c r="G123" s="38"/>
      <c r="H123" s="38"/>
      <c r="I123" s="38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76"/>
      <c r="AI123" s="76"/>
    </row>
    <row r="124" spans="1:35" ht="24" customHeight="1" thickBot="1">
      <c r="A124" s="77" t="s">
        <v>202</v>
      </c>
      <c r="B124" s="78"/>
      <c r="C124" s="78"/>
      <c r="D124" s="79"/>
      <c r="E124" s="79"/>
      <c r="F124" s="79"/>
      <c r="G124" s="80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  <c r="AD124" s="79"/>
      <c r="AE124" s="79"/>
      <c r="AF124" s="79"/>
      <c r="AG124" s="79"/>
      <c r="AH124" s="78"/>
      <c r="AI124" s="78"/>
    </row>
    <row r="125" spans="1:35" ht="24" customHeight="1">
      <c r="A125" s="77"/>
      <c r="B125" s="900" t="s">
        <v>186</v>
      </c>
      <c r="C125" s="924"/>
      <c r="D125" s="925" t="s">
        <v>87</v>
      </c>
      <c r="E125" s="926"/>
      <c r="F125" s="927"/>
      <c r="G125" s="924"/>
      <c r="H125" s="925" t="s">
        <v>88</v>
      </c>
      <c r="I125" s="926"/>
      <c r="J125" s="927"/>
      <c r="K125" s="924"/>
      <c r="L125" s="925" t="s">
        <v>89</v>
      </c>
      <c r="M125" s="926"/>
      <c r="N125" s="927"/>
      <c r="O125" s="924"/>
      <c r="P125" s="925" t="s">
        <v>90</v>
      </c>
      <c r="Q125" s="926"/>
      <c r="R125" s="927"/>
      <c r="S125" s="924"/>
      <c r="T125" s="925" t="s">
        <v>91</v>
      </c>
      <c r="U125" s="926"/>
      <c r="V125" s="927"/>
      <c r="W125" s="924"/>
      <c r="X125" s="925" t="s">
        <v>92</v>
      </c>
      <c r="Y125" s="926"/>
      <c r="Z125" s="927"/>
      <c r="AA125" s="924"/>
      <c r="AB125" s="925" t="s">
        <v>93</v>
      </c>
      <c r="AC125" s="926"/>
      <c r="AD125" s="926"/>
      <c r="AE125" s="928" t="s">
        <v>94</v>
      </c>
      <c r="AF125" s="926"/>
      <c r="AG125" s="926"/>
      <c r="AH125" s="926"/>
      <c r="AI125" s="929"/>
    </row>
    <row r="126" spans="1:35" ht="24" customHeight="1">
      <c r="A126" s="77"/>
      <c r="B126" s="3107" t="s">
        <v>203</v>
      </c>
      <c r="C126" s="3013" t="s">
        <v>204</v>
      </c>
      <c r="D126" s="3109"/>
      <c r="E126" s="3109"/>
      <c r="F126" s="3110"/>
      <c r="G126" s="3013" t="s">
        <v>204</v>
      </c>
      <c r="H126" s="3109"/>
      <c r="I126" s="3109"/>
      <c r="J126" s="3110"/>
      <c r="K126" s="3013" t="s">
        <v>204</v>
      </c>
      <c r="L126" s="3109"/>
      <c r="M126" s="3109"/>
      <c r="N126" s="3110"/>
      <c r="O126" s="3013" t="s">
        <v>204</v>
      </c>
      <c r="P126" s="3109"/>
      <c r="Q126" s="3109"/>
      <c r="R126" s="3110"/>
      <c r="S126" s="3013" t="s">
        <v>204</v>
      </c>
      <c r="T126" s="3109"/>
      <c r="U126" s="3109"/>
      <c r="V126" s="3110"/>
      <c r="W126" s="3013" t="s">
        <v>205</v>
      </c>
      <c r="X126" s="3111"/>
      <c r="Y126" s="3111"/>
      <c r="Z126" s="3112"/>
      <c r="AA126" s="3013" t="s">
        <v>205</v>
      </c>
      <c r="AB126" s="3109"/>
      <c r="AC126" s="3109"/>
      <c r="AD126" s="3014"/>
      <c r="AE126" s="3113">
        <v>68</v>
      </c>
      <c r="AF126" s="88"/>
      <c r="AG126" s="88"/>
      <c r="AH126" s="88"/>
      <c r="AI126" s="89"/>
    </row>
    <row r="127" spans="1:35" ht="24" customHeight="1">
      <c r="A127" s="77"/>
      <c r="B127" s="3107" t="s">
        <v>163</v>
      </c>
      <c r="C127" s="3013" t="s">
        <v>172</v>
      </c>
      <c r="D127" s="3109"/>
      <c r="E127" s="3109"/>
      <c r="F127" s="3110"/>
      <c r="G127" s="3013" t="s">
        <v>172</v>
      </c>
      <c r="H127" s="3109"/>
      <c r="I127" s="3109"/>
      <c r="J127" s="3110"/>
      <c r="K127" s="3013" t="s">
        <v>172</v>
      </c>
      <c r="L127" s="3109"/>
      <c r="M127" s="3109"/>
      <c r="N127" s="3110"/>
      <c r="O127" s="3013" t="s">
        <v>172</v>
      </c>
      <c r="P127" s="3109"/>
      <c r="Q127" s="3109"/>
      <c r="R127" s="3110"/>
      <c r="S127" s="3013" t="s">
        <v>172</v>
      </c>
      <c r="T127" s="3109"/>
      <c r="U127" s="3109"/>
      <c r="V127" s="3110"/>
      <c r="W127" s="3013" t="s">
        <v>172</v>
      </c>
      <c r="X127" s="3109"/>
      <c r="Y127" s="3109"/>
      <c r="Z127" s="3110"/>
      <c r="AA127" s="3109" t="s">
        <v>172</v>
      </c>
      <c r="AB127" s="3109"/>
      <c r="AC127" s="3109"/>
      <c r="AD127" s="3014"/>
      <c r="AE127" s="3113">
        <v>0</v>
      </c>
      <c r="AF127" s="88"/>
      <c r="AG127" s="88"/>
      <c r="AH127" s="88"/>
      <c r="AI127" s="89"/>
    </row>
    <row r="128" spans="1:35" ht="24" customHeight="1">
      <c r="A128" s="77"/>
      <c r="B128" s="3107" t="s">
        <v>206</v>
      </c>
      <c r="C128" s="3013" t="s">
        <v>204</v>
      </c>
      <c r="D128" s="3109"/>
      <c r="E128" s="3109"/>
      <c r="F128" s="3110"/>
      <c r="G128" s="3013" t="s">
        <v>204</v>
      </c>
      <c r="H128" s="3109"/>
      <c r="I128" s="3109"/>
      <c r="J128" s="3110"/>
      <c r="K128" s="3013" t="s">
        <v>204</v>
      </c>
      <c r="L128" s="3109"/>
      <c r="M128" s="3109"/>
      <c r="N128" s="3110"/>
      <c r="O128" s="3013" t="s">
        <v>204</v>
      </c>
      <c r="P128" s="3109"/>
      <c r="Q128" s="3109"/>
      <c r="R128" s="3110"/>
      <c r="S128" s="3013" t="s">
        <v>204</v>
      </c>
      <c r="T128" s="3109"/>
      <c r="U128" s="3109"/>
      <c r="V128" s="3110"/>
      <c r="W128" s="3013" t="s">
        <v>205</v>
      </c>
      <c r="X128" s="3111"/>
      <c r="Y128" s="3111"/>
      <c r="Z128" s="3112"/>
      <c r="AA128" s="3013" t="s">
        <v>205</v>
      </c>
      <c r="AB128" s="3109"/>
      <c r="AC128" s="3109"/>
      <c r="AD128" s="3014"/>
      <c r="AE128" s="3113">
        <v>68</v>
      </c>
      <c r="AF128" s="3109"/>
      <c r="AG128" s="3109" t="s">
        <v>0</v>
      </c>
      <c r="AH128" s="3014"/>
      <c r="AI128" s="3114"/>
    </row>
    <row r="129" spans="1:35" ht="24" customHeight="1">
      <c r="A129" s="77"/>
      <c r="B129" s="3107" t="s">
        <v>173</v>
      </c>
      <c r="C129" s="3013" t="s">
        <v>172</v>
      </c>
      <c r="D129" s="3109"/>
      <c r="E129" s="3109"/>
      <c r="F129" s="3110"/>
      <c r="G129" s="3013" t="s">
        <v>172</v>
      </c>
      <c r="H129" s="3109"/>
      <c r="I129" s="3109"/>
      <c r="J129" s="3110"/>
      <c r="K129" s="3013" t="s">
        <v>172</v>
      </c>
      <c r="L129" s="3109"/>
      <c r="M129" s="3109"/>
      <c r="N129" s="3110"/>
      <c r="O129" s="3013" t="s">
        <v>172</v>
      </c>
      <c r="P129" s="3109"/>
      <c r="Q129" s="3109"/>
      <c r="R129" s="3110"/>
      <c r="S129" s="3013" t="s">
        <v>172</v>
      </c>
      <c r="T129" s="3109"/>
      <c r="U129" s="3109"/>
      <c r="V129" s="3110"/>
      <c r="W129" s="3013" t="s">
        <v>172</v>
      </c>
      <c r="X129" s="3109"/>
      <c r="Y129" s="3109"/>
      <c r="Z129" s="3110"/>
      <c r="AA129" s="3109" t="s">
        <v>172</v>
      </c>
      <c r="AB129" s="3109"/>
      <c r="AC129" s="3109"/>
      <c r="AD129" s="3014"/>
      <c r="AE129" s="3113">
        <v>0</v>
      </c>
      <c r="AF129" s="3109"/>
      <c r="AG129" s="3109"/>
      <c r="AH129" s="3014"/>
      <c r="AI129" s="3114"/>
    </row>
    <row r="130" spans="1:35" ht="24" customHeight="1">
      <c r="A130" s="77"/>
      <c r="B130" s="3107" t="s">
        <v>207</v>
      </c>
      <c r="C130" s="3013" t="s">
        <v>204</v>
      </c>
      <c r="D130" s="3109"/>
      <c r="E130" s="3109"/>
      <c r="F130" s="3110"/>
      <c r="G130" s="3013" t="s">
        <v>204</v>
      </c>
      <c r="H130" s="3109"/>
      <c r="I130" s="3109"/>
      <c r="J130" s="3110"/>
      <c r="K130" s="3013" t="s">
        <v>204</v>
      </c>
      <c r="L130" s="3109"/>
      <c r="M130" s="3109"/>
      <c r="N130" s="3110"/>
      <c r="O130" s="3013" t="s">
        <v>204</v>
      </c>
      <c r="P130" s="3109"/>
      <c r="Q130" s="3109"/>
      <c r="R130" s="3110"/>
      <c r="S130" s="3013" t="s">
        <v>204</v>
      </c>
      <c r="T130" s="3109"/>
      <c r="U130" s="3109"/>
      <c r="V130" s="3110"/>
      <c r="W130" s="3013" t="s">
        <v>208</v>
      </c>
      <c r="X130" s="3116"/>
      <c r="Y130" s="3116"/>
      <c r="Z130" s="3117"/>
      <c r="AA130" s="3013" t="s">
        <v>208</v>
      </c>
      <c r="AB130" s="3116"/>
      <c r="AC130" s="3116"/>
      <c r="AD130" s="3017"/>
      <c r="AE130" s="3113">
        <v>68</v>
      </c>
      <c r="AF130" s="3109"/>
      <c r="AG130" s="3109"/>
      <c r="AH130" s="3014"/>
      <c r="AI130" s="3114"/>
    </row>
    <row r="131" spans="1:35" ht="24" customHeight="1" thickBot="1">
      <c r="A131" s="77"/>
      <c r="B131" s="3107" t="s">
        <v>209</v>
      </c>
      <c r="C131" s="3142" t="s">
        <v>172</v>
      </c>
      <c r="D131" s="3143"/>
      <c r="E131" s="3143"/>
      <c r="F131" s="3144"/>
      <c r="G131" s="3142" t="s">
        <v>172</v>
      </c>
      <c r="H131" s="3143"/>
      <c r="I131" s="3143"/>
      <c r="J131" s="3144"/>
      <c r="K131" s="3142" t="s">
        <v>172</v>
      </c>
      <c r="L131" s="3143"/>
      <c r="M131" s="3143"/>
      <c r="N131" s="3144"/>
      <c r="O131" s="3142" t="s">
        <v>172</v>
      </c>
      <c r="P131" s="3143"/>
      <c r="Q131" s="3143"/>
      <c r="R131" s="3144"/>
      <c r="S131" s="3142" t="s">
        <v>172</v>
      </c>
      <c r="T131" s="3143"/>
      <c r="U131" s="3143"/>
      <c r="V131" s="3128"/>
      <c r="W131" s="3142" t="s">
        <v>172</v>
      </c>
      <c r="X131" s="3128"/>
      <c r="Y131" s="3143"/>
      <c r="Z131" s="3144"/>
      <c r="AA131" s="3142" t="s">
        <v>172</v>
      </c>
      <c r="AB131" s="3128"/>
      <c r="AC131" s="3143"/>
      <c r="AD131" s="3144"/>
      <c r="AE131" s="3145" t="s">
        <v>210</v>
      </c>
      <c r="AF131" s="3143"/>
      <c r="AG131" s="3143"/>
      <c r="AH131" s="3128"/>
      <c r="AI131" s="3129"/>
    </row>
    <row r="132" spans="1:35" ht="24" customHeight="1">
      <c r="A132" s="82"/>
      <c r="B132" s="77"/>
      <c r="C132" s="79"/>
      <c r="D132" s="79"/>
      <c r="E132" s="79"/>
      <c r="F132" s="79"/>
      <c r="G132" s="79"/>
      <c r="H132" s="79"/>
      <c r="I132" s="79"/>
      <c r="J132" s="79"/>
      <c r="K132" s="79"/>
      <c r="L132" s="79"/>
      <c r="M132" s="79"/>
      <c r="N132" s="79"/>
      <c r="O132" s="79"/>
      <c r="P132" s="79"/>
      <c r="Q132" s="79"/>
      <c r="R132" s="79"/>
      <c r="S132" s="79"/>
      <c r="T132" s="79"/>
      <c r="U132" s="79"/>
      <c r="V132" s="79"/>
      <c r="W132" s="79"/>
      <c r="X132" s="79"/>
      <c r="Y132" s="79"/>
      <c r="Z132" s="79"/>
      <c r="AA132" s="79"/>
      <c r="AB132" s="79"/>
      <c r="AC132" s="79"/>
      <c r="AD132" s="79"/>
      <c r="AE132" s="79"/>
      <c r="AF132" s="79"/>
      <c r="AG132" s="79"/>
      <c r="AH132" s="78"/>
      <c r="AI132" s="78"/>
    </row>
    <row r="133" spans="1:35" ht="24" customHeight="1" thickBot="1">
      <c r="A133" s="3025"/>
      <c r="B133" s="2978" t="s">
        <v>29</v>
      </c>
      <c r="C133" s="2924">
        <v>1</v>
      </c>
      <c r="D133" s="2925">
        <v>2</v>
      </c>
      <c r="E133" s="2925">
        <v>3</v>
      </c>
      <c r="F133" s="2924">
        <v>4</v>
      </c>
      <c r="G133" s="2924">
        <v>5</v>
      </c>
      <c r="H133" s="2924">
        <v>6</v>
      </c>
      <c r="I133" s="2924">
        <v>7</v>
      </c>
      <c r="J133" s="2924">
        <v>8</v>
      </c>
      <c r="K133" s="2925">
        <v>9</v>
      </c>
      <c r="L133" s="2925">
        <v>10</v>
      </c>
      <c r="M133" s="2924">
        <v>11</v>
      </c>
      <c r="N133" s="2924">
        <v>12</v>
      </c>
      <c r="O133" s="2924">
        <v>13</v>
      </c>
      <c r="P133" s="2924">
        <v>14</v>
      </c>
      <c r="Q133" s="2924">
        <v>15</v>
      </c>
      <c r="R133" s="2925">
        <v>16</v>
      </c>
      <c r="S133" s="2925">
        <v>17</v>
      </c>
      <c r="T133" s="2924">
        <v>18</v>
      </c>
      <c r="U133" s="2924">
        <v>19</v>
      </c>
      <c r="V133" s="2924">
        <v>20</v>
      </c>
      <c r="W133" s="2924">
        <v>21</v>
      </c>
      <c r="X133" s="2924">
        <v>22</v>
      </c>
      <c r="Y133" s="2925">
        <v>23</v>
      </c>
      <c r="Z133" s="2925">
        <v>24</v>
      </c>
      <c r="AA133" s="2924">
        <v>25</v>
      </c>
      <c r="AB133" s="2924">
        <v>26</v>
      </c>
      <c r="AC133" s="2924">
        <v>27</v>
      </c>
      <c r="AD133" s="2924">
        <v>28</v>
      </c>
      <c r="AE133" s="2924">
        <v>29</v>
      </c>
      <c r="AF133" s="2925">
        <v>30</v>
      </c>
      <c r="AG133" s="2926"/>
      <c r="AH133" s="23"/>
      <c r="AI133" s="24"/>
    </row>
    <row r="134" spans="1:35" ht="24" customHeight="1">
      <c r="A134" s="2718">
        <v>1</v>
      </c>
      <c r="B134" s="3146" t="s">
        <v>211</v>
      </c>
      <c r="C134" s="1839">
        <v>23</v>
      </c>
      <c r="D134" s="1839">
        <v>23</v>
      </c>
      <c r="E134" s="1839">
        <v>23</v>
      </c>
      <c r="F134" s="1839" t="s">
        <v>35</v>
      </c>
      <c r="G134" s="2586" t="s">
        <v>35</v>
      </c>
      <c r="H134" s="1839" t="s">
        <v>35</v>
      </c>
      <c r="I134" s="2720" t="s">
        <v>35</v>
      </c>
      <c r="J134" s="2586" t="s">
        <v>35</v>
      </c>
      <c r="K134" s="1839"/>
      <c r="L134" s="2720"/>
      <c r="M134" s="2586">
        <v>21</v>
      </c>
      <c r="N134" s="2586">
        <v>21</v>
      </c>
      <c r="O134" s="1839">
        <v>21</v>
      </c>
      <c r="P134" s="1839">
        <v>21</v>
      </c>
      <c r="Q134" s="1839">
        <v>21</v>
      </c>
      <c r="R134" s="1839">
        <v>21</v>
      </c>
      <c r="S134" s="1839">
        <v>21</v>
      </c>
      <c r="T134" s="1839" t="s">
        <v>35</v>
      </c>
      <c r="U134" s="1839" t="s">
        <v>35</v>
      </c>
      <c r="V134" s="1839" t="s">
        <v>35</v>
      </c>
      <c r="W134" s="2720" t="s">
        <v>35</v>
      </c>
      <c r="X134" s="1839" t="s">
        <v>35</v>
      </c>
      <c r="Y134" s="1839"/>
      <c r="Z134" s="2720"/>
      <c r="AA134" s="1839">
        <v>22</v>
      </c>
      <c r="AB134" s="1839">
        <v>22</v>
      </c>
      <c r="AC134" s="1839">
        <v>22</v>
      </c>
      <c r="AD134" s="1839">
        <v>22</v>
      </c>
      <c r="AE134" s="1839">
        <v>22</v>
      </c>
      <c r="AF134" s="1839">
        <v>22</v>
      </c>
      <c r="AG134" s="1843"/>
      <c r="AH134" s="76"/>
      <c r="AI134" s="76"/>
    </row>
    <row r="135" spans="1:35" ht="24" customHeight="1">
      <c r="A135" s="3147">
        <v>2</v>
      </c>
      <c r="B135" s="3148" t="s">
        <v>212</v>
      </c>
      <c r="C135" s="3149">
        <v>21</v>
      </c>
      <c r="D135" s="3149">
        <v>21</v>
      </c>
      <c r="E135" s="3149">
        <v>21</v>
      </c>
      <c r="F135" s="3149" t="s">
        <v>35</v>
      </c>
      <c r="G135" s="3149" t="s">
        <v>35</v>
      </c>
      <c r="H135" s="3149" t="s">
        <v>35</v>
      </c>
      <c r="I135" s="3150" t="s">
        <v>35</v>
      </c>
      <c r="J135" s="3149" t="s">
        <v>35</v>
      </c>
      <c r="K135" s="3149"/>
      <c r="L135" s="3150"/>
      <c r="M135" s="3151">
        <v>22</v>
      </c>
      <c r="N135" s="3151">
        <v>22</v>
      </c>
      <c r="O135" s="3151">
        <v>22</v>
      </c>
      <c r="P135" s="3151">
        <v>22</v>
      </c>
      <c r="Q135" s="3151">
        <v>22</v>
      </c>
      <c r="R135" s="3151">
        <v>22</v>
      </c>
      <c r="S135" s="3151">
        <v>22</v>
      </c>
      <c r="T135" s="3152" t="s">
        <v>35</v>
      </c>
      <c r="U135" s="3152" t="s">
        <v>35</v>
      </c>
      <c r="V135" s="3152" t="s">
        <v>35</v>
      </c>
      <c r="W135" s="3150" t="s">
        <v>35</v>
      </c>
      <c r="X135" s="3149" t="s">
        <v>35</v>
      </c>
      <c r="Y135" s="3149"/>
      <c r="Z135" s="3150"/>
      <c r="AA135" s="3151">
        <v>23</v>
      </c>
      <c r="AB135" s="3151">
        <v>23</v>
      </c>
      <c r="AC135" s="3151">
        <v>23</v>
      </c>
      <c r="AD135" s="3151">
        <v>23</v>
      </c>
      <c r="AE135" s="3151">
        <v>23</v>
      </c>
      <c r="AF135" s="3151">
        <v>23</v>
      </c>
      <c r="AG135" s="2531"/>
      <c r="AH135" s="76"/>
      <c r="AI135" s="76"/>
    </row>
    <row r="136" spans="1:35" ht="24" customHeight="1">
      <c r="A136" s="3147">
        <v>3</v>
      </c>
      <c r="B136" s="3148" t="s">
        <v>213</v>
      </c>
      <c r="C136" s="3149">
        <v>22</v>
      </c>
      <c r="D136" s="3149">
        <v>22</v>
      </c>
      <c r="E136" s="3149">
        <v>22</v>
      </c>
      <c r="F136" s="3149" t="s">
        <v>35</v>
      </c>
      <c r="G136" s="3152" t="s">
        <v>35</v>
      </c>
      <c r="H136" s="3152" t="s">
        <v>35</v>
      </c>
      <c r="I136" s="3150" t="s">
        <v>35</v>
      </c>
      <c r="J136" s="3149" t="s">
        <v>35</v>
      </c>
      <c r="K136" s="3149"/>
      <c r="L136" s="3150"/>
      <c r="M136" s="3149">
        <v>23</v>
      </c>
      <c r="N136" s="3149">
        <v>23</v>
      </c>
      <c r="O136" s="3149">
        <v>23</v>
      </c>
      <c r="P136" s="3149">
        <v>23</v>
      </c>
      <c r="Q136" s="3153">
        <v>23</v>
      </c>
      <c r="R136" s="3154">
        <v>23</v>
      </c>
      <c r="S136" s="3154">
        <v>23</v>
      </c>
      <c r="T136" s="3149" t="s">
        <v>35</v>
      </c>
      <c r="U136" s="3152" t="s">
        <v>35</v>
      </c>
      <c r="V136" s="3152" t="s">
        <v>35</v>
      </c>
      <c r="W136" s="3150" t="s">
        <v>35</v>
      </c>
      <c r="X136" s="3149" t="s">
        <v>35</v>
      </c>
      <c r="Y136" s="3149"/>
      <c r="Z136" s="3150"/>
      <c r="AA136" s="3149">
        <v>21</v>
      </c>
      <c r="AB136" s="3149">
        <v>21</v>
      </c>
      <c r="AC136" s="3149">
        <v>21</v>
      </c>
      <c r="AD136" s="3149">
        <v>21</v>
      </c>
      <c r="AE136" s="3149">
        <v>21</v>
      </c>
      <c r="AF136" s="3149">
        <v>21</v>
      </c>
      <c r="AG136" s="2531"/>
      <c r="AH136" s="76"/>
      <c r="AI136" s="76"/>
    </row>
    <row r="137" spans="1:35" ht="24" customHeight="1">
      <c r="A137" s="3147">
        <v>4</v>
      </c>
      <c r="B137" s="3148" t="s">
        <v>214</v>
      </c>
      <c r="C137" s="3149" t="s">
        <v>35</v>
      </c>
      <c r="D137" s="3149"/>
      <c r="E137" s="3150"/>
      <c r="F137" s="3149">
        <v>23</v>
      </c>
      <c r="G137" s="3149">
        <v>23</v>
      </c>
      <c r="H137" s="3149">
        <v>23</v>
      </c>
      <c r="I137" s="3149">
        <v>23</v>
      </c>
      <c r="J137" s="3149">
        <v>23</v>
      </c>
      <c r="K137" s="3149">
        <v>23</v>
      </c>
      <c r="L137" s="3149">
        <v>23</v>
      </c>
      <c r="M137" s="3149" t="s">
        <v>35</v>
      </c>
      <c r="N137" s="3149" t="s">
        <v>35</v>
      </c>
      <c r="O137" s="3155" t="s">
        <v>35</v>
      </c>
      <c r="P137" s="3150" t="s">
        <v>35</v>
      </c>
      <c r="Q137" s="3149" t="s">
        <v>35</v>
      </c>
      <c r="R137" s="3149"/>
      <c r="S137" s="3150"/>
      <c r="T137" s="3149">
        <v>21</v>
      </c>
      <c r="U137" s="3149">
        <v>21</v>
      </c>
      <c r="V137" s="3149">
        <v>21</v>
      </c>
      <c r="W137" s="3149">
        <v>21</v>
      </c>
      <c r="X137" s="3149">
        <v>21</v>
      </c>
      <c r="Y137" s="3149">
        <v>21</v>
      </c>
      <c r="Z137" s="3149">
        <v>21</v>
      </c>
      <c r="AA137" s="3149" t="s">
        <v>35</v>
      </c>
      <c r="AB137" s="3149" t="s">
        <v>35</v>
      </c>
      <c r="AC137" s="3149" t="s">
        <v>35</v>
      </c>
      <c r="AD137" s="3150" t="s">
        <v>35</v>
      </c>
      <c r="AE137" s="3149" t="s">
        <v>35</v>
      </c>
      <c r="AF137" s="3149"/>
      <c r="AG137" s="2604"/>
      <c r="AH137" s="76"/>
      <c r="AI137" s="76"/>
    </row>
    <row r="138" spans="1:35" ht="24" customHeight="1">
      <c r="A138" s="3147">
        <v>5</v>
      </c>
      <c r="B138" s="3148" t="s">
        <v>216</v>
      </c>
      <c r="C138" s="3149" t="s">
        <v>35</v>
      </c>
      <c r="D138" s="3149"/>
      <c r="E138" s="3150"/>
      <c r="F138" s="3151">
        <v>21</v>
      </c>
      <c r="G138" s="3149">
        <v>21</v>
      </c>
      <c r="H138" s="3156">
        <v>21</v>
      </c>
      <c r="I138" s="3157">
        <v>21</v>
      </c>
      <c r="J138" s="3157">
        <v>21</v>
      </c>
      <c r="K138" s="3157">
        <v>21</v>
      </c>
      <c r="L138" s="3157">
        <v>21</v>
      </c>
      <c r="M138" s="3149" t="s">
        <v>35</v>
      </c>
      <c r="N138" s="3149" t="s">
        <v>35</v>
      </c>
      <c r="O138" s="3149" t="s">
        <v>35</v>
      </c>
      <c r="P138" s="3150" t="s">
        <v>35</v>
      </c>
      <c r="Q138" s="3149" t="s">
        <v>35</v>
      </c>
      <c r="R138" s="3149"/>
      <c r="S138" s="3150"/>
      <c r="T138" s="3149">
        <v>22</v>
      </c>
      <c r="U138" s="3149">
        <v>22</v>
      </c>
      <c r="V138" s="3149">
        <v>22</v>
      </c>
      <c r="W138" s="3149">
        <v>22</v>
      </c>
      <c r="X138" s="3149">
        <v>22</v>
      </c>
      <c r="Y138" s="3149">
        <v>22</v>
      </c>
      <c r="Z138" s="3149">
        <v>22</v>
      </c>
      <c r="AA138" s="3149" t="s">
        <v>35</v>
      </c>
      <c r="AB138" s="3149" t="s">
        <v>35</v>
      </c>
      <c r="AC138" s="3152" t="s">
        <v>35</v>
      </c>
      <c r="AD138" s="3152" t="s">
        <v>35</v>
      </c>
      <c r="AE138" s="3152" t="s">
        <v>35</v>
      </c>
      <c r="AF138" s="3149" t="s">
        <v>69</v>
      </c>
      <c r="AG138" s="2604"/>
      <c r="AH138" s="76"/>
      <c r="AI138" s="76"/>
    </row>
    <row r="139" spans="1:35" ht="24" customHeight="1" thickBot="1">
      <c r="A139" s="405">
        <v>6</v>
      </c>
      <c r="B139" s="406" t="s">
        <v>217</v>
      </c>
      <c r="C139" s="418" t="s">
        <v>35</v>
      </c>
      <c r="D139" s="418"/>
      <c r="E139" s="408"/>
      <c r="F139" s="418">
        <v>22</v>
      </c>
      <c r="G139" s="418">
        <v>22</v>
      </c>
      <c r="H139" s="409">
        <v>22</v>
      </c>
      <c r="I139" s="409">
        <v>22</v>
      </c>
      <c r="J139" s="409">
        <v>22</v>
      </c>
      <c r="K139" s="409">
        <v>22</v>
      </c>
      <c r="L139" s="409">
        <v>22</v>
      </c>
      <c r="M139" s="409" t="s">
        <v>35</v>
      </c>
      <c r="N139" s="410" t="s">
        <v>35</v>
      </c>
      <c r="O139" s="410" t="s">
        <v>35</v>
      </c>
      <c r="P139" s="408" t="s">
        <v>35</v>
      </c>
      <c r="Q139" s="418" t="s">
        <v>35</v>
      </c>
      <c r="R139" s="418"/>
      <c r="S139" s="408"/>
      <c r="T139" s="418">
        <v>23</v>
      </c>
      <c r="U139" s="433">
        <v>23</v>
      </c>
      <c r="V139" s="433">
        <v>23</v>
      </c>
      <c r="W139" s="433" t="s">
        <v>364</v>
      </c>
      <c r="X139" s="423">
        <v>23</v>
      </c>
      <c r="Y139" s="423">
        <v>23</v>
      </c>
      <c r="Z139" s="423">
        <v>23</v>
      </c>
      <c r="AA139" s="418" t="s">
        <v>35</v>
      </c>
      <c r="AB139" s="410" t="s">
        <v>35</v>
      </c>
      <c r="AC139" s="410" t="s">
        <v>35</v>
      </c>
      <c r="AD139" s="408" t="s">
        <v>35</v>
      </c>
      <c r="AE139" s="418" t="s">
        <v>35</v>
      </c>
      <c r="AF139" s="418"/>
      <c r="AG139" s="90"/>
      <c r="AH139" s="76"/>
      <c r="AI139" s="76"/>
    </row>
    <row r="140" spans="1:35" ht="24" customHeight="1">
      <c r="A140" s="36"/>
      <c r="B140" s="87"/>
      <c r="C140" s="91"/>
      <c r="D140" s="91"/>
      <c r="E140" s="85"/>
      <c r="F140" s="91"/>
      <c r="G140" s="91"/>
      <c r="H140" s="91"/>
      <c r="I140" s="91"/>
      <c r="J140" s="91"/>
      <c r="K140" s="91"/>
      <c r="L140" s="91"/>
      <c r="M140" s="91"/>
      <c r="N140" s="91"/>
      <c r="O140" s="91"/>
      <c r="P140" s="85"/>
      <c r="Q140" s="91"/>
      <c r="R140" s="91"/>
      <c r="S140" s="85"/>
      <c r="T140" s="91"/>
      <c r="U140" s="91"/>
      <c r="V140" s="91"/>
      <c r="W140" s="91"/>
      <c r="X140" s="91"/>
      <c r="Y140" s="91"/>
      <c r="Z140" s="91"/>
      <c r="AA140" s="91"/>
      <c r="AB140" s="91"/>
      <c r="AC140" s="92"/>
      <c r="AD140" s="92"/>
      <c r="AE140" s="92"/>
      <c r="AF140" s="91"/>
      <c r="AG140" s="85"/>
      <c r="AH140" s="76"/>
      <c r="AI140" s="76"/>
    </row>
    <row r="141" spans="1:35" ht="24" customHeight="1" thickBot="1">
      <c r="A141" s="14" t="s">
        <v>218</v>
      </c>
      <c r="D141" s="17"/>
      <c r="E141" s="17"/>
      <c r="F141" s="17"/>
      <c r="G141" s="80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</row>
    <row r="142" spans="1:35" ht="24" customHeight="1">
      <c r="A142" s="1"/>
      <c r="B142" s="900" t="s">
        <v>186</v>
      </c>
      <c r="C142" s="901"/>
      <c r="D142" s="925" t="s">
        <v>87</v>
      </c>
      <c r="E142" s="705"/>
      <c r="F142" s="905"/>
      <c r="G142" s="901"/>
      <c r="H142" s="925" t="s">
        <v>88</v>
      </c>
      <c r="I142" s="705"/>
      <c r="J142" s="905"/>
      <c r="K142" s="901"/>
      <c r="L142" s="925" t="s">
        <v>89</v>
      </c>
      <c r="M142" s="705"/>
      <c r="N142" s="905"/>
      <c r="O142" s="901"/>
      <c r="P142" s="925" t="s">
        <v>90</v>
      </c>
      <c r="Q142" s="705"/>
      <c r="R142" s="905"/>
      <c r="S142" s="901"/>
      <c r="T142" s="925" t="s">
        <v>91</v>
      </c>
      <c r="U142" s="705"/>
      <c r="V142" s="905"/>
      <c r="W142" s="901"/>
      <c r="X142" s="925" t="s">
        <v>92</v>
      </c>
      <c r="Y142" s="705"/>
      <c r="Z142" s="905"/>
      <c r="AA142" s="901"/>
      <c r="AB142" s="925" t="s">
        <v>93</v>
      </c>
      <c r="AC142" s="705"/>
      <c r="AD142" s="705"/>
      <c r="AE142" s="928" t="s">
        <v>94</v>
      </c>
      <c r="AF142" s="705"/>
      <c r="AG142" s="705"/>
      <c r="AH142" s="705"/>
      <c r="AI142" s="706"/>
    </row>
    <row r="143" spans="1:35" ht="24" customHeight="1">
      <c r="A143" s="1"/>
      <c r="B143" s="3107" t="s">
        <v>159</v>
      </c>
      <c r="C143" s="3013" t="s">
        <v>368</v>
      </c>
      <c r="D143" s="2906"/>
      <c r="E143" s="2906"/>
      <c r="F143" s="3110"/>
      <c r="G143" s="3013" t="s">
        <v>368</v>
      </c>
      <c r="H143" s="2906"/>
      <c r="I143" s="2906"/>
      <c r="J143" s="3110"/>
      <c r="K143" s="3013" t="s">
        <v>368</v>
      </c>
      <c r="L143" s="2906"/>
      <c r="M143" s="2906"/>
      <c r="N143" s="3110"/>
      <c r="O143" s="3013" t="s">
        <v>195</v>
      </c>
      <c r="P143" s="2906"/>
      <c r="Q143" s="2906"/>
      <c r="R143" s="3110"/>
      <c r="S143" s="3013" t="s">
        <v>172</v>
      </c>
      <c r="T143" s="2906"/>
      <c r="U143" s="2906"/>
      <c r="V143" s="3110"/>
      <c r="W143" s="3158"/>
      <c r="X143" s="3159"/>
      <c r="Y143" s="3159"/>
      <c r="Z143" s="3112"/>
      <c r="AA143" s="3108"/>
      <c r="AB143" s="2906"/>
      <c r="AC143" s="2906"/>
      <c r="AD143" s="3014"/>
      <c r="AE143" s="3113">
        <v>27</v>
      </c>
      <c r="AF143" s="2906"/>
      <c r="AG143" s="2906"/>
      <c r="AH143" s="3014"/>
      <c r="AI143" s="2915"/>
    </row>
    <row r="144" spans="1:35" ht="24" customHeight="1">
      <c r="A144" s="1"/>
      <c r="B144" s="3107" t="s">
        <v>163</v>
      </c>
      <c r="C144" s="3013" t="s">
        <v>188</v>
      </c>
      <c r="D144" s="2906"/>
      <c r="E144" s="2906"/>
      <c r="F144" s="3110"/>
      <c r="G144" s="3013" t="s">
        <v>188</v>
      </c>
      <c r="H144" s="2906"/>
      <c r="I144" s="2906"/>
      <c r="J144" s="3110"/>
      <c r="K144" s="3013" t="s">
        <v>188</v>
      </c>
      <c r="L144" s="2906"/>
      <c r="M144" s="2906"/>
      <c r="N144" s="3110"/>
      <c r="O144" s="3013" t="s">
        <v>188</v>
      </c>
      <c r="P144" s="2906"/>
      <c r="Q144" s="2906"/>
      <c r="R144" s="3110"/>
      <c r="S144" s="3013" t="s">
        <v>368</v>
      </c>
      <c r="T144" s="2906"/>
      <c r="U144" s="2906"/>
      <c r="V144" s="3110"/>
      <c r="W144" s="3013"/>
      <c r="X144" s="2906"/>
      <c r="Y144" s="2906"/>
      <c r="Z144" s="3110"/>
      <c r="AA144" s="2906"/>
      <c r="AB144" s="2906"/>
      <c r="AC144" s="2906"/>
      <c r="AD144" s="3014"/>
      <c r="AE144" s="3113">
        <v>39</v>
      </c>
      <c r="AF144" s="2906"/>
      <c r="AG144" s="2906"/>
      <c r="AH144" s="3014"/>
      <c r="AI144" s="2915"/>
    </row>
    <row r="145" spans="1:35" ht="24" customHeight="1">
      <c r="A145" s="1"/>
      <c r="B145" s="3107" t="s">
        <v>171</v>
      </c>
      <c r="C145" s="3013" t="s">
        <v>188</v>
      </c>
      <c r="D145" s="2906"/>
      <c r="E145" s="2906"/>
      <c r="F145" s="3110"/>
      <c r="G145" s="3013" t="s">
        <v>188</v>
      </c>
      <c r="H145" s="2906"/>
      <c r="I145" s="2906"/>
      <c r="J145" s="3110"/>
      <c r="K145" s="3013" t="s">
        <v>188</v>
      </c>
      <c r="L145" s="2906"/>
      <c r="M145" s="2906"/>
      <c r="N145" s="3110"/>
      <c r="O145" s="3013" t="s">
        <v>188</v>
      </c>
      <c r="P145" s="2906"/>
      <c r="Q145" s="2906"/>
      <c r="R145" s="3110"/>
      <c r="S145" s="3013" t="s">
        <v>188</v>
      </c>
      <c r="T145" s="2906"/>
      <c r="U145" s="2906"/>
      <c r="V145" s="3110"/>
      <c r="W145" s="3016" t="s">
        <v>221</v>
      </c>
      <c r="X145" s="2919"/>
      <c r="Y145" s="2919"/>
      <c r="Z145" s="3117"/>
      <c r="AA145" s="3115"/>
      <c r="AB145" s="2919"/>
      <c r="AC145" s="2919"/>
      <c r="AD145" s="3017"/>
      <c r="AE145" s="3113">
        <v>45</v>
      </c>
      <c r="AF145" s="2906"/>
      <c r="AG145" s="2906"/>
      <c r="AH145" s="3014"/>
      <c r="AI145" s="2915"/>
    </row>
    <row r="146" spans="1:35" ht="24" customHeight="1" thickBot="1">
      <c r="A146" s="1"/>
      <c r="B146" s="2725" t="s">
        <v>173</v>
      </c>
      <c r="C146" s="3142"/>
      <c r="D146" s="2969"/>
      <c r="E146" s="2969"/>
      <c r="F146" s="3144"/>
      <c r="G146" s="3142"/>
      <c r="H146" s="2969"/>
      <c r="I146" s="2969"/>
      <c r="J146" s="3144"/>
      <c r="K146" s="3142"/>
      <c r="L146" s="2969"/>
      <c r="M146" s="2969"/>
      <c r="N146" s="3144"/>
      <c r="O146" s="3142"/>
      <c r="P146" s="2969"/>
      <c r="Q146" s="2969"/>
      <c r="R146" s="3144"/>
      <c r="S146" s="3142"/>
      <c r="T146" s="2969"/>
      <c r="U146" s="2969"/>
      <c r="V146" s="3128"/>
      <c r="W146" s="3142"/>
      <c r="X146" s="3128"/>
      <c r="Y146" s="2969"/>
      <c r="Z146" s="3144"/>
      <c r="AA146" s="3142"/>
      <c r="AB146" s="3128"/>
      <c r="AC146" s="2969"/>
      <c r="AD146" s="3144"/>
      <c r="AE146" s="3160"/>
      <c r="AF146" s="2969"/>
      <c r="AG146" s="2969"/>
      <c r="AH146" s="3128"/>
      <c r="AI146" s="2976"/>
    </row>
    <row r="147" spans="1:35" ht="24" customHeight="1">
      <c r="A147" s="82"/>
      <c r="B147" s="1" t="s">
        <v>453</v>
      </c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  <c r="AG147" s="17"/>
    </row>
    <row r="148" spans="1:35" ht="24" customHeight="1" thickBot="1">
      <c r="A148" s="3025"/>
      <c r="B148" s="2978" t="s">
        <v>29</v>
      </c>
      <c r="C148" s="2924">
        <v>1</v>
      </c>
      <c r="D148" s="2925">
        <v>2</v>
      </c>
      <c r="E148" s="2925">
        <v>3</v>
      </c>
      <c r="F148" s="2924">
        <v>4</v>
      </c>
      <c r="G148" s="2924">
        <v>5</v>
      </c>
      <c r="H148" s="2924">
        <v>6</v>
      </c>
      <c r="I148" s="2924">
        <v>7</v>
      </c>
      <c r="J148" s="2924">
        <v>8</v>
      </c>
      <c r="K148" s="2925">
        <v>9</v>
      </c>
      <c r="L148" s="2925">
        <v>10</v>
      </c>
      <c r="M148" s="2924">
        <v>11</v>
      </c>
      <c r="N148" s="2924">
        <v>12</v>
      </c>
      <c r="O148" s="2924">
        <v>13</v>
      </c>
      <c r="P148" s="2924">
        <v>14</v>
      </c>
      <c r="Q148" s="2924">
        <v>15</v>
      </c>
      <c r="R148" s="2925">
        <v>16</v>
      </c>
      <c r="S148" s="2925">
        <v>17</v>
      </c>
      <c r="T148" s="2924">
        <v>18</v>
      </c>
      <c r="U148" s="2924">
        <v>19</v>
      </c>
      <c r="V148" s="2924">
        <v>20</v>
      </c>
      <c r="W148" s="2924">
        <v>21</v>
      </c>
      <c r="X148" s="2924">
        <v>22</v>
      </c>
      <c r="Y148" s="2925">
        <v>23</v>
      </c>
      <c r="Z148" s="2925">
        <v>24</v>
      </c>
      <c r="AA148" s="2924">
        <v>25</v>
      </c>
      <c r="AB148" s="2924">
        <v>26</v>
      </c>
      <c r="AC148" s="2924">
        <v>27</v>
      </c>
      <c r="AD148" s="2924">
        <v>28</v>
      </c>
      <c r="AE148" s="2924">
        <v>29</v>
      </c>
      <c r="AF148" s="2925">
        <v>30</v>
      </c>
      <c r="AG148" s="2926"/>
      <c r="AH148" s="23"/>
      <c r="AI148" s="24"/>
    </row>
    <row r="149" spans="1:35" ht="24" customHeight="1">
      <c r="A149" s="2703">
        <v>1</v>
      </c>
      <c r="B149" s="2727" t="s">
        <v>223</v>
      </c>
      <c r="C149" s="1818" t="s">
        <v>31</v>
      </c>
      <c r="D149" s="2728"/>
      <c r="E149" s="2728"/>
      <c r="F149" s="2728" t="s">
        <v>31</v>
      </c>
      <c r="G149" s="2728" t="s">
        <v>31</v>
      </c>
      <c r="H149" s="2728" t="s">
        <v>31</v>
      </c>
      <c r="I149" s="2728" t="s">
        <v>31</v>
      </c>
      <c r="J149" s="1818" t="s">
        <v>31</v>
      </c>
      <c r="K149" s="2728"/>
      <c r="L149" s="2728"/>
      <c r="M149" s="2728" t="s">
        <v>31</v>
      </c>
      <c r="N149" s="2728" t="s">
        <v>31</v>
      </c>
      <c r="O149" s="2728" t="s">
        <v>31</v>
      </c>
      <c r="P149" s="2728" t="s">
        <v>31</v>
      </c>
      <c r="Q149" s="1818" t="s">
        <v>31</v>
      </c>
      <c r="R149" s="2728"/>
      <c r="S149" s="2728"/>
      <c r="T149" s="2728" t="s">
        <v>31</v>
      </c>
      <c r="U149" s="2728" t="s">
        <v>31</v>
      </c>
      <c r="V149" s="2728" t="s">
        <v>31</v>
      </c>
      <c r="W149" s="2728" t="s">
        <v>31</v>
      </c>
      <c r="X149" s="1818" t="s">
        <v>31</v>
      </c>
      <c r="Y149" s="2728"/>
      <c r="Z149" s="2728"/>
      <c r="AA149" s="1817" t="s">
        <v>31</v>
      </c>
      <c r="AB149" s="1818" t="s">
        <v>31</v>
      </c>
      <c r="AC149" s="2566" t="s">
        <v>31</v>
      </c>
      <c r="AD149" s="2566" t="s">
        <v>31</v>
      </c>
      <c r="AE149" s="2566" t="s">
        <v>31</v>
      </c>
      <c r="AF149" s="2566"/>
      <c r="AG149" s="2729"/>
      <c r="AH149" s="34"/>
      <c r="AI149" s="25"/>
    </row>
    <row r="150" spans="1:35" ht="24" customHeight="1">
      <c r="A150" s="3130">
        <v>2</v>
      </c>
      <c r="B150" s="3161" t="s">
        <v>224</v>
      </c>
      <c r="C150" s="3162" t="s">
        <v>115</v>
      </c>
      <c r="D150" s="3163" t="s">
        <v>115</v>
      </c>
      <c r="E150" s="3162"/>
      <c r="F150" s="3162" t="s">
        <v>225</v>
      </c>
      <c r="G150" s="3162" t="s">
        <v>225</v>
      </c>
      <c r="H150" s="3162" t="s">
        <v>225</v>
      </c>
      <c r="I150" s="3162" t="s">
        <v>225</v>
      </c>
      <c r="J150" s="3162" t="s">
        <v>35</v>
      </c>
      <c r="K150" s="3162"/>
      <c r="L150" s="3162"/>
      <c r="M150" s="3162" t="s">
        <v>114</v>
      </c>
      <c r="N150" s="3162" t="s">
        <v>114</v>
      </c>
      <c r="O150" s="3162" t="s">
        <v>114</v>
      </c>
      <c r="P150" s="3162" t="s">
        <v>114</v>
      </c>
      <c r="Q150" s="3162" t="s">
        <v>114</v>
      </c>
      <c r="R150" s="3162"/>
      <c r="S150" s="3162"/>
      <c r="T150" s="3162" t="s">
        <v>115</v>
      </c>
      <c r="U150" s="3162" t="s">
        <v>115</v>
      </c>
      <c r="V150" s="3162" t="s">
        <v>115</v>
      </c>
      <c r="W150" s="3162" t="s">
        <v>115</v>
      </c>
      <c r="X150" s="3162" t="s">
        <v>115</v>
      </c>
      <c r="Y150" s="3163" t="s">
        <v>115</v>
      </c>
      <c r="Z150" s="3162"/>
      <c r="AA150" s="3162" t="s">
        <v>225</v>
      </c>
      <c r="AB150" s="3162" t="s">
        <v>225</v>
      </c>
      <c r="AC150" s="3162" t="s">
        <v>225</v>
      </c>
      <c r="AD150" s="3162" t="s">
        <v>225</v>
      </c>
      <c r="AE150" s="3162" t="s">
        <v>35</v>
      </c>
      <c r="AF150" s="3162"/>
      <c r="AG150" s="3164"/>
      <c r="AH150" s="34"/>
      <c r="AI150" s="25"/>
    </row>
    <row r="151" spans="1:35" ht="24" customHeight="1">
      <c r="A151" s="3130">
        <v>3</v>
      </c>
      <c r="B151" s="3165" t="s">
        <v>444</v>
      </c>
      <c r="C151" s="3162" t="s">
        <v>35</v>
      </c>
      <c r="D151" s="3162"/>
      <c r="E151" s="3162"/>
      <c r="F151" s="3039" t="s">
        <v>114</v>
      </c>
      <c r="G151" s="3039" t="s">
        <v>114</v>
      </c>
      <c r="H151" s="3039" t="s">
        <v>114</v>
      </c>
      <c r="I151" s="3039" t="s">
        <v>114</v>
      </c>
      <c r="J151" s="3039" t="s">
        <v>114</v>
      </c>
      <c r="K151" s="3039"/>
      <c r="L151" s="3039"/>
      <c r="M151" s="3039" t="s">
        <v>115</v>
      </c>
      <c r="N151" s="3039" t="s">
        <v>115</v>
      </c>
      <c r="O151" s="3166" t="s">
        <v>115</v>
      </c>
      <c r="P151" s="3166" t="s">
        <v>115</v>
      </c>
      <c r="Q151" s="3166" t="s">
        <v>115</v>
      </c>
      <c r="R151" s="3166" t="s">
        <v>115</v>
      </c>
      <c r="S151" s="3166"/>
      <c r="T151" s="3166" t="s">
        <v>225</v>
      </c>
      <c r="U151" s="3167" t="s">
        <v>225</v>
      </c>
      <c r="V151" s="3167" t="s">
        <v>225</v>
      </c>
      <c r="W151" s="3167" t="s">
        <v>225</v>
      </c>
      <c r="X151" s="3167" t="s">
        <v>35</v>
      </c>
      <c r="Y151" s="2932"/>
      <c r="Z151" s="2932"/>
      <c r="AA151" s="2932" t="s">
        <v>114</v>
      </c>
      <c r="AB151" s="2932" t="s">
        <v>114</v>
      </c>
      <c r="AC151" s="2932" t="s">
        <v>114</v>
      </c>
      <c r="AD151" s="2932" t="s">
        <v>114</v>
      </c>
      <c r="AE151" s="2932" t="s">
        <v>114</v>
      </c>
      <c r="AF151" s="2932"/>
      <c r="AG151" s="3164"/>
      <c r="AH151" s="34"/>
      <c r="AI151" s="25"/>
    </row>
    <row r="152" spans="1:35" ht="24" customHeight="1">
      <c r="A152" s="3130">
        <v>4</v>
      </c>
      <c r="B152" s="3165" t="s">
        <v>227</v>
      </c>
      <c r="C152" s="3162" t="s">
        <v>31</v>
      </c>
      <c r="D152" s="3162"/>
      <c r="E152" s="3162"/>
      <c r="F152" s="2840"/>
      <c r="G152" s="2840" t="s">
        <v>31</v>
      </c>
      <c r="H152" s="2840"/>
      <c r="I152" s="2840"/>
      <c r="J152" s="2840" t="s">
        <v>31</v>
      </c>
      <c r="K152" s="2840" t="s">
        <v>115</v>
      </c>
      <c r="L152" s="3162"/>
      <c r="M152" s="2840"/>
      <c r="N152" s="2840" t="s">
        <v>31</v>
      </c>
      <c r="O152" s="2840" t="s">
        <v>31</v>
      </c>
      <c r="P152" s="2840"/>
      <c r="Q152" s="2933" t="s">
        <v>304</v>
      </c>
      <c r="R152" s="2936"/>
      <c r="S152" s="2936"/>
      <c r="T152" s="2936"/>
      <c r="U152" s="2936" t="s">
        <v>31</v>
      </c>
      <c r="V152" s="2840" t="s">
        <v>31</v>
      </c>
      <c r="W152" s="2840"/>
      <c r="X152" s="2840" t="s">
        <v>31</v>
      </c>
      <c r="Y152" s="3162"/>
      <c r="Z152" s="3162"/>
      <c r="AA152" s="2840"/>
      <c r="AB152" s="2840" t="s">
        <v>31</v>
      </c>
      <c r="AC152" s="2840"/>
      <c r="AD152" s="2840"/>
      <c r="AE152" s="2840" t="s">
        <v>31</v>
      </c>
      <c r="AF152" s="2840" t="s">
        <v>115</v>
      </c>
      <c r="AG152" s="3164"/>
      <c r="AH152" s="34"/>
      <c r="AI152" s="25"/>
    </row>
    <row r="153" spans="1:35" ht="24" customHeight="1">
      <c r="A153" s="3130">
        <v>5</v>
      </c>
      <c r="B153" s="3165" t="s">
        <v>228</v>
      </c>
      <c r="C153" s="3162"/>
      <c r="D153" s="3162"/>
      <c r="E153" s="3162"/>
      <c r="F153" s="3162"/>
      <c r="G153" s="3162" t="s">
        <v>31</v>
      </c>
      <c r="H153" s="3162"/>
      <c r="I153" s="3162" t="s">
        <v>31</v>
      </c>
      <c r="J153" s="3162"/>
      <c r="K153" s="3162"/>
      <c r="L153" s="3162"/>
      <c r="M153" s="3162"/>
      <c r="N153" s="3162" t="s">
        <v>31</v>
      </c>
      <c r="O153" s="3162"/>
      <c r="P153" s="3162" t="s">
        <v>31</v>
      </c>
      <c r="Q153" s="3162"/>
      <c r="R153" s="3162"/>
      <c r="S153" s="3162"/>
      <c r="T153" s="3162"/>
      <c r="U153" s="3162" t="s">
        <v>31</v>
      </c>
      <c r="V153" s="3162"/>
      <c r="W153" s="3162" t="s">
        <v>31</v>
      </c>
      <c r="X153" s="3162"/>
      <c r="Y153" s="3162"/>
      <c r="Z153" s="3162"/>
      <c r="AA153" s="3162"/>
      <c r="AB153" s="3162" t="s">
        <v>31</v>
      </c>
      <c r="AC153" s="3162"/>
      <c r="AD153" s="3162" t="s">
        <v>31</v>
      </c>
      <c r="AE153" s="3162"/>
      <c r="AF153" s="3162"/>
      <c r="AG153" s="3164"/>
      <c r="AH153" s="34"/>
      <c r="AI153" s="25"/>
    </row>
    <row r="154" spans="1:35" ht="24" customHeight="1">
      <c r="A154" s="3168">
        <v>6</v>
      </c>
      <c r="B154" s="3169" t="s">
        <v>229</v>
      </c>
      <c r="C154" s="3170" t="s">
        <v>31</v>
      </c>
      <c r="D154" s="3170"/>
      <c r="E154" s="3170"/>
      <c r="F154" s="3170" t="s">
        <v>31</v>
      </c>
      <c r="G154" s="3170" t="s">
        <v>31</v>
      </c>
      <c r="H154" s="3170" t="s">
        <v>31</v>
      </c>
      <c r="I154" s="3170" t="s">
        <v>31</v>
      </c>
      <c r="J154" s="3171" t="s">
        <v>31</v>
      </c>
      <c r="K154" s="3170"/>
      <c r="L154" s="3170"/>
      <c r="M154" s="3170" t="s">
        <v>31</v>
      </c>
      <c r="N154" s="3170" t="s">
        <v>31</v>
      </c>
      <c r="O154" s="3170" t="s">
        <v>31</v>
      </c>
      <c r="P154" s="3170" t="s">
        <v>31</v>
      </c>
      <c r="Q154" s="3170" t="s">
        <v>31</v>
      </c>
      <c r="R154" s="3170"/>
      <c r="S154" s="3170"/>
      <c r="T154" s="3048" t="s">
        <v>31</v>
      </c>
      <c r="U154" s="3048" t="s">
        <v>31</v>
      </c>
      <c r="V154" s="3172" t="s">
        <v>304</v>
      </c>
      <c r="W154" s="3008" t="s">
        <v>31</v>
      </c>
      <c r="X154" s="3008" t="s">
        <v>31</v>
      </c>
      <c r="Y154" s="3170"/>
      <c r="Z154" s="3170"/>
      <c r="AA154" s="3170" t="s">
        <v>31</v>
      </c>
      <c r="AB154" s="3170" t="s">
        <v>31</v>
      </c>
      <c r="AC154" s="3170" t="s">
        <v>31</v>
      </c>
      <c r="AD154" s="3170" t="s">
        <v>31</v>
      </c>
      <c r="AE154" s="3170" t="s">
        <v>31</v>
      </c>
      <c r="AF154" s="3170"/>
      <c r="AG154" s="3173"/>
      <c r="AH154" s="93"/>
      <c r="AI154" s="76"/>
    </row>
    <row r="155" spans="1:35" ht="24" customHeight="1">
      <c r="A155" s="3174"/>
      <c r="B155" s="2595" t="s">
        <v>432</v>
      </c>
      <c r="C155" s="3175"/>
      <c r="D155" s="3175"/>
      <c r="E155" s="3175"/>
      <c r="F155" s="3175"/>
      <c r="G155" s="3175"/>
      <c r="H155" s="3175"/>
      <c r="I155" s="3175"/>
      <c r="J155" s="3175"/>
      <c r="K155" s="3175"/>
      <c r="L155" s="3175"/>
      <c r="M155" s="3175"/>
      <c r="N155" s="3175"/>
      <c r="O155" s="3175"/>
      <c r="P155" s="3175"/>
      <c r="Q155" s="3175"/>
      <c r="R155" s="3175" t="s">
        <v>115</v>
      </c>
      <c r="S155" s="3175"/>
      <c r="T155" s="3175"/>
      <c r="U155" s="3175"/>
      <c r="V155" s="3175"/>
      <c r="W155" s="3175"/>
      <c r="X155" s="3175"/>
      <c r="Y155" s="3175"/>
      <c r="Z155" s="3175"/>
      <c r="AA155" s="3175"/>
      <c r="AB155" s="3175"/>
      <c r="AC155" s="3175"/>
      <c r="AD155" s="3175"/>
      <c r="AE155" s="3175"/>
      <c r="AF155" s="3175"/>
      <c r="AG155" s="3175"/>
      <c r="AH155" s="76"/>
      <c r="AI155" s="76"/>
    </row>
    <row r="156" spans="1:35" ht="24" customHeight="1" thickBot="1">
      <c r="A156" s="94" t="s">
        <v>230</v>
      </c>
      <c r="B156" s="17"/>
      <c r="C156" s="38" t="s">
        <v>96</v>
      </c>
      <c r="D156" s="17"/>
      <c r="E156" s="17"/>
      <c r="F156" s="38" t="s">
        <v>96</v>
      </c>
      <c r="G156" s="17"/>
      <c r="H156" s="17"/>
      <c r="I156" s="38" t="s">
        <v>96</v>
      </c>
      <c r="J156" s="38"/>
      <c r="K156" s="17"/>
      <c r="L156" s="38" t="s">
        <v>96</v>
      </c>
      <c r="M156" s="17"/>
      <c r="N156" s="17"/>
      <c r="O156" s="38" t="s">
        <v>96</v>
      </c>
      <c r="P156" s="17"/>
      <c r="Q156" s="38"/>
      <c r="R156" s="38" t="s">
        <v>96</v>
      </c>
      <c r="S156" s="17"/>
      <c r="T156" s="17"/>
      <c r="U156" s="38" t="s">
        <v>96</v>
      </c>
      <c r="V156" s="17"/>
      <c r="W156" s="38"/>
      <c r="X156" s="38"/>
      <c r="Y156" s="17"/>
      <c r="Z156" s="17"/>
      <c r="AA156" s="17"/>
      <c r="AB156" s="17"/>
      <c r="AC156" s="17"/>
      <c r="AD156" s="17"/>
      <c r="AE156" s="38"/>
      <c r="AF156" s="17"/>
      <c r="AG156" s="17"/>
      <c r="AH156" s="76"/>
      <c r="AI156" s="76"/>
    </row>
    <row r="157" spans="1:35" ht="24" customHeight="1">
      <c r="A157" s="36"/>
      <c r="B157" s="2735" t="s">
        <v>231</v>
      </c>
      <c r="C157" s="2736"/>
      <c r="D157" s="2737" t="s">
        <v>87</v>
      </c>
      <c r="E157" s="2738"/>
      <c r="F157" s="2739"/>
      <c r="G157" s="2740"/>
      <c r="H157" s="2737" t="s">
        <v>88</v>
      </c>
      <c r="I157" s="2738"/>
      <c r="J157" s="2739"/>
      <c r="K157" s="2740"/>
      <c r="L157" s="2737" t="s">
        <v>89</v>
      </c>
      <c r="M157" s="2738"/>
      <c r="N157" s="2739"/>
      <c r="O157" s="2740"/>
      <c r="P157" s="2737" t="s">
        <v>90</v>
      </c>
      <c r="Q157" s="2738"/>
      <c r="R157" s="2739"/>
      <c r="S157" s="2740"/>
      <c r="T157" s="2737" t="s">
        <v>91</v>
      </c>
      <c r="U157" s="2738"/>
      <c r="V157" s="2739"/>
      <c r="W157" s="2740"/>
      <c r="X157" s="2737" t="s">
        <v>92</v>
      </c>
      <c r="Y157" s="2738"/>
      <c r="Z157" s="2739"/>
      <c r="AA157" s="2740"/>
      <c r="AB157" s="2737" t="s">
        <v>93</v>
      </c>
      <c r="AC157" s="2738"/>
      <c r="AD157" s="2738"/>
      <c r="AE157" s="2741" t="s">
        <v>94</v>
      </c>
      <c r="AF157" s="2738"/>
      <c r="AG157" s="2738"/>
      <c r="AH157" s="2738"/>
      <c r="AI157" s="2742"/>
    </row>
    <row r="158" spans="1:35" ht="24" customHeight="1">
      <c r="A158" s="36"/>
      <c r="B158" s="2743" t="s">
        <v>232</v>
      </c>
      <c r="C158" s="2744" t="s">
        <v>233</v>
      </c>
      <c r="D158" s="3176" t="s">
        <v>369</v>
      </c>
      <c r="E158" s="3177"/>
      <c r="F158" s="3178"/>
      <c r="G158" s="2744"/>
      <c r="H158" s="3176" t="s">
        <v>369</v>
      </c>
      <c r="I158" s="3177"/>
      <c r="J158" s="3178"/>
      <c r="K158" s="2744"/>
      <c r="L158" s="3176" t="s">
        <v>369</v>
      </c>
      <c r="M158" s="3177"/>
      <c r="N158" s="3178"/>
      <c r="O158" s="2744"/>
      <c r="P158" s="3176" t="s">
        <v>370</v>
      </c>
      <c r="Q158" s="3177"/>
      <c r="R158" s="3178"/>
      <c r="S158" s="2744"/>
      <c r="T158" s="3176" t="s">
        <v>236</v>
      </c>
      <c r="U158" s="3177"/>
      <c r="V158" s="3178"/>
      <c r="W158" s="2744"/>
      <c r="X158" s="3177"/>
      <c r="Y158" s="3177"/>
      <c r="Z158" s="3178"/>
      <c r="AA158" s="2744"/>
      <c r="AB158" s="3177"/>
      <c r="AC158" s="3177"/>
      <c r="AD158" s="3177"/>
      <c r="AE158" s="2744"/>
      <c r="AF158" s="3177"/>
      <c r="AG158" s="3177"/>
      <c r="AH158" s="3179"/>
      <c r="AI158" s="2749"/>
    </row>
    <row r="159" spans="1:35" ht="24" customHeight="1">
      <c r="A159" s="36"/>
      <c r="B159" s="2750" t="s">
        <v>371</v>
      </c>
      <c r="C159" s="2744" t="s">
        <v>237</v>
      </c>
      <c r="D159" s="3176" t="s">
        <v>369</v>
      </c>
      <c r="E159" s="3177"/>
      <c r="F159" s="3178"/>
      <c r="G159" s="2744"/>
      <c r="H159" s="3176" t="s">
        <v>369</v>
      </c>
      <c r="I159" s="3177"/>
      <c r="J159" s="3178"/>
      <c r="K159" s="2744"/>
      <c r="L159" s="3176" t="s">
        <v>369</v>
      </c>
      <c r="M159" s="3177"/>
      <c r="N159" s="3178"/>
      <c r="O159" s="2744"/>
      <c r="P159" s="3176" t="s">
        <v>370</v>
      </c>
      <c r="Q159" s="3177"/>
      <c r="R159" s="3178"/>
      <c r="S159" s="2744"/>
      <c r="T159" s="3176" t="s">
        <v>236</v>
      </c>
      <c r="U159" s="3177"/>
      <c r="V159" s="3178"/>
      <c r="W159" s="2744"/>
      <c r="X159" s="3177"/>
      <c r="Y159" s="3177"/>
      <c r="Z159" s="3178"/>
      <c r="AA159" s="2744"/>
      <c r="AB159" s="3177"/>
      <c r="AC159" s="3177"/>
      <c r="AD159" s="3177"/>
      <c r="AE159" s="2744"/>
      <c r="AF159" s="3177"/>
      <c r="AG159" s="3177"/>
      <c r="AH159" s="3179"/>
      <c r="AI159" s="2749"/>
    </row>
    <row r="160" spans="1:35" ht="24" customHeight="1">
      <c r="A160" s="36"/>
      <c r="B160" s="2750" t="s">
        <v>238</v>
      </c>
      <c r="C160" s="2744" t="s">
        <v>201</v>
      </c>
      <c r="D160" s="3176" t="s">
        <v>369</v>
      </c>
      <c r="E160" s="3177"/>
      <c r="F160" s="3178"/>
      <c r="G160" s="2744"/>
      <c r="H160" s="3176" t="s">
        <v>369</v>
      </c>
      <c r="I160" s="3177"/>
      <c r="J160" s="3178"/>
      <c r="K160" s="2744"/>
      <c r="L160" s="3176" t="s">
        <v>369</v>
      </c>
      <c r="M160" s="3177"/>
      <c r="N160" s="3178"/>
      <c r="O160" s="2744"/>
      <c r="P160" s="3176" t="s">
        <v>370</v>
      </c>
      <c r="Q160" s="3177"/>
      <c r="R160" s="3178"/>
      <c r="S160" s="2744"/>
      <c r="T160" s="3176" t="s">
        <v>236</v>
      </c>
      <c r="U160" s="3177"/>
      <c r="V160" s="3178"/>
      <c r="W160" s="2744"/>
      <c r="X160" s="3177"/>
      <c r="Y160" s="3177"/>
      <c r="Z160" s="3178"/>
      <c r="AA160" s="2744"/>
      <c r="AB160" s="3177"/>
      <c r="AC160" s="3177"/>
      <c r="AD160" s="3177"/>
      <c r="AE160" s="2744"/>
      <c r="AF160" s="3177"/>
      <c r="AG160" s="3177"/>
      <c r="AH160" s="3179"/>
      <c r="AI160" s="2749"/>
    </row>
    <row r="161" spans="1:35" ht="24" customHeight="1">
      <c r="A161" s="36"/>
      <c r="B161" s="2750" t="s">
        <v>239</v>
      </c>
      <c r="C161" s="2744" t="s">
        <v>121</v>
      </c>
      <c r="D161" s="3176" t="s">
        <v>369</v>
      </c>
      <c r="E161" s="3177"/>
      <c r="F161" s="3178"/>
      <c r="G161" s="2744"/>
      <c r="H161" s="3176" t="s">
        <v>369</v>
      </c>
      <c r="I161" s="3177"/>
      <c r="J161" s="3178"/>
      <c r="K161" s="2744"/>
      <c r="L161" s="3176" t="s">
        <v>369</v>
      </c>
      <c r="M161" s="3177"/>
      <c r="N161" s="3178"/>
      <c r="O161" s="2744"/>
      <c r="P161" s="3176" t="s">
        <v>370</v>
      </c>
      <c r="Q161" s="3177"/>
      <c r="R161" s="3178"/>
      <c r="S161" s="2744"/>
      <c r="T161" s="3176" t="s">
        <v>236</v>
      </c>
      <c r="U161" s="3177"/>
      <c r="V161" s="3178"/>
      <c r="W161" s="2744"/>
      <c r="X161" s="3177"/>
      <c r="Y161" s="3177"/>
      <c r="Z161" s="3178"/>
      <c r="AA161" s="2744"/>
      <c r="AB161" s="3177"/>
      <c r="AC161" s="3177"/>
      <c r="AD161" s="3177"/>
      <c r="AE161" s="2744"/>
      <c r="AF161" s="3177"/>
      <c r="AG161" s="3177"/>
      <c r="AH161" s="3179"/>
      <c r="AI161" s="2749"/>
    </row>
    <row r="162" spans="1:35" ht="24" customHeight="1">
      <c r="A162" s="36"/>
      <c r="B162" s="2750" t="s">
        <v>243</v>
      </c>
      <c r="C162" s="2744" t="s">
        <v>244</v>
      </c>
      <c r="D162" s="3176" t="s">
        <v>369</v>
      </c>
      <c r="E162" s="3177"/>
      <c r="F162" s="3178"/>
      <c r="G162" s="2744"/>
      <c r="H162" s="3176" t="s">
        <v>369</v>
      </c>
      <c r="I162" s="3177"/>
      <c r="J162" s="3178"/>
      <c r="K162" s="2744"/>
      <c r="L162" s="3176" t="s">
        <v>369</v>
      </c>
      <c r="M162" s="3177"/>
      <c r="N162" s="3178"/>
      <c r="O162" s="2744"/>
      <c r="P162" s="3176" t="s">
        <v>370</v>
      </c>
      <c r="Q162" s="3177"/>
      <c r="R162" s="3178"/>
      <c r="S162" s="2744"/>
      <c r="T162" s="3180" t="s">
        <v>242</v>
      </c>
      <c r="U162" s="3177"/>
      <c r="V162" s="3178"/>
      <c r="W162" s="2744"/>
      <c r="X162" s="3177"/>
      <c r="Y162" s="3177"/>
      <c r="Z162" s="3178"/>
      <c r="AA162" s="2744"/>
      <c r="AB162" s="3177"/>
      <c r="AC162" s="3177"/>
      <c r="AD162" s="3177"/>
      <c r="AE162" s="2744"/>
      <c r="AF162" s="3177"/>
      <c r="AG162" s="3177"/>
      <c r="AH162" s="3179"/>
      <c r="AI162" s="2749"/>
    </row>
    <row r="163" spans="1:35" ht="24" customHeight="1">
      <c r="A163" s="36"/>
      <c r="B163" s="2750" t="s">
        <v>248</v>
      </c>
      <c r="C163" s="2744" t="s">
        <v>128</v>
      </c>
      <c r="D163" s="3176" t="s">
        <v>234</v>
      </c>
      <c r="E163" s="3177"/>
      <c r="F163" s="3178"/>
      <c r="G163" s="2744"/>
      <c r="H163" s="3180" t="s">
        <v>234</v>
      </c>
      <c r="I163" s="3177"/>
      <c r="J163" s="3178"/>
      <c r="K163" s="2744"/>
      <c r="L163" s="3180" t="s">
        <v>234</v>
      </c>
      <c r="M163" s="3177"/>
      <c r="N163" s="3178"/>
      <c r="O163" s="2744"/>
      <c r="P163" s="3180" t="s">
        <v>234</v>
      </c>
      <c r="Q163" s="3177"/>
      <c r="R163" s="3178"/>
      <c r="S163" s="2744"/>
      <c r="T163" s="3180" t="s">
        <v>245</v>
      </c>
      <c r="U163" s="3177"/>
      <c r="V163" s="3178"/>
      <c r="W163" s="2744"/>
      <c r="X163" s="3177"/>
      <c r="Y163" s="3177"/>
      <c r="Z163" s="3178"/>
      <c r="AA163" s="2744"/>
      <c r="AB163" s="3177"/>
      <c r="AC163" s="3177"/>
      <c r="AD163" s="3177"/>
      <c r="AE163" s="2744"/>
      <c r="AF163" s="3177"/>
      <c r="AG163" s="3177"/>
      <c r="AH163" s="3179"/>
      <c r="AI163" s="2749"/>
    </row>
    <row r="164" spans="1:35" ht="24" customHeight="1">
      <c r="A164" s="36"/>
      <c r="B164" s="2750" t="s">
        <v>249</v>
      </c>
      <c r="C164" s="2744" t="s">
        <v>250</v>
      </c>
      <c r="D164" s="3176" t="s">
        <v>369</v>
      </c>
      <c r="E164" s="3177"/>
      <c r="F164" s="3178"/>
      <c r="G164" s="2744"/>
      <c r="H164" s="3176" t="s">
        <v>369</v>
      </c>
      <c r="I164" s="3177"/>
      <c r="J164" s="3178"/>
      <c r="K164" s="2744"/>
      <c r="L164" s="3176" t="s">
        <v>369</v>
      </c>
      <c r="M164" s="3177"/>
      <c r="N164" s="3178"/>
      <c r="O164" s="2744"/>
      <c r="P164" s="3176" t="s">
        <v>370</v>
      </c>
      <c r="Q164" s="3177"/>
      <c r="R164" s="3178"/>
      <c r="S164" s="2744"/>
      <c r="T164" s="3176" t="s">
        <v>236</v>
      </c>
      <c r="U164" s="3177"/>
      <c r="V164" s="3178"/>
      <c r="W164" s="2744"/>
      <c r="X164" s="3177"/>
      <c r="Y164" s="3177"/>
      <c r="Z164" s="3178"/>
      <c r="AA164" s="2744"/>
      <c r="AB164" s="3177"/>
      <c r="AC164" s="3177"/>
      <c r="AD164" s="3177"/>
      <c r="AE164" s="2744"/>
      <c r="AF164" s="3177"/>
      <c r="AG164" s="3177"/>
      <c r="AH164" s="3179"/>
      <c r="AI164" s="2749"/>
    </row>
    <row r="165" spans="1:35" ht="24" customHeight="1">
      <c r="A165" s="36"/>
      <c r="B165" s="2750" t="s">
        <v>249</v>
      </c>
      <c r="C165" s="2744" t="s">
        <v>251</v>
      </c>
      <c r="D165" s="3176" t="s">
        <v>369</v>
      </c>
      <c r="E165" s="3177"/>
      <c r="F165" s="3178"/>
      <c r="G165" s="2744"/>
      <c r="H165" s="3176" t="s">
        <v>369</v>
      </c>
      <c r="I165" s="3177"/>
      <c r="J165" s="3178"/>
      <c r="K165" s="2744"/>
      <c r="L165" s="3176" t="s">
        <v>369</v>
      </c>
      <c r="M165" s="3177"/>
      <c r="N165" s="3178"/>
      <c r="O165" s="2744"/>
      <c r="P165" s="3176" t="s">
        <v>370</v>
      </c>
      <c r="Q165" s="3177"/>
      <c r="R165" s="3178"/>
      <c r="S165" s="2744"/>
      <c r="T165" s="3176" t="s">
        <v>236</v>
      </c>
      <c r="U165" s="3177"/>
      <c r="V165" s="3178"/>
      <c r="W165" s="2744"/>
      <c r="X165" s="3177"/>
      <c r="Y165" s="3177"/>
      <c r="Z165" s="3178"/>
      <c r="AA165" s="2744"/>
      <c r="AB165" s="3177"/>
      <c r="AC165" s="3177"/>
      <c r="AD165" s="3177"/>
      <c r="AE165" s="2744"/>
      <c r="AF165" s="3177"/>
      <c r="AG165" s="3177"/>
      <c r="AH165" s="3179"/>
      <c r="AI165" s="2749"/>
    </row>
    <row r="166" spans="1:35" ht="24" customHeight="1">
      <c r="A166" s="36"/>
      <c r="B166" s="2750" t="s">
        <v>252</v>
      </c>
      <c r="C166" s="2744" t="s">
        <v>253</v>
      </c>
      <c r="D166" s="3176" t="s">
        <v>369</v>
      </c>
      <c r="E166" s="3177"/>
      <c r="F166" s="3178"/>
      <c r="G166" s="2744"/>
      <c r="H166" s="3176" t="s">
        <v>369</v>
      </c>
      <c r="I166" s="3177"/>
      <c r="J166" s="3178"/>
      <c r="K166" s="2744"/>
      <c r="L166" s="3176" t="s">
        <v>369</v>
      </c>
      <c r="M166" s="3177"/>
      <c r="N166" s="3178"/>
      <c r="O166" s="2744"/>
      <c r="P166" s="3176" t="s">
        <v>370</v>
      </c>
      <c r="Q166" s="3177"/>
      <c r="R166" s="3178"/>
      <c r="S166" s="2744"/>
      <c r="T166" s="3176" t="s">
        <v>236</v>
      </c>
      <c r="U166" s="3177"/>
      <c r="V166" s="3178"/>
      <c r="W166" s="2744"/>
      <c r="X166" s="3177"/>
      <c r="Y166" s="3177"/>
      <c r="Z166" s="3178"/>
      <c r="AA166" s="2744"/>
      <c r="AB166" s="3177"/>
      <c r="AC166" s="3177"/>
      <c r="AD166" s="3177"/>
      <c r="AE166" s="2744"/>
      <c r="AF166" s="3177"/>
      <c r="AG166" s="3177"/>
      <c r="AH166" s="3179"/>
      <c r="AI166" s="2749"/>
    </row>
    <row r="167" spans="1:35" ht="24" customHeight="1">
      <c r="A167" s="36"/>
      <c r="B167" s="3181" t="s">
        <v>255</v>
      </c>
      <c r="C167" s="1632" t="s">
        <v>123</v>
      </c>
      <c r="D167" s="419" t="s">
        <v>369</v>
      </c>
      <c r="E167" s="420"/>
      <c r="F167" s="1633"/>
      <c r="G167" s="1632"/>
      <c r="H167" s="419" t="s">
        <v>369</v>
      </c>
      <c r="I167" s="420"/>
      <c r="J167" s="1633"/>
      <c r="K167" s="1632"/>
      <c r="L167" s="419" t="s">
        <v>369</v>
      </c>
      <c r="M167" s="420"/>
      <c r="N167" s="1633"/>
      <c r="O167" s="1632"/>
      <c r="P167" s="419" t="s">
        <v>370</v>
      </c>
      <c r="Q167" s="420"/>
      <c r="R167" s="1633"/>
      <c r="S167" s="1632"/>
      <c r="T167" s="419" t="s">
        <v>236</v>
      </c>
      <c r="U167" s="420"/>
      <c r="V167" s="1633"/>
      <c r="W167" s="1632"/>
      <c r="X167" s="420"/>
      <c r="Y167" s="420"/>
      <c r="Z167" s="1633"/>
      <c r="AA167" s="1632"/>
      <c r="AB167" s="420"/>
      <c r="AC167" s="420"/>
      <c r="AD167" s="420"/>
      <c r="AE167" s="1632"/>
      <c r="AF167" s="420"/>
      <c r="AG167" s="420"/>
      <c r="AH167" s="421"/>
      <c r="AI167" s="1634"/>
    </row>
    <row r="168" spans="1:35" ht="24" customHeight="1">
      <c r="A168" s="36"/>
      <c r="B168" s="2750" t="s">
        <v>256</v>
      </c>
      <c r="C168" s="2744" t="s">
        <v>146</v>
      </c>
      <c r="D168" s="3176" t="s">
        <v>369</v>
      </c>
      <c r="E168" s="3177"/>
      <c r="F168" s="3178"/>
      <c r="G168" s="2744"/>
      <c r="H168" s="3176" t="s">
        <v>369</v>
      </c>
      <c r="I168" s="3177"/>
      <c r="J168" s="3178"/>
      <c r="K168" s="2744"/>
      <c r="L168" s="3176" t="s">
        <v>369</v>
      </c>
      <c r="M168" s="3177"/>
      <c r="N168" s="3177"/>
      <c r="O168" s="2744"/>
      <c r="P168" s="3176" t="s">
        <v>370</v>
      </c>
      <c r="Q168" s="3177"/>
      <c r="R168" s="3177"/>
      <c r="S168" s="2744"/>
      <c r="T168" s="3176" t="s">
        <v>236</v>
      </c>
      <c r="U168" s="3177"/>
      <c r="V168" s="3177"/>
      <c r="W168" s="2744"/>
      <c r="X168" s="3177"/>
      <c r="Y168" s="3177"/>
      <c r="Z168" s="3177"/>
      <c r="AA168" s="2744"/>
      <c r="AB168" s="3177"/>
      <c r="AC168" s="3177"/>
      <c r="AD168" s="3177"/>
      <c r="AE168" s="2744"/>
      <c r="AF168" s="3177"/>
      <c r="AG168" s="3177"/>
      <c r="AH168" s="3179"/>
      <c r="AI168" s="2749"/>
    </row>
    <row r="169" spans="1:35" ht="24" customHeight="1">
      <c r="A169" s="36"/>
      <c r="B169" s="2750" t="s">
        <v>257</v>
      </c>
      <c r="C169" s="2752" t="s">
        <v>136</v>
      </c>
      <c r="D169" s="3176" t="s">
        <v>369</v>
      </c>
      <c r="E169" s="3177"/>
      <c r="F169" s="3178"/>
      <c r="G169" s="2744"/>
      <c r="H169" s="3176" t="s">
        <v>369</v>
      </c>
      <c r="I169" s="3177"/>
      <c r="J169" s="3178"/>
      <c r="K169" s="2744"/>
      <c r="L169" s="3176" t="s">
        <v>369</v>
      </c>
      <c r="M169" s="3177"/>
      <c r="N169" s="3177"/>
      <c r="O169" s="2744"/>
      <c r="P169" s="3176" t="s">
        <v>370</v>
      </c>
      <c r="Q169" s="3177"/>
      <c r="R169" s="3177"/>
      <c r="S169" s="2744"/>
      <c r="T169" s="3176" t="s">
        <v>236</v>
      </c>
      <c r="U169" s="3177"/>
      <c r="V169" s="3177"/>
      <c r="W169" s="2753"/>
      <c r="X169" s="3177"/>
      <c r="Y169" s="3177"/>
      <c r="Z169" s="3177"/>
      <c r="AA169" s="2744"/>
      <c r="AB169" s="3177"/>
      <c r="AC169" s="3177"/>
      <c r="AD169" s="3177"/>
      <c r="AE169" s="2744"/>
      <c r="AF169" s="3177"/>
      <c r="AG169" s="3177"/>
      <c r="AH169" s="3179"/>
      <c r="AI169" s="2749"/>
    </row>
    <row r="170" spans="1:35" ht="24" customHeight="1" thickBot="1">
      <c r="A170" s="36"/>
      <c r="B170" s="95" t="s">
        <v>259</v>
      </c>
      <c r="C170" s="2754" t="s">
        <v>112</v>
      </c>
      <c r="D170" s="2755" t="s">
        <v>369</v>
      </c>
      <c r="E170" s="2756"/>
      <c r="F170" s="2757"/>
      <c r="G170" s="2758"/>
      <c r="H170" s="2755" t="s">
        <v>369</v>
      </c>
      <c r="I170" s="2756"/>
      <c r="J170" s="2757"/>
      <c r="K170" s="2758"/>
      <c r="L170" s="2755" t="s">
        <v>369</v>
      </c>
      <c r="M170" s="2756"/>
      <c r="N170" s="2756"/>
      <c r="O170" s="2758"/>
      <c r="P170" s="2759" t="s">
        <v>372</v>
      </c>
      <c r="Q170" s="2756"/>
      <c r="R170" s="2756"/>
      <c r="S170" s="2758"/>
      <c r="T170" s="2759" t="s">
        <v>242</v>
      </c>
      <c r="U170" s="2756"/>
      <c r="V170" s="2756"/>
      <c r="W170" s="2760"/>
      <c r="X170" s="2756"/>
      <c r="Y170" s="2756"/>
      <c r="Z170" s="2757"/>
      <c r="AA170" s="3182"/>
      <c r="AB170" s="3183"/>
      <c r="AC170" s="3183"/>
      <c r="AD170" s="3183"/>
      <c r="AE170" s="2758"/>
      <c r="AF170" s="3183"/>
      <c r="AG170" s="3183"/>
      <c r="AH170" s="3184"/>
      <c r="AI170" s="2764"/>
    </row>
    <row r="171" spans="1:35" ht="24" customHeight="1" thickBot="1">
      <c r="A171" s="36"/>
      <c r="B171" s="95" t="s">
        <v>260</v>
      </c>
      <c r="C171" s="2754" t="s">
        <v>261</v>
      </c>
      <c r="D171" s="2755" t="s">
        <v>369</v>
      </c>
      <c r="E171" s="2756"/>
      <c r="F171" s="2757"/>
      <c r="G171" s="2758"/>
      <c r="H171" s="2755" t="s">
        <v>369</v>
      </c>
      <c r="I171" s="2756"/>
      <c r="J171" s="2757"/>
      <c r="K171" s="2758"/>
      <c r="L171" s="2755" t="s">
        <v>369</v>
      </c>
      <c r="M171" s="2756"/>
      <c r="N171" s="2756"/>
      <c r="O171" s="2758"/>
      <c r="P171" s="2759" t="s">
        <v>372</v>
      </c>
      <c r="Q171" s="2756"/>
      <c r="R171" s="2756"/>
      <c r="S171" s="2758"/>
      <c r="T171" s="2759" t="s">
        <v>242</v>
      </c>
      <c r="U171" s="2756"/>
      <c r="V171" s="2756"/>
      <c r="W171" s="2760"/>
      <c r="X171" s="2756"/>
      <c r="Y171" s="2756"/>
      <c r="Z171" s="2757"/>
      <c r="AA171" s="3182"/>
      <c r="AB171" s="3183"/>
      <c r="AC171" s="3183"/>
      <c r="AD171" s="3183"/>
      <c r="AE171" s="2758"/>
      <c r="AF171" s="3183"/>
      <c r="AG171" s="3183"/>
      <c r="AH171" s="3184"/>
      <c r="AI171" s="2764"/>
    </row>
    <row r="172" spans="1:35" ht="24" customHeight="1">
      <c r="A172" s="36"/>
      <c r="B172" s="284"/>
      <c r="C172" s="285"/>
      <c r="D172" s="286"/>
      <c r="E172" s="287"/>
      <c r="F172" s="287"/>
      <c r="G172" s="288"/>
      <c r="H172" s="286"/>
      <c r="I172" s="287"/>
      <c r="J172" s="287"/>
      <c r="K172" s="288"/>
      <c r="L172" s="286"/>
      <c r="M172" s="287"/>
      <c r="N172" s="287"/>
      <c r="O172" s="288"/>
      <c r="P172" s="55"/>
      <c r="Q172" s="287"/>
      <c r="R172" s="287"/>
      <c r="S172" s="288"/>
      <c r="T172" s="55"/>
      <c r="U172" s="287"/>
      <c r="V172" s="287"/>
      <c r="W172" s="287"/>
      <c r="X172" s="287"/>
      <c r="Y172" s="287"/>
      <c r="Z172" s="287"/>
      <c r="AA172" s="288"/>
      <c r="AB172" s="287"/>
      <c r="AC172" s="287"/>
      <c r="AD172" s="287"/>
      <c r="AE172" s="288"/>
      <c r="AF172" s="287"/>
      <c r="AG172" s="287"/>
      <c r="AH172" s="83"/>
      <c r="AI172" s="83"/>
    </row>
    <row r="173" spans="1:35" ht="24" customHeight="1" thickBot="1">
      <c r="A173" s="96"/>
      <c r="B173" s="1644" t="s">
        <v>29</v>
      </c>
      <c r="C173" s="2924">
        <v>1</v>
      </c>
      <c r="D173" s="2925">
        <v>2</v>
      </c>
      <c r="E173" s="2925">
        <v>3</v>
      </c>
      <c r="F173" s="2924">
        <v>4</v>
      </c>
      <c r="G173" s="2924">
        <v>5</v>
      </c>
      <c r="H173" s="2924">
        <v>6</v>
      </c>
      <c r="I173" s="2924">
        <v>7</v>
      </c>
      <c r="J173" s="2924">
        <v>8</v>
      </c>
      <c r="K173" s="2925">
        <v>9</v>
      </c>
      <c r="L173" s="2925">
        <v>10</v>
      </c>
      <c r="M173" s="2924">
        <v>11</v>
      </c>
      <c r="N173" s="2924">
        <v>12</v>
      </c>
      <c r="O173" s="2924">
        <v>13</v>
      </c>
      <c r="P173" s="2924">
        <v>14</v>
      </c>
      <c r="Q173" s="2924">
        <v>15</v>
      </c>
      <c r="R173" s="2925">
        <v>16</v>
      </c>
      <c r="S173" s="2925">
        <v>17</v>
      </c>
      <c r="T173" s="2924">
        <v>18</v>
      </c>
      <c r="U173" s="2924">
        <v>19</v>
      </c>
      <c r="V173" s="2924">
        <v>20</v>
      </c>
      <c r="W173" s="2924">
        <v>21</v>
      </c>
      <c r="X173" s="2924">
        <v>22</v>
      </c>
      <c r="Y173" s="2925">
        <v>23</v>
      </c>
      <c r="Z173" s="2925">
        <v>24</v>
      </c>
      <c r="AA173" s="2924">
        <v>25</v>
      </c>
      <c r="AB173" s="2924">
        <v>26</v>
      </c>
      <c r="AC173" s="2924">
        <v>27</v>
      </c>
      <c r="AD173" s="2924">
        <v>28</v>
      </c>
      <c r="AE173" s="2924">
        <v>29</v>
      </c>
      <c r="AF173" s="2925">
        <v>30</v>
      </c>
      <c r="AG173" s="2926"/>
      <c r="AH173" s="97"/>
      <c r="AI173" s="24"/>
    </row>
    <row r="174" spans="1:35" ht="24" customHeight="1">
      <c r="A174" s="36"/>
      <c r="B174" s="2765" t="s">
        <v>262</v>
      </c>
      <c r="C174" s="2720" t="s">
        <v>233</v>
      </c>
      <c r="D174" s="2720"/>
      <c r="E174" s="2720"/>
      <c r="F174" s="2720" t="s">
        <v>233</v>
      </c>
      <c r="G174" s="2720" t="s">
        <v>233</v>
      </c>
      <c r="H174" s="2720" t="s">
        <v>233</v>
      </c>
      <c r="I174" s="2720" t="s">
        <v>233</v>
      </c>
      <c r="J174" s="2720" t="s">
        <v>233</v>
      </c>
      <c r="K174" s="2720"/>
      <c r="L174" s="2720"/>
      <c r="M174" s="2720" t="s">
        <v>233</v>
      </c>
      <c r="N174" s="2720" t="s">
        <v>233</v>
      </c>
      <c r="O174" s="2720" t="s">
        <v>233</v>
      </c>
      <c r="P174" s="2720" t="s">
        <v>233</v>
      </c>
      <c r="Q174" s="2720" t="s">
        <v>233</v>
      </c>
      <c r="R174" s="2720"/>
      <c r="S174" s="2720"/>
      <c r="T174" s="2720" t="s">
        <v>233</v>
      </c>
      <c r="U174" s="2720" t="s">
        <v>233</v>
      </c>
      <c r="V174" s="2720" t="s">
        <v>233</v>
      </c>
      <c r="W174" s="2720" t="s">
        <v>233</v>
      </c>
      <c r="X174" s="2720" t="s">
        <v>233</v>
      </c>
      <c r="Y174" s="2720"/>
      <c r="Z174" s="2720"/>
      <c r="AA174" s="2720" t="s">
        <v>233</v>
      </c>
      <c r="AB174" s="2720" t="s">
        <v>233</v>
      </c>
      <c r="AC174" s="2720" t="s">
        <v>233</v>
      </c>
      <c r="AD174" s="2720" t="s">
        <v>233</v>
      </c>
      <c r="AE174" s="2720" t="s">
        <v>233</v>
      </c>
      <c r="AF174" s="2720"/>
      <c r="AG174" s="2766"/>
      <c r="AH174" s="25"/>
      <c r="AI174" s="25"/>
    </row>
    <row r="175" spans="1:35" ht="24" customHeight="1">
      <c r="A175" s="36"/>
      <c r="B175" s="2767" t="s">
        <v>263</v>
      </c>
      <c r="C175" s="3150" t="s">
        <v>233</v>
      </c>
      <c r="D175" s="3150"/>
      <c r="E175" s="3150"/>
      <c r="F175" s="3150" t="s">
        <v>233</v>
      </c>
      <c r="G175" s="3150" t="s">
        <v>233</v>
      </c>
      <c r="H175" s="3150" t="s">
        <v>233</v>
      </c>
      <c r="I175" s="3154" t="s">
        <v>233</v>
      </c>
      <c r="J175" s="3154" t="s">
        <v>233</v>
      </c>
      <c r="K175" s="3150"/>
      <c r="L175" s="3150"/>
      <c r="M175" s="3185" t="s">
        <v>233</v>
      </c>
      <c r="N175" s="3185" t="s">
        <v>233</v>
      </c>
      <c r="O175" s="3185" t="s">
        <v>233</v>
      </c>
      <c r="P175" s="3185" t="s">
        <v>233</v>
      </c>
      <c r="Q175" s="3185" t="s">
        <v>233</v>
      </c>
      <c r="R175" s="3185"/>
      <c r="S175" s="3185"/>
      <c r="T175" s="3185" t="s">
        <v>233</v>
      </c>
      <c r="U175" s="3185" t="s">
        <v>233</v>
      </c>
      <c r="V175" s="3185" t="s">
        <v>233</v>
      </c>
      <c r="W175" s="3185" t="s">
        <v>233</v>
      </c>
      <c r="X175" s="3185" t="s">
        <v>233</v>
      </c>
      <c r="Y175" s="3150"/>
      <c r="Z175" s="3150"/>
      <c r="AA175" s="3150" t="s">
        <v>233</v>
      </c>
      <c r="AB175" s="3150" t="s">
        <v>233</v>
      </c>
      <c r="AC175" s="3150" t="s">
        <v>233</v>
      </c>
      <c r="AD175" s="3150" t="s">
        <v>233</v>
      </c>
      <c r="AE175" s="3150" t="s">
        <v>233</v>
      </c>
      <c r="AF175" s="3150"/>
      <c r="AG175" s="2604"/>
      <c r="AH175" s="25"/>
      <c r="AI175" s="25"/>
    </row>
    <row r="176" spans="1:35" ht="24" customHeight="1">
      <c r="A176" s="36"/>
      <c r="B176" s="2767" t="s">
        <v>265</v>
      </c>
      <c r="C176" s="3150" t="s">
        <v>237</v>
      </c>
      <c r="D176" s="3150"/>
      <c r="E176" s="3150"/>
      <c r="F176" s="3185" t="s">
        <v>237</v>
      </c>
      <c r="G176" s="3150" t="s">
        <v>237</v>
      </c>
      <c r="H176" s="3150" t="s">
        <v>237</v>
      </c>
      <c r="I176" s="3150" t="s">
        <v>237</v>
      </c>
      <c r="J176" s="3150" t="s">
        <v>237</v>
      </c>
      <c r="K176" s="3150"/>
      <c r="L176" s="3150"/>
      <c r="M176" s="3150" t="s">
        <v>237</v>
      </c>
      <c r="N176" s="3150" t="s">
        <v>237</v>
      </c>
      <c r="O176" s="3150" t="s">
        <v>237</v>
      </c>
      <c r="P176" s="3150" t="s">
        <v>237</v>
      </c>
      <c r="Q176" s="3150" t="s">
        <v>237</v>
      </c>
      <c r="R176" s="3150"/>
      <c r="S176" s="3150"/>
      <c r="T176" s="3150" t="s">
        <v>237</v>
      </c>
      <c r="U176" s="3150" t="s">
        <v>237</v>
      </c>
      <c r="V176" s="3150" t="s">
        <v>237</v>
      </c>
      <c r="W176" s="3150" t="s">
        <v>237</v>
      </c>
      <c r="X176" s="3150" t="s">
        <v>237</v>
      </c>
      <c r="Y176" s="3150"/>
      <c r="Z176" s="3150"/>
      <c r="AA176" s="3150" t="s">
        <v>237</v>
      </c>
      <c r="AB176" s="3150" t="s">
        <v>237</v>
      </c>
      <c r="AC176" s="3150" t="s">
        <v>237</v>
      </c>
      <c r="AD176" s="3150" t="s">
        <v>237</v>
      </c>
      <c r="AE176" s="3150" t="s">
        <v>237</v>
      </c>
      <c r="AF176" s="3150"/>
      <c r="AG176" s="2604"/>
      <c r="AH176" s="25"/>
      <c r="AI176" s="25"/>
    </row>
    <row r="177" spans="1:35" ht="24" customHeight="1">
      <c r="A177" s="36"/>
      <c r="B177" s="2767" t="s">
        <v>266</v>
      </c>
      <c r="C177" s="2592" t="s">
        <v>201</v>
      </c>
      <c r="D177" s="2619"/>
      <c r="E177" s="2619"/>
      <c r="F177" s="3185" t="s">
        <v>201</v>
      </c>
      <c r="G177" s="2619" t="s">
        <v>201</v>
      </c>
      <c r="H177" s="2619" t="s">
        <v>201</v>
      </c>
      <c r="I177" s="3150" t="s">
        <v>201</v>
      </c>
      <c r="J177" s="3150" t="s">
        <v>201</v>
      </c>
      <c r="K177" s="2769"/>
      <c r="L177" s="3150"/>
      <c r="M177" s="3150" t="s">
        <v>201</v>
      </c>
      <c r="N177" s="3150" t="s">
        <v>201</v>
      </c>
      <c r="O177" s="3150" t="s">
        <v>201</v>
      </c>
      <c r="P177" s="3150" t="s">
        <v>201</v>
      </c>
      <c r="Q177" s="3150" t="s">
        <v>201</v>
      </c>
      <c r="R177" s="3150"/>
      <c r="S177" s="3150"/>
      <c r="T177" s="3150" t="s">
        <v>201</v>
      </c>
      <c r="U177" s="3150" t="s">
        <v>201</v>
      </c>
      <c r="V177" s="3150" t="s">
        <v>201</v>
      </c>
      <c r="W177" s="3186" t="s">
        <v>201</v>
      </c>
      <c r="X177" s="3150" t="s">
        <v>201</v>
      </c>
      <c r="Y177" s="3150"/>
      <c r="Z177" s="3150"/>
      <c r="AA177" s="3150" t="s">
        <v>201</v>
      </c>
      <c r="AB177" s="2771" t="s">
        <v>201</v>
      </c>
      <c r="AC177" s="2771" t="s">
        <v>201</v>
      </c>
      <c r="AD177" s="3150" t="s">
        <v>201</v>
      </c>
      <c r="AE177" s="3150" t="s">
        <v>201</v>
      </c>
      <c r="AF177" s="3150"/>
      <c r="AG177" s="2604"/>
      <c r="AH177" s="25"/>
      <c r="AI177" s="25"/>
    </row>
    <row r="178" spans="1:35" ht="24" customHeight="1">
      <c r="A178" s="36"/>
      <c r="B178" s="2554" t="s">
        <v>267</v>
      </c>
      <c r="C178" s="3150" t="s">
        <v>121</v>
      </c>
      <c r="D178" s="3150"/>
      <c r="E178" s="3150"/>
      <c r="F178" s="2594" t="s">
        <v>121</v>
      </c>
      <c r="G178" s="3150" t="s">
        <v>121</v>
      </c>
      <c r="H178" s="3150" t="s">
        <v>121</v>
      </c>
      <c r="I178" s="3150" t="s">
        <v>121</v>
      </c>
      <c r="J178" s="3150" t="s">
        <v>121</v>
      </c>
      <c r="K178" s="3150"/>
      <c r="L178" s="2594"/>
      <c r="M178" s="2594" t="s">
        <v>121</v>
      </c>
      <c r="N178" s="3150" t="s">
        <v>121</v>
      </c>
      <c r="O178" s="3150" t="s">
        <v>121</v>
      </c>
      <c r="P178" s="3150" t="s">
        <v>121</v>
      </c>
      <c r="Q178" s="3150" t="s">
        <v>121</v>
      </c>
      <c r="R178" s="3150"/>
      <c r="S178" s="3150"/>
      <c r="T178" s="3150" t="s">
        <v>121</v>
      </c>
      <c r="U178" s="3150" t="s">
        <v>121</v>
      </c>
      <c r="V178" s="3150" t="s">
        <v>121</v>
      </c>
      <c r="W178" s="3150" t="s">
        <v>121</v>
      </c>
      <c r="X178" s="3150" t="s">
        <v>121</v>
      </c>
      <c r="Y178" s="3150"/>
      <c r="Z178" s="3150"/>
      <c r="AA178" s="3150" t="s">
        <v>121</v>
      </c>
      <c r="AB178" s="3150" t="s">
        <v>121</v>
      </c>
      <c r="AC178" s="3150" t="s">
        <v>121</v>
      </c>
      <c r="AD178" s="3150" t="s">
        <v>121</v>
      </c>
      <c r="AE178" s="3150" t="s">
        <v>121</v>
      </c>
      <c r="AF178" s="3150"/>
      <c r="AG178" s="2604"/>
      <c r="AH178" s="25"/>
      <c r="AI178" s="25"/>
    </row>
    <row r="179" spans="1:35" ht="24" customHeight="1">
      <c r="A179" s="36"/>
      <c r="B179" s="2767" t="s">
        <v>374</v>
      </c>
      <c r="C179" s="3150" t="s">
        <v>244</v>
      </c>
      <c r="D179" s="3150"/>
      <c r="E179" s="3150"/>
      <c r="F179" s="3150" t="s">
        <v>244</v>
      </c>
      <c r="G179" s="3150" t="s">
        <v>244</v>
      </c>
      <c r="H179" s="3150" t="s">
        <v>244</v>
      </c>
      <c r="I179" s="3150" t="s">
        <v>244</v>
      </c>
      <c r="J179" s="3150" t="s">
        <v>244</v>
      </c>
      <c r="K179" s="3150"/>
      <c r="L179" s="3150"/>
      <c r="M179" s="3150" t="s">
        <v>244</v>
      </c>
      <c r="N179" s="3150" t="s">
        <v>244</v>
      </c>
      <c r="O179" s="3150" t="s">
        <v>244</v>
      </c>
      <c r="P179" s="3150" t="s">
        <v>244</v>
      </c>
      <c r="Q179" s="3150" t="s">
        <v>244</v>
      </c>
      <c r="R179" s="3150"/>
      <c r="S179" s="3150"/>
      <c r="T179" s="2592" t="s">
        <v>244</v>
      </c>
      <c r="U179" s="2592" t="s">
        <v>244</v>
      </c>
      <c r="V179" s="2592" t="s">
        <v>244</v>
      </c>
      <c r="W179" s="2592" t="s">
        <v>244</v>
      </c>
      <c r="X179" s="2592" t="s">
        <v>244</v>
      </c>
      <c r="Y179" s="2592"/>
      <c r="Z179" s="2592"/>
      <c r="AA179" s="3150" t="s">
        <v>244</v>
      </c>
      <c r="AB179" s="3150" t="s">
        <v>244</v>
      </c>
      <c r="AC179" s="3150" t="s">
        <v>244</v>
      </c>
      <c r="AD179" s="3150" t="s">
        <v>244</v>
      </c>
      <c r="AE179" s="3150" t="s">
        <v>244</v>
      </c>
      <c r="AF179" s="3150"/>
      <c r="AG179" s="2604"/>
      <c r="AH179" s="25"/>
      <c r="AI179" s="25"/>
    </row>
    <row r="180" spans="1:35" ht="24" customHeight="1">
      <c r="A180" s="36"/>
      <c r="B180" s="2767" t="s">
        <v>269</v>
      </c>
      <c r="C180" s="3156" t="s">
        <v>128</v>
      </c>
      <c r="D180" s="3150"/>
      <c r="E180" s="3150"/>
      <c r="F180" s="3150" t="s">
        <v>128</v>
      </c>
      <c r="G180" s="3150" t="s">
        <v>128</v>
      </c>
      <c r="H180" s="3150" t="s">
        <v>128</v>
      </c>
      <c r="I180" s="3150" t="s">
        <v>128</v>
      </c>
      <c r="J180" s="3150" t="s">
        <v>128</v>
      </c>
      <c r="K180" s="3150"/>
      <c r="L180" s="3150"/>
      <c r="M180" s="3150" t="s">
        <v>128</v>
      </c>
      <c r="N180" s="3150" t="s">
        <v>128</v>
      </c>
      <c r="O180" s="3150" t="s">
        <v>128</v>
      </c>
      <c r="P180" s="3150" t="s">
        <v>128</v>
      </c>
      <c r="Q180" s="3150" t="s">
        <v>128</v>
      </c>
      <c r="R180" s="3150"/>
      <c r="S180" s="3150"/>
      <c r="T180" s="3150" t="s">
        <v>128</v>
      </c>
      <c r="U180" s="2599" t="s">
        <v>128</v>
      </c>
      <c r="V180" s="2599" t="s">
        <v>128</v>
      </c>
      <c r="W180" s="2599" t="s">
        <v>128</v>
      </c>
      <c r="X180" s="2768" t="s">
        <v>270</v>
      </c>
      <c r="Y180" s="3150"/>
      <c r="Z180" s="3150"/>
      <c r="AA180" s="3150" t="s">
        <v>128</v>
      </c>
      <c r="AB180" s="3150" t="s">
        <v>128</v>
      </c>
      <c r="AC180" s="3150" t="s">
        <v>128</v>
      </c>
      <c r="AD180" s="3150" t="s">
        <v>128</v>
      </c>
      <c r="AE180" s="3150" t="s">
        <v>128</v>
      </c>
      <c r="AF180" s="2957"/>
      <c r="AG180" s="2604"/>
      <c r="AH180" s="25"/>
      <c r="AI180" s="25"/>
    </row>
    <row r="181" spans="1:35" ht="24" customHeight="1">
      <c r="A181" s="36"/>
      <c r="B181" s="2605" t="s">
        <v>271</v>
      </c>
      <c r="C181" s="3150" t="s">
        <v>250</v>
      </c>
      <c r="D181" s="3150"/>
      <c r="E181" s="3150"/>
      <c r="F181" s="3150" t="s">
        <v>250</v>
      </c>
      <c r="G181" s="3150" t="s">
        <v>250</v>
      </c>
      <c r="H181" s="3150" t="s">
        <v>250</v>
      </c>
      <c r="I181" s="3150" t="s">
        <v>250</v>
      </c>
      <c r="J181" s="3150" t="s">
        <v>250</v>
      </c>
      <c r="K181" s="3150"/>
      <c r="L181" s="3150"/>
      <c r="M181" s="3150" t="s">
        <v>250</v>
      </c>
      <c r="N181" s="3150" t="s">
        <v>250</v>
      </c>
      <c r="O181" s="3150" t="s">
        <v>250</v>
      </c>
      <c r="P181" s="3150" t="s">
        <v>250</v>
      </c>
      <c r="Q181" s="3150" t="s">
        <v>250</v>
      </c>
      <c r="R181" s="3150"/>
      <c r="S181" s="3150"/>
      <c r="T181" s="3150" t="s">
        <v>250</v>
      </c>
      <c r="U181" s="3150" t="s">
        <v>250</v>
      </c>
      <c r="V181" s="3150" t="s">
        <v>250</v>
      </c>
      <c r="W181" s="3150" t="s">
        <v>250</v>
      </c>
      <c r="X181" s="3150" t="s">
        <v>250</v>
      </c>
      <c r="Y181" s="3150"/>
      <c r="Z181" s="3150"/>
      <c r="AA181" s="3150" t="s">
        <v>250</v>
      </c>
      <c r="AB181" s="3150" t="s">
        <v>250</v>
      </c>
      <c r="AC181" s="3150" t="s">
        <v>250</v>
      </c>
      <c r="AD181" s="3150" t="s">
        <v>250</v>
      </c>
      <c r="AE181" s="3150" t="s">
        <v>250</v>
      </c>
      <c r="AF181" s="3150"/>
      <c r="AG181" s="2604"/>
      <c r="AH181" s="25"/>
      <c r="AI181" s="25"/>
    </row>
    <row r="182" spans="1:35" ht="24" customHeight="1">
      <c r="A182" s="36"/>
      <c r="B182" s="2767" t="s">
        <v>273</v>
      </c>
      <c r="C182" s="3150" t="s">
        <v>251</v>
      </c>
      <c r="D182" s="3150"/>
      <c r="E182" s="3150"/>
      <c r="F182" s="3150" t="s">
        <v>251</v>
      </c>
      <c r="G182" s="3150" t="s">
        <v>251</v>
      </c>
      <c r="H182" s="3150" t="s">
        <v>251</v>
      </c>
      <c r="I182" s="3150" t="s">
        <v>251</v>
      </c>
      <c r="J182" s="3150" t="s">
        <v>251</v>
      </c>
      <c r="K182" s="3150"/>
      <c r="L182" s="3150"/>
      <c r="M182" s="2771" t="s">
        <v>251</v>
      </c>
      <c r="N182" s="2776" t="s">
        <v>251</v>
      </c>
      <c r="O182" s="3150" t="s">
        <v>251</v>
      </c>
      <c r="P182" s="3150" t="s">
        <v>251</v>
      </c>
      <c r="Q182" s="3150" t="s">
        <v>251</v>
      </c>
      <c r="R182" s="3150"/>
      <c r="S182" s="3150"/>
      <c r="T182" s="2599" t="s">
        <v>251</v>
      </c>
      <c r="U182" s="2599" t="s">
        <v>251</v>
      </c>
      <c r="V182" s="2777" t="s">
        <v>454</v>
      </c>
      <c r="W182" s="2601" t="s">
        <v>251</v>
      </c>
      <c r="X182" s="2601" t="s">
        <v>251</v>
      </c>
      <c r="Y182" s="3150"/>
      <c r="Z182" s="3150"/>
      <c r="AA182" s="3150" t="s">
        <v>251</v>
      </c>
      <c r="AB182" s="3150" t="s">
        <v>251</v>
      </c>
      <c r="AC182" s="3150" t="s">
        <v>251</v>
      </c>
      <c r="AD182" s="3150" t="s">
        <v>251</v>
      </c>
      <c r="AE182" s="3150" t="s">
        <v>251</v>
      </c>
      <c r="AF182" s="3150"/>
      <c r="AG182" s="2604"/>
      <c r="AH182" s="25"/>
      <c r="AI182" s="25"/>
    </row>
    <row r="183" spans="1:35" ht="24" customHeight="1">
      <c r="A183" s="36"/>
      <c r="B183" s="2767" t="s">
        <v>274</v>
      </c>
      <c r="C183" s="3150" t="s">
        <v>253</v>
      </c>
      <c r="D183" s="3150"/>
      <c r="E183" s="3150"/>
      <c r="F183" s="3150" t="s">
        <v>253</v>
      </c>
      <c r="G183" s="2619" t="s">
        <v>253</v>
      </c>
      <c r="H183" s="2619" t="s">
        <v>253</v>
      </c>
      <c r="I183" s="2619" t="s">
        <v>253</v>
      </c>
      <c r="J183" s="2619" t="s">
        <v>253</v>
      </c>
      <c r="K183" s="2619"/>
      <c r="L183" s="3150"/>
      <c r="M183" s="3150" t="s">
        <v>253</v>
      </c>
      <c r="N183" s="3150" t="s">
        <v>253</v>
      </c>
      <c r="O183" s="3150" t="s">
        <v>253</v>
      </c>
      <c r="P183" s="3150" t="s">
        <v>253</v>
      </c>
      <c r="Q183" s="3150" t="s">
        <v>253</v>
      </c>
      <c r="R183" s="3150"/>
      <c r="S183" s="3150"/>
      <c r="T183" s="3150" t="s">
        <v>253</v>
      </c>
      <c r="U183" s="3150" t="s">
        <v>253</v>
      </c>
      <c r="V183" s="3150" t="s">
        <v>253</v>
      </c>
      <c r="W183" s="3150" t="s">
        <v>253</v>
      </c>
      <c r="X183" s="3150" t="s">
        <v>253</v>
      </c>
      <c r="Y183" s="3150"/>
      <c r="Z183" s="3150"/>
      <c r="AA183" s="3150" t="s">
        <v>253</v>
      </c>
      <c r="AB183" s="3150" t="s">
        <v>253</v>
      </c>
      <c r="AC183" s="3150" t="s">
        <v>253</v>
      </c>
      <c r="AD183" s="3150" t="s">
        <v>253</v>
      </c>
      <c r="AE183" s="3150" t="s">
        <v>253</v>
      </c>
      <c r="AF183" s="3150"/>
      <c r="AG183" s="2604"/>
      <c r="AH183" s="25"/>
      <c r="AI183" s="25"/>
    </row>
    <row r="184" spans="1:35" ht="24" customHeight="1">
      <c r="A184" s="36"/>
      <c r="B184" s="2605" t="s">
        <v>275</v>
      </c>
      <c r="C184" s="3150" t="s">
        <v>123</v>
      </c>
      <c r="D184" s="3150"/>
      <c r="E184" s="3150"/>
      <c r="F184" s="3150" t="s">
        <v>123</v>
      </c>
      <c r="G184" s="3150" t="s">
        <v>123</v>
      </c>
      <c r="H184" s="3150" t="s">
        <v>123</v>
      </c>
      <c r="I184" s="3150" t="s">
        <v>123</v>
      </c>
      <c r="J184" s="3150" t="s">
        <v>123</v>
      </c>
      <c r="K184" s="3150"/>
      <c r="L184" s="3150"/>
      <c r="M184" s="3150" t="s">
        <v>123</v>
      </c>
      <c r="N184" s="3150" t="s">
        <v>123</v>
      </c>
      <c r="O184" s="3150" t="s">
        <v>123</v>
      </c>
      <c r="P184" s="3150" t="s">
        <v>123</v>
      </c>
      <c r="Q184" s="3150" t="s">
        <v>123</v>
      </c>
      <c r="R184" s="3150"/>
      <c r="S184" s="2619"/>
      <c r="T184" s="2596" t="s">
        <v>123</v>
      </c>
      <c r="U184" s="2596" t="s">
        <v>123</v>
      </c>
      <c r="V184" s="2596" t="s">
        <v>123</v>
      </c>
      <c r="W184" s="3150" t="s">
        <v>123</v>
      </c>
      <c r="X184" s="3150" t="s">
        <v>123</v>
      </c>
      <c r="Y184" s="3150"/>
      <c r="Z184" s="3150"/>
      <c r="AA184" s="3150" t="s">
        <v>123</v>
      </c>
      <c r="AB184" s="3150" t="s">
        <v>123</v>
      </c>
      <c r="AC184" s="3150" t="s">
        <v>123</v>
      </c>
      <c r="AD184" s="3150" t="s">
        <v>123</v>
      </c>
      <c r="AE184" s="3152" t="s">
        <v>123</v>
      </c>
      <c r="AF184" s="3150"/>
      <c r="AG184" s="2604"/>
      <c r="AH184" s="25"/>
      <c r="AI184" s="25"/>
    </row>
    <row r="185" spans="1:35" ht="24" customHeight="1">
      <c r="A185" s="36"/>
      <c r="B185" s="2767" t="s">
        <v>276</v>
      </c>
      <c r="C185" s="3150" t="s">
        <v>146</v>
      </c>
      <c r="D185" s="3150"/>
      <c r="E185" s="3150"/>
      <c r="F185" s="3150" t="s">
        <v>146</v>
      </c>
      <c r="G185" s="3150" t="s">
        <v>146</v>
      </c>
      <c r="H185" s="3150" t="s">
        <v>146</v>
      </c>
      <c r="I185" s="3150" t="s">
        <v>146</v>
      </c>
      <c r="J185" s="3150" t="s">
        <v>146</v>
      </c>
      <c r="K185" s="3150"/>
      <c r="L185" s="3150"/>
      <c r="M185" s="3150" t="s">
        <v>146</v>
      </c>
      <c r="N185" s="3150" t="s">
        <v>146</v>
      </c>
      <c r="O185" s="3150" t="s">
        <v>146</v>
      </c>
      <c r="P185" s="3150" t="s">
        <v>146</v>
      </c>
      <c r="Q185" s="3150" t="s">
        <v>146</v>
      </c>
      <c r="R185" s="3150"/>
      <c r="S185" s="3150"/>
      <c r="T185" s="2592" t="s">
        <v>146</v>
      </c>
      <c r="U185" s="2592" t="s">
        <v>146</v>
      </c>
      <c r="V185" s="2592" t="s">
        <v>146</v>
      </c>
      <c r="W185" s="2592" t="s">
        <v>146</v>
      </c>
      <c r="X185" s="2592" t="s">
        <v>146</v>
      </c>
      <c r="Y185" s="2592"/>
      <c r="Z185" s="2592"/>
      <c r="AA185" s="3150" t="s">
        <v>146</v>
      </c>
      <c r="AB185" s="3150" t="s">
        <v>146</v>
      </c>
      <c r="AC185" s="3150" t="s">
        <v>146</v>
      </c>
      <c r="AD185" s="3150" t="s">
        <v>146</v>
      </c>
      <c r="AE185" s="3150" t="s">
        <v>146</v>
      </c>
      <c r="AF185" s="3150"/>
      <c r="AG185" s="2604"/>
      <c r="AH185" s="25"/>
      <c r="AI185" s="25"/>
    </row>
    <row r="186" spans="1:35" ht="24" customHeight="1" thickBot="1">
      <c r="A186" s="36"/>
      <c r="B186" s="402" t="s">
        <v>277</v>
      </c>
      <c r="C186" s="2457" t="s">
        <v>136</v>
      </c>
      <c r="D186" s="2457"/>
      <c r="E186" s="2457"/>
      <c r="F186" s="2457" t="s">
        <v>136</v>
      </c>
      <c r="G186" s="2457" t="s">
        <v>136</v>
      </c>
      <c r="H186" s="2457" t="s">
        <v>136</v>
      </c>
      <c r="I186" s="2457" t="s">
        <v>136</v>
      </c>
      <c r="J186" s="2457" t="s">
        <v>136</v>
      </c>
      <c r="K186" s="2457"/>
      <c r="L186" s="2457"/>
      <c r="M186" s="2457" t="s">
        <v>136</v>
      </c>
      <c r="N186" s="2457" t="s">
        <v>136</v>
      </c>
      <c r="O186" s="2457" t="s">
        <v>136</v>
      </c>
      <c r="P186" s="2457" t="s">
        <v>136</v>
      </c>
      <c r="Q186" s="2457" t="s">
        <v>136</v>
      </c>
      <c r="R186" s="2457"/>
      <c r="S186" s="2457"/>
      <c r="T186" s="2457" t="s">
        <v>136</v>
      </c>
      <c r="U186" s="2457" t="s">
        <v>136</v>
      </c>
      <c r="V186" s="2457" t="s">
        <v>136</v>
      </c>
      <c r="W186" s="2457" t="s">
        <v>136</v>
      </c>
      <c r="X186" s="2457" t="s">
        <v>136</v>
      </c>
      <c r="Y186" s="2457"/>
      <c r="Z186" s="2457"/>
      <c r="AA186" s="2457" t="s">
        <v>136</v>
      </c>
      <c r="AB186" s="2457" t="s">
        <v>136</v>
      </c>
      <c r="AC186" s="2457" t="s">
        <v>136</v>
      </c>
      <c r="AD186" s="2457" t="s">
        <v>136</v>
      </c>
      <c r="AE186" s="2457" t="s">
        <v>136</v>
      </c>
      <c r="AF186" s="2457"/>
      <c r="AG186" s="3187"/>
      <c r="AH186" s="25"/>
      <c r="AI186" s="25"/>
    </row>
    <row r="187" spans="1:35" ht="24" customHeight="1" thickBot="1">
      <c r="A187" s="36"/>
      <c r="B187" s="402" t="s">
        <v>278</v>
      </c>
      <c r="C187" s="3188" t="s">
        <v>112</v>
      </c>
      <c r="D187" s="3188"/>
      <c r="E187" s="3188"/>
      <c r="F187" s="3188" t="s">
        <v>112</v>
      </c>
      <c r="G187" s="3188" t="s">
        <v>112</v>
      </c>
      <c r="H187" s="3188" t="s">
        <v>112</v>
      </c>
      <c r="I187" s="3188" t="s">
        <v>112</v>
      </c>
      <c r="J187" s="3188" t="s">
        <v>112</v>
      </c>
      <c r="K187" s="3188"/>
      <c r="L187" s="3188"/>
      <c r="M187" s="3188" t="s">
        <v>112</v>
      </c>
      <c r="N187" s="3188" t="s">
        <v>112</v>
      </c>
      <c r="O187" s="3188" t="s">
        <v>112</v>
      </c>
      <c r="P187" s="3188" t="s">
        <v>112</v>
      </c>
      <c r="Q187" s="3188" t="s">
        <v>112</v>
      </c>
      <c r="R187" s="3188"/>
      <c r="S187" s="3188"/>
      <c r="T187" s="3188" t="s">
        <v>112</v>
      </c>
      <c r="U187" s="3188" t="s">
        <v>112</v>
      </c>
      <c r="V187" s="3188" t="s">
        <v>112</v>
      </c>
      <c r="W187" s="3188" t="s">
        <v>112</v>
      </c>
      <c r="X187" s="3188" t="s">
        <v>112</v>
      </c>
      <c r="Y187" s="3188"/>
      <c r="Z187" s="3188"/>
      <c r="AA187" s="3188" t="s">
        <v>112</v>
      </c>
      <c r="AB187" s="3188" t="s">
        <v>112</v>
      </c>
      <c r="AC187" s="3188" t="s">
        <v>112</v>
      </c>
      <c r="AD187" s="3188" t="s">
        <v>112</v>
      </c>
      <c r="AE187" s="3188" t="s">
        <v>112</v>
      </c>
      <c r="AF187" s="3188"/>
      <c r="AG187" s="3188"/>
      <c r="AH187" s="76"/>
      <c r="AI187" s="76"/>
    </row>
    <row r="188" spans="1:35" ht="24" customHeight="1" thickBot="1">
      <c r="A188" s="96"/>
      <c r="B188" s="402" t="s">
        <v>279</v>
      </c>
      <c r="C188" s="3189" t="s">
        <v>261</v>
      </c>
      <c r="D188" s="3188"/>
      <c r="E188" s="3188"/>
      <c r="F188" s="3189" t="s">
        <v>261</v>
      </c>
      <c r="G188" s="3189" t="s">
        <v>261</v>
      </c>
      <c r="H188" s="3189" t="s">
        <v>261</v>
      </c>
      <c r="I188" s="2599" t="s">
        <v>261</v>
      </c>
      <c r="J188" s="2599" t="s">
        <v>261</v>
      </c>
      <c r="K188" s="3188"/>
      <c r="L188" s="3188"/>
      <c r="M188" s="2777" t="s">
        <v>433</v>
      </c>
      <c r="N188" s="2601" t="s">
        <v>261</v>
      </c>
      <c r="O188" s="3189" t="s">
        <v>261</v>
      </c>
      <c r="P188" s="3189" t="s">
        <v>261</v>
      </c>
      <c r="Q188" s="3189" t="s">
        <v>261</v>
      </c>
      <c r="R188" s="3188"/>
      <c r="S188" s="3188"/>
      <c r="T188" s="3185" t="s">
        <v>261</v>
      </c>
      <c r="U188" s="3185" t="s">
        <v>261</v>
      </c>
      <c r="V188" s="3185" t="s">
        <v>261</v>
      </c>
      <c r="W188" s="3185" t="s">
        <v>261</v>
      </c>
      <c r="X188" s="3185" t="s">
        <v>261</v>
      </c>
      <c r="Y188" s="3188"/>
      <c r="Z188" s="3188"/>
      <c r="AA188" s="3189" t="s">
        <v>261</v>
      </c>
      <c r="AB188" s="3189" t="s">
        <v>261</v>
      </c>
      <c r="AC188" s="3189" t="s">
        <v>261</v>
      </c>
      <c r="AD188" s="3189" t="s">
        <v>261</v>
      </c>
      <c r="AE188" s="3189" t="s">
        <v>261</v>
      </c>
      <c r="AF188" s="3188"/>
      <c r="AG188" s="3188"/>
      <c r="AH188" s="99"/>
    </row>
    <row r="189" spans="1:35" ht="24" customHeight="1">
      <c r="C189" s="100"/>
      <c r="D189" s="100"/>
      <c r="E189" s="100"/>
      <c r="F189" s="100"/>
      <c r="G189" s="100"/>
      <c r="H189" s="100"/>
      <c r="I189" s="100"/>
      <c r="J189" s="100"/>
      <c r="K189" s="100"/>
      <c r="L189" s="100"/>
      <c r="M189" s="100"/>
      <c r="N189" s="100"/>
      <c r="O189" s="100"/>
      <c r="P189" s="100"/>
      <c r="Q189" s="100"/>
      <c r="R189" s="100"/>
      <c r="S189" s="100"/>
      <c r="T189" s="100"/>
      <c r="U189" s="100"/>
      <c r="V189" s="100"/>
      <c r="W189" s="100"/>
      <c r="X189" s="100"/>
      <c r="Y189" s="100"/>
      <c r="Z189" s="100"/>
      <c r="AA189" s="100"/>
      <c r="AB189" s="100"/>
      <c r="AC189" s="100"/>
      <c r="AD189" s="100"/>
      <c r="AE189" s="100"/>
      <c r="AF189" s="100"/>
      <c r="AG189" s="100"/>
    </row>
    <row r="190" spans="1:35" ht="24" customHeight="1" thickBot="1">
      <c r="A190" s="1" t="s">
        <v>280</v>
      </c>
      <c r="B190" s="42"/>
    </row>
    <row r="191" spans="1:35" ht="24" customHeight="1">
      <c r="A191" s="1"/>
      <c r="B191" s="2778" t="s">
        <v>281</v>
      </c>
      <c r="C191" s="2779" t="s">
        <v>87</v>
      </c>
      <c r="D191" s="2779"/>
      <c r="E191" s="2779"/>
      <c r="F191" s="2779"/>
      <c r="G191" s="2780" t="s">
        <v>88</v>
      </c>
      <c r="H191" s="2779"/>
      <c r="I191" s="2779"/>
      <c r="J191" s="2779"/>
      <c r="K191" s="2780" t="s">
        <v>89</v>
      </c>
      <c r="L191" s="2779"/>
      <c r="M191" s="2779"/>
      <c r="N191" s="2779"/>
      <c r="O191" s="2780" t="s">
        <v>90</v>
      </c>
      <c r="P191" s="2779"/>
      <c r="Q191" s="2779"/>
      <c r="R191" s="2779"/>
      <c r="S191" s="2780" t="s">
        <v>91</v>
      </c>
      <c r="T191" s="2779"/>
      <c r="U191" s="2779"/>
      <c r="V191" s="2779"/>
      <c r="W191" s="2781" t="s">
        <v>92</v>
      </c>
      <c r="X191" s="705"/>
      <c r="Y191" s="2779"/>
      <c r="Z191" s="2782"/>
      <c r="AA191" s="2781" t="s">
        <v>93</v>
      </c>
      <c r="AB191" s="705"/>
      <c r="AC191" s="2779"/>
      <c r="AD191" s="2782"/>
      <c r="AE191" s="2783" t="s">
        <v>94</v>
      </c>
      <c r="AF191" s="2779"/>
      <c r="AG191" s="2779"/>
      <c r="AH191" s="2779"/>
      <c r="AI191" s="706"/>
    </row>
    <row r="192" spans="1:35" ht="24" customHeight="1">
      <c r="A192" s="1"/>
      <c r="B192" s="1665">
        <v>3701</v>
      </c>
      <c r="C192" s="87" t="s">
        <v>282</v>
      </c>
      <c r="D192" s="87"/>
      <c r="E192" s="87"/>
      <c r="F192" s="87"/>
      <c r="G192" s="3190" t="s">
        <v>283</v>
      </c>
      <c r="H192" s="87"/>
      <c r="I192" s="87"/>
      <c r="J192" s="87"/>
      <c r="K192" s="3190" t="s">
        <v>283</v>
      </c>
      <c r="L192" s="87"/>
      <c r="M192" s="87"/>
      <c r="N192" s="87"/>
      <c r="O192" s="3190" t="s">
        <v>283</v>
      </c>
      <c r="P192" s="87"/>
      <c r="Q192" s="87"/>
      <c r="R192" s="87"/>
      <c r="S192" s="3190" t="s">
        <v>284</v>
      </c>
      <c r="T192" s="87"/>
      <c r="U192" s="87"/>
      <c r="V192" s="87"/>
      <c r="W192" s="3191"/>
      <c r="X192" s="3192"/>
      <c r="Y192" s="2966"/>
      <c r="Z192" s="3193"/>
      <c r="AA192" s="3191"/>
      <c r="AB192" s="3192"/>
      <c r="AC192" s="2966"/>
      <c r="AD192" s="3193"/>
      <c r="AE192" s="3108"/>
      <c r="AF192" s="2966"/>
      <c r="AG192" s="2966"/>
      <c r="AH192" s="2966"/>
      <c r="AI192" s="2915"/>
    </row>
    <row r="193" spans="1:35" ht="24" customHeight="1">
      <c r="A193" s="2787"/>
      <c r="B193" s="2778"/>
      <c r="C193" s="2788"/>
      <c r="D193" s="3180"/>
      <c r="E193" s="3180"/>
      <c r="F193" s="2789"/>
      <c r="G193" s="2788"/>
      <c r="H193" s="3180"/>
      <c r="I193" s="3180"/>
      <c r="J193" s="2789"/>
      <c r="K193" s="2788"/>
      <c r="L193" s="3180"/>
      <c r="M193" s="3180"/>
      <c r="N193" s="2789"/>
      <c r="O193" s="2788"/>
      <c r="P193" s="3180"/>
      <c r="Q193" s="3180"/>
      <c r="R193" s="2789"/>
      <c r="S193" s="2788"/>
      <c r="T193" s="3180"/>
      <c r="U193" s="3180"/>
      <c r="V193" s="3180"/>
      <c r="W193" s="3191"/>
      <c r="X193" s="3192"/>
      <c r="Y193" s="2966"/>
      <c r="Z193" s="3193"/>
      <c r="AA193" s="3191"/>
      <c r="AB193" s="3192"/>
      <c r="AC193" s="2966"/>
      <c r="AD193" s="3193"/>
      <c r="AE193" s="3108"/>
      <c r="AF193" s="2966"/>
      <c r="AG193" s="2966"/>
      <c r="AH193" s="2966"/>
      <c r="AI193" s="2915"/>
    </row>
    <row r="194" spans="1:35" ht="24" customHeight="1">
      <c r="A194" s="2787"/>
      <c r="B194" s="2778"/>
      <c r="C194" s="2788"/>
      <c r="D194" s="3180"/>
      <c r="E194" s="3180"/>
      <c r="F194" s="2789"/>
      <c r="G194" s="2788"/>
      <c r="H194" s="3180"/>
      <c r="I194" s="3180"/>
      <c r="J194" s="2789"/>
      <c r="K194" s="2788"/>
      <c r="L194" s="3180"/>
      <c r="M194" s="3180"/>
      <c r="N194" s="2789"/>
      <c r="O194" s="2788"/>
      <c r="P194" s="3180"/>
      <c r="Q194" s="3180"/>
      <c r="R194" s="2789"/>
      <c r="S194" s="2788"/>
      <c r="T194" s="3180"/>
      <c r="U194" s="3180"/>
      <c r="V194" s="3180"/>
      <c r="W194" s="3191"/>
      <c r="X194" s="3192"/>
      <c r="Y194" s="2966"/>
      <c r="Z194" s="3193"/>
      <c r="AA194" s="3191"/>
      <c r="AB194" s="3192"/>
      <c r="AC194" s="2966"/>
      <c r="AD194" s="3193"/>
      <c r="AE194" s="3108"/>
      <c r="AF194" s="2966"/>
      <c r="AG194" s="2966"/>
      <c r="AH194" s="2966"/>
      <c r="AI194" s="2915"/>
    </row>
    <row r="195" spans="1:35" ht="24" customHeight="1" thickBot="1">
      <c r="A195" s="411"/>
      <c r="B195" s="412"/>
      <c r="C195" s="3194"/>
      <c r="D195" s="2759"/>
      <c r="E195" s="2759"/>
      <c r="F195" s="3195"/>
      <c r="G195" s="3194"/>
      <c r="H195" s="2759"/>
      <c r="I195" s="2759"/>
      <c r="J195" s="3195"/>
      <c r="K195" s="3194"/>
      <c r="L195" s="2759"/>
      <c r="M195" s="2759"/>
      <c r="N195" s="3195"/>
      <c r="O195" s="3194"/>
      <c r="P195" s="2759"/>
      <c r="Q195" s="2759"/>
      <c r="R195" s="3195"/>
      <c r="S195" s="3194"/>
      <c r="T195" s="2759"/>
      <c r="U195" s="2759"/>
      <c r="V195" s="2759"/>
      <c r="W195" s="3196"/>
      <c r="X195" s="3197"/>
      <c r="Y195" s="3198"/>
      <c r="Z195" s="3199"/>
      <c r="AA195" s="3196"/>
      <c r="AB195" s="3197"/>
      <c r="AC195" s="3198"/>
      <c r="AD195" s="3199"/>
      <c r="AE195" s="3121"/>
      <c r="AF195" s="2973"/>
      <c r="AG195" s="2973"/>
      <c r="AH195" s="2973"/>
      <c r="AI195" s="2976"/>
    </row>
    <row r="196" spans="1:35" ht="24" customHeight="1">
      <c r="AG196" s="87"/>
      <c r="AH196" s="87"/>
    </row>
    <row r="197" spans="1:35" ht="24" customHeight="1">
      <c r="B197" s="2778">
        <v>3700</v>
      </c>
      <c r="C197" s="2966" t="s">
        <v>181</v>
      </c>
      <c r="D197" s="2966"/>
      <c r="E197" s="2966"/>
      <c r="F197" s="2966"/>
      <c r="G197" s="3200" t="s">
        <v>181</v>
      </c>
      <c r="H197" s="2966"/>
      <c r="I197" s="2966"/>
      <c r="J197" s="2966"/>
      <c r="K197" s="3200" t="s">
        <v>181</v>
      </c>
      <c r="L197" s="2966"/>
      <c r="M197" s="2966"/>
      <c r="N197" s="2966"/>
      <c r="O197" s="3200" t="s">
        <v>181</v>
      </c>
      <c r="P197" s="2966"/>
      <c r="Q197" s="2966"/>
      <c r="R197" s="2966"/>
      <c r="S197" s="3200" t="s">
        <v>182</v>
      </c>
      <c r="T197" s="2966"/>
      <c r="U197" s="2966"/>
      <c r="V197" s="2966"/>
      <c r="W197" s="2966"/>
      <c r="X197" s="3200"/>
      <c r="Y197" s="2966"/>
      <c r="Z197" s="3110"/>
      <c r="AA197" s="3108"/>
      <c r="AB197" s="2966"/>
      <c r="AC197" s="2966"/>
      <c r="AD197" s="3014"/>
      <c r="AE197" s="3201"/>
      <c r="AF197" s="2966"/>
      <c r="AG197" s="2966"/>
      <c r="AH197" s="3014"/>
      <c r="AI197" s="2915"/>
    </row>
    <row r="198" spans="1:35" ht="24" customHeight="1">
      <c r="A198" s="1"/>
      <c r="B198" s="2778">
        <v>8514</v>
      </c>
      <c r="C198" s="2966" t="s">
        <v>283</v>
      </c>
      <c r="D198" s="2966"/>
      <c r="E198" s="2966"/>
      <c r="F198" s="2966"/>
      <c r="G198" s="3200" t="s">
        <v>283</v>
      </c>
      <c r="H198" s="2966"/>
      <c r="I198" s="2966"/>
      <c r="J198" s="2966"/>
      <c r="K198" s="3200" t="s">
        <v>283</v>
      </c>
      <c r="L198" s="2966"/>
      <c r="M198" s="2966"/>
      <c r="N198" s="2966"/>
      <c r="O198" s="3200" t="s">
        <v>283</v>
      </c>
      <c r="P198" s="2966"/>
      <c r="Q198" s="2966"/>
      <c r="R198" s="2966"/>
      <c r="S198" s="3200" t="s">
        <v>285</v>
      </c>
      <c r="T198" s="2966"/>
      <c r="U198" s="2966"/>
      <c r="V198" s="2966"/>
      <c r="W198" s="2966"/>
      <c r="X198" s="3200"/>
      <c r="Y198" s="2966"/>
      <c r="Z198" s="3110"/>
      <c r="AA198" s="3013"/>
      <c r="AB198" s="2966"/>
      <c r="AC198" s="2966"/>
      <c r="AD198" s="3014"/>
      <c r="AE198" s="3013"/>
      <c r="AF198" s="2966"/>
      <c r="AG198" s="2966"/>
      <c r="AH198" s="3014"/>
      <c r="AI198" s="2915"/>
    </row>
    <row r="199" spans="1:35" ht="24" customHeight="1">
      <c r="A199" s="1"/>
      <c r="B199" s="2778">
        <v>8500</v>
      </c>
      <c r="C199" s="101" t="s">
        <v>286</v>
      </c>
      <c r="D199" s="101"/>
      <c r="E199" s="101"/>
      <c r="F199" s="101"/>
      <c r="G199" s="102" t="s">
        <v>286</v>
      </c>
      <c r="H199" s="101"/>
      <c r="I199" s="101"/>
      <c r="J199" s="101"/>
      <c r="K199" s="102" t="s">
        <v>286</v>
      </c>
      <c r="L199" s="101"/>
      <c r="M199" s="101"/>
      <c r="N199" s="101"/>
      <c r="O199" s="102" t="s">
        <v>286</v>
      </c>
      <c r="P199" s="101"/>
      <c r="Q199" s="101"/>
      <c r="R199" s="101"/>
      <c r="S199" s="102" t="s">
        <v>287</v>
      </c>
      <c r="T199" s="101"/>
      <c r="U199" s="101"/>
      <c r="V199" s="101"/>
      <c r="W199" s="101"/>
      <c r="X199" s="102"/>
      <c r="Y199" s="101"/>
      <c r="Z199" s="103"/>
      <c r="AA199" s="104"/>
      <c r="AB199" s="101"/>
      <c r="AC199" s="101"/>
      <c r="AD199" s="103"/>
      <c r="AE199" s="104"/>
      <c r="AF199" s="101"/>
      <c r="AG199" s="101"/>
      <c r="AH199" s="41"/>
      <c r="AI199" s="105"/>
    </row>
    <row r="200" spans="1:35" ht="24" customHeight="1">
      <c r="A200" s="1"/>
      <c r="B200" s="2778">
        <v>8514</v>
      </c>
      <c r="C200" s="106" t="s">
        <v>283</v>
      </c>
      <c r="D200" s="106"/>
      <c r="E200" s="106"/>
      <c r="F200" s="106"/>
      <c r="G200" s="107" t="s">
        <v>283</v>
      </c>
      <c r="H200" s="106"/>
      <c r="I200" s="106"/>
      <c r="J200" s="106"/>
      <c r="K200" s="107" t="s">
        <v>283</v>
      </c>
      <c r="L200" s="106"/>
      <c r="M200" s="106"/>
      <c r="N200" s="106"/>
      <c r="O200" s="107" t="s">
        <v>283</v>
      </c>
      <c r="P200" s="106"/>
      <c r="Q200" s="106"/>
      <c r="R200" s="106"/>
      <c r="S200" s="107" t="s">
        <v>285</v>
      </c>
      <c r="T200" s="106"/>
      <c r="U200" s="106"/>
      <c r="V200" s="106"/>
      <c r="W200" s="106"/>
      <c r="X200" s="108"/>
      <c r="Y200" s="101"/>
      <c r="Z200" s="109"/>
      <c r="AA200" s="110"/>
      <c r="AB200" s="111"/>
      <c r="AC200" s="101"/>
      <c r="AD200" s="101"/>
      <c r="AE200" s="112"/>
      <c r="AF200" s="101"/>
      <c r="AG200" s="101"/>
      <c r="AH200" s="101"/>
      <c r="AI200" s="105"/>
    </row>
    <row r="201" spans="1:35" ht="24" customHeight="1" thickBot="1">
      <c r="A201" s="1"/>
      <c r="B201" s="3202" t="s">
        <v>288</v>
      </c>
      <c r="C201" s="2973" t="s">
        <v>289</v>
      </c>
      <c r="D201" s="2973"/>
      <c r="E201" s="2973"/>
      <c r="F201" s="2973"/>
      <c r="G201" s="3203" t="s">
        <v>289</v>
      </c>
      <c r="H201" s="2973"/>
      <c r="I201" s="2973"/>
      <c r="J201" s="2973"/>
      <c r="K201" s="3204" t="s">
        <v>289</v>
      </c>
      <c r="L201" s="2973"/>
      <c r="M201" s="2973"/>
      <c r="N201" s="2973"/>
      <c r="O201" s="3203" t="s">
        <v>289</v>
      </c>
      <c r="P201" s="2973"/>
      <c r="Q201" s="2973"/>
      <c r="R201" s="2973"/>
      <c r="S201" s="3203" t="s">
        <v>290</v>
      </c>
      <c r="T201" s="2973"/>
      <c r="U201" s="2973"/>
      <c r="V201" s="2973"/>
      <c r="W201" s="2973"/>
      <c r="X201" s="3203"/>
      <c r="Y201" s="2973"/>
      <c r="Z201" s="3144"/>
      <c r="AA201" s="3121"/>
      <c r="AB201" s="2973"/>
      <c r="AC201" s="2973"/>
      <c r="AD201" s="3128"/>
      <c r="AE201" s="3205"/>
      <c r="AF201" s="2973"/>
      <c r="AG201" s="2973"/>
      <c r="AH201" s="3128"/>
      <c r="AI201" s="2976"/>
    </row>
    <row r="202" spans="1:35" ht="24" customHeight="1">
      <c r="A202" s="1"/>
      <c r="B202" s="113"/>
      <c r="C202" s="37"/>
      <c r="D202" s="87"/>
      <c r="E202" s="87"/>
      <c r="F202" s="22"/>
      <c r="G202" s="37"/>
      <c r="H202" s="87"/>
      <c r="I202" s="87"/>
      <c r="J202" s="22"/>
      <c r="K202" s="37"/>
      <c r="L202" s="87"/>
      <c r="M202" s="87"/>
      <c r="N202" s="22"/>
      <c r="O202" s="37"/>
      <c r="P202" s="87"/>
      <c r="Q202" s="87"/>
      <c r="R202" s="22"/>
      <c r="S202" s="37"/>
      <c r="T202" s="87"/>
      <c r="U202" s="87"/>
      <c r="V202" s="22"/>
      <c r="W202" s="22"/>
      <c r="Z202" s="22"/>
      <c r="AA202" s="22"/>
      <c r="AD202" s="22"/>
      <c r="AE202" s="22"/>
      <c r="AH202" s="22"/>
    </row>
    <row r="203" spans="1:35" ht="24" customHeight="1">
      <c r="A203" s="1" t="s">
        <v>291</v>
      </c>
      <c r="B203" s="113"/>
      <c r="C203" s="37"/>
      <c r="D203" s="87"/>
      <c r="E203" s="87"/>
      <c r="F203" s="22"/>
      <c r="G203" s="37"/>
      <c r="H203" s="87"/>
      <c r="I203" s="87"/>
      <c r="J203" s="22"/>
      <c r="K203" s="37"/>
      <c r="L203" s="87"/>
      <c r="M203" s="87"/>
      <c r="N203" s="22"/>
      <c r="O203" s="37"/>
      <c r="P203" s="87"/>
      <c r="Q203" s="87"/>
      <c r="R203" s="22"/>
      <c r="S203" s="37"/>
      <c r="T203" s="87"/>
      <c r="U203" s="87"/>
      <c r="V203" s="22"/>
      <c r="W203" s="22"/>
      <c r="Z203" s="22"/>
      <c r="AA203" s="22"/>
      <c r="AD203" s="22"/>
      <c r="AE203" s="22"/>
      <c r="AH203" s="22"/>
    </row>
    <row r="204" spans="1:35" ht="24" customHeight="1" thickBot="1">
      <c r="A204" s="3025"/>
      <c r="B204" s="2978" t="s">
        <v>29</v>
      </c>
      <c r="C204" s="3026">
        <v>1</v>
      </c>
      <c r="D204" s="3027">
        <v>2</v>
      </c>
      <c r="E204" s="3027">
        <v>3</v>
      </c>
      <c r="F204" s="3026">
        <v>4</v>
      </c>
      <c r="G204" s="3026">
        <v>5</v>
      </c>
      <c r="H204" s="3026">
        <v>6</v>
      </c>
      <c r="I204" s="3026">
        <v>7</v>
      </c>
      <c r="J204" s="3026">
        <v>8</v>
      </c>
      <c r="K204" s="3027">
        <v>9</v>
      </c>
      <c r="L204" s="3027">
        <v>10</v>
      </c>
      <c r="M204" s="3026">
        <v>11</v>
      </c>
      <c r="N204" s="3026">
        <v>12</v>
      </c>
      <c r="O204" s="3026">
        <v>13</v>
      </c>
      <c r="P204" s="3026">
        <v>14</v>
      </c>
      <c r="Q204" s="3026">
        <v>15</v>
      </c>
      <c r="R204" s="3027">
        <v>16</v>
      </c>
      <c r="S204" s="3027">
        <v>17</v>
      </c>
      <c r="T204" s="3026">
        <v>18</v>
      </c>
      <c r="U204" s="3026">
        <v>19</v>
      </c>
      <c r="V204" s="3026">
        <v>20</v>
      </c>
      <c r="W204" s="3026">
        <v>21</v>
      </c>
      <c r="X204" s="3026">
        <v>22</v>
      </c>
      <c r="Y204" s="3027">
        <v>23</v>
      </c>
      <c r="Z204" s="3027">
        <v>24</v>
      </c>
      <c r="AA204" s="3026">
        <v>25</v>
      </c>
      <c r="AB204" s="3026">
        <v>26</v>
      </c>
      <c r="AC204" s="3026">
        <v>27</v>
      </c>
      <c r="AD204" s="3026">
        <v>28</v>
      </c>
      <c r="AE204" s="3026">
        <v>29</v>
      </c>
      <c r="AF204" s="3027">
        <v>30</v>
      </c>
      <c r="AG204" s="3028"/>
      <c r="AH204" s="23"/>
      <c r="AI204" s="24"/>
    </row>
    <row r="205" spans="1:35" ht="24" customHeight="1">
      <c r="A205" s="2478"/>
      <c r="B205" s="2479" t="s">
        <v>292</v>
      </c>
      <c r="C205" s="1839" t="s">
        <v>31</v>
      </c>
      <c r="D205" s="1839"/>
      <c r="E205" s="1839"/>
      <c r="F205" s="2720" t="s">
        <v>31</v>
      </c>
      <c r="G205" s="3206" t="s">
        <v>31</v>
      </c>
      <c r="H205" s="3206" t="s">
        <v>31</v>
      </c>
      <c r="I205" s="1839" t="s">
        <v>31</v>
      </c>
      <c r="J205" s="1839" t="s">
        <v>31</v>
      </c>
      <c r="K205" s="1839"/>
      <c r="L205" s="1839"/>
      <c r="M205" s="1839" t="s">
        <v>31</v>
      </c>
      <c r="N205" s="1840" t="s">
        <v>31</v>
      </c>
      <c r="O205" s="1839" t="s">
        <v>31</v>
      </c>
      <c r="P205" s="1839" t="s">
        <v>31</v>
      </c>
      <c r="Q205" s="1839" t="s">
        <v>31</v>
      </c>
      <c r="R205" s="1839"/>
      <c r="S205" s="1839"/>
      <c r="T205" s="1839" t="s">
        <v>31</v>
      </c>
      <c r="U205" s="1839" t="s">
        <v>31</v>
      </c>
      <c r="V205" s="1839" t="s">
        <v>31</v>
      </c>
      <c r="W205" s="1839" t="s">
        <v>31</v>
      </c>
      <c r="X205" s="1839" t="s">
        <v>31</v>
      </c>
      <c r="Y205" s="2586"/>
      <c r="Z205" s="2586"/>
      <c r="AA205" s="2586" t="s">
        <v>31</v>
      </c>
      <c r="AB205" s="1839" t="s">
        <v>31</v>
      </c>
      <c r="AC205" s="1839" t="s">
        <v>31</v>
      </c>
      <c r="AD205" s="1839" t="s">
        <v>31</v>
      </c>
      <c r="AE205" s="1839" t="s">
        <v>31</v>
      </c>
      <c r="AF205" s="1840"/>
      <c r="AG205" s="397"/>
      <c r="AH205" s="23"/>
      <c r="AI205" s="24"/>
    </row>
    <row r="206" spans="1:35" ht="24" customHeight="1">
      <c r="A206" s="3207"/>
      <c r="B206" s="3208" t="s">
        <v>293</v>
      </c>
      <c r="C206" s="2590" t="s">
        <v>31</v>
      </c>
      <c r="D206" s="2590"/>
      <c r="E206" s="2590"/>
      <c r="F206" s="2602" t="s">
        <v>31</v>
      </c>
      <c r="G206" s="2607" t="s">
        <v>31</v>
      </c>
      <c r="H206" s="2607" t="s">
        <v>31</v>
      </c>
      <c r="I206" s="2590" t="s">
        <v>31</v>
      </c>
      <c r="J206" s="2590" t="s">
        <v>31</v>
      </c>
      <c r="K206" s="2590"/>
      <c r="L206" s="2590"/>
      <c r="M206" s="2590" t="s">
        <v>31</v>
      </c>
      <c r="N206" s="2596" t="s">
        <v>31</v>
      </c>
      <c r="O206" s="2590" t="s">
        <v>31</v>
      </c>
      <c r="P206" s="2590" t="s">
        <v>31</v>
      </c>
      <c r="Q206" s="2590" t="s">
        <v>31</v>
      </c>
      <c r="R206" s="2590"/>
      <c r="S206" s="2590"/>
      <c r="T206" s="2590" t="s">
        <v>31</v>
      </c>
      <c r="U206" s="2775" t="s">
        <v>31</v>
      </c>
      <c r="V206" s="2590" t="s">
        <v>31</v>
      </c>
      <c r="W206" s="2590" t="s">
        <v>31</v>
      </c>
      <c r="X206" s="2590" t="s">
        <v>31</v>
      </c>
      <c r="Y206" s="2593"/>
      <c r="Z206" s="2593"/>
      <c r="AA206" s="2593" t="s">
        <v>31</v>
      </c>
      <c r="AB206" s="2590" t="s">
        <v>31</v>
      </c>
      <c r="AC206" s="2590" t="s">
        <v>31</v>
      </c>
      <c r="AD206" s="2590" t="s">
        <v>31</v>
      </c>
      <c r="AE206" s="2590" t="s">
        <v>31</v>
      </c>
      <c r="AF206" s="2596"/>
      <c r="AG206" s="3209"/>
      <c r="AH206" s="23"/>
      <c r="AI206" s="24"/>
    </row>
    <row r="207" spans="1:35" ht="24" customHeight="1">
      <c r="A207" s="3210">
        <v>8514</v>
      </c>
      <c r="B207" s="2554" t="s">
        <v>393</v>
      </c>
      <c r="C207" s="2590" t="s">
        <v>31</v>
      </c>
      <c r="D207" s="2590"/>
      <c r="E207" s="2590"/>
      <c r="F207" s="2602" t="s">
        <v>31</v>
      </c>
      <c r="G207" s="2607" t="s">
        <v>31</v>
      </c>
      <c r="H207" s="2607" t="s">
        <v>31</v>
      </c>
      <c r="I207" s="2590" t="s">
        <v>31</v>
      </c>
      <c r="J207" s="2590" t="s">
        <v>31</v>
      </c>
      <c r="K207" s="2590"/>
      <c r="L207" s="2590"/>
      <c r="M207" s="2590" t="s">
        <v>31</v>
      </c>
      <c r="N207" s="2596" t="s">
        <v>31</v>
      </c>
      <c r="O207" s="2590" t="s">
        <v>31</v>
      </c>
      <c r="P207" s="2590" t="s">
        <v>31</v>
      </c>
      <c r="Q207" s="2590" t="s">
        <v>31</v>
      </c>
      <c r="R207" s="2590"/>
      <c r="S207" s="2590"/>
      <c r="T207" s="2590" t="s">
        <v>31</v>
      </c>
      <c r="U207" s="2590" t="s">
        <v>31</v>
      </c>
      <c r="V207" s="2590" t="s">
        <v>31</v>
      </c>
      <c r="W207" s="2590" t="s">
        <v>31</v>
      </c>
      <c r="X207" s="2590" t="s">
        <v>31</v>
      </c>
      <c r="Y207" s="2593"/>
      <c r="Z207" s="2593"/>
      <c r="AA207" s="2593" t="s">
        <v>31</v>
      </c>
      <c r="AB207" s="2590" t="s">
        <v>31</v>
      </c>
      <c r="AC207" s="2590" t="s">
        <v>31</v>
      </c>
      <c r="AD207" s="2590" t="s">
        <v>31</v>
      </c>
      <c r="AE207" s="2590" t="s">
        <v>31</v>
      </c>
      <c r="AF207" s="2596"/>
      <c r="AG207" s="3209"/>
      <c r="AH207" s="34"/>
      <c r="AI207" s="25"/>
    </row>
    <row r="208" spans="1:35" ht="24" customHeight="1">
      <c r="A208" s="3210">
        <v>3701</v>
      </c>
      <c r="B208" s="2554" t="s">
        <v>295</v>
      </c>
      <c r="C208" s="2590" t="s">
        <v>31</v>
      </c>
      <c r="D208" s="2590"/>
      <c r="E208" s="2590"/>
      <c r="F208" s="3185" t="s">
        <v>31</v>
      </c>
      <c r="G208" s="2607" t="s">
        <v>31</v>
      </c>
      <c r="H208" s="2607" t="s">
        <v>31</v>
      </c>
      <c r="I208" s="2590" t="s">
        <v>31</v>
      </c>
      <c r="J208" s="2590" t="s">
        <v>31</v>
      </c>
      <c r="K208" s="2590"/>
      <c r="L208" s="2590"/>
      <c r="M208" s="2599" t="s">
        <v>31</v>
      </c>
      <c r="N208" s="2599" t="s">
        <v>31</v>
      </c>
      <c r="O208" s="2599" t="s">
        <v>31</v>
      </c>
      <c r="P208" s="2599" t="s">
        <v>31</v>
      </c>
      <c r="Q208" s="2777" t="s">
        <v>304</v>
      </c>
      <c r="R208" s="2590"/>
      <c r="S208" s="2590"/>
      <c r="T208" s="2590" t="s">
        <v>31</v>
      </c>
      <c r="U208" s="2590" t="s">
        <v>31</v>
      </c>
      <c r="V208" s="2590" t="s">
        <v>31</v>
      </c>
      <c r="W208" s="2590" t="s">
        <v>31</v>
      </c>
      <c r="X208" s="2590" t="s">
        <v>31</v>
      </c>
      <c r="Y208" s="2593"/>
      <c r="Z208" s="2593"/>
      <c r="AA208" s="2593" t="s">
        <v>31</v>
      </c>
      <c r="AB208" s="2590" t="s">
        <v>31</v>
      </c>
      <c r="AC208" s="2590" t="s">
        <v>31</v>
      </c>
      <c r="AD208" s="2590" t="s">
        <v>31</v>
      </c>
      <c r="AE208" s="2590" t="s">
        <v>31</v>
      </c>
      <c r="AF208" s="2596"/>
      <c r="AG208" s="3209"/>
      <c r="AH208" s="34"/>
      <c r="AI208" s="25"/>
    </row>
    <row r="209" spans="1:35" ht="24" customHeight="1">
      <c r="A209" s="3210">
        <v>3701</v>
      </c>
      <c r="B209" s="2554" t="s">
        <v>296</v>
      </c>
      <c r="C209" s="2590" t="s">
        <v>31</v>
      </c>
      <c r="D209" s="2590"/>
      <c r="E209" s="2590"/>
      <c r="F209" s="2602" t="s">
        <v>31</v>
      </c>
      <c r="G209" s="2607" t="s">
        <v>31</v>
      </c>
      <c r="H209" s="2607" t="s">
        <v>31</v>
      </c>
      <c r="I209" s="2590" t="s">
        <v>31</v>
      </c>
      <c r="J209" s="2590" t="s">
        <v>31</v>
      </c>
      <c r="K209" s="2590"/>
      <c r="L209" s="2590"/>
      <c r="M209" s="2590" t="s">
        <v>31</v>
      </c>
      <c r="N209" s="2596" t="s">
        <v>31</v>
      </c>
      <c r="O209" s="2590" t="s">
        <v>31</v>
      </c>
      <c r="P209" s="2590" t="s">
        <v>31</v>
      </c>
      <c r="Q209" s="2590" t="s">
        <v>31</v>
      </c>
      <c r="R209" s="2590"/>
      <c r="S209" s="2590"/>
      <c r="T209" s="2590" t="s">
        <v>31</v>
      </c>
      <c r="U209" s="2590" t="s">
        <v>31</v>
      </c>
      <c r="V209" s="2590" t="s">
        <v>31</v>
      </c>
      <c r="W209" s="2590" t="s">
        <v>31</v>
      </c>
      <c r="X209" s="2590" t="s">
        <v>31</v>
      </c>
      <c r="Y209" s="2593"/>
      <c r="Z209" s="2593"/>
      <c r="AA209" s="2593" t="s">
        <v>31</v>
      </c>
      <c r="AB209" s="2590" t="s">
        <v>31</v>
      </c>
      <c r="AC209" s="2590" t="s">
        <v>31</v>
      </c>
      <c r="AD209" s="2590" t="s">
        <v>31</v>
      </c>
      <c r="AE209" s="2590" t="s">
        <v>31</v>
      </c>
      <c r="AF209" s="2596"/>
      <c r="AG209" s="3209"/>
      <c r="AH209" s="34"/>
      <c r="AI209" s="25"/>
    </row>
    <row r="210" spans="1:35" ht="24" customHeight="1">
      <c r="A210" s="3210">
        <v>3701</v>
      </c>
      <c r="B210" s="2554" t="s">
        <v>297</v>
      </c>
      <c r="C210" s="2590" t="s">
        <v>31</v>
      </c>
      <c r="D210" s="2590"/>
      <c r="E210" s="2590"/>
      <c r="F210" s="2602" t="s">
        <v>31</v>
      </c>
      <c r="G210" s="2607" t="s">
        <v>31</v>
      </c>
      <c r="H210" s="2607" t="s">
        <v>31</v>
      </c>
      <c r="I210" s="2590" t="s">
        <v>31</v>
      </c>
      <c r="J210" s="2590" t="s">
        <v>31</v>
      </c>
      <c r="K210" s="2590"/>
      <c r="L210" s="2590"/>
      <c r="M210" s="2590">
        <v>19</v>
      </c>
      <c r="N210" s="2590">
        <v>19</v>
      </c>
      <c r="O210" s="2590">
        <v>19</v>
      </c>
      <c r="P210" s="2590">
        <v>19</v>
      </c>
      <c r="Q210" s="2590">
        <v>19</v>
      </c>
      <c r="R210" s="2590"/>
      <c r="S210" s="2590"/>
      <c r="T210" s="2590" t="s">
        <v>31</v>
      </c>
      <c r="U210" s="2590" t="s">
        <v>31</v>
      </c>
      <c r="V210" s="2590" t="s">
        <v>31</v>
      </c>
      <c r="W210" s="2590" t="s">
        <v>31</v>
      </c>
      <c r="X210" s="2775" t="s">
        <v>31</v>
      </c>
      <c r="Y210" s="2593"/>
      <c r="Z210" s="2593"/>
      <c r="AA210" s="2593" t="s">
        <v>31</v>
      </c>
      <c r="AB210" s="2590" t="s">
        <v>31</v>
      </c>
      <c r="AC210" s="2590" t="s">
        <v>31</v>
      </c>
      <c r="AD210" s="2590" t="s">
        <v>31</v>
      </c>
      <c r="AE210" s="2590" t="s">
        <v>31</v>
      </c>
      <c r="AF210" s="2596"/>
      <c r="AG210" s="3209"/>
      <c r="AH210" s="34"/>
      <c r="AI210" s="25"/>
    </row>
    <row r="211" spans="1:35" ht="24" customHeight="1">
      <c r="A211" s="3210">
        <v>3701</v>
      </c>
      <c r="B211" s="2554" t="s">
        <v>298</v>
      </c>
      <c r="C211" s="2590" t="s">
        <v>31</v>
      </c>
      <c r="D211" s="2590"/>
      <c r="E211" s="2590"/>
      <c r="F211" s="2602" t="s">
        <v>31</v>
      </c>
      <c r="G211" s="2607" t="s">
        <v>31</v>
      </c>
      <c r="H211" s="2607" t="s">
        <v>31</v>
      </c>
      <c r="I211" s="2590" t="s">
        <v>31</v>
      </c>
      <c r="J211" s="2775" t="s">
        <v>31</v>
      </c>
      <c r="K211" s="2590"/>
      <c r="L211" s="2590"/>
      <c r="M211" s="2590" t="s">
        <v>31</v>
      </c>
      <c r="N211" s="2596" t="s">
        <v>31</v>
      </c>
      <c r="O211" s="2590" t="s">
        <v>31</v>
      </c>
      <c r="P211" s="2590" t="s">
        <v>31</v>
      </c>
      <c r="Q211" s="2590" t="s">
        <v>31</v>
      </c>
      <c r="R211" s="2590"/>
      <c r="S211" s="2590"/>
      <c r="T211" s="2601" t="s">
        <v>31</v>
      </c>
      <c r="U211" s="2590" t="s">
        <v>31</v>
      </c>
      <c r="V211" s="2590" t="s">
        <v>31</v>
      </c>
      <c r="W211" s="2590" t="s">
        <v>31</v>
      </c>
      <c r="X211" s="2590" t="s">
        <v>31</v>
      </c>
      <c r="Y211" s="2593"/>
      <c r="Z211" s="2593"/>
      <c r="AA211" s="2590">
        <v>19</v>
      </c>
      <c r="AB211" s="2590">
        <v>19</v>
      </c>
      <c r="AC211" s="2590">
        <v>19</v>
      </c>
      <c r="AD211" s="2590">
        <v>19</v>
      </c>
      <c r="AE211" s="2590">
        <v>19</v>
      </c>
      <c r="AF211" s="2596"/>
      <c r="AG211" s="3209"/>
      <c r="AH211" s="34"/>
      <c r="AI211" s="25"/>
    </row>
    <row r="212" spans="1:35" ht="24" customHeight="1">
      <c r="A212" s="3210">
        <v>3701</v>
      </c>
      <c r="B212" s="2554" t="s">
        <v>299</v>
      </c>
      <c r="C212" s="2590" t="s">
        <v>31</v>
      </c>
      <c r="D212" s="2590"/>
      <c r="E212" s="2590"/>
      <c r="F212" s="2602" t="s">
        <v>31</v>
      </c>
      <c r="G212" s="2607" t="s">
        <v>31</v>
      </c>
      <c r="H212" s="2607" t="s">
        <v>31</v>
      </c>
      <c r="I212" s="2590" t="s">
        <v>31</v>
      </c>
      <c r="J212" s="2590" t="s">
        <v>31</v>
      </c>
      <c r="K212" s="2590"/>
      <c r="L212" s="2590"/>
      <c r="M212" s="2590" t="s">
        <v>31</v>
      </c>
      <c r="N212" s="2596" t="s">
        <v>31</v>
      </c>
      <c r="O212" s="2590" t="s">
        <v>31</v>
      </c>
      <c r="P212" s="2590" t="s">
        <v>31</v>
      </c>
      <c r="Q212" s="2590" t="s">
        <v>31</v>
      </c>
      <c r="R212" s="2590"/>
      <c r="S212" s="2590"/>
      <c r="T212" s="2590">
        <v>19</v>
      </c>
      <c r="U212" s="2590">
        <v>19</v>
      </c>
      <c r="V212" s="2590">
        <v>19</v>
      </c>
      <c r="W212" s="2590">
        <v>19</v>
      </c>
      <c r="X212" s="2590">
        <v>19</v>
      </c>
      <c r="Y212" s="2593"/>
      <c r="Z212" s="2593"/>
      <c r="AA212" s="2593" t="s">
        <v>31</v>
      </c>
      <c r="AB212" s="2590" t="s">
        <v>31</v>
      </c>
      <c r="AC212" s="2590" t="s">
        <v>31</v>
      </c>
      <c r="AD212" s="2590" t="s">
        <v>31</v>
      </c>
      <c r="AE212" s="2590" t="s">
        <v>31</v>
      </c>
      <c r="AF212" s="2596"/>
      <c r="AG212" s="3209"/>
      <c r="AH212" s="34"/>
      <c r="AI212" s="25"/>
    </row>
    <row r="213" spans="1:35" ht="24" customHeight="1">
      <c r="A213" s="3210">
        <v>3701</v>
      </c>
      <c r="B213" s="2554" t="s">
        <v>300</v>
      </c>
      <c r="C213" s="2590">
        <v>19</v>
      </c>
      <c r="D213" s="2590"/>
      <c r="E213" s="2590"/>
      <c r="F213" s="2602" t="s">
        <v>31</v>
      </c>
      <c r="G213" s="2607" t="s">
        <v>31</v>
      </c>
      <c r="H213" s="2607" t="s">
        <v>31</v>
      </c>
      <c r="I213" s="2590" t="s">
        <v>31</v>
      </c>
      <c r="J213" s="2590" t="s">
        <v>31</v>
      </c>
      <c r="K213" s="2590"/>
      <c r="L213" s="2590"/>
      <c r="M213" s="2590" t="s">
        <v>31</v>
      </c>
      <c r="N213" s="2596" t="s">
        <v>31</v>
      </c>
      <c r="O213" s="2590" t="s">
        <v>31</v>
      </c>
      <c r="P213" s="2590" t="s">
        <v>31</v>
      </c>
      <c r="Q213" s="2590" t="s">
        <v>31</v>
      </c>
      <c r="R213" s="2590"/>
      <c r="S213" s="2590"/>
      <c r="T213" s="2590" t="s">
        <v>31</v>
      </c>
      <c r="U213" s="2590" t="s">
        <v>31</v>
      </c>
      <c r="V213" s="2590" t="s">
        <v>31</v>
      </c>
      <c r="W213" s="2590" t="s">
        <v>31</v>
      </c>
      <c r="X213" s="2590" t="s">
        <v>31</v>
      </c>
      <c r="Y213" s="2593"/>
      <c r="Z213" s="2593"/>
      <c r="AA213" s="2593" t="s">
        <v>31</v>
      </c>
      <c r="AB213" s="2590" t="s">
        <v>31</v>
      </c>
      <c r="AC213" s="2590" t="s">
        <v>31</v>
      </c>
      <c r="AD213" s="2590" t="s">
        <v>31</v>
      </c>
      <c r="AE213" s="2590" t="s">
        <v>31</v>
      </c>
      <c r="AF213" s="2596"/>
      <c r="AG213" s="3209"/>
      <c r="AH213" s="34"/>
      <c r="AI213" s="25"/>
    </row>
    <row r="214" spans="1:35" ht="24" customHeight="1">
      <c r="A214" s="3210">
        <v>3701</v>
      </c>
      <c r="B214" s="2554" t="s">
        <v>301</v>
      </c>
      <c r="C214" s="2590" t="s">
        <v>31</v>
      </c>
      <c r="D214" s="2590"/>
      <c r="E214" s="2590"/>
      <c r="F214" s="2590">
        <v>19</v>
      </c>
      <c r="G214" s="2590">
        <v>19</v>
      </c>
      <c r="H214" s="2590">
        <v>19</v>
      </c>
      <c r="I214" s="2590">
        <v>19</v>
      </c>
      <c r="J214" s="2590">
        <v>19</v>
      </c>
      <c r="K214" s="2590"/>
      <c r="L214" s="2590"/>
      <c r="M214" s="2590" t="s">
        <v>31</v>
      </c>
      <c r="N214" s="2596" t="s">
        <v>31</v>
      </c>
      <c r="O214" s="2590" t="s">
        <v>31</v>
      </c>
      <c r="P214" s="2590" t="s">
        <v>31</v>
      </c>
      <c r="Q214" s="2590" t="s">
        <v>31</v>
      </c>
      <c r="R214" s="2590"/>
      <c r="S214" s="2590"/>
      <c r="T214" s="2590" t="s">
        <v>31</v>
      </c>
      <c r="U214" s="2590" t="s">
        <v>31</v>
      </c>
      <c r="V214" s="2590" t="s">
        <v>31</v>
      </c>
      <c r="W214" s="2590" t="s">
        <v>31</v>
      </c>
      <c r="X214" s="2775" t="s">
        <v>31</v>
      </c>
      <c r="Y214" s="2593"/>
      <c r="Z214" s="2593"/>
      <c r="AA214" s="2593" t="s">
        <v>31</v>
      </c>
      <c r="AB214" s="2590" t="s">
        <v>31</v>
      </c>
      <c r="AC214" s="2590" t="s">
        <v>31</v>
      </c>
      <c r="AD214" s="2590" t="s">
        <v>31</v>
      </c>
      <c r="AE214" s="2590" t="s">
        <v>31</v>
      </c>
      <c r="AF214" s="2596"/>
      <c r="AG214" s="3209"/>
      <c r="AH214" s="34"/>
      <c r="AI214" s="25"/>
    </row>
    <row r="215" spans="1:35" ht="24" customHeight="1">
      <c r="A215" s="3211">
        <v>3701</v>
      </c>
      <c r="B215" s="2554" t="s">
        <v>302</v>
      </c>
      <c r="C215" s="2590" t="s">
        <v>31</v>
      </c>
      <c r="D215" s="2590"/>
      <c r="E215" s="2590"/>
      <c r="F215" s="2602" t="s">
        <v>31</v>
      </c>
      <c r="G215" s="2607" t="s">
        <v>31</v>
      </c>
      <c r="H215" s="2607" t="s">
        <v>31</v>
      </c>
      <c r="I215" s="2590" t="s">
        <v>31</v>
      </c>
      <c r="J215" s="2590" t="s">
        <v>31</v>
      </c>
      <c r="K215" s="2590"/>
      <c r="L215" s="2590"/>
      <c r="M215" s="2590" t="s">
        <v>31</v>
      </c>
      <c r="N215" s="2596" t="s">
        <v>31</v>
      </c>
      <c r="O215" s="2590" t="s">
        <v>31</v>
      </c>
      <c r="P215" s="2590" t="s">
        <v>31</v>
      </c>
      <c r="Q215" s="2590" t="s">
        <v>31</v>
      </c>
      <c r="R215" s="2590"/>
      <c r="S215" s="2590"/>
      <c r="T215" s="2599" t="s">
        <v>31</v>
      </c>
      <c r="U215" s="2599" t="s">
        <v>31</v>
      </c>
      <c r="V215" s="2777" t="s">
        <v>304</v>
      </c>
      <c r="W215" s="2601" t="s">
        <v>31</v>
      </c>
      <c r="X215" s="2601" t="s">
        <v>31</v>
      </c>
      <c r="Y215" s="2593"/>
      <c r="Z215" s="2593"/>
      <c r="AA215" s="2593" t="s">
        <v>31</v>
      </c>
      <c r="AB215" s="2590" t="s">
        <v>31</v>
      </c>
      <c r="AC215" s="2590" t="s">
        <v>31</v>
      </c>
      <c r="AD215" s="2590" t="s">
        <v>31</v>
      </c>
      <c r="AE215" s="2590" t="s">
        <v>31</v>
      </c>
      <c r="AF215" s="2596"/>
      <c r="AG215" s="3209"/>
      <c r="AH215" s="34"/>
      <c r="AI215" s="25"/>
    </row>
    <row r="216" spans="1:35" ht="24" customHeight="1">
      <c r="A216" s="3210">
        <v>3701</v>
      </c>
      <c r="B216" s="2554" t="s">
        <v>303</v>
      </c>
      <c r="C216" s="2777" t="s">
        <v>304</v>
      </c>
      <c r="D216" s="2601"/>
      <c r="E216" s="2601"/>
      <c r="F216" s="2601" t="s">
        <v>31</v>
      </c>
      <c r="G216" s="2607" t="s">
        <v>31</v>
      </c>
      <c r="H216" s="2607" t="s">
        <v>31</v>
      </c>
      <c r="I216" s="2590" t="s">
        <v>31</v>
      </c>
      <c r="J216" s="2590" t="s">
        <v>31</v>
      </c>
      <c r="K216" s="2590"/>
      <c r="L216" s="2590"/>
      <c r="M216" s="2590" t="s">
        <v>31</v>
      </c>
      <c r="N216" s="2596" t="s">
        <v>31</v>
      </c>
      <c r="O216" s="2590" t="s">
        <v>31</v>
      </c>
      <c r="P216" s="2590" t="s">
        <v>31</v>
      </c>
      <c r="Q216" s="2590" t="s">
        <v>31</v>
      </c>
      <c r="R216" s="2590"/>
      <c r="S216" s="2590"/>
      <c r="T216" s="2590" t="s">
        <v>31</v>
      </c>
      <c r="U216" s="2590" t="s">
        <v>31</v>
      </c>
      <c r="V216" s="2590" t="s">
        <v>31</v>
      </c>
      <c r="W216" s="2590" t="s">
        <v>31</v>
      </c>
      <c r="X216" s="2590" t="s">
        <v>31</v>
      </c>
      <c r="Y216" s="2593"/>
      <c r="Z216" s="2593"/>
      <c r="AA216" s="2593" t="s">
        <v>31</v>
      </c>
      <c r="AB216" s="2590" t="s">
        <v>31</v>
      </c>
      <c r="AC216" s="2590" t="s">
        <v>31</v>
      </c>
      <c r="AD216" s="2590" t="s">
        <v>31</v>
      </c>
      <c r="AE216" s="2590" t="s">
        <v>31</v>
      </c>
      <c r="AF216" s="2596"/>
      <c r="AG216" s="3212"/>
      <c r="AH216" s="34"/>
      <c r="AI216" s="25"/>
    </row>
    <row r="217" spans="1:35" ht="24" customHeight="1">
      <c r="A217" s="3210">
        <v>3701</v>
      </c>
      <c r="B217" s="2554" t="s">
        <v>305</v>
      </c>
      <c r="C217" s="2590" t="s">
        <v>31</v>
      </c>
      <c r="D217" s="2590"/>
      <c r="E217" s="2590"/>
      <c r="F217" s="2602" t="s">
        <v>31</v>
      </c>
      <c r="G217" s="2607" t="s">
        <v>31</v>
      </c>
      <c r="H217" s="2607" t="s">
        <v>31</v>
      </c>
      <c r="I217" s="2590" t="s">
        <v>31</v>
      </c>
      <c r="J217" s="2590" t="s">
        <v>31</v>
      </c>
      <c r="K217" s="2590"/>
      <c r="L217" s="2590"/>
      <c r="M217" s="2590" t="s">
        <v>31</v>
      </c>
      <c r="N217" s="2596" t="s">
        <v>31</v>
      </c>
      <c r="O217" s="2590" t="s">
        <v>31</v>
      </c>
      <c r="P217" s="2590" t="s">
        <v>31</v>
      </c>
      <c r="Q217" s="2590" t="s">
        <v>31</v>
      </c>
      <c r="R217" s="2590"/>
      <c r="S217" s="2590"/>
      <c r="T217" s="2590" t="s">
        <v>31</v>
      </c>
      <c r="U217" s="2590" t="s">
        <v>31</v>
      </c>
      <c r="V217" s="2590" t="s">
        <v>31</v>
      </c>
      <c r="W217" s="2590" t="s">
        <v>31</v>
      </c>
      <c r="X217" s="2590" t="s">
        <v>31</v>
      </c>
      <c r="Y217" s="2593"/>
      <c r="Z217" s="2593"/>
      <c r="AA217" s="2593" t="s">
        <v>31</v>
      </c>
      <c r="AB217" s="2590" t="s">
        <v>31</v>
      </c>
      <c r="AC217" s="2590" t="s">
        <v>31</v>
      </c>
      <c r="AD217" s="2590" t="s">
        <v>31</v>
      </c>
      <c r="AE217" s="2590" t="s">
        <v>31</v>
      </c>
      <c r="AF217" s="2596"/>
      <c r="AG217" s="3213"/>
      <c r="AH217" s="34"/>
      <c r="AI217" s="25"/>
    </row>
    <row r="218" spans="1:35" ht="24" customHeight="1">
      <c r="A218" s="3210"/>
      <c r="B218" s="3214" t="s">
        <v>277</v>
      </c>
      <c r="C218" s="2590"/>
      <c r="D218" s="2590"/>
      <c r="E218" s="2590"/>
      <c r="F218" s="2602"/>
      <c r="G218" s="2607"/>
      <c r="H218" s="2607"/>
      <c r="I218" s="2590"/>
      <c r="J218" s="2590"/>
      <c r="K218" s="2590"/>
      <c r="L218" s="2590"/>
      <c r="M218" s="2590"/>
      <c r="N218" s="2596"/>
      <c r="O218" s="2590"/>
      <c r="P218" s="2590"/>
      <c r="Q218" s="2590"/>
      <c r="R218" s="2590"/>
      <c r="S218" s="2590"/>
      <c r="T218" s="2590"/>
      <c r="U218" s="2590"/>
      <c r="V218" s="2590"/>
      <c r="W218" s="2590"/>
      <c r="X218" s="2590"/>
      <c r="Y218" s="2593"/>
      <c r="Z218" s="2593"/>
      <c r="AA218" s="2593"/>
      <c r="AB218" s="2590"/>
      <c r="AC218" s="2590"/>
      <c r="AD218" s="2590"/>
      <c r="AE218" s="2590"/>
      <c r="AF218" s="2596"/>
      <c r="AG218" s="3209"/>
      <c r="AH218" s="34"/>
      <c r="AI218" s="25"/>
    </row>
    <row r="219" spans="1:35" ht="24" customHeight="1">
      <c r="A219" s="3210"/>
      <c r="B219" s="2554" t="s">
        <v>306</v>
      </c>
      <c r="C219" s="2590" t="s">
        <v>31</v>
      </c>
      <c r="D219" s="2590"/>
      <c r="E219" s="2590"/>
      <c r="F219" s="2602" t="s">
        <v>31</v>
      </c>
      <c r="G219" s="2607" t="s">
        <v>31</v>
      </c>
      <c r="H219" s="2607" t="s">
        <v>31</v>
      </c>
      <c r="I219" s="2590" t="s">
        <v>31</v>
      </c>
      <c r="J219" s="2590" t="s">
        <v>31</v>
      </c>
      <c r="K219" s="2590"/>
      <c r="L219" s="2590"/>
      <c r="M219" s="2590" t="s">
        <v>31</v>
      </c>
      <c r="N219" s="2596" t="s">
        <v>31</v>
      </c>
      <c r="O219" s="2590" t="s">
        <v>31</v>
      </c>
      <c r="P219" s="2590" t="s">
        <v>31</v>
      </c>
      <c r="Q219" s="2590" t="s">
        <v>31</v>
      </c>
      <c r="R219" s="2590"/>
      <c r="S219" s="2590"/>
      <c r="T219" s="2590" t="s">
        <v>31</v>
      </c>
      <c r="U219" s="2590" t="s">
        <v>31</v>
      </c>
      <c r="V219" s="2590" t="s">
        <v>31</v>
      </c>
      <c r="W219" s="2590" t="s">
        <v>31</v>
      </c>
      <c r="X219" s="2590" t="s">
        <v>31</v>
      </c>
      <c r="Y219" s="2593"/>
      <c r="Z219" s="2593"/>
      <c r="AA219" s="2593" t="s">
        <v>31</v>
      </c>
      <c r="AB219" s="2590" t="s">
        <v>31</v>
      </c>
      <c r="AC219" s="2590" t="s">
        <v>31</v>
      </c>
      <c r="AD219" s="2590" t="s">
        <v>31</v>
      </c>
      <c r="AE219" s="2590" t="s">
        <v>31</v>
      </c>
      <c r="AF219" s="2596"/>
      <c r="AG219" s="3209"/>
      <c r="AH219" s="34"/>
      <c r="AI219" s="25"/>
    </row>
    <row r="220" spans="1:35" ht="24" customHeight="1">
      <c r="A220" s="3210"/>
      <c r="B220" s="2554" t="s">
        <v>307</v>
      </c>
      <c r="C220" s="2590" t="s">
        <v>31</v>
      </c>
      <c r="D220" s="2590"/>
      <c r="E220" s="2590"/>
      <c r="F220" s="2602" t="s">
        <v>31</v>
      </c>
      <c r="G220" s="2607" t="s">
        <v>31</v>
      </c>
      <c r="H220" s="2607" t="s">
        <v>31</v>
      </c>
      <c r="I220" s="2590" t="s">
        <v>31</v>
      </c>
      <c r="J220" s="2590" t="s">
        <v>31</v>
      </c>
      <c r="K220" s="2590"/>
      <c r="L220" s="2590"/>
      <c r="M220" s="2590" t="s">
        <v>31</v>
      </c>
      <c r="N220" s="2596" t="s">
        <v>31</v>
      </c>
      <c r="O220" s="2590" t="s">
        <v>31</v>
      </c>
      <c r="P220" s="2590" t="s">
        <v>31</v>
      </c>
      <c r="Q220" s="2590" t="s">
        <v>31</v>
      </c>
      <c r="R220" s="2590"/>
      <c r="S220" s="2590"/>
      <c r="T220" s="2590" t="s">
        <v>31</v>
      </c>
      <c r="U220" s="2590" t="s">
        <v>31</v>
      </c>
      <c r="V220" s="2590" t="s">
        <v>31</v>
      </c>
      <c r="W220" s="2590" t="s">
        <v>31</v>
      </c>
      <c r="X220" s="2590" t="s">
        <v>31</v>
      </c>
      <c r="Y220" s="2593"/>
      <c r="Z220" s="2593"/>
      <c r="AA220" s="2593" t="s">
        <v>31</v>
      </c>
      <c r="AB220" s="3215" t="s">
        <v>31</v>
      </c>
      <c r="AC220" s="3215" t="s">
        <v>31</v>
      </c>
      <c r="AD220" s="3215" t="s">
        <v>31</v>
      </c>
      <c r="AE220" s="3215" t="s">
        <v>31</v>
      </c>
      <c r="AF220" s="3216"/>
      <c r="AG220" s="3217"/>
      <c r="AH220" s="34"/>
      <c r="AI220" s="25"/>
    </row>
    <row r="221" spans="1:35" ht="24" customHeight="1">
      <c r="A221" s="3210"/>
      <c r="B221" s="2554" t="s">
        <v>308</v>
      </c>
      <c r="C221" s="2590" t="s">
        <v>31</v>
      </c>
      <c r="D221" s="2590"/>
      <c r="E221" s="2590"/>
      <c r="F221" s="2602" t="s">
        <v>31</v>
      </c>
      <c r="G221" s="2607" t="s">
        <v>31</v>
      </c>
      <c r="H221" s="2607" t="s">
        <v>31</v>
      </c>
      <c r="I221" s="2590" t="s">
        <v>31</v>
      </c>
      <c r="J221" s="2590" t="s">
        <v>31</v>
      </c>
      <c r="K221" s="2590"/>
      <c r="L221" s="2590"/>
      <c r="M221" s="2590" t="s">
        <v>31</v>
      </c>
      <c r="N221" s="2596" t="s">
        <v>31</v>
      </c>
      <c r="O221" s="2590" t="s">
        <v>31</v>
      </c>
      <c r="P221" s="2590" t="s">
        <v>31</v>
      </c>
      <c r="Q221" s="2590" t="s">
        <v>31</v>
      </c>
      <c r="R221" s="2590"/>
      <c r="S221" s="2590"/>
      <c r="T221" s="2590" t="s">
        <v>31</v>
      </c>
      <c r="U221" s="2590" t="s">
        <v>31</v>
      </c>
      <c r="V221" s="2599" t="s">
        <v>31</v>
      </c>
      <c r="W221" s="2777" t="s">
        <v>304</v>
      </c>
      <c r="X221" s="2601" t="s">
        <v>31</v>
      </c>
      <c r="Y221" s="2593"/>
      <c r="Z221" s="2593"/>
      <c r="AA221" s="2593" t="s">
        <v>31</v>
      </c>
      <c r="AB221" s="2590" t="s">
        <v>31</v>
      </c>
      <c r="AC221" s="2590" t="s">
        <v>31</v>
      </c>
      <c r="AD221" s="2590" t="s">
        <v>31</v>
      </c>
      <c r="AE221" s="2590" t="s">
        <v>31</v>
      </c>
      <c r="AF221" s="2596"/>
      <c r="AG221" s="3209"/>
      <c r="AH221" s="34"/>
      <c r="AI221" s="25"/>
    </row>
    <row r="222" spans="1:35" ht="24" customHeight="1">
      <c r="A222" s="3210"/>
      <c r="B222" s="2554" t="s">
        <v>309</v>
      </c>
      <c r="C222" s="2590" t="s">
        <v>31</v>
      </c>
      <c r="D222" s="2590"/>
      <c r="E222" s="2590"/>
      <c r="F222" s="2602" t="s">
        <v>31</v>
      </c>
      <c r="G222" s="2607" t="s">
        <v>31</v>
      </c>
      <c r="H222" s="2599" t="s">
        <v>31</v>
      </c>
      <c r="I222" s="2777" t="s">
        <v>304</v>
      </c>
      <c r="J222" s="2601" t="s">
        <v>31</v>
      </c>
      <c r="K222" s="2590"/>
      <c r="L222" s="2590"/>
      <c r="M222" s="2590" t="s">
        <v>31</v>
      </c>
      <c r="N222" s="2596" t="s">
        <v>31</v>
      </c>
      <c r="O222" s="2590" t="s">
        <v>31</v>
      </c>
      <c r="P222" s="2590" t="s">
        <v>31</v>
      </c>
      <c r="Q222" s="2590" t="s">
        <v>31</v>
      </c>
      <c r="R222" s="2590"/>
      <c r="S222" s="2590"/>
      <c r="T222" s="2590" t="s">
        <v>31</v>
      </c>
      <c r="U222" s="2590" t="s">
        <v>31</v>
      </c>
      <c r="V222" s="2590" t="s">
        <v>31</v>
      </c>
      <c r="W222" s="2590" t="s">
        <v>31</v>
      </c>
      <c r="X222" s="2590" t="s">
        <v>31</v>
      </c>
      <c r="Y222" s="2593"/>
      <c r="Z222" s="2593"/>
      <c r="AA222" s="2593" t="s">
        <v>31</v>
      </c>
      <c r="AB222" s="2590" t="s">
        <v>31</v>
      </c>
      <c r="AC222" s="2590" t="s">
        <v>31</v>
      </c>
      <c r="AD222" s="2590" t="s">
        <v>31</v>
      </c>
      <c r="AE222" s="2590" t="s">
        <v>31</v>
      </c>
      <c r="AF222" s="2596"/>
      <c r="AG222" s="3212"/>
      <c r="AH222" s="34"/>
      <c r="AI222" s="25"/>
    </row>
    <row r="223" spans="1:35" ht="24" customHeight="1">
      <c r="A223" s="3210"/>
      <c r="B223" s="3218" t="s">
        <v>310</v>
      </c>
      <c r="C223" s="2590"/>
      <c r="D223" s="2590"/>
      <c r="E223" s="2590"/>
      <c r="F223" s="2602"/>
      <c r="G223" s="2607"/>
      <c r="H223" s="2607"/>
      <c r="I223" s="2590"/>
      <c r="J223" s="2590"/>
      <c r="K223" s="2590"/>
      <c r="L223" s="2590"/>
      <c r="M223" s="2590"/>
      <c r="N223" s="2596"/>
      <c r="O223" s="2590"/>
      <c r="P223" s="2590"/>
      <c r="Q223" s="2590"/>
      <c r="R223" s="2590"/>
      <c r="S223" s="2590"/>
      <c r="T223" s="2590"/>
      <c r="U223" s="2590"/>
      <c r="V223" s="2590"/>
      <c r="W223" s="2590"/>
      <c r="X223" s="2590"/>
      <c r="Y223" s="2593"/>
      <c r="Z223" s="2593"/>
      <c r="AA223" s="2593"/>
      <c r="AB223" s="2590"/>
      <c r="AC223" s="2590"/>
      <c r="AD223" s="2590"/>
      <c r="AE223" s="2590"/>
      <c r="AF223" s="2596"/>
      <c r="AG223" s="3209"/>
      <c r="AH223" s="93"/>
      <c r="AI223" s="76"/>
    </row>
    <row r="224" spans="1:35" ht="24" customHeight="1">
      <c r="A224" s="3210"/>
      <c r="B224" s="2554"/>
      <c r="C224" s="2590"/>
      <c r="D224" s="2590"/>
      <c r="E224" s="2590"/>
      <c r="F224" s="2602"/>
      <c r="G224" s="2607"/>
      <c r="H224" s="2607"/>
      <c r="I224" s="2590"/>
      <c r="J224" s="2590"/>
      <c r="K224" s="2590"/>
      <c r="L224" s="2590"/>
      <c r="M224" s="2590"/>
      <c r="N224" s="2596"/>
      <c r="O224" s="2590"/>
      <c r="P224" s="2590"/>
      <c r="Q224" s="2590"/>
      <c r="R224" s="2590"/>
      <c r="S224" s="2590"/>
      <c r="T224" s="2590"/>
      <c r="U224" s="2590"/>
      <c r="V224" s="2590"/>
      <c r="W224" s="2590"/>
      <c r="X224" s="2590"/>
      <c r="Y224" s="2593"/>
      <c r="Z224" s="2593"/>
      <c r="AA224" s="2593"/>
      <c r="AB224" s="2590"/>
      <c r="AC224" s="2590"/>
      <c r="AD224" s="2590"/>
      <c r="AE224" s="2590"/>
      <c r="AF224" s="2596"/>
      <c r="AG224" s="3219"/>
      <c r="AH224" s="93"/>
      <c r="AI224" s="76"/>
    </row>
    <row r="225" spans="1:35" ht="24" customHeight="1">
      <c r="A225" s="2601"/>
      <c r="B225" s="3220" t="s">
        <v>445</v>
      </c>
      <c r="C225" s="2590"/>
      <c r="D225" s="2590"/>
      <c r="E225" s="2590"/>
      <c r="F225" s="2590"/>
      <c r="G225" s="2590"/>
      <c r="H225" s="2590"/>
      <c r="I225" s="2590"/>
      <c r="J225" s="2590"/>
      <c r="K225" s="2590"/>
      <c r="L225" s="2590"/>
      <c r="M225" s="2590"/>
      <c r="N225" s="2590"/>
      <c r="O225" s="2590"/>
      <c r="P225" s="2590"/>
      <c r="Q225" s="2590"/>
      <c r="R225" s="2590"/>
      <c r="S225" s="2590"/>
      <c r="T225" s="2590"/>
      <c r="U225" s="2590"/>
      <c r="V225" s="2590"/>
      <c r="W225" s="2590"/>
      <c r="X225" s="2590"/>
      <c r="Y225" s="2590"/>
      <c r="Z225" s="2590"/>
      <c r="AA225" s="2590"/>
      <c r="AB225" s="2590"/>
      <c r="AC225" s="2590"/>
      <c r="AD225" s="2590"/>
      <c r="AE225" s="2590"/>
      <c r="AF225" s="2590"/>
      <c r="AG225" s="3209"/>
      <c r="AH225" s="93"/>
      <c r="AI225" s="76"/>
    </row>
    <row r="226" spans="1:35" ht="24" customHeight="1">
      <c r="A226" s="2601"/>
      <c r="B226" s="2554" t="s">
        <v>446</v>
      </c>
      <c r="C226" s="2590" t="s">
        <v>31</v>
      </c>
      <c r="D226" s="2590"/>
      <c r="E226" s="2590"/>
      <c r="F226" s="2599" t="s">
        <v>31</v>
      </c>
      <c r="G226" s="2777" t="s">
        <v>304</v>
      </c>
      <c r="H226" s="2601" t="s">
        <v>31</v>
      </c>
      <c r="I226" s="2601" t="s">
        <v>31</v>
      </c>
      <c r="J226" s="2590" t="s">
        <v>31</v>
      </c>
      <c r="K226" s="2590"/>
      <c r="L226" s="2590"/>
      <c r="M226" s="2590" t="s">
        <v>31</v>
      </c>
      <c r="N226" s="2596" t="s">
        <v>31</v>
      </c>
      <c r="O226" s="2590" t="s">
        <v>31</v>
      </c>
      <c r="P226" s="2590" t="s">
        <v>31</v>
      </c>
      <c r="Q226" s="2590" t="s">
        <v>31</v>
      </c>
      <c r="R226" s="2590"/>
      <c r="S226" s="2590"/>
      <c r="T226" s="2590" t="s">
        <v>31</v>
      </c>
      <c r="U226" s="2590" t="s">
        <v>31</v>
      </c>
      <c r="V226" s="2590" t="s">
        <v>31</v>
      </c>
      <c r="W226" s="2590" t="s">
        <v>31</v>
      </c>
      <c r="X226" s="2590" t="s">
        <v>31</v>
      </c>
      <c r="Y226" s="2593"/>
      <c r="Z226" s="2593"/>
      <c r="AA226" s="2593" t="s">
        <v>31</v>
      </c>
      <c r="AB226" s="2590" t="s">
        <v>31</v>
      </c>
      <c r="AC226" s="2590" t="s">
        <v>31</v>
      </c>
      <c r="AD226" s="2590" t="s">
        <v>31</v>
      </c>
      <c r="AE226" s="2590" t="s">
        <v>31</v>
      </c>
      <c r="AF226" s="2590"/>
      <c r="AG226" s="3219"/>
      <c r="AH226" s="93"/>
      <c r="AI226" s="76"/>
    </row>
    <row r="227" spans="1:35" ht="24" customHeight="1">
      <c r="A227" s="2601"/>
      <c r="B227" s="2601"/>
      <c r="C227" s="2590"/>
      <c r="D227" s="2590"/>
      <c r="E227" s="2590"/>
      <c r="F227" s="2590"/>
      <c r="G227" s="2590"/>
      <c r="H227" s="2590"/>
      <c r="I227" s="2590"/>
      <c r="J227" s="2590"/>
      <c r="K227" s="2590"/>
      <c r="L227" s="2590"/>
      <c r="M227" s="2590"/>
      <c r="N227" s="2590"/>
      <c r="O227" s="2590"/>
      <c r="P227" s="2590"/>
      <c r="Q227" s="2590"/>
      <c r="R227" s="2590"/>
      <c r="S227" s="2590"/>
      <c r="T227" s="2590"/>
      <c r="U227" s="2590"/>
      <c r="V227" s="2590"/>
      <c r="W227" s="2590"/>
      <c r="X227" s="2590"/>
      <c r="Y227" s="2590"/>
      <c r="Z227" s="2590"/>
      <c r="AA227" s="2590"/>
      <c r="AB227" s="2590"/>
      <c r="AC227" s="2590"/>
      <c r="AD227" s="2590"/>
      <c r="AE227" s="2590"/>
      <c r="AF227" s="2590"/>
      <c r="AG227" s="3209"/>
      <c r="AH227" s="93"/>
      <c r="AI227" s="76"/>
    </row>
    <row r="228" spans="1:35" ht="24" customHeight="1">
      <c r="A228" s="2601"/>
      <c r="B228" s="2601"/>
      <c r="C228" s="2590"/>
      <c r="D228" s="2590"/>
      <c r="E228" s="2590"/>
      <c r="F228" s="2590"/>
      <c r="G228" s="2590"/>
      <c r="H228" s="2769"/>
      <c r="I228" s="2590"/>
      <c r="J228" s="2590"/>
      <c r="K228" s="2590"/>
      <c r="L228" s="2590"/>
      <c r="M228" s="2590"/>
      <c r="N228" s="2590"/>
      <c r="O228" s="2590"/>
      <c r="P228" s="2590"/>
      <c r="Q228" s="2590"/>
      <c r="R228" s="2590"/>
      <c r="S228" s="2590"/>
      <c r="T228" s="2590"/>
      <c r="U228" s="2590"/>
      <c r="V228" s="2590"/>
      <c r="W228" s="2590"/>
      <c r="X228" s="2590"/>
      <c r="Y228" s="2590"/>
      <c r="Z228" s="2590"/>
      <c r="AA228" s="2590"/>
      <c r="AB228" s="2590"/>
      <c r="AC228" s="2590"/>
      <c r="AD228" s="2590"/>
      <c r="AE228" s="2590"/>
      <c r="AF228" s="2590"/>
      <c r="AG228" s="3219"/>
      <c r="AH228" s="93"/>
      <c r="AI228" s="76"/>
    </row>
    <row r="229" spans="1:35" ht="24" customHeight="1">
      <c r="A229" s="3210"/>
      <c r="B229" s="3214"/>
      <c r="C229" s="2590"/>
      <c r="D229" s="2590"/>
      <c r="E229" s="2590"/>
      <c r="F229" s="2590"/>
      <c r="G229" s="2590"/>
      <c r="H229" s="2590"/>
      <c r="I229" s="2590"/>
      <c r="J229" s="2590"/>
      <c r="K229" s="2590"/>
      <c r="L229" s="2590"/>
      <c r="M229" s="2590"/>
      <c r="N229" s="2590"/>
      <c r="O229" s="2590"/>
      <c r="P229" s="2590"/>
      <c r="Q229" s="2590"/>
      <c r="R229" s="2590"/>
      <c r="S229" s="2590"/>
      <c r="T229" s="2590"/>
      <c r="U229" s="2590"/>
      <c r="V229" s="2590"/>
      <c r="W229" s="2590"/>
      <c r="X229" s="2590"/>
      <c r="Y229" s="2590"/>
      <c r="Z229" s="2590"/>
      <c r="AA229" s="2590"/>
      <c r="AB229" s="2590"/>
      <c r="AC229" s="2590"/>
      <c r="AD229" s="2590"/>
      <c r="AE229" s="2590"/>
      <c r="AF229" s="2590"/>
      <c r="AG229" s="3219"/>
      <c r="AH229" s="93"/>
      <c r="AI229" s="76"/>
    </row>
    <row r="230" spans="1:35" ht="24" customHeight="1">
      <c r="A230" s="3210"/>
      <c r="B230" s="3221"/>
      <c r="C230" s="2590"/>
      <c r="D230" s="2590"/>
      <c r="E230" s="2590"/>
      <c r="F230" s="2590"/>
      <c r="G230" s="2590"/>
      <c r="H230" s="2590"/>
      <c r="I230" s="2590"/>
      <c r="J230" s="2590"/>
      <c r="K230" s="2590"/>
      <c r="L230" s="2590"/>
      <c r="M230" s="2590"/>
      <c r="N230" s="2590"/>
      <c r="O230" s="2590"/>
      <c r="P230" s="2590"/>
      <c r="Q230" s="2590"/>
      <c r="R230" s="2590"/>
      <c r="S230" s="2590"/>
      <c r="T230" s="2590"/>
      <c r="U230" s="2590"/>
      <c r="V230" s="2590"/>
      <c r="W230" s="2590"/>
      <c r="X230" s="2590"/>
      <c r="Y230" s="2590"/>
      <c r="Z230" s="2590"/>
      <c r="AA230" s="2590"/>
      <c r="AB230" s="2590"/>
      <c r="AC230" s="2590"/>
      <c r="AD230" s="2590"/>
      <c r="AE230" s="2590"/>
      <c r="AF230" s="2590"/>
      <c r="AG230" s="3219"/>
      <c r="AH230" s="93"/>
      <c r="AI230" s="76"/>
    </row>
    <row r="231" spans="1:35" ht="24" customHeight="1">
      <c r="A231" s="82"/>
      <c r="B231" s="115"/>
      <c r="C231" s="38"/>
      <c r="D231" s="38"/>
      <c r="E231" s="38"/>
      <c r="F231" s="38"/>
      <c r="G231" s="38"/>
      <c r="H231" s="38"/>
      <c r="I231" s="38"/>
      <c r="J231" s="38"/>
      <c r="L231" s="38"/>
      <c r="M231" s="38"/>
      <c r="N231" s="38"/>
      <c r="O231" s="38"/>
      <c r="P231" s="17"/>
      <c r="Q231" s="17"/>
      <c r="R231" s="17"/>
      <c r="S231" s="38"/>
      <c r="T231" s="38"/>
      <c r="U231" s="38"/>
      <c r="V231" s="38"/>
      <c r="W231" s="38"/>
      <c r="X231" s="38"/>
      <c r="Y231" s="38"/>
      <c r="Z231" s="38"/>
      <c r="AA231" s="38"/>
      <c r="AB231" s="38"/>
      <c r="AC231" s="38"/>
      <c r="AD231" s="38"/>
      <c r="AE231" s="38"/>
      <c r="AF231" s="38"/>
      <c r="AG231" s="38"/>
      <c r="AH231" s="76"/>
      <c r="AI231" s="76"/>
    </row>
    <row r="232" spans="1:35" ht="24" customHeight="1"/>
    <row r="233" spans="1:35" ht="24" customHeight="1"/>
    <row r="234" spans="1:35" ht="24" customHeight="1"/>
    <row r="235" spans="1:35" ht="24" customHeight="1" thickBot="1">
      <c r="A235" s="14" t="s">
        <v>311</v>
      </c>
    </row>
    <row r="236" spans="1:35" ht="24" customHeight="1">
      <c r="B236" s="1714" t="s">
        <v>281</v>
      </c>
      <c r="C236" s="901"/>
      <c r="D236" s="925" t="s">
        <v>87</v>
      </c>
      <c r="E236" s="705"/>
      <c r="F236" s="905"/>
      <c r="G236" s="901"/>
      <c r="H236" s="925" t="s">
        <v>88</v>
      </c>
      <c r="I236" s="705"/>
      <c r="J236" s="905"/>
      <c r="K236" s="901"/>
      <c r="L236" s="925" t="s">
        <v>89</v>
      </c>
      <c r="M236" s="705"/>
      <c r="N236" s="905"/>
      <c r="O236" s="901"/>
      <c r="P236" s="925" t="s">
        <v>90</v>
      </c>
      <c r="Q236" s="705"/>
      <c r="R236" s="905"/>
      <c r="S236" s="901"/>
      <c r="T236" s="925" t="s">
        <v>91</v>
      </c>
      <c r="U236" s="705"/>
      <c r="V236" s="905"/>
      <c r="W236" s="901"/>
      <c r="X236" s="925" t="s">
        <v>92</v>
      </c>
      <c r="Y236" s="705"/>
      <c r="Z236" s="905"/>
      <c r="AA236" s="901"/>
      <c r="AB236" s="925" t="s">
        <v>93</v>
      </c>
      <c r="AC236" s="705"/>
      <c r="AD236" s="705"/>
      <c r="AE236" s="928" t="s">
        <v>94</v>
      </c>
      <c r="AF236" s="705"/>
      <c r="AG236" s="705"/>
      <c r="AH236" s="705"/>
      <c r="AI236" s="706"/>
    </row>
    <row r="237" spans="1:35" ht="24" customHeight="1">
      <c r="B237" s="116"/>
      <c r="C237" s="110"/>
      <c r="D237" s="111"/>
      <c r="E237" s="101"/>
      <c r="F237" s="109"/>
      <c r="G237" s="110"/>
      <c r="H237" s="111"/>
      <c r="I237" s="101"/>
      <c r="J237" s="109"/>
      <c r="K237" s="110"/>
      <c r="L237" s="111"/>
      <c r="M237" s="101"/>
      <c r="N237" s="109"/>
      <c r="O237" s="110"/>
      <c r="P237" s="111"/>
      <c r="Q237" s="101"/>
      <c r="R237" s="109"/>
      <c r="S237" s="110"/>
      <c r="T237" s="111"/>
      <c r="U237" s="101"/>
      <c r="V237" s="109"/>
      <c r="W237" s="110"/>
      <c r="X237" s="111"/>
      <c r="Y237" s="101"/>
      <c r="Z237" s="109"/>
      <c r="AA237" s="110"/>
      <c r="AB237" s="111"/>
      <c r="AC237" s="101"/>
      <c r="AD237" s="101"/>
      <c r="AE237" s="112"/>
      <c r="AF237" s="101"/>
      <c r="AG237" s="8"/>
      <c r="AH237" s="8"/>
      <c r="AI237" s="105"/>
    </row>
    <row r="238" spans="1:35" ht="24" customHeight="1">
      <c r="A238" s="87"/>
      <c r="B238" s="3222">
        <v>3701</v>
      </c>
      <c r="C238" s="3013" t="s">
        <v>286</v>
      </c>
      <c r="D238" s="3014"/>
      <c r="E238" s="101"/>
      <c r="F238" s="109"/>
      <c r="G238" s="3013" t="s">
        <v>286</v>
      </c>
      <c r="H238" s="111"/>
      <c r="I238" s="101"/>
      <c r="J238" s="109"/>
      <c r="K238" s="3013" t="s">
        <v>286</v>
      </c>
      <c r="L238" s="111"/>
      <c r="M238" s="101"/>
      <c r="N238" s="109"/>
      <c r="O238" s="3013" t="s">
        <v>286</v>
      </c>
      <c r="P238" s="111"/>
      <c r="Q238" s="101"/>
      <c r="R238" s="109"/>
      <c r="S238" s="110" t="s">
        <v>287</v>
      </c>
      <c r="T238" s="111"/>
      <c r="U238" s="101"/>
      <c r="V238" s="109"/>
      <c r="W238" s="110"/>
      <c r="X238" s="111"/>
      <c r="Y238" s="101"/>
      <c r="Z238" s="109"/>
      <c r="AA238" s="110"/>
      <c r="AB238" s="111"/>
      <c r="AC238" s="101"/>
      <c r="AD238" s="101"/>
      <c r="AE238" s="112"/>
      <c r="AF238" s="101"/>
      <c r="AG238" s="8"/>
      <c r="AH238" s="8"/>
      <c r="AI238" s="105"/>
    </row>
    <row r="239" spans="1:35" ht="24" customHeight="1">
      <c r="B239" s="3222"/>
      <c r="C239" s="3013"/>
      <c r="D239" s="3014"/>
      <c r="E239" s="101"/>
      <c r="F239" s="109"/>
      <c r="G239" s="3013"/>
      <c r="H239" s="111"/>
      <c r="I239" s="101"/>
      <c r="J239" s="109"/>
      <c r="K239" s="3013"/>
      <c r="L239" s="111"/>
      <c r="M239" s="101"/>
      <c r="N239" s="109"/>
      <c r="O239" s="3013"/>
      <c r="P239" s="111"/>
      <c r="Q239" s="101"/>
      <c r="R239" s="109"/>
      <c r="S239" s="3013"/>
      <c r="T239" s="111"/>
      <c r="U239" s="101"/>
      <c r="V239" s="109"/>
      <c r="W239" s="110"/>
      <c r="X239" s="111"/>
      <c r="Y239" s="101"/>
      <c r="Z239" s="109"/>
      <c r="AA239" s="110"/>
      <c r="AB239" s="111"/>
      <c r="AC239" s="101"/>
      <c r="AD239" s="101"/>
      <c r="AE239" s="112"/>
      <c r="AF239" s="101"/>
      <c r="AG239" s="8"/>
      <c r="AH239" s="8"/>
      <c r="AI239" s="105"/>
    </row>
    <row r="240" spans="1:35" ht="24" customHeight="1">
      <c r="B240" s="3222">
        <v>3702</v>
      </c>
      <c r="C240" s="3013" t="s">
        <v>312</v>
      </c>
      <c r="D240" s="3014"/>
      <c r="E240" s="101"/>
      <c r="F240" s="109"/>
      <c r="G240" s="3013" t="s">
        <v>312</v>
      </c>
      <c r="H240" s="3014"/>
      <c r="I240" s="101"/>
      <c r="J240" s="109"/>
      <c r="K240" s="3013" t="s">
        <v>312</v>
      </c>
      <c r="L240" s="3014"/>
      <c r="M240" s="101"/>
      <c r="N240" s="109"/>
      <c r="O240" s="3013" t="s">
        <v>312</v>
      </c>
      <c r="P240" s="3014"/>
      <c r="Q240" s="101"/>
      <c r="R240" s="109"/>
      <c r="S240" s="3013" t="s">
        <v>313</v>
      </c>
      <c r="T240" s="3014"/>
      <c r="U240" s="101"/>
      <c r="V240" s="109"/>
      <c r="W240" s="110"/>
      <c r="X240" s="111"/>
      <c r="Y240" s="101"/>
      <c r="Z240" s="109"/>
      <c r="AA240" s="110"/>
      <c r="AB240" s="111"/>
      <c r="AC240" s="101"/>
      <c r="AD240" s="101"/>
      <c r="AE240" s="112"/>
      <c r="AF240" s="101"/>
      <c r="AG240" s="8"/>
      <c r="AH240" s="8"/>
      <c r="AI240" s="105"/>
    </row>
    <row r="241" spans="1:35" ht="24" customHeight="1">
      <c r="B241" s="3222"/>
      <c r="C241" s="3108"/>
      <c r="D241" s="3014"/>
      <c r="E241" s="101"/>
      <c r="F241" s="109"/>
      <c r="G241" s="111"/>
      <c r="H241" s="111"/>
      <c r="I241" s="101"/>
      <c r="J241" s="109"/>
      <c r="K241" s="111"/>
      <c r="L241" s="111"/>
      <c r="M241" s="101"/>
      <c r="N241" s="109"/>
      <c r="O241" s="111"/>
      <c r="P241" s="111"/>
      <c r="Q241" s="101"/>
      <c r="R241" s="109"/>
      <c r="S241" s="111"/>
      <c r="T241" s="111"/>
      <c r="U241" s="101"/>
      <c r="V241" s="109"/>
      <c r="W241" s="110"/>
      <c r="X241" s="111"/>
      <c r="Y241" s="101"/>
      <c r="Z241" s="109"/>
      <c r="AA241" s="110"/>
      <c r="AB241" s="111"/>
      <c r="AC241" s="101"/>
      <c r="AD241" s="101"/>
      <c r="AE241" s="112"/>
      <c r="AF241" s="101"/>
      <c r="AG241" s="8"/>
      <c r="AH241" s="8"/>
      <c r="AI241" s="105"/>
    </row>
    <row r="242" spans="1:35" ht="24" customHeight="1">
      <c r="B242" s="3222" t="s">
        <v>159</v>
      </c>
      <c r="C242" s="3108" t="s">
        <v>314</v>
      </c>
      <c r="D242" s="3014"/>
      <c r="E242" s="101"/>
      <c r="F242" s="109"/>
      <c r="G242" s="3108" t="s">
        <v>314</v>
      </c>
      <c r="H242" s="3014"/>
      <c r="I242" s="101"/>
      <c r="J242" s="109"/>
      <c r="K242" s="3108" t="s">
        <v>314</v>
      </c>
      <c r="L242" s="3014"/>
      <c r="M242" s="101"/>
      <c r="N242" s="109"/>
      <c r="O242" s="3108" t="s">
        <v>314</v>
      </c>
      <c r="P242" s="3014"/>
      <c r="Q242" s="101"/>
      <c r="R242" s="109"/>
      <c r="S242" s="111" t="s">
        <v>315</v>
      </c>
      <c r="T242" s="111"/>
      <c r="U242" s="101"/>
      <c r="V242" s="109"/>
      <c r="W242" s="110"/>
      <c r="X242" s="111"/>
      <c r="Y242" s="101"/>
      <c r="Z242" s="109"/>
      <c r="AA242" s="110"/>
      <c r="AB242" s="111"/>
      <c r="AC242" s="101"/>
      <c r="AD242" s="101"/>
      <c r="AE242" s="112"/>
      <c r="AF242" s="101"/>
      <c r="AG242" s="8"/>
      <c r="AH242" s="8"/>
      <c r="AI242" s="105"/>
    </row>
    <row r="243" spans="1:35" ht="24" customHeight="1">
      <c r="B243" s="3222" t="s">
        <v>163</v>
      </c>
      <c r="C243" s="3108" t="s">
        <v>316</v>
      </c>
      <c r="D243" s="3014"/>
      <c r="E243" s="101"/>
      <c r="F243" s="109"/>
      <c r="G243" s="3108" t="s">
        <v>316</v>
      </c>
      <c r="H243" s="3014"/>
      <c r="I243" s="101"/>
      <c r="J243" s="109"/>
      <c r="K243" s="3108" t="s">
        <v>316</v>
      </c>
      <c r="L243" s="3014"/>
      <c r="M243" s="101"/>
      <c r="N243" s="109"/>
      <c r="O243" s="3108" t="s">
        <v>316</v>
      </c>
      <c r="P243" s="3014"/>
      <c r="Q243" s="101"/>
      <c r="R243" s="109"/>
      <c r="S243" s="111" t="s">
        <v>317</v>
      </c>
      <c r="T243" s="111"/>
      <c r="U243" s="101"/>
      <c r="V243" s="109"/>
      <c r="W243" s="110"/>
      <c r="X243" s="111"/>
      <c r="Y243" s="101"/>
      <c r="Z243" s="109"/>
      <c r="AA243" s="110"/>
      <c r="AB243" s="111"/>
      <c r="AC243" s="101"/>
      <c r="AD243" s="101"/>
      <c r="AE243" s="112"/>
      <c r="AF243" s="101"/>
      <c r="AG243" s="8"/>
      <c r="AH243" s="8"/>
      <c r="AI243" s="105"/>
    </row>
    <row r="244" spans="1:35" ht="24" customHeight="1" thickBot="1">
      <c r="B244" s="3223" t="s">
        <v>171</v>
      </c>
      <c r="C244" s="3121" t="s">
        <v>318</v>
      </c>
      <c r="D244" s="3224"/>
      <c r="E244" s="2824"/>
      <c r="F244" s="2825"/>
      <c r="G244" s="3121" t="s">
        <v>318</v>
      </c>
      <c r="H244" s="3224"/>
      <c r="I244" s="2824"/>
      <c r="J244" s="2825"/>
      <c r="K244" s="3121" t="s">
        <v>318</v>
      </c>
      <c r="L244" s="3224"/>
      <c r="M244" s="2824"/>
      <c r="N244" s="2825"/>
      <c r="O244" s="3121" t="s">
        <v>318</v>
      </c>
      <c r="P244" s="3224"/>
      <c r="Q244" s="2824"/>
      <c r="R244" s="2825"/>
      <c r="S244" s="2826" t="s">
        <v>319</v>
      </c>
      <c r="T244" s="2826"/>
      <c r="U244" s="2824"/>
      <c r="V244" s="2825"/>
      <c r="W244" s="2827"/>
      <c r="X244" s="2826"/>
      <c r="Y244" s="2828"/>
      <c r="Z244" s="2829"/>
      <c r="AA244" s="2830"/>
      <c r="AB244" s="2826"/>
      <c r="AC244" s="2828"/>
      <c r="AD244" s="2828"/>
      <c r="AE244" s="2831"/>
      <c r="AF244" s="2828"/>
      <c r="AG244" s="2824"/>
      <c r="AH244" s="2824"/>
      <c r="AI244" s="2832"/>
    </row>
    <row r="245" spans="1:35" ht="24" customHeight="1">
      <c r="B245" s="42"/>
      <c r="C245" s="37"/>
      <c r="D245" s="113"/>
      <c r="G245" s="37"/>
      <c r="H245" s="113"/>
      <c r="K245" s="37"/>
      <c r="L245" s="113"/>
      <c r="O245" s="37"/>
      <c r="P245" s="113"/>
      <c r="S245" s="37"/>
      <c r="T245" s="37"/>
      <c r="X245" s="37"/>
      <c r="AB245" s="37"/>
      <c r="AE245" s="37"/>
    </row>
    <row r="246" spans="1:35" ht="24" customHeight="1">
      <c r="A246" s="117" t="s">
        <v>320</v>
      </c>
    </row>
    <row r="247" spans="1:35" ht="24" customHeight="1" thickBot="1">
      <c r="A247" s="3225"/>
      <c r="B247" s="3226" t="s">
        <v>29</v>
      </c>
      <c r="C247" s="2924">
        <v>1</v>
      </c>
      <c r="D247" s="2925">
        <v>2</v>
      </c>
      <c r="E247" s="2925">
        <v>3</v>
      </c>
      <c r="F247" s="2924">
        <v>4</v>
      </c>
      <c r="G247" s="2924">
        <v>5</v>
      </c>
      <c r="H247" s="2924">
        <v>6</v>
      </c>
      <c r="I247" s="2924">
        <v>7</v>
      </c>
      <c r="J247" s="2924">
        <v>8</v>
      </c>
      <c r="K247" s="2925">
        <v>9</v>
      </c>
      <c r="L247" s="2925">
        <v>10</v>
      </c>
      <c r="M247" s="2924">
        <v>11</v>
      </c>
      <c r="N247" s="2924">
        <v>12</v>
      </c>
      <c r="O247" s="2924">
        <v>13</v>
      </c>
      <c r="P247" s="2924">
        <v>14</v>
      </c>
      <c r="Q247" s="2924">
        <v>15</v>
      </c>
      <c r="R247" s="2925">
        <v>16</v>
      </c>
      <c r="S247" s="2925">
        <v>17</v>
      </c>
      <c r="T247" s="2924">
        <v>18</v>
      </c>
      <c r="U247" s="2924">
        <v>19</v>
      </c>
      <c r="V247" s="2924">
        <v>20</v>
      </c>
      <c r="W247" s="2924">
        <v>21</v>
      </c>
      <c r="X247" s="2924">
        <v>22</v>
      </c>
      <c r="Y247" s="2925">
        <v>23</v>
      </c>
      <c r="Z247" s="2925">
        <v>24</v>
      </c>
      <c r="AA247" s="2924">
        <v>25</v>
      </c>
      <c r="AB247" s="2924">
        <v>26</v>
      </c>
      <c r="AC247" s="2924">
        <v>27</v>
      </c>
      <c r="AD247" s="2924">
        <v>28</v>
      </c>
      <c r="AE247" s="2924">
        <v>29</v>
      </c>
      <c r="AF247" s="2925">
        <v>30</v>
      </c>
      <c r="AG247" s="2926"/>
      <c r="AH247" s="23"/>
      <c r="AI247" s="24"/>
    </row>
    <row r="248" spans="1:35" ht="24" customHeight="1">
      <c r="A248" s="2835">
        <v>3701</v>
      </c>
      <c r="B248" s="2941" t="s">
        <v>394</v>
      </c>
      <c r="C248" s="2937" t="s">
        <v>31</v>
      </c>
      <c r="D248" s="2937"/>
      <c r="E248" s="2937"/>
      <c r="F248" s="2937" t="s">
        <v>31</v>
      </c>
      <c r="G248" s="2775" t="s">
        <v>31</v>
      </c>
      <c r="H248" s="2937" t="s">
        <v>31</v>
      </c>
      <c r="I248" s="2937" t="s">
        <v>31</v>
      </c>
      <c r="J248" s="2937" t="s">
        <v>31</v>
      </c>
      <c r="K248" s="2937"/>
      <c r="L248" s="2937"/>
      <c r="M248" s="2937" t="s">
        <v>31</v>
      </c>
      <c r="N248" s="2937" t="s">
        <v>31</v>
      </c>
      <c r="O248" s="2937" t="s">
        <v>31</v>
      </c>
      <c r="P248" s="2937" t="s">
        <v>31</v>
      </c>
      <c r="Q248" s="2937" t="s">
        <v>31</v>
      </c>
      <c r="R248" s="2937"/>
      <c r="S248" s="2937"/>
      <c r="T248" s="2937" t="s">
        <v>31</v>
      </c>
      <c r="U248" s="2937" t="s">
        <v>31</v>
      </c>
      <c r="V248" s="2937" t="s">
        <v>31</v>
      </c>
      <c r="W248" s="2937" t="s">
        <v>31</v>
      </c>
      <c r="X248" s="2937" t="s">
        <v>31</v>
      </c>
      <c r="Y248" s="2937"/>
      <c r="Z248" s="2937"/>
      <c r="AA248" s="2998" t="s">
        <v>31</v>
      </c>
      <c r="AB248" s="2998" t="s">
        <v>31</v>
      </c>
      <c r="AC248" s="2998" t="s">
        <v>31</v>
      </c>
      <c r="AD248" s="3094" t="s">
        <v>31</v>
      </c>
      <c r="AE248" s="2937" t="s">
        <v>31</v>
      </c>
      <c r="AF248" s="2937"/>
      <c r="AG248" s="2837"/>
      <c r="AH248" s="34"/>
      <c r="AI248" s="25"/>
    </row>
    <row r="249" spans="1:35" ht="24" customHeight="1">
      <c r="A249" s="2835">
        <v>3702</v>
      </c>
      <c r="B249" s="2941" t="s">
        <v>321</v>
      </c>
      <c r="C249" s="2990" t="s">
        <v>31</v>
      </c>
      <c r="D249" s="2990"/>
      <c r="E249" s="2990"/>
      <c r="F249" s="2990" t="s">
        <v>31</v>
      </c>
      <c r="G249" s="2990" t="s">
        <v>31</v>
      </c>
      <c r="H249" s="2990" t="s">
        <v>31</v>
      </c>
      <c r="I249" s="2990" t="s">
        <v>31</v>
      </c>
      <c r="J249" s="3094" t="s">
        <v>31</v>
      </c>
      <c r="K249" s="3094"/>
      <c r="L249" s="3094"/>
      <c r="M249" s="3094" t="s">
        <v>31</v>
      </c>
      <c r="N249" s="3094" t="s">
        <v>31</v>
      </c>
      <c r="O249" s="3094" t="s">
        <v>31</v>
      </c>
      <c r="P249" s="3094" t="s">
        <v>31</v>
      </c>
      <c r="Q249" s="3094" t="s">
        <v>31</v>
      </c>
      <c r="R249" s="3094"/>
      <c r="S249" s="3094"/>
      <c r="T249" s="3094" t="s">
        <v>31</v>
      </c>
      <c r="U249" s="3094" t="s">
        <v>31</v>
      </c>
      <c r="V249" s="3094" t="s">
        <v>31</v>
      </c>
      <c r="W249" s="3094" t="s">
        <v>31</v>
      </c>
      <c r="X249" s="3094" t="s">
        <v>31</v>
      </c>
      <c r="Y249" s="3094"/>
      <c r="Z249" s="3094"/>
      <c r="AA249" s="3094" t="s">
        <v>31</v>
      </c>
      <c r="AB249" s="3094" t="s">
        <v>31</v>
      </c>
      <c r="AC249" s="2990" t="s">
        <v>31</v>
      </c>
      <c r="AD249" s="2990" t="s">
        <v>31</v>
      </c>
      <c r="AE249" s="2990" t="s">
        <v>31</v>
      </c>
      <c r="AF249" s="2990"/>
      <c r="AG249" s="2837"/>
      <c r="AH249" s="34"/>
      <c r="AI249" s="25"/>
    </row>
    <row r="250" spans="1:35" ht="24" customHeight="1">
      <c r="A250" s="2835"/>
      <c r="B250" s="2941"/>
      <c r="C250" s="2990"/>
      <c r="D250" s="2990"/>
      <c r="E250" s="2990"/>
      <c r="F250" s="2990"/>
      <c r="G250" s="2990"/>
      <c r="H250" s="2990"/>
      <c r="I250" s="2990"/>
      <c r="J250" s="2990"/>
      <c r="K250" s="2990"/>
      <c r="L250" s="2990"/>
      <c r="M250" s="2838"/>
      <c r="N250" s="2990"/>
      <c r="O250" s="2990"/>
      <c r="P250" s="2990"/>
      <c r="Q250" s="2990"/>
      <c r="R250" s="2990"/>
      <c r="S250" s="2990"/>
      <c r="T250" s="2990"/>
      <c r="U250" s="2990"/>
      <c r="V250" s="2990"/>
      <c r="W250" s="2990"/>
      <c r="X250" s="2990"/>
      <c r="Y250" s="2990"/>
      <c r="Z250" s="2990"/>
      <c r="AA250" s="2990"/>
      <c r="AB250" s="2990"/>
      <c r="AC250" s="2990"/>
      <c r="AD250" s="2990"/>
      <c r="AE250" s="2990"/>
      <c r="AF250" s="2990"/>
      <c r="AG250" s="2837"/>
      <c r="AH250" s="34"/>
      <c r="AI250" s="25"/>
    </row>
    <row r="251" spans="1:35" ht="24" customHeight="1">
      <c r="A251" s="2839"/>
      <c r="B251" s="118"/>
      <c r="C251" s="2840"/>
      <c r="D251" s="2840"/>
      <c r="E251" s="2840"/>
      <c r="F251" s="2840"/>
      <c r="G251" s="2840"/>
      <c r="H251" s="2840"/>
      <c r="I251" s="2840"/>
      <c r="J251" s="2840"/>
      <c r="K251" s="2840"/>
      <c r="L251" s="2840"/>
      <c r="M251" s="2840"/>
      <c r="N251" s="2840"/>
      <c r="O251" s="2840"/>
      <c r="P251" s="2840"/>
      <c r="Q251" s="2840"/>
      <c r="R251" s="2840"/>
      <c r="S251" s="2840"/>
      <c r="T251" s="2840"/>
      <c r="U251" s="2840"/>
      <c r="V251" s="2840"/>
      <c r="W251" s="2840"/>
      <c r="X251" s="2840"/>
      <c r="Y251" s="2840"/>
      <c r="Z251" s="2840"/>
      <c r="AA251" s="2840"/>
      <c r="AB251" s="2840"/>
      <c r="AC251" s="2840"/>
      <c r="AD251" s="2840"/>
      <c r="AE251" s="2840"/>
      <c r="AF251" s="2840"/>
      <c r="AG251" s="2841"/>
      <c r="AH251" s="34"/>
      <c r="AI251" s="25"/>
    </row>
    <row r="252" spans="1:35" ht="24" customHeight="1">
      <c r="A252" s="2842"/>
      <c r="B252" s="2949" t="s">
        <v>322</v>
      </c>
      <c r="C252" s="2843"/>
      <c r="D252" s="2843"/>
      <c r="E252" s="2843"/>
      <c r="F252" s="2843"/>
      <c r="G252" s="2843"/>
      <c r="H252" s="2843"/>
      <c r="I252" s="2843"/>
      <c r="J252" s="2843"/>
      <c r="K252" s="2843"/>
      <c r="L252" s="2843"/>
      <c r="M252" s="2843"/>
      <c r="N252" s="2843"/>
      <c r="O252" s="2843"/>
      <c r="P252" s="2843"/>
      <c r="Q252" s="2843"/>
      <c r="R252" s="2843"/>
      <c r="S252" s="2843"/>
      <c r="T252" s="2843"/>
      <c r="U252" s="2843"/>
      <c r="V252" s="2843"/>
      <c r="W252" s="2843"/>
      <c r="X252" s="2843"/>
      <c r="Y252" s="2843"/>
      <c r="Z252" s="2843"/>
      <c r="AA252" s="2843"/>
      <c r="AB252" s="2843"/>
      <c r="AC252" s="2843"/>
      <c r="AD252" s="2843"/>
      <c r="AE252" s="2843"/>
      <c r="AF252" s="2843"/>
      <c r="AG252" s="2844"/>
      <c r="AH252" s="119"/>
      <c r="AI252" s="26"/>
    </row>
    <row r="253" spans="1:35" ht="24" customHeight="1">
      <c r="A253" s="2835">
        <v>3702</v>
      </c>
      <c r="B253" s="2788" t="s">
        <v>323</v>
      </c>
      <c r="C253" s="2990" t="s">
        <v>152</v>
      </c>
      <c r="D253" s="2990"/>
      <c r="E253" s="2990"/>
      <c r="F253" s="2990" t="s">
        <v>152</v>
      </c>
      <c r="G253" s="2990" t="s">
        <v>152</v>
      </c>
      <c r="H253" s="2990" t="s">
        <v>152</v>
      </c>
      <c r="I253" s="2990" t="s">
        <v>152</v>
      </c>
      <c r="J253" s="2990" t="s">
        <v>152</v>
      </c>
      <c r="K253" s="2990"/>
      <c r="L253" s="2990"/>
      <c r="M253" s="2990" t="s">
        <v>152</v>
      </c>
      <c r="N253" s="2990" t="s">
        <v>152</v>
      </c>
      <c r="O253" s="2990" t="s">
        <v>152</v>
      </c>
      <c r="P253" s="2990" t="s">
        <v>152</v>
      </c>
      <c r="Q253" s="2990" t="s">
        <v>152</v>
      </c>
      <c r="R253" s="2990"/>
      <c r="S253" s="2990"/>
      <c r="T253" s="2990" t="s">
        <v>152</v>
      </c>
      <c r="U253" s="2990" t="s">
        <v>152</v>
      </c>
      <c r="V253" s="2990" t="s">
        <v>152</v>
      </c>
      <c r="W253" s="2990" t="s">
        <v>152</v>
      </c>
      <c r="X253" s="2990" t="s">
        <v>152</v>
      </c>
      <c r="Y253" s="2990"/>
      <c r="Z253" s="2990"/>
      <c r="AA253" s="2990" t="s">
        <v>152</v>
      </c>
      <c r="AB253" s="2990" t="s">
        <v>152</v>
      </c>
      <c r="AC253" s="2990" t="s">
        <v>152</v>
      </c>
      <c r="AD253" s="2990" t="s">
        <v>152</v>
      </c>
      <c r="AE253" s="2990" t="s">
        <v>152</v>
      </c>
      <c r="AF253" s="2990"/>
      <c r="AG253" s="2837"/>
      <c r="AH253" s="34"/>
      <c r="AI253" s="25"/>
    </row>
    <row r="254" spans="1:35" ht="24" customHeight="1">
      <c r="A254" s="2835"/>
      <c r="B254" s="3191" t="s">
        <v>325</v>
      </c>
      <c r="C254" s="2990" t="s">
        <v>326</v>
      </c>
      <c r="D254" s="2990"/>
      <c r="E254" s="2990"/>
      <c r="F254" s="2990" t="s">
        <v>326</v>
      </c>
      <c r="G254" s="2990" t="s">
        <v>326</v>
      </c>
      <c r="H254" s="2990" t="s">
        <v>326</v>
      </c>
      <c r="I254" s="2990" t="s">
        <v>326</v>
      </c>
      <c r="J254" s="2990" t="s">
        <v>326</v>
      </c>
      <c r="K254" s="2990"/>
      <c r="L254" s="2990"/>
      <c r="M254" s="2990" t="s">
        <v>326</v>
      </c>
      <c r="N254" s="2990" t="s">
        <v>326</v>
      </c>
      <c r="O254" s="2990" t="s">
        <v>326</v>
      </c>
      <c r="P254" s="2990" t="s">
        <v>326</v>
      </c>
      <c r="Q254" s="2990" t="s">
        <v>326</v>
      </c>
      <c r="R254" s="2990"/>
      <c r="S254" s="2990"/>
      <c r="T254" s="2990" t="s">
        <v>326</v>
      </c>
      <c r="U254" s="2990" t="s">
        <v>326</v>
      </c>
      <c r="V254" s="2990" t="s">
        <v>326</v>
      </c>
      <c r="W254" s="2990" t="s">
        <v>326</v>
      </c>
      <c r="X254" s="2990" t="s">
        <v>326</v>
      </c>
      <c r="Y254" s="2990"/>
      <c r="Z254" s="2990"/>
      <c r="AA254" s="2990" t="s">
        <v>326</v>
      </c>
      <c r="AB254" s="2990" t="s">
        <v>326</v>
      </c>
      <c r="AC254" s="2990" t="s">
        <v>326</v>
      </c>
      <c r="AD254" s="2990" t="s">
        <v>326</v>
      </c>
      <c r="AE254" s="2990" t="s">
        <v>326</v>
      </c>
      <c r="AF254" s="2990"/>
      <c r="AG254" s="2837"/>
      <c r="AH254" s="34"/>
      <c r="AI254" s="25"/>
    </row>
    <row r="255" spans="1:35" ht="24" customHeight="1" thickBot="1">
      <c r="A255" s="3227"/>
      <c r="B255" s="3196" t="s">
        <v>327</v>
      </c>
      <c r="C255" s="3228" t="s">
        <v>328</v>
      </c>
      <c r="D255" s="3228"/>
      <c r="E255" s="3228"/>
      <c r="F255" s="3228" t="s">
        <v>328</v>
      </c>
      <c r="G255" s="3229" t="s">
        <v>328</v>
      </c>
      <c r="H255" s="3228" t="s">
        <v>328</v>
      </c>
      <c r="I255" s="3228" t="s">
        <v>328</v>
      </c>
      <c r="J255" s="3228" t="s">
        <v>328</v>
      </c>
      <c r="K255" s="3228"/>
      <c r="L255" s="3228"/>
      <c r="M255" s="3228" t="s">
        <v>328</v>
      </c>
      <c r="N255" s="3228" t="s">
        <v>328</v>
      </c>
      <c r="O255" s="3228" t="s">
        <v>328</v>
      </c>
      <c r="P255" s="3228" t="s">
        <v>328</v>
      </c>
      <c r="Q255" s="3228" t="s">
        <v>328</v>
      </c>
      <c r="R255" s="3228"/>
      <c r="S255" s="3228"/>
      <c r="T255" s="3228" t="s">
        <v>328</v>
      </c>
      <c r="U255" s="3228" t="s">
        <v>328</v>
      </c>
      <c r="V255" s="3228" t="s">
        <v>328</v>
      </c>
      <c r="W255" s="3228" t="s">
        <v>328</v>
      </c>
      <c r="X255" s="3228" t="s">
        <v>328</v>
      </c>
      <c r="Y255" s="3228"/>
      <c r="Z255" s="3228"/>
      <c r="AA255" s="3228" t="s">
        <v>328</v>
      </c>
      <c r="AB255" s="3228" t="s">
        <v>328</v>
      </c>
      <c r="AC255" s="3228" t="s">
        <v>328</v>
      </c>
      <c r="AD255" s="3230" t="s">
        <v>328</v>
      </c>
      <c r="AE255" s="3228" t="s">
        <v>328</v>
      </c>
      <c r="AF255" s="3228"/>
      <c r="AG255" s="3231"/>
      <c r="AH255" s="34"/>
      <c r="AI255" s="25"/>
    </row>
    <row r="256" spans="1:35" ht="24" customHeight="1"/>
    <row r="257" spans="1:35" ht="24" customHeight="1"/>
    <row r="258" spans="1:35" ht="24" customHeight="1" thickBot="1">
      <c r="A258" s="14" t="s">
        <v>329</v>
      </c>
    </row>
    <row r="259" spans="1:35" ht="24" customHeight="1">
      <c r="B259" s="1714" t="s">
        <v>281</v>
      </c>
      <c r="C259" s="901"/>
      <c r="D259" s="925" t="s">
        <v>87</v>
      </c>
      <c r="E259" s="705"/>
      <c r="F259" s="905"/>
      <c r="G259" s="901"/>
      <c r="H259" s="925" t="s">
        <v>88</v>
      </c>
      <c r="I259" s="705"/>
      <c r="J259" s="905"/>
      <c r="K259" s="901"/>
      <c r="L259" s="925" t="s">
        <v>89</v>
      </c>
      <c r="M259" s="705"/>
      <c r="N259" s="905"/>
      <c r="O259" s="901"/>
      <c r="P259" s="925" t="s">
        <v>90</v>
      </c>
      <c r="Q259" s="705"/>
      <c r="R259" s="905"/>
      <c r="S259" s="901"/>
      <c r="T259" s="925" t="s">
        <v>91</v>
      </c>
      <c r="U259" s="705"/>
      <c r="V259" s="905"/>
      <c r="W259" s="901"/>
      <c r="X259" s="925" t="s">
        <v>92</v>
      </c>
      <c r="Y259" s="705"/>
      <c r="Z259" s="905"/>
      <c r="AA259" s="901"/>
      <c r="AB259" s="925" t="s">
        <v>93</v>
      </c>
      <c r="AC259" s="705"/>
      <c r="AD259" s="705"/>
      <c r="AE259" s="928" t="s">
        <v>94</v>
      </c>
      <c r="AF259" s="705"/>
      <c r="AG259" s="705"/>
      <c r="AH259" s="705"/>
      <c r="AI259" s="706"/>
    </row>
    <row r="260" spans="1:35" ht="24" customHeight="1">
      <c r="B260" s="116">
        <v>8500</v>
      </c>
      <c r="C260" s="3013" t="s">
        <v>330</v>
      </c>
      <c r="D260" s="111"/>
      <c r="E260" s="8"/>
      <c r="F260" s="120"/>
      <c r="G260" s="3013" t="s">
        <v>330</v>
      </c>
      <c r="H260" s="111"/>
      <c r="I260" s="8"/>
      <c r="J260" s="120"/>
      <c r="K260" s="3013" t="s">
        <v>330</v>
      </c>
      <c r="L260" s="111"/>
      <c r="M260" s="8"/>
      <c r="N260" s="120"/>
      <c r="O260" s="3013" t="s">
        <v>330</v>
      </c>
      <c r="P260" s="111"/>
      <c r="Q260" s="8"/>
      <c r="R260" s="120"/>
      <c r="S260" s="3013" t="s">
        <v>331</v>
      </c>
      <c r="T260" s="111"/>
      <c r="U260" s="8"/>
      <c r="V260" s="120"/>
      <c r="W260" s="121"/>
      <c r="X260" s="111"/>
      <c r="Y260" s="8"/>
      <c r="Z260" s="120"/>
      <c r="AA260" s="121"/>
      <c r="AB260" s="111"/>
      <c r="AC260" s="8"/>
      <c r="AD260" s="8"/>
      <c r="AE260" s="112"/>
      <c r="AF260" s="8"/>
      <c r="AG260" s="8"/>
      <c r="AH260" s="8"/>
      <c r="AI260" s="105"/>
    </row>
    <row r="261" spans="1:35" ht="24" customHeight="1" thickBot="1">
      <c r="A261" s="87"/>
      <c r="B261" s="3232"/>
      <c r="C261" s="2855"/>
      <c r="D261" s="2856"/>
      <c r="E261" s="2824"/>
      <c r="F261" s="2825"/>
      <c r="G261" s="2855"/>
      <c r="H261" s="2826"/>
      <c r="I261" s="2824"/>
      <c r="J261" s="2825"/>
      <c r="K261" s="2855"/>
      <c r="L261" s="2826"/>
      <c r="M261" s="2824"/>
      <c r="N261" s="2825"/>
      <c r="O261" s="2855"/>
      <c r="P261" s="2826"/>
      <c r="Q261" s="2824"/>
      <c r="R261" s="2825"/>
      <c r="S261" s="2855"/>
      <c r="T261" s="2826"/>
      <c r="U261" s="2824"/>
      <c r="V261" s="2825"/>
      <c r="W261" s="2827"/>
      <c r="X261" s="2826"/>
      <c r="Y261" s="2824"/>
      <c r="Z261" s="2825"/>
      <c r="AA261" s="2827"/>
      <c r="AB261" s="2826"/>
      <c r="AC261" s="2824"/>
      <c r="AD261" s="2824"/>
      <c r="AE261" s="2831"/>
      <c r="AF261" s="2824"/>
      <c r="AG261" s="2824"/>
      <c r="AH261" s="2824"/>
      <c r="AI261" s="2832"/>
    </row>
    <row r="262" spans="1:35" ht="24" customHeight="1">
      <c r="A262" s="122" t="s">
        <v>332</v>
      </c>
    </row>
    <row r="263" spans="1:35" ht="24" customHeight="1" thickBot="1">
      <c r="A263" s="3233"/>
      <c r="B263" s="3226" t="s">
        <v>29</v>
      </c>
      <c r="C263" s="2924">
        <v>1</v>
      </c>
      <c r="D263" s="2925">
        <v>2</v>
      </c>
      <c r="E263" s="2925">
        <v>3</v>
      </c>
      <c r="F263" s="2924">
        <v>4</v>
      </c>
      <c r="G263" s="2924">
        <v>5</v>
      </c>
      <c r="H263" s="2924">
        <v>6</v>
      </c>
      <c r="I263" s="2924">
        <v>7</v>
      </c>
      <c r="J263" s="2924">
        <v>8</v>
      </c>
      <c r="K263" s="2925">
        <v>9</v>
      </c>
      <c r="L263" s="2925">
        <v>10</v>
      </c>
      <c r="M263" s="2924">
        <v>11</v>
      </c>
      <c r="N263" s="2924">
        <v>12</v>
      </c>
      <c r="O263" s="2924">
        <v>13</v>
      </c>
      <c r="P263" s="2924">
        <v>14</v>
      </c>
      <c r="Q263" s="2924">
        <v>15</v>
      </c>
      <c r="R263" s="2925">
        <v>16</v>
      </c>
      <c r="S263" s="2925">
        <v>17</v>
      </c>
      <c r="T263" s="2924">
        <v>18</v>
      </c>
      <c r="U263" s="2924">
        <v>19</v>
      </c>
      <c r="V263" s="2924">
        <v>20</v>
      </c>
      <c r="W263" s="2924">
        <v>21</v>
      </c>
      <c r="X263" s="2924">
        <v>22</v>
      </c>
      <c r="Y263" s="2925">
        <v>23</v>
      </c>
      <c r="Z263" s="2925">
        <v>24</v>
      </c>
      <c r="AA263" s="2924">
        <v>25</v>
      </c>
      <c r="AB263" s="2924">
        <v>26</v>
      </c>
      <c r="AC263" s="2924">
        <v>27</v>
      </c>
      <c r="AD263" s="2924">
        <v>28</v>
      </c>
      <c r="AE263" s="2924">
        <v>29</v>
      </c>
      <c r="AF263" s="2925">
        <v>30</v>
      </c>
      <c r="AG263" s="2926"/>
      <c r="AH263" s="23"/>
      <c r="AI263" s="24"/>
    </row>
    <row r="264" spans="1:35" ht="24" customHeight="1">
      <c r="A264" s="121">
        <v>8500</v>
      </c>
      <c r="B264" s="123" t="s">
        <v>333</v>
      </c>
      <c r="C264" s="1839" t="s">
        <v>31</v>
      </c>
      <c r="D264" s="2480"/>
      <c r="E264" s="1839"/>
      <c r="F264" s="1839" t="s">
        <v>31</v>
      </c>
      <c r="G264" s="1839" t="s">
        <v>31</v>
      </c>
      <c r="H264" s="1839" t="s">
        <v>31</v>
      </c>
      <c r="I264" s="1839" t="s">
        <v>31</v>
      </c>
      <c r="J264" s="1839" t="s">
        <v>31</v>
      </c>
      <c r="K264" s="1839"/>
      <c r="L264" s="1839"/>
      <c r="M264" s="1839" t="s">
        <v>31</v>
      </c>
      <c r="N264" s="1839" t="s">
        <v>31</v>
      </c>
      <c r="O264" s="1839" t="s">
        <v>31</v>
      </c>
      <c r="P264" s="1839" t="s">
        <v>31</v>
      </c>
      <c r="Q264" s="1839" t="s">
        <v>31</v>
      </c>
      <c r="R264" s="1839"/>
      <c r="S264" s="1839"/>
      <c r="T264" s="1839" t="s">
        <v>31</v>
      </c>
      <c r="U264" s="1839" t="s">
        <v>31</v>
      </c>
      <c r="V264" s="1839" t="s">
        <v>31</v>
      </c>
      <c r="W264" s="1839" t="s">
        <v>31</v>
      </c>
      <c r="X264" s="1839" t="s">
        <v>31</v>
      </c>
      <c r="Y264" s="1839"/>
      <c r="Z264" s="1839"/>
      <c r="AA264" s="1839" t="s">
        <v>31</v>
      </c>
      <c r="AB264" s="1839" t="s">
        <v>31</v>
      </c>
      <c r="AC264" s="1839" t="s">
        <v>31</v>
      </c>
      <c r="AD264" s="3234" t="s">
        <v>336</v>
      </c>
      <c r="AE264" s="2481" t="s">
        <v>31</v>
      </c>
      <c r="AF264" s="1839"/>
      <c r="AG264" s="2590"/>
      <c r="AH264" s="124"/>
      <c r="AI264" s="125"/>
    </row>
    <row r="265" spans="1:35" ht="24" customHeight="1">
      <c r="A265" s="3015"/>
      <c r="B265" s="2859" t="s">
        <v>334</v>
      </c>
      <c r="C265" s="2590" t="s">
        <v>31</v>
      </c>
      <c r="D265" s="2590"/>
      <c r="E265" s="2590"/>
      <c r="F265" s="2590" t="s">
        <v>31</v>
      </c>
      <c r="G265" s="2590" t="s">
        <v>31</v>
      </c>
      <c r="H265" s="2590" t="s">
        <v>31</v>
      </c>
      <c r="I265" s="2590" t="s">
        <v>31</v>
      </c>
      <c r="J265" s="2590" t="s">
        <v>31</v>
      </c>
      <c r="K265" s="2590"/>
      <c r="L265" s="2590"/>
      <c r="M265" s="2590" t="s">
        <v>31</v>
      </c>
      <c r="N265" s="2590" t="s">
        <v>31</v>
      </c>
      <c r="O265" s="2590" t="s">
        <v>31</v>
      </c>
      <c r="P265" s="2590" t="s">
        <v>31</v>
      </c>
      <c r="Q265" s="2590" t="s">
        <v>31</v>
      </c>
      <c r="R265" s="2590"/>
      <c r="S265" s="2590"/>
      <c r="T265" s="2590" t="s">
        <v>31</v>
      </c>
      <c r="U265" s="2590" t="s">
        <v>31</v>
      </c>
      <c r="V265" s="2590" t="s">
        <v>31</v>
      </c>
      <c r="W265" s="2590" t="s">
        <v>31</v>
      </c>
      <c r="X265" s="2590" t="s">
        <v>31</v>
      </c>
      <c r="Y265" s="2590"/>
      <c r="Z265" s="2590"/>
      <c r="AA265" s="2590" t="s">
        <v>31</v>
      </c>
      <c r="AB265" s="2590" t="s">
        <v>31</v>
      </c>
      <c r="AC265" s="2590" t="s">
        <v>31</v>
      </c>
      <c r="AD265" s="2590" t="s">
        <v>31</v>
      </c>
      <c r="AE265" s="2590" t="s">
        <v>31</v>
      </c>
      <c r="AF265" s="2590"/>
      <c r="AG265" s="2590"/>
      <c r="AH265" s="124"/>
      <c r="AI265" s="125"/>
    </row>
    <row r="266" spans="1:35" ht="24" customHeight="1">
      <c r="A266" s="2860"/>
      <c r="B266" s="2859" t="s">
        <v>335</v>
      </c>
      <c r="C266" s="2590" t="s">
        <v>31</v>
      </c>
      <c r="D266" s="2590"/>
      <c r="E266" s="2590"/>
      <c r="F266" s="2590" t="s">
        <v>31</v>
      </c>
      <c r="G266" s="2599" t="s">
        <v>31</v>
      </c>
      <c r="H266" s="2777" t="s">
        <v>304</v>
      </c>
      <c r="I266" s="2601" t="s">
        <v>31</v>
      </c>
      <c r="J266" s="2601" t="s">
        <v>31</v>
      </c>
      <c r="K266" s="2590"/>
      <c r="L266" s="2590"/>
      <c r="M266" s="2777" t="s">
        <v>31</v>
      </c>
      <c r="N266" s="2599" t="s">
        <v>31</v>
      </c>
      <c r="O266" s="2599" t="s">
        <v>31</v>
      </c>
      <c r="P266" s="2777" t="s">
        <v>304</v>
      </c>
      <c r="Q266" s="2590" t="s">
        <v>31</v>
      </c>
      <c r="R266" s="2590"/>
      <c r="S266" s="2590"/>
      <c r="T266" s="2590" t="s">
        <v>31</v>
      </c>
      <c r="U266" s="2590" t="s">
        <v>31</v>
      </c>
      <c r="V266" s="2590" t="s">
        <v>31</v>
      </c>
      <c r="W266" s="2590" t="s">
        <v>31</v>
      </c>
      <c r="X266" s="2590" t="s">
        <v>31</v>
      </c>
      <c r="Y266" s="2590"/>
      <c r="Z266" s="2590"/>
      <c r="AA266" s="2590" t="s">
        <v>31</v>
      </c>
      <c r="AB266" s="3215" t="s">
        <v>31</v>
      </c>
      <c r="AC266" s="3215" t="s">
        <v>31</v>
      </c>
      <c r="AD266" s="3215" t="s">
        <v>31</v>
      </c>
      <c r="AE266" s="3215" t="s">
        <v>31</v>
      </c>
      <c r="AF266" s="3235"/>
      <c r="AG266" s="3235"/>
      <c r="AH266" s="124"/>
      <c r="AI266" s="125"/>
    </row>
    <row r="267" spans="1:35" ht="24" customHeight="1">
      <c r="A267" s="29"/>
      <c r="B267" s="2862"/>
      <c r="C267" s="2590"/>
      <c r="D267" s="2590"/>
      <c r="E267" s="2590"/>
      <c r="F267" s="2590"/>
      <c r="G267" s="2590"/>
      <c r="H267" s="2590"/>
      <c r="I267" s="2590"/>
      <c r="J267" s="2590"/>
      <c r="K267" s="2590"/>
      <c r="L267" s="2590"/>
      <c r="M267" s="2590"/>
      <c r="N267" s="2590"/>
      <c r="O267" s="2590"/>
      <c r="P267" s="2590"/>
      <c r="Q267" s="2590"/>
      <c r="R267" s="2590"/>
      <c r="S267" s="2590"/>
      <c r="T267" s="2590"/>
      <c r="U267" s="2590"/>
      <c r="V267" s="2590"/>
      <c r="W267" s="2590"/>
      <c r="X267" s="2590"/>
      <c r="Y267" s="2590"/>
      <c r="Z267" s="2590"/>
      <c r="AA267" s="2590"/>
      <c r="AB267" s="2590"/>
      <c r="AC267" s="2590"/>
      <c r="AD267" s="2590"/>
      <c r="AE267" s="2590"/>
      <c r="AF267" s="2590"/>
      <c r="AG267" s="2619"/>
      <c r="AH267" s="124"/>
      <c r="AI267" s="125"/>
    </row>
    <row r="268" spans="1:35" ht="24" customHeight="1">
      <c r="A268" s="3236"/>
      <c r="B268" s="2862"/>
      <c r="C268" s="2990"/>
      <c r="D268" s="2990"/>
      <c r="E268" s="2990"/>
      <c r="F268" s="2990"/>
      <c r="G268" s="2990"/>
      <c r="H268" s="2990"/>
      <c r="I268" s="2990"/>
      <c r="J268" s="2990"/>
      <c r="K268" s="2990"/>
      <c r="L268" s="2990"/>
      <c r="M268" s="2990"/>
      <c r="N268" s="2840"/>
      <c r="O268" s="2840"/>
      <c r="P268" s="2990"/>
      <c r="Q268" s="2990"/>
      <c r="R268" s="2990"/>
      <c r="S268" s="2990"/>
      <c r="T268" s="2990"/>
      <c r="U268" s="2990"/>
      <c r="V268" s="2990"/>
      <c r="W268" s="2990"/>
      <c r="X268" s="2990"/>
      <c r="Y268" s="2990"/>
      <c r="Z268" s="2990"/>
      <c r="AA268" s="2990"/>
      <c r="AB268" s="2840"/>
      <c r="AC268" s="2840"/>
      <c r="AD268" s="2990"/>
      <c r="AE268" s="2990"/>
      <c r="AF268" s="2990"/>
      <c r="AG268" s="2990"/>
      <c r="AH268" s="126"/>
      <c r="AI268" s="127"/>
    </row>
    <row r="269" spans="1:35" ht="24" customHeight="1">
      <c r="A269" s="3237"/>
      <c r="B269" s="3238"/>
      <c r="C269" s="2990"/>
      <c r="D269" s="2990"/>
      <c r="E269" s="2990"/>
      <c r="F269" s="2990"/>
      <c r="G269" s="2990"/>
      <c r="H269" s="2990"/>
      <c r="I269" s="2990"/>
      <c r="J269" s="2990"/>
      <c r="K269" s="2990"/>
      <c r="L269" s="2990"/>
      <c r="M269" s="2990"/>
      <c r="N269" s="2840"/>
      <c r="O269" s="2840"/>
      <c r="P269" s="2990"/>
      <c r="Q269" s="2990"/>
      <c r="R269" s="2990"/>
      <c r="S269" s="2990"/>
      <c r="T269" s="2990"/>
      <c r="U269" s="2990"/>
      <c r="V269" s="2990"/>
      <c r="W269" s="2990"/>
      <c r="X269" s="2990"/>
      <c r="Y269" s="2990"/>
      <c r="Z269" s="2990"/>
      <c r="AA269" s="2990"/>
      <c r="AB269" s="2840"/>
      <c r="AC269" s="2840"/>
      <c r="AD269" s="2990"/>
      <c r="AE269" s="2990"/>
      <c r="AF269" s="2990"/>
      <c r="AG269" s="2990"/>
      <c r="AH269" s="126"/>
      <c r="AI269" s="127"/>
    </row>
    <row r="270" spans="1:35" ht="24" customHeight="1" thickBot="1">
      <c r="A270" s="416"/>
      <c r="B270" s="413"/>
      <c r="C270" s="3239"/>
      <c r="D270" s="3240"/>
      <c r="E270" s="3240"/>
      <c r="F270" s="3240"/>
      <c r="G270" s="3240"/>
      <c r="H270" s="3240"/>
      <c r="I270" s="3240"/>
      <c r="J270" s="3240"/>
      <c r="K270" s="3240"/>
      <c r="L270" s="3240"/>
      <c r="M270" s="3240"/>
      <c r="N270" s="3241"/>
      <c r="O270" s="3241"/>
      <c r="P270" s="3240"/>
      <c r="Q270" s="3240"/>
      <c r="R270" s="3240"/>
      <c r="S270" s="3240"/>
      <c r="T270" s="3240"/>
      <c r="U270" s="3240"/>
      <c r="V270" s="3240"/>
      <c r="W270" s="3240"/>
      <c r="X270" s="3240"/>
      <c r="Y270" s="3240"/>
      <c r="Z270" s="3240"/>
      <c r="AA270" s="3240"/>
      <c r="AB270" s="3241"/>
      <c r="AC270" s="3241"/>
      <c r="AD270" s="3240"/>
      <c r="AE270" s="3240"/>
      <c r="AF270" s="3240"/>
      <c r="AG270" s="3242"/>
      <c r="AH270" s="126"/>
      <c r="AI270" s="127"/>
    </row>
    <row r="271" spans="1:35" ht="24" customHeight="1"/>
    <row r="272" spans="1:35" ht="24" customHeight="1" thickBot="1">
      <c r="A272" s="14" t="s">
        <v>337</v>
      </c>
    </row>
    <row r="273" spans="1:35" ht="24" customHeight="1">
      <c r="A273" s="1"/>
      <c r="B273" s="1714" t="s">
        <v>281</v>
      </c>
      <c r="C273" s="901"/>
      <c r="D273" s="925" t="s">
        <v>87</v>
      </c>
      <c r="E273" s="705"/>
      <c r="F273" s="905"/>
      <c r="G273" s="901"/>
      <c r="H273" s="925" t="s">
        <v>88</v>
      </c>
      <c r="I273" s="705"/>
      <c r="J273" s="905"/>
      <c r="K273" s="901"/>
      <c r="L273" s="925" t="s">
        <v>89</v>
      </c>
      <c r="M273" s="705"/>
      <c r="N273" s="905"/>
      <c r="O273" s="901"/>
      <c r="P273" s="925" t="s">
        <v>90</v>
      </c>
      <c r="Q273" s="705"/>
      <c r="R273" s="905"/>
      <c r="S273" s="901"/>
      <c r="T273" s="925" t="s">
        <v>91</v>
      </c>
      <c r="U273" s="705"/>
      <c r="V273" s="905"/>
      <c r="W273" s="901"/>
      <c r="X273" s="925" t="s">
        <v>92</v>
      </c>
      <c r="Y273" s="705"/>
      <c r="Z273" s="905"/>
      <c r="AA273" s="901"/>
      <c r="AB273" s="925" t="s">
        <v>93</v>
      </c>
      <c r="AC273" s="705"/>
      <c r="AD273" s="705"/>
      <c r="AE273" s="928" t="s">
        <v>94</v>
      </c>
      <c r="AF273" s="705"/>
      <c r="AG273" s="705"/>
      <c r="AH273" s="705"/>
      <c r="AI273" s="706"/>
    </row>
    <row r="274" spans="1:35" ht="24" customHeight="1">
      <c r="A274" s="1"/>
      <c r="B274" s="116"/>
      <c r="C274" s="121"/>
      <c r="D274" s="111"/>
      <c r="E274" s="8"/>
      <c r="F274" s="120"/>
      <c r="G274" s="121"/>
      <c r="H274" s="111"/>
      <c r="I274" s="8"/>
      <c r="J274" s="120"/>
      <c r="K274" s="121"/>
      <c r="L274" s="111"/>
      <c r="M274" s="8"/>
      <c r="N274" s="120"/>
      <c r="O274" s="121"/>
      <c r="P274" s="111"/>
      <c r="Q274" s="8"/>
      <c r="R274" s="120"/>
      <c r="S274" s="121"/>
      <c r="T274" s="111"/>
      <c r="U274" s="8"/>
      <c r="V274" s="120"/>
      <c r="W274" s="121"/>
      <c r="X274" s="111"/>
      <c r="Y274" s="8"/>
      <c r="Z274" s="120"/>
      <c r="AA274" s="121"/>
      <c r="AB274" s="111"/>
      <c r="AC274" s="8"/>
      <c r="AD274" s="8"/>
      <c r="AE274" s="112"/>
      <c r="AF274" s="8"/>
      <c r="AG274" s="8"/>
      <c r="AH274" s="8"/>
      <c r="AI274" s="105"/>
    </row>
    <row r="275" spans="1:35" ht="24" customHeight="1">
      <c r="A275" s="87"/>
      <c r="B275" s="3222"/>
      <c r="C275" s="3013"/>
      <c r="D275" s="2906"/>
      <c r="E275" s="2906"/>
      <c r="F275" s="3110"/>
      <c r="G275" s="3013"/>
      <c r="H275" s="2906"/>
      <c r="I275" s="2906"/>
      <c r="J275" s="3110"/>
      <c r="K275" s="3013"/>
      <c r="L275" s="2906"/>
      <c r="M275" s="2906"/>
      <c r="N275" s="3110"/>
      <c r="O275" s="3013"/>
      <c r="P275" s="2906"/>
      <c r="Q275" s="2906"/>
      <c r="R275" s="3110"/>
      <c r="S275" s="3013"/>
      <c r="T275" s="2906"/>
      <c r="U275" s="2906"/>
      <c r="V275" s="3110"/>
      <c r="W275" s="3013"/>
      <c r="X275" s="2906"/>
      <c r="Y275" s="2906"/>
      <c r="Z275" s="3110"/>
      <c r="AA275" s="3108"/>
      <c r="AB275" s="2906"/>
      <c r="AC275" s="2906"/>
      <c r="AD275" s="3014"/>
      <c r="AE275" s="2870"/>
      <c r="AF275" s="2906"/>
      <c r="AG275" s="2906"/>
      <c r="AH275" s="3014"/>
      <c r="AI275" s="2915"/>
    </row>
    <row r="276" spans="1:35" ht="24" customHeight="1" thickBot="1">
      <c r="A276" s="1"/>
      <c r="B276" s="3120"/>
      <c r="C276" s="3121"/>
      <c r="D276" s="2969"/>
      <c r="E276" s="2969"/>
      <c r="F276" s="3144"/>
      <c r="G276" s="3121"/>
      <c r="H276" s="2969"/>
      <c r="I276" s="2969"/>
      <c r="J276" s="3144"/>
      <c r="K276" s="3121"/>
      <c r="L276" s="2969"/>
      <c r="M276" s="2969"/>
      <c r="N276" s="3144"/>
      <c r="O276" s="3121"/>
      <c r="P276" s="2969"/>
      <c r="Q276" s="2969"/>
      <c r="R276" s="3144"/>
      <c r="S276" s="3121"/>
      <c r="T276" s="2969"/>
      <c r="U276" s="2969"/>
      <c r="V276" s="3144"/>
      <c r="W276" s="3142"/>
      <c r="X276" s="2969"/>
      <c r="Y276" s="2969"/>
      <c r="Z276" s="3144"/>
      <c r="AA276" s="3142"/>
      <c r="AB276" s="2969"/>
      <c r="AC276" s="2969"/>
      <c r="AD276" s="3128"/>
      <c r="AE276" s="3142"/>
      <c r="AF276" s="2969"/>
      <c r="AG276" s="2969"/>
      <c r="AH276" s="3128"/>
      <c r="AI276" s="2976"/>
    </row>
    <row r="277" spans="1:35" ht="24" customHeight="1">
      <c r="A277" s="1"/>
      <c r="B277" s="113"/>
      <c r="C277" s="37"/>
      <c r="F277" s="22"/>
      <c r="G277" s="37"/>
      <c r="J277" s="22"/>
      <c r="K277" s="37"/>
      <c r="N277" s="22"/>
      <c r="O277" s="37"/>
      <c r="R277" s="22"/>
      <c r="S277" s="37"/>
      <c r="V277" s="22"/>
      <c r="W277" s="22"/>
      <c r="Z277" s="22"/>
      <c r="AA277" s="22"/>
      <c r="AD277" s="22"/>
      <c r="AE277" s="22"/>
      <c r="AH277" s="22"/>
    </row>
    <row r="278" spans="1:35" ht="24" customHeight="1">
      <c r="A278" s="14" t="s">
        <v>338</v>
      </c>
      <c r="B278" s="113"/>
      <c r="C278" s="37"/>
      <c r="F278" s="22"/>
      <c r="G278" s="37"/>
      <c r="J278" s="22"/>
      <c r="K278" s="37"/>
      <c r="N278" s="22"/>
      <c r="O278" s="37"/>
      <c r="R278" s="22"/>
      <c r="S278" s="37"/>
      <c r="V278" s="22"/>
      <c r="W278" s="22"/>
      <c r="Z278" s="22"/>
      <c r="AA278" s="22"/>
      <c r="AD278" s="22"/>
      <c r="AE278" s="22"/>
      <c r="AH278" s="22"/>
    </row>
    <row r="279" spans="1:35" ht="24" customHeight="1" thickBot="1">
      <c r="A279" s="3225" t="s">
        <v>28</v>
      </c>
      <c r="B279" s="3226" t="s">
        <v>29</v>
      </c>
      <c r="C279" s="2924">
        <v>1</v>
      </c>
      <c r="D279" s="2925">
        <v>2</v>
      </c>
      <c r="E279" s="2925">
        <v>3</v>
      </c>
      <c r="F279" s="2924">
        <v>4</v>
      </c>
      <c r="G279" s="2924">
        <v>5</v>
      </c>
      <c r="H279" s="2924">
        <v>6</v>
      </c>
      <c r="I279" s="2924">
        <v>7</v>
      </c>
      <c r="J279" s="2924">
        <v>8</v>
      </c>
      <c r="K279" s="2925">
        <v>9</v>
      </c>
      <c r="L279" s="2925">
        <v>10</v>
      </c>
      <c r="M279" s="2924">
        <v>11</v>
      </c>
      <c r="N279" s="2924">
        <v>12</v>
      </c>
      <c r="O279" s="2924">
        <v>13</v>
      </c>
      <c r="P279" s="2924">
        <v>14</v>
      </c>
      <c r="Q279" s="2924">
        <v>15</v>
      </c>
      <c r="R279" s="2925">
        <v>16</v>
      </c>
      <c r="S279" s="2925">
        <v>17</v>
      </c>
      <c r="T279" s="2924">
        <v>18</v>
      </c>
      <c r="U279" s="2924">
        <v>19</v>
      </c>
      <c r="V279" s="2924">
        <v>20</v>
      </c>
      <c r="W279" s="2924">
        <v>21</v>
      </c>
      <c r="X279" s="2924">
        <v>22</v>
      </c>
      <c r="Y279" s="2925">
        <v>23</v>
      </c>
      <c r="Z279" s="2925">
        <v>24</v>
      </c>
      <c r="AA279" s="2924">
        <v>25</v>
      </c>
      <c r="AB279" s="2924">
        <v>26</v>
      </c>
      <c r="AC279" s="2924">
        <v>27</v>
      </c>
      <c r="AD279" s="2924">
        <v>28</v>
      </c>
      <c r="AE279" s="2924">
        <v>29</v>
      </c>
      <c r="AF279" s="2925">
        <v>30</v>
      </c>
      <c r="AG279" s="2926"/>
      <c r="AH279" s="128"/>
      <c r="AI279" s="24"/>
    </row>
    <row r="280" spans="1:35" ht="24" customHeight="1">
      <c r="A280" s="129"/>
      <c r="B280" s="130" t="s">
        <v>339</v>
      </c>
      <c r="C280" s="2590" t="s">
        <v>31</v>
      </c>
      <c r="D280" s="3243"/>
      <c r="E280" s="2590"/>
      <c r="F280" s="2590" t="s">
        <v>31</v>
      </c>
      <c r="G280" s="2590" t="s">
        <v>31</v>
      </c>
      <c r="H280" s="2590" t="s">
        <v>31</v>
      </c>
      <c r="I280" s="2590" t="s">
        <v>31</v>
      </c>
      <c r="J280" s="2590" t="s">
        <v>31</v>
      </c>
      <c r="K280" s="2590"/>
      <c r="L280" s="2590"/>
      <c r="M280" s="2590" t="s">
        <v>31</v>
      </c>
      <c r="N280" s="2590" t="s">
        <v>31</v>
      </c>
      <c r="O280" s="2590" t="s">
        <v>31</v>
      </c>
      <c r="P280" s="2590" t="s">
        <v>31</v>
      </c>
      <c r="Q280" s="2590" t="s">
        <v>31</v>
      </c>
      <c r="R280" s="2590"/>
      <c r="S280" s="2590"/>
      <c r="T280" s="2590" t="s">
        <v>31</v>
      </c>
      <c r="U280" s="2590" t="s">
        <v>31</v>
      </c>
      <c r="V280" s="2590" t="s">
        <v>31</v>
      </c>
      <c r="W280" s="2590" t="s">
        <v>31</v>
      </c>
      <c r="X280" s="2590" t="s">
        <v>31</v>
      </c>
      <c r="Y280" s="2590"/>
      <c r="Z280" s="2590"/>
      <c r="AA280" s="2590" t="s">
        <v>31</v>
      </c>
      <c r="AB280" s="2590" t="s">
        <v>31</v>
      </c>
      <c r="AC280" s="2590" t="s">
        <v>31</v>
      </c>
      <c r="AD280" s="2590" t="s">
        <v>31</v>
      </c>
      <c r="AE280" s="2590" t="s">
        <v>31</v>
      </c>
      <c r="AF280" s="2590"/>
      <c r="AG280" s="2590"/>
      <c r="AH280" s="131"/>
      <c r="AI280" s="125"/>
    </row>
    <row r="281" spans="1:35" ht="24" customHeight="1">
      <c r="A281" s="2871"/>
      <c r="B281" s="2872" t="s">
        <v>340</v>
      </c>
      <c r="C281" s="2590" t="s">
        <v>31</v>
      </c>
      <c r="D281" s="2607"/>
      <c r="E281" s="2607"/>
      <c r="F281" s="2607" t="s">
        <v>31</v>
      </c>
      <c r="G281" s="3244" t="s">
        <v>31</v>
      </c>
      <c r="H281" s="3244" t="s">
        <v>31</v>
      </c>
      <c r="I281" s="2590" t="s">
        <v>31</v>
      </c>
      <c r="J281" s="2590" t="s">
        <v>31</v>
      </c>
      <c r="K281" s="2590"/>
      <c r="L281" s="2590"/>
      <c r="M281" s="2590" t="s">
        <v>31</v>
      </c>
      <c r="N281" s="2590" t="s">
        <v>31</v>
      </c>
      <c r="O281" s="2590" t="s">
        <v>31</v>
      </c>
      <c r="P281" s="2590" t="s">
        <v>31</v>
      </c>
      <c r="Q281" s="2590" t="s">
        <v>31</v>
      </c>
      <c r="R281" s="2590"/>
      <c r="S281" s="2590"/>
      <c r="T281" s="2590" t="s">
        <v>31</v>
      </c>
      <c r="U281" s="2590" t="s">
        <v>31</v>
      </c>
      <c r="V281" s="2590" t="s">
        <v>31</v>
      </c>
      <c r="W281" s="2590" t="s">
        <v>31</v>
      </c>
      <c r="X281" s="2590" t="s">
        <v>31</v>
      </c>
      <c r="Y281" s="2590"/>
      <c r="Z281" s="2590"/>
      <c r="AA281" s="2590" t="s">
        <v>31</v>
      </c>
      <c r="AB281" s="2590" t="s">
        <v>31</v>
      </c>
      <c r="AC281" s="2590" t="s">
        <v>31</v>
      </c>
      <c r="AD281" s="2590" t="s">
        <v>31</v>
      </c>
      <c r="AE281" s="2590" t="s">
        <v>31</v>
      </c>
      <c r="AF281" s="2590"/>
      <c r="AG281" s="2590"/>
      <c r="AH281" s="131"/>
      <c r="AI281" s="125"/>
    </row>
    <row r="282" spans="1:35" ht="24" customHeight="1">
      <c r="A282" s="2835"/>
      <c r="B282" s="2872" t="s">
        <v>341</v>
      </c>
      <c r="C282" s="2590" t="s">
        <v>31</v>
      </c>
      <c r="D282" s="3243"/>
      <c r="E282" s="2590"/>
      <c r="F282" s="3185" t="s">
        <v>31</v>
      </c>
      <c r="G282" s="2590" t="s">
        <v>31</v>
      </c>
      <c r="H282" s="2590" t="s">
        <v>31</v>
      </c>
      <c r="I282" s="2590" t="s">
        <v>31</v>
      </c>
      <c r="J282" s="2590" t="s">
        <v>31</v>
      </c>
      <c r="K282" s="2590"/>
      <c r="L282" s="2590"/>
      <c r="M282" s="2590" t="s">
        <v>31</v>
      </c>
      <c r="N282" s="2590" t="s">
        <v>31</v>
      </c>
      <c r="O282" s="2590" t="s">
        <v>31</v>
      </c>
      <c r="P282" s="2590" t="s">
        <v>31</v>
      </c>
      <c r="Q282" s="2590" t="s">
        <v>31</v>
      </c>
      <c r="R282" s="2590"/>
      <c r="S282" s="2590"/>
      <c r="T282" s="2590" t="s">
        <v>31</v>
      </c>
      <c r="U282" s="2590" t="s">
        <v>31</v>
      </c>
      <c r="V282" s="2590" t="s">
        <v>31</v>
      </c>
      <c r="W282" s="2590" t="s">
        <v>31</v>
      </c>
      <c r="X282" s="2590" t="s">
        <v>31</v>
      </c>
      <c r="Y282" s="2590"/>
      <c r="Z282" s="2590"/>
      <c r="AA282" s="2590" t="s">
        <v>31</v>
      </c>
      <c r="AB282" s="2590" t="s">
        <v>31</v>
      </c>
      <c r="AC282" s="2590" t="s">
        <v>31</v>
      </c>
      <c r="AD282" s="2590" t="s">
        <v>31</v>
      </c>
      <c r="AE282" s="2590" t="s">
        <v>31</v>
      </c>
      <c r="AF282" s="2590"/>
      <c r="AG282" s="2590"/>
      <c r="AH282" s="131"/>
      <c r="AI282" s="125"/>
    </row>
    <row r="283" spans="1:35" ht="24" customHeight="1">
      <c r="A283" s="2835"/>
      <c r="B283" s="2872" t="s">
        <v>342</v>
      </c>
      <c r="C283" s="2590" t="s">
        <v>31</v>
      </c>
      <c r="D283" s="3243"/>
      <c r="E283" s="2590"/>
      <c r="F283" s="2590" t="s">
        <v>31</v>
      </c>
      <c r="G283" s="2590" t="s">
        <v>31</v>
      </c>
      <c r="H283" s="2590" t="s">
        <v>31</v>
      </c>
      <c r="I283" s="2590" t="s">
        <v>31</v>
      </c>
      <c r="J283" s="2590" t="s">
        <v>31</v>
      </c>
      <c r="K283" s="2590"/>
      <c r="L283" s="2590"/>
      <c r="M283" s="2590" t="s">
        <v>31</v>
      </c>
      <c r="N283" s="2590" t="s">
        <v>31</v>
      </c>
      <c r="O283" s="2590" t="s">
        <v>31</v>
      </c>
      <c r="P283" s="2590" t="s">
        <v>31</v>
      </c>
      <c r="Q283" s="2590" t="s">
        <v>31</v>
      </c>
      <c r="R283" s="2590"/>
      <c r="S283" s="2590"/>
      <c r="T283" s="2772" t="s">
        <v>31</v>
      </c>
      <c r="U283" s="2772" t="s">
        <v>31</v>
      </c>
      <c r="V283" s="2590" t="s">
        <v>31</v>
      </c>
      <c r="W283" s="2590" t="s">
        <v>31</v>
      </c>
      <c r="X283" s="2590" t="s">
        <v>31</v>
      </c>
      <c r="Y283" s="2590"/>
      <c r="Z283" s="2590"/>
      <c r="AA283" s="2590" t="s">
        <v>31</v>
      </c>
      <c r="AB283" s="2590" t="s">
        <v>31</v>
      </c>
      <c r="AC283" s="2590" t="s">
        <v>31</v>
      </c>
      <c r="AD283" s="2590" t="s">
        <v>31</v>
      </c>
      <c r="AE283" s="2590" t="s">
        <v>31</v>
      </c>
      <c r="AF283" s="2590"/>
      <c r="AG283" s="2590"/>
      <c r="AH283" s="131"/>
      <c r="AI283" s="125"/>
    </row>
    <row r="284" spans="1:35" ht="24" customHeight="1">
      <c r="A284" s="2835"/>
      <c r="B284" s="2872" t="s">
        <v>343</v>
      </c>
      <c r="C284" s="2590" t="s">
        <v>31</v>
      </c>
      <c r="D284" s="3243"/>
      <c r="E284" s="2590"/>
      <c r="F284" s="2590" t="s">
        <v>31</v>
      </c>
      <c r="G284" s="2590" t="s">
        <v>31</v>
      </c>
      <c r="H284" s="2590" t="s">
        <v>31</v>
      </c>
      <c r="I284" s="2590" t="s">
        <v>31</v>
      </c>
      <c r="J284" s="2775" t="s">
        <v>31</v>
      </c>
      <c r="K284" s="2590"/>
      <c r="L284" s="2590"/>
      <c r="M284" s="2590" t="s">
        <v>31</v>
      </c>
      <c r="N284" s="2590" t="s">
        <v>31</v>
      </c>
      <c r="O284" s="2590" t="s">
        <v>31</v>
      </c>
      <c r="P284" s="2590" t="s">
        <v>31</v>
      </c>
      <c r="Q284" s="2590" t="s">
        <v>31</v>
      </c>
      <c r="R284" s="2590"/>
      <c r="S284" s="2590"/>
      <c r="T284" s="2590" t="s">
        <v>31</v>
      </c>
      <c r="U284" s="2590" t="s">
        <v>31</v>
      </c>
      <c r="V284" s="2775" t="s">
        <v>31</v>
      </c>
      <c r="W284" s="2590" t="s">
        <v>31</v>
      </c>
      <c r="X284" s="2590" t="s">
        <v>31</v>
      </c>
      <c r="Y284" s="2590"/>
      <c r="Z284" s="2590"/>
      <c r="AA284" s="2590" t="s">
        <v>31</v>
      </c>
      <c r="AB284" s="2590" t="s">
        <v>31</v>
      </c>
      <c r="AC284" s="2590" t="s">
        <v>31</v>
      </c>
      <c r="AD284" s="2590" t="s">
        <v>31</v>
      </c>
      <c r="AE284" s="2590" t="s">
        <v>31</v>
      </c>
      <c r="AF284" s="2590"/>
      <c r="AG284" s="2990"/>
      <c r="AH284" s="131"/>
      <c r="AI284" s="125"/>
    </row>
    <row r="285" spans="1:35" ht="24" customHeight="1">
      <c r="A285" s="2835"/>
      <c r="B285" s="2872" t="s">
        <v>344</v>
      </c>
      <c r="C285" s="2590" t="s">
        <v>31</v>
      </c>
      <c r="D285" s="2607"/>
      <c r="E285" s="2607"/>
      <c r="F285" s="2607" t="s">
        <v>31</v>
      </c>
      <c r="G285" s="3244" t="s">
        <v>31</v>
      </c>
      <c r="H285" s="3244" t="s">
        <v>31</v>
      </c>
      <c r="I285" s="2590" t="s">
        <v>31</v>
      </c>
      <c r="J285" s="2590" t="s">
        <v>31</v>
      </c>
      <c r="K285" s="2590"/>
      <c r="L285" s="2590"/>
      <c r="M285" s="2590" t="s">
        <v>31</v>
      </c>
      <c r="N285" s="2590" t="s">
        <v>31</v>
      </c>
      <c r="O285" s="2590" t="s">
        <v>31</v>
      </c>
      <c r="P285" s="2590" t="s">
        <v>31</v>
      </c>
      <c r="Q285" s="2590" t="s">
        <v>31</v>
      </c>
      <c r="R285" s="2590"/>
      <c r="S285" s="2590"/>
      <c r="T285" s="2590" t="s">
        <v>31</v>
      </c>
      <c r="U285" s="2590" t="s">
        <v>31</v>
      </c>
      <c r="V285" s="2590" t="s">
        <v>31</v>
      </c>
      <c r="W285" s="2590" t="s">
        <v>31</v>
      </c>
      <c r="X285" s="2590" t="s">
        <v>31</v>
      </c>
      <c r="Y285" s="2590"/>
      <c r="Z285" s="2590"/>
      <c r="AA285" s="2590" t="s">
        <v>31</v>
      </c>
      <c r="AB285" s="2590" t="s">
        <v>31</v>
      </c>
      <c r="AC285" s="2590" t="s">
        <v>31</v>
      </c>
      <c r="AD285" s="2590" t="s">
        <v>31</v>
      </c>
      <c r="AE285" s="2590" t="s">
        <v>31</v>
      </c>
      <c r="AF285" s="2590"/>
      <c r="AG285" s="2990"/>
      <c r="AH285" s="131"/>
      <c r="AI285" s="125"/>
    </row>
    <row r="286" spans="1:35" ht="24" customHeight="1">
      <c r="A286" s="2835"/>
      <c r="B286" s="2872" t="s">
        <v>345</v>
      </c>
      <c r="C286" s="2590" t="s">
        <v>31</v>
      </c>
      <c r="D286" s="3243"/>
      <c r="E286" s="2590"/>
      <c r="F286" s="2590" t="s">
        <v>31</v>
      </c>
      <c r="G286" s="2590" t="s">
        <v>31</v>
      </c>
      <c r="H286" s="2590" t="s">
        <v>31</v>
      </c>
      <c r="I286" s="2590" t="s">
        <v>31</v>
      </c>
      <c r="J286" s="2775" t="s">
        <v>31</v>
      </c>
      <c r="K286" s="2590"/>
      <c r="L286" s="2590"/>
      <c r="M286" s="2590" t="s">
        <v>31</v>
      </c>
      <c r="N286" s="2590" t="s">
        <v>31</v>
      </c>
      <c r="O286" s="2590" t="s">
        <v>31</v>
      </c>
      <c r="P286" s="2590" t="s">
        <v>31</v>
      </c>
      <c r="Q286" s="2590" t="s">
        <v>31</v>
      </c>
      <c r="R286" s="2590"/>
      <c r="S286" s="2590"/>
      <c r="T286" s="2590" t="s">
        <v>31</v>
      </c>
      <c r="U286" s="2590" t="s">
        <v>31</v>
      </c>
      <c r="V286" s="2590" t="s">
        <v>31</v>
      </c>
      <c r="W286" s="2590" t="s">
        <v>31</v>
      </c>
      <c r="X286" s="2590" t="s">
        <v>31</v>
      </c>
      <c r="Y286" s="2590"/>
      <c r="Z286" s="2590"/>
      <c r="AA286" s="2590" t="s">
        <v>31</v>
      </c>
      <c r="AB286" s="2590" t="s">
        <v>31</v>
      </c>
      <c r="AC286" s="2590" t="s">
        <v>31</v>
      </c>
      <c r="AD286" s="2590" t="s">
        <v>31</v>
      </c>
      <c r="AE286" s="2590" t="s">
        <v>31</v>
      </c>
      <c r="AF286" s="2590"/>
      <c r="AG286" s="2990"/>
      <c r="AH286" s="131"/>
      <c r="AI286" s="125"/>
    </row>
    <row r="287" spans="1:35" ht="24" customHeight="1">
      <c r="A287" s="2835"/>
      <c r="B287" s="2872" t="s">
        <v>346</v>
      </c>
      <c r="C287" s="2590" t="s">
        <v>31</v>
      </c>
      <c r="D287" s="3243"/>
      <c r="E287" s="2590"/>
      <c r="F287" s="2590" t="s">
        <v>31</v>
      </c>
      <c r="G287" s="2590" t="s">
        <v>31</v>
      </c>
      <c r="H287" s="2590" t="s">
        <v>31</v>
      </c>
      <c r="I287" s="2590" t="s">
        <v>31</v>
      </c>
      <c r="J287" s="2590" t="s">
        <v>31</v>
      </c>
      <c r="K287" s="2590"/>
      <c r="L287" s="2590"/>
      <c r="M287" s="2590" t="s">
        <v>31</v>
      </c>
      <c r="N287" s="2590" t="s">
        <v>31</v>
      </c>
      <c r="O287" s="2590" t="s">
        <v>31</v>
      </c>
      <c r="P287" s="2590" t="s">
        <v>31</v>
      </c>
      <c r="Q287" s="2590" t="s">
        <v>31</v>
      </c>
      <c r="R287" s="2590"/>
      <c r="S287" s="2590"/>
      <c r="T287" s="2590" t="s">
        <v>31</v>
      </c>
      <c r="U287" s="2590" t="s">
        <v>31</v>
      </c>
      <c r="V287" s="2590" t="s">
        <v>31</v>
      </c>
      <c r="W287" s="2590" t="s">
        <v>31</v>
      </c>
      <c r="X287" s="2590" t="s">
        <v>31</v>
      </c>
      <c r="Y287" s="2590"/>
      <c r="Z287" s="2590"/>
      <c r="AA287" s="3245" t="s">
        <v>31</v>
      </c>
      <c r="AB287" s="2590" t="s">
        <v>31</v>
      </c>
      <c r="AC287" s="2590" t="s">
        <v>31</v>
      </c>
      <c r="AD287" s="2590" t="s">
        <v>31</v>
      </c>
      <c r="AE287" s="2590" t="s">
        <v>31</v>
      </c>
      <c r="AF287" s="2590"/>
      <c r="AG287" s="2990"/>
      <c r="AH287" s="131"/>
      <c r="AI287" s="125"/>
    </row>
    <row r="288" spans="1:35" ht="24" customHeight="1">
      <c r="A288" s="2835"/>
      <c r="B288" s="2859" t="s">
        <v>347</v>
      </c>
      <c r="C288" s="2619" t="s">
        <v>31</v>
      </c>
      <c r="D288" s="2619"/>
      <c r="E288" s="2590"/>
      <c r="F288" s="2590" t="s">
        <v>31</v>
      </c>
      <c r="G288" s="2590" t="s">
        <v>31</v>
      </c>
      <c r="H288" s="2590" t="s">
        <v>31</v>
      </c>
      <c r="I288" s="2590" t="s">
        <v>31</v>
      </c>
      <c r="J288" s="2590" t="s">
        <v>31</v>
      </c>
      <c r="K288" s="2590"/>
      <c r="L288" s="2590"/>
      <c r="M288" s="2590" t="s">
        <v>31</v>
      </c>
      <c r="N288" s="2590" t="s">
        <v>31</v>
      </c>
      <c r="O288" s="2590" t="s">
        <v>31</v>
      </c>
      <c r="P288" s="2590" t="s">
        <v>31</v>
      </c>
      <c r="Q288" s="2590" t="s">
        <v>31</v>
      </c>
      <c r="R288" s="2590"/>
      <c r="S288" s="2590"/>
      <c r="T288" s="2590" t="s">
        <v>31</v>
      </c>
      <c r="U288" s="2590" t="s">
        <v>31</v>
      </c>
      <c r="V288" s="2590" t="s">
        <v>31</v>
      </c>
      <c r="W288" s="2590" t="s">
        <v>31</v>
      </c>
      <c r="X288" s="2590" t="s">
        <v>31</v>
      </c>
      <c r="Y288" s="2590"/>
      <c r="Z288" s="2590"/>
      <c r="AA288" s="2590" t="s">
        <v>31</v>
      </c>
      <c r="AB288" s="2590" t="s">
        <v>31</v>
      </c>
      <c r="AC288" s="2590" t="s">
        <v>31</v>
      </c>
      <c r="AD288" s="2590" t="s">
        <v>31</v>
      </c>
      <c r="AE288" s="2590" t="s">
        <v>31</v>
      </c>
      <c r="AF288" s="2590"/>
      <c r="AG288" s="2990"/>
      <c r="AH288" s="131"/>
      <c r="AI288" s="125"/>
    </row>
    <row r="289" spans="1:35" ht="24" customHeight="1">
      <c r="A289" s="2835"/>
      <c r="B289" s="2874" t="s">
        <v>348</v>
      </c>
      <c r="C289" s="2590" t="s">
        <v>31</v>
      </c>
      <c r="D289" s="2607"/>
      <c r="E289" s="2607"/>
      <c r="F289" s="2607" t="s">
        <v>31</v>
      </c>
      <c r="G289" s="3244" t="s">
        <v>31</v>
      </c>
      <c r="H289" s="3244" t="s">
        <v>31</v>
      </c>
      <c r="I289" s="2590" t="s">
        <v>31</v>
      </c>
      <c r="J289" s="2590" t="s">
        <v>31</v>
      </c>
      <c r="K289" s="2590"/>
      <c r="L289" s="2590"/>
      <c r="M289" s="2590" t="s">
        <v>31</v>
      </c>
      <c r="N289" s="2590" t="s">
        <v>31</v>
      </c>
      <c r="O289" s="2590" t="s">
        <v>31</v>
      </c>
      <c r="P289" s="2590" t="s">
        <v>31</v>
      </c>
      <c r="Q289" s="2590" t="s">
        <v>31</v>
      </c>
      <c r="R289" s="2590"/>
      <c r="S289" s="2590"/>
      <c r="T289" s="2590" t="s">
        <v>31</v>
      </c>
      <c r="U289" s="2590" t="s">
        <v>31</v>
      </c>
      <c r="V289" s="2590" t="s">
        <v>31</v>
      </c>
      <c r="W289" s="2590" t="s">
        <v>31</v>
      </c>
      <c r="X289" s="2590" t="s">
        <v>31</v>
      </c>
      <c r="Y289" s="2590"/>
      <c r="Z289" s="2590"/>
      <c r="AA289" s="2590" t="s">
        <v>31</v>
      </c>
      <c r="AB289" s="2590" t="s">
        <v>31</v>
      </c>
      <c r="AC289" s="2590" t="s">
        <v>31</v>
      </c>
      <c r="AD289" s="2590" t="s">
        <v>31</v>
      </c>
      <c r="AE289" s="2590" t="s">
        <v>31</v>
      </c>
      <c r="AF289" s="2590"/>
      <c r="AG289" s="2990"/>
      <c r="AH289" s="131"/>
      <c r="AI289" s="125"/>
    </row>
    <row r="290" spans="1:35" ht="24" customHeight="1">
      <c r="A290" s="2835"/>
      <c r="B290" s="2554" t="s">
        <v>349</v>
      </c>
      <c r="C290" s="2590" t="s">
        <v>31</v>
      </c>
      <c r="D290" s="3243"/>
      <c r="E290" s="2590"/>
      <c r="F290" s="2590" t="s">
        <v>31</v>
      </c>
      <c r="G290" s="2590" t="s">
        <v>31</v>
      </c>
      <c r="H290" s="2590" t="s">
        <v>31</v>
      </c>
      <c r="I290" s="2590" t="s">
        <v>31</v>
      </c>
      <c r="J290" s="2590" t="s">
        <v>31</v>
      </c>
      <c r="K290" s="2590"/>
      <c r="L290" s="2590"/>
      <c r="M290" s="2590" t="s">
        <v>31</v>
      </c>
      <c r="N290" s="2590" t="s">
        <v>31</v>
      </c>
      <c r="O290" s="2590" t="s">
        <v>31</v>
      </c>
      <c r="P290" s="2590" t="s">
        <v>31</v>
      </c>
      <c r="Q290" s="2590" t="s">
        <v>31</v>
      </c>
      <c r="R290" s="2590"/>
      <c r="S290" s="2590"/>
      <c r="T290" s="2590" t="s">
        <v>31</v>
      </c>
      <c r="U290" s="2590" t="s">
        <v>31</v>
      </c>
      <c r="V290" s="2590" t="s">
        <v>31</v>
      </c>
      <c r="W290" s="2590" t="s">
        <v>31</v>
      </c>
      <c r="X290" s="2590" t="s">
        <v>31</v>
      </c>
      <c r="Y290" s="2590"/>
      <c r="Z290" s="2590"/>
      <c r="AA290" s="2590" t="s">
        <v>31</v>
      </c>
      <c r="AB290" s="2590" t="s">
        <v>31</v>
      </c>
      <c r="AC290" s="2590" t="s">
        <v>31</v>
      </c>
      <c r="AD290" s="2590" t="s">
        <v>31</v>
      </c>
      <c r="AE290" s="2590" t="s">
        <v>31</v>
      </c>
      <c r="AF290" s="2590"/>
      <c r="AG290" s="2990"/>
      <c r="AH290" s="131"/>
      <c r="AI290" s="125"/>
    </row>
    <row r="291" spans="1:35" ht="24" customHeight="1">
      <c r="A291" s="2835"/>
      <c r="B291" s="2874"/>
      <c r="C291" s="2590"/>
      <c r="D291" s="3243"/>
      <c r="E291" s="2590"/>
      <c r="F291" s="2590"/>
      <c r="G291" s="2590"/>
      <c r="H291" s="2590"/>
      <c r="I291" s="2590"/>
      <c r="J291" s="2590"/>
      <c r="K291" s="2590"/>
      <c r="L291" s="2590"/>
      <c r="M291" s="2590"/>
      <c r="N291" s="2590"/>
      <c r="O291" s="2590"/>
      <c r="P291" s="2590"/>
      <c r="Q291" s="2590"/>
      <c r="R291" s="2590"/>
      <c r="S291" s="2590"/>
      <c r="T291" s="2590"/>
      <c r="U291" s="2590"/>
      <c r="V291" s="2590"/>
      <c r="W291" s="2590"/>
      <c r="X291" s="2590"/>
      <c r="Y291" s="2590"/>
      <c r="Z291" s="2590"/>
      <c r="AA291" s="2590"/>
      <c r="AB291" s="2590"/>
      <c r="AC291" s="2590"/>
      <c r="AD291" s="2590"/>
      <c r="AE291" s="2590"/>
      <c r="AF291" s="2590"/>
      <c r="AG291" s="2990"/>
      <c r="AH291" s="131"/>
      <c r="AI291" s="125"/>
    </row>
    <row r="292" spans="1:35" ht="24" customHeight="1">
      <c r="A292" s="3008"/>
      <c r="B292" s="2874"/>
      <c r="C292" s="2990"/>
      <c r="D292" s="2990"/>
      <c r="E292" s="2990"/>
      <c r="F292" s="2990"/>
      <c r="G292" s="2990"/>
      <c r="H292" s="2990"/>
      <c r="I292" s="2990"/>
      <c r="J292" s="2990"/>
      <c r="K292" s="2990"/>
      <c r="L292" s="2990"/>
      <c r="M292" s="2990"/>
      <c r="N292" s="2840"/>
      <c r="O292" s="2840"/>
      <c r="P292" s="2990"/>
      <c r="Q292" s="2990"/>
      <c r="R292" s="2990"/>
      <c r="S292" s="2990"/>
      <c r="T292" s="2990"/>
      <c r="U292" s="2990"/>
      <c r="V292" s="2990"/>
      <c r="W292" s="2990"/>
      <c r="X292" s="2990"/>
      <c r="Y292" s="2990"/>
      <c r="Z292" s="2990"/>
      <c r="AA292" s="2990"/>
      <c r="AB292" s="2840"/>
      <c r="AC292" s="2840"/>
      <c r="AD292" s="2990"/>
      <c r="AE292" s="2990"/>
      <c r="AF292" s="2990"/>
      <c r="AG292" s="2990"/>
      <c r="AH292" s="131"/>
      <c r="AI292" s="127"/>
    </row>
    <row r="293" spans="1:35" ht="24" customHeight="1" thickBot="1">
      <c r="A293" s="414"/>
      <c r="B293" s="415"/>
      <c r="C293" s="3239"/>
      <c r="D293" s="3240"/>
      <c r="E293" s="3240"/>
      <c r="F293" s="3240"/>
      <c r="G293" s="3240"/>
      <c r="H293" s="3240"/>
      <c r="I293" s="3240"/>
      <c r="J293" s="3240"/>
      <c r="K293" s="3240"/>
      <c r="L293" s="3240"/>
      <c r="M293" s="3240"/>
      <c r="N293" s="3241"/>
      <c r="O293" s="3241"/>
      <c r="P293" s="3240"/>
      <c r="Q293" s="3240"/>
      <c r="R293" s="3240"/>
      <c r="S293" s="3240"/>
      <c r="T293" s="3240"/>
      <c r="U293" s="3240"/>
      <c r="V293" s="3240"/>
      <c r="W293" s="3240"/>
      <c r="X293" s="3240"/>
      <c r="Y293" s="3240"/>
      <c r="Z293" s="3240"/>
      <c r="AA293" s="3240"/>
      <c r="AB293" s="3241"/>
      <c r="AC293" s="3241"/>
      <c r="AD293" s="3240"/>
      <c r="AE293" s="3240"/>
      <c r="AF293" s="3240"/>
      <c r="AG293" s="3240"/>
      <c r="AH293" s="131"/>
      <c r="AI293" s="127"/>
    </row>
    <row r="294" spans="1:35" ht="24" customHeight="1"/>
  </sheetData>
  <sheetProtection algorithmName="SHA-512" hashValue="eIEWWaxPiveMuA6rIkvwdzNTpPniHeMhH+a8zS+poCFOlLF7JrtG7/WK1j6VSxKbKOksnLQFjRqEVJiZhBr50A==" saltValue="eIH9XrF7oHJ+t56zGq/lwQ==" spinCount="100000" sheet="1" objects="1" scenarios="1"/>
  <protectedRanges>
    <protectedRange sqref="B219" name="Område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18:B119" name="Område1_3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21:B122" name="Område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</protectedRanges>
  <mergeCells count="1">
    <mergeCell ref="T31:Z31"/>
  </mergeCells>
  <pageMargins left="0.7" right="0.7" top="0.75" bottom="0.75" header="0.3" footer="0.3"/>
  <pageSetup paperSize="9" scale="60" orientation="landscape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C516E-4776-45DE-8670-45893595123C}">
  <sheetPr codeName="Ark8">
    <pageSetUpPr fitToPage="1"/>
  </sheetPr>
  <dimension ref="A1:AJ296"/>
  <sheetViews>
    <sheetView topLeftCell="A66" zoomScale="80" zoomScaleNormal="80" workbookViewId="0">
      <selection activeCell="AI284" sqref="AI284"/>
    </sheetView>
  </sheetViews>
  <sheetFormatPr defaultRowHeight="15"/>
  <cols>
    <col min="2" max="2" width="27.28515625" customWidth="1"/>
    <col min="3" max="35" width="5.28515625" customWidth="1"/>
  </cols>
  <sheetData>
    <row r="1" spans="1:35" ht="24" customHeight="1">
      <c r="A1" t="s">
        <v>0</v>
      </c>
      <c r="B1" s="1" t="s">
        <v>1</v>
      </c>
    </row>
    <row r="2" spans="1:35" ht="24" customHeight="1">
      <c r="B2" s="2876" t="s">
        <v>2</v>
      </c>
      <c r="C2" s="2877" t="s">
        <v>3</v>
      </c>
      <c r="D2" s="2878"/>
      <c r="E2" s="2879" t="s">
        <v>4</v>
      </c>
      <c r="F2" s="2880"/>
      <c r="G2" s="2881"/>
      <c r="H2" s="2881"/>
      <c r="I2" s="2881"/>
      <c r="J2" s="2881"/>
      <c r="K2" s="2882"/>
      <c r="L2" s="2883" t="s">
        <v>5</v>
      </c>
      <c r="M2" s="2884"/>
      <c r="N2" s="2885"/>
      <c r="O2" s="2886" t="s">
        <v>6</v>
      </c>
      <c r="P2" s="2887"/>
      <c r="Q2" s="2888"/>
      <c r="R2" s="2889"/>
      <c r="S2" s="2890" t="s">
        <v>7</v>
      </c>
      <c r="T2" s="2891"/>
      <c r="U2" s="2892"/>
      <c r="V2" s="2891"/>
      <c r="W2" s="2893" t="s">
        <v>8</v>
      </c>
      <c r="X2" s="2894"/>
      <c r="Y2" s="2895"/>
      <c r="Z2" s="2" t="s">
        <v>9</v>
      </c>
      <c r="AA2" s="2896"/>
      <c r="AB2" s="2897"/>
      <c r="AC2" s="2898"/>
      <c r="AD2" s="2899" t="s">
        <v>10</v>
      </c>
      <c r="AE2" s="2900"/>
      <c r="AF2" s="2900"/>
      <c r="AG2" s="2901"/>
    </row>
    <row r="3" spans="1:35" ht="24" customHeight="1">
      <c r="A3" s="1"/>
      <c r="B3" s="2902" t="s">
        <v>11</v>
      </c>
      <c r="C3" s="2903" t="s">
        <v>12</v>
      </c>
      <c r="D3" s="2904"/>
      <c r="E3" s="3"/>
      <c r="F3" s="4"/>
      <c r="G3" s="4"/>
      <c r="H3" s="5" t="s">
        <v>13</v>
      </c>
      <c r="I3" s="6"/>
      <c r="J3" s="6"/>
      <c r="K3" s="7"/>
      <c r="L3" s="2905" t="s">
        <v>14</v>
      </c>
      <c r="M3" s="2906"/>
      <c r="N3" s="2907"/>
      <c r="O3" s="6"/>
      <c r="P3" s="6"/>
      <c r="Q3" s="6"/>
      <c r="R3" s="6"/>
      <c r="S3" s="8"/>
      <c r="T3" s="9" t="s">
        <v>15</v>
      </c>
      <c r="U3" s="10"/>
      <c r="V3" s="11"/>
      <c r="W3" s="12"/>
      <c r="X3" s="13"/>
      <c r="Y3" s="5" t="s">
        <v>16</v>
      </c>
      <c r="Z3" s="2906"/>
      <c r="AA3" s="2906"/>
      <c r="AB3" s="2908"/>
      <c r="AC3" s="2909"/>
      <c r="AD3" s="2910" t="s">
        <v>17</v>
      </c>
      <c r="AE3" s="2911"/>
      <c r="AF3" s="2911"/>
      <c r="AG3" s="2912"/>
    </row>
    <row r="4" spans="1:35" ht="24" customHeight="1">
      <c r="A4" s="14" t="s">
        <v>18</v>
      </c>
      <c r="B4" s="15"/>
      <c r="C4" s="16"/>
      <c r="D4" s="17"/>
      <c r="E4" s="17"/>
      <c r="F4" s="17"/>
      <c r="G4" s="17"/>
      <c r="H4" s="16"/>
      <c r="I4" s="17"/>
      <c r="J4" s="17"/>
      <c r="K4" s="18"/>
      <c r="L4" s="17"/>
      <c r="M4" s="18"/>
      <c r="N4" s="18"/>
      <c r="O4" s="17"/>
      <c r="P4" s="17"/>
      <c r="Q4" s="17"/>
      <c r="R4" s="17"/>
      <c r="T4" s="18"/>
      <c r="U4" s="16"/>
      <c r="W4" s="17"/>
      <c r="X4" s="17"/>
      <c r="Y4" s="16"/>
      <c r="Z4" s="17"/>
      <c r="AB4" s="17"/>
      <c r="AC4" s="17"/>
      <c r="AD4" s="17"/>
      <c r="AE4" s="17"/>
      <c r="AF4" s="17"/>
      <c r="AG4" s="17"/>
    </row>
    <row r="5" spans="1:35" ht="24" customHeight="1">
      <c r="A5" s="14" t="s">
        <v>19</v>
      </c>
      <c r="B5" s="1"/>
    </row>
    <row r="6" spans="1:35" ht="24" customHeight="1">
      <c r="A6" s="2913" t="s">
        <v>20</v>
      </c>
      <c r="B6" s="2906"/>
      <c r="C6" s="2914"/>
      <c r="D6" s="2913" t="s">
        <v>21</v>
      </c>
      <c r="E6" s="2906"/>
      <c r="F6" s="2906"/>
      <c r="G6" s="2906"/>
      <c r="H6" s="2915"/>
      <c r="I6" s="2906"/>
      <c r="J6" s="2906"/>
      <c r="K6" s="2906"/>
      <c r="L6" s="2916" t="s">
        <v>22</v>
      </c>
      <c r="M6" s="2906"/>
      <c r="N6" s="2906"/>
      <c r="O6" s="2906"/>
      <c r="P6" s="2906"/>
      <c r="Q6" s="2906"/>
      <c r="R6" s="2906"/>
      <c r="S6" s="2914"/>
      <c r="T6" s="3246"/>
      <c r="U6" s="2906"/>
      <c r="V6" s="2906"/>
      <c r="W6" s="2906"/>
      <c r="X6" s="2906"/>
      <c r="Y6" s="2906"/>
      <c r="Z6" s="2906"/>
      <c r="AA6" s="2914"/>
      <c r="AB6" s="2918"/>
      <c r="AC6" s="2919"/>
      <c r="AD6" s="2919"/>
      <c r="AE6" s="2919"/>
      <c r="AF6" s="2919"/>
      <c r="AG6" s="2920"/>
    </row>
    <row r="7" spans="1:35" ht="24" customHeight="1">
      <c r="A7" s="2913" t="s">
        <v>23</v>
      </c>
      <c r="B7" s="2906"/>
      <c r="C7" s="2906"/>
      <c r="D7" s="2906"/>
      <c r="E7" s="2906"/>
      <c r="F7" s="2906"/>
      <c r="G7" s="2906"/>
      <c r="H7" s="2906"/>
      <c r="I7" s="2906"/>
      <c r="J7" s="2906"/>
      <c r="K7" s="2914"/>
      <c r="L7" s="19" t="s">
        <v>24</v>
      </c>
      <c r="M7" s="8"/>
      <c r="N7" s="8"/>
      <c r="O7" s="8"/>
      <c r="P7" s="8"/>
      <c r="Q7" s="8"/>
      <c r="R7" s="8"/>
      <c r="S7" s="8"/>
      <c r="T7" s="8"/>
      <c r="U7" s="2906"/>
      <c r="V7" s="2906"/>
      <c r="W7" s="2906"/>
      <c r="X7" s="2906"/>
      <c r="Y7" s="2906"/>
      <c r="Z7" s="2906"/>
      <c r="AA7" s="2906"/>
      <c r="AB7" s="2921"/>
      <c r="AC7" s="2906"/>
      <c r="AD7" s="2906"/>
      <c r="AE7" s="2906"/>
      <c r="AF7" s="2906"/>
      <c r="AG7" s="2914"/>
    </row>
    <row r="8" spans="1:35" ht="24" customHeight="1">
      <c r="A8" s="14" t="s">
        <v>25</v>
      </c>
      <c r="L8" s="20"/>
      <c r="AB8" s="1"/>
    </row>
    <row r="9" spans="1:35" ht="24" customHeight="1">
      <c r="A9" s="14" t="s">
        <v>26</v>
      </c>
      <c r="L9" s="20"/>
      <c r="AB9" s="1"/>
    </row>
    <row r="10" spans="1:35" ht="24" customHeight="1">
      <c r="B10" s="21" t="s">
        <v>27</v>
      </c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</row>
    <row r="11" spans="1:35" ht="24" customHeight="1" thickBot="1">
      <c r="A11" s="3247" t="s">
        <v>28</v>
      </c>
      <c r="B11" s="3248" t="s">
        <v>29</v>
      </c>
      <c r="C11" s="3249">
        <v>1</v>
      </c>
      <c r="D11" s="3250">
        <v>2</v>
      </c>
      <c r="E11" s="3250">
        <v>3</v>
      </c>
      <c r="F11" s="3250">
        <v>4</v>
      </c>
      <c r="G11" s="3250">
        <v>5</v>
      </c>
      <c r="H11" s="3250">
        <v>6</v>
      </c>
      <c r="I11" s="3249">
        <v>7</v>
      </c>
      <c r="J11" s="3249">
        <v>8</v>
      </c>
      <c r="K11" s="3250">
        <v>9</v>
      </c>
      <c r="L11" s="3250">
        <v>10</v>
      </c>
      <c r="M11" s="3250">
        <v>11</v>
      </c>
      <c r="N11" s="3250">
        <v>12</v>
      </c>
      <c r="O11" s="3250">
        <v>13</v>
      </c>
      <c r="P11" s="3249">
        <v>14</v>
      </c>
      <c r="Q11" s="3249">
        <v>15</v>
      </c>
      <c r="R11" s="3250">
        <v>16</v>
      </c>
      <c r="S11" s="3250">
        <v>17</v>
      </c>
      <c r="T11" s="3250">
        <v>18</v>
      </c>
      <c r="U11" s="3250">
        <v>19</v>
      </c>
      <c r="V11" s="3250">
        <v>20</v>
      </c>
      <c r="W11" s="3249">
        <v>21</v>
      </c>
      <c r="X11" s="3249">
        <v>22</v>
      </c>
      <c r="Y11" s="3250">
        <v>23</v>
      </c>
      <c r="Z11" s="3249">
        <v>24</v>
      </c>
      <c r="AA11" s="3249">
        <v>25</v>
      </c>
      <c r="AB11" s="3249">
        <v>26</v>
      </c>
      <c r="AC11" s="3250">
        <v>27</v>
      </c>
      <c r="AD11" s="3249">
        <v>28</v>
      </c>
      <c r="AE11" s="3249">
        <v>29</v>
      </c>
      <c r="AF11" s="3250">
        <v>30</v>
      </c>
      <c r="AG11" s="3251">
        <v>31</v>
      </c>
      <c r="AH11" s="23"/>
      <c r="AI11" s="24"/>
    </row>
    <row r="12" spans="1:35" ht="24" customHeight="1">
      <c r="A12" s="2927">
        <v>8500</v>
      </c>
      <c r="B12" s="1815" t="s">
        <v>30</v>
      </c>
      <c r="C12" s="1816"/>
      <c r="D12" s="1816" t="s">
        <v>31</v>
      </c>
      <c r="E12" s="1816" t="s">
        <v>31</v>
      </c>
      <c r="F12" s="1816" t="s">
        <v>31</v>
      </c>
      <c r="G12" s="1816" t="s">
        <v>31</v>
      </c>
      <c r="H12" s="1816" t="s">
        <v>31</v>
      </c>
      <c r="I12" s="1816"/>
      <c r="J12" s="1816"/>
      <c r="K12" s="1816" t="s">
        <v>31</v>
      </c>
      <c r="L12" s="1816" t="s">
        <v>31</v>
      </c>
      <c r="M12" s="1817" t="s">
        <v>31</v>
      </c>
      <c r="N12" s="1816" t="s">
        <v>31</v>
      </c>
      <c r="O12" s="1816" t="s">
        <v>31</v>
      </c>
      <c r="P12" s="1816"/>
      <c r="Q12" s="1816"/>
      <c r="R12" s="1816" t="s">
        <v>31</v>
      </c>
      <c r="S12" s="1816">
        <v>1</v>
      </c>
      <c r="T12" s="1818" t="s">
        <v>31</v>
      </c>
      <c r="U12" s="1818" t="s">
        <v>31</v>
      </c>
      <c r="V12" s="1818" t="s">
        <v>31</v>
      </c>
      <c r="W12" s="1816"/>
      <c r="X12" s="1816"/>
      <c r="Y12" s="1818" t="s">
        <v>31</v>
      </c>
      <c r="Z12" s="1816"/>
      <c r="AA12" s="1816"/>
      <c r="AB12" s="1816"/>
      <c r="AC12" s="1818" t="s">
        <v>31</v>
      </c>
      <c r="AD12" s="1816"/>
      <c r="AE12" s="1816"/>
      <c r="AF12" s="1818" t="s">
        <v>31</v>
      </c>
      <c r="AG12" s="1819"/>
      <c r="AH12" s="25"/>
      <c r="AI12" s="25"/>
    </row>
    <row r="13" spans="1:35" ht="24" customHeight="1" thickBot="1">
      <c r="A13" s="2928" t="s">
        <v>32</v>
      </c>
      <c r="B13" s="2929"/>
      <c r="C13" s="2929"/>
      <c r="D13" s="2929"/>
      <c r="E13" s="2929"/>
      <c r="F13" s="2929"/>
      <c r="G13" s="2929"/>
      <c r="H13" s="2929"/>
      <c r="I13" s="2929"/>
      <c r="J13" s="2929"/>
      <c r="K13" s="2929"/>
      <c r="L13" s="2929"/>
      <c r="M13" s="2929"/>
      <c r="N13" s="2929"/>
      <c r="O13" s="2929"/>
      <c r="P13" s="2929"/>
      <c r="Q13" s="2929"/>
      <c r="R13" s="2929"/>
      <c r="S13" s="2929"/>
      <c r="T13" s="2929"/>
      <c r="U13" s="2929"/>
      <c r="V13" s="2929"/>
      <c r="W13" s="2929"/>
      <c r="X13" s="2929"/>
      <c r="Y13" s="2929"/>
      <c r="Z13" s="2929"/>
      <c r="AA13" s="2929"/>
      <c r="AB13" s="2929"/>
      <c r="AC13" s="2929"/>
      <c r="AD13" s="2929"/>
      <c r="AE13" s="2929"/>
      <c r="AF13" s="2929"/>
      <c r="AG13" s="2930"/>
      <c r="AH13" s="26"/>
      <c r="AI13" s="26"/>
    </row>
    <row r="14" spans="1:35" ht="24" customHeight="1">
      <c r="A14" s="27">
        <v>8546</v>
      </c>
      <c r="B14" s="2931" t="s">
        <v>33</v>
      </c>
      <c r="C14" s="2935"/>
      <c r="D14" s="2845">
        <v>4</v>
      </c>
      <c r="E14" s="2934">
        <v>4</v>
      </c>
      <c r="F14" s="2938">
        <v>4</v>
      </c>
      <c r="G14" s="2934">
        <v>4</v>
      </c>
      <c r="H14" s="2934">
        <v>4</v>
      </c>
      <c r="I14" s="2934" t="s">
        <v>36</v>
      </c>
      <c r="J14" s="2934" t="s">
        <v>36</v>
      </c>
      <c r="K14" s="2935" t="s">
        <v>35</v>
      </c>
      <c r="L14" s="2934" t="s">
        <v>35</v>
      </c>
      <c r="M14" s="2934" t="s">
        <v>35</v>
      </c>
      <c r="N14" s="2934" t="s">
        <v>35</v>
      </c>
      <c r="O14" s="2934" t="s">
        <v>35</v>
      </c>
      <c r="P14" s="2934"/>
      <c r="Q14" s="2934"/>
      <c r="R14" s="1817" t="s">
        <v>31</v>
      </c>
      <c r="S14" s="1817" t="s">
        <v>31</v>
      </c>
      <c r="T14" s="1817" t="s">
        <v>31</v>
      </c>
      <c r="U14" s="1817" t="s">
        <v>31</v>
      </c>
      <c r="V14" s="2937">
        <v>1</v>
      </c>
      <c r="W14" s="2934"/>
      <c r="X14" s="2934"/>
      <c r="Y14" s="2934">
        <v>2</v>
      </c>
      <c r="Z14" s="2934">
        <v>2</v>
      </c>
      <c r="AA14" s="2934">
        <v>2</v>
      </c>
      <c r="AB14" s="2934">
        <v>2</v>
      </c>
      <c r="AC14" s="2934">
        <v>2</v>
      </c>
      <c r="AD14" s="2845" t="s">
        <v>34</v>
      </c>
      <c r="AE14" s="2934" t="s">
        <v>34</v>
      </c>
      <c r="AF14" s="2934" t="s">
        <v>35</v>
      </c>
      <c r="AG14" s="2939" t="s">
        <v>35</v>
      </c>
      <c r="AH14" s="25"/>
      <c r="AI14" s="25"/>
    </row>
    <row r="15" spans="1:35" ht="24" customHeight="1">
      <c r="A15" s="2940">
        <v>8546</v>
      </c>
      <c r="B15" s="2941" t="s">
        <v>37</v>
      </c>
      <c r="C15" s="2935" t="s">
        <v>34</v>
      </c>
      <c r="D15" s="2934" t="s">
        <v>35</v>
      </c>
      <c r="E15" s="2934" t="s">
        <v>35</v>
      </c>
      <c r="F15" s="2845" t="s">
        <v>35</v>
      </c>
      <c r="G15" s="2845" t="s">
        <v>35</v>
      </c>
      <c r="H15" s="2845" t="s">
        <v>35</v>
      </c>
      <c r="I15" s="2934"/>
      <c r="J15" s="2935"/>
      <c r="K15" s="2845">
        <v>4</v>
      </c>
      <c r="L15" s="2934">
        <v>4</v>
      </c>
      <c r="M15" s="2934">
        <v>4</v>
      </c>
      <c r="N15" s="2934">
        <v>4</v>
      </c>
      <c r="O15" s="2934">
        <v>4</v>
      </c>
      <c r="P15" s="2934" t="s">
        <v>36</v>
      </c>
      <c r="Q15" s="2934" t="s">
        <v>36</v>
      </c>
      <c r="R15" s="2934" t="s">
        <v>35</v>
      </c>
      <c r="S15" s="2934" t="s">
        <v>35</v>
      </c>
      <c r="T15" s="2934" t="s">
        <v>35</v>
      </c>
      <c r="U15" s="2934" t="s">
        <v>35</v>
      </c>
      <c r="V15" s="2934" t="s">
        <v>35</v>
      </c>
      <c r="W15" s="2934"/>
      <c r="X15" s="2934"/>
      <c r="Y15" s="2934">
        <v>1</v>
      </c>
      <c r="Z15" s="2934">
        <v>1</v>
      </c>
      <c r="AA15" s="2934">
        <v>1</v>
      </c>
      <c r="AB15" s="2934">
        <v>1</v>
      </c>
      <c r="AC15" s="2934">
        <v>1</v>
      </c>
      <c r="AD15" s="2934"/>
      <c r="AE15" s="2934"/>
      <c r="AF15" s="2934">
        <v>2</v>
      </c>
      <c r="AG15" s="2939">
        <v>2</v>
      </c>
      <c r="AH15" s="25"/>
      <c r="AI15" s="25"/>
    </row>
    <row r="16" spans="1:35" ht="24" customHeight="1">
      <c r="A16" s="2940">
        <v>8546</v>
      </c>
      <c r="B16" s="2931" t="s">
        <v>38</v>
      </c>
      <c r="C16" s="2934"/>
      <c r="D16" s="2937">
        <v>1</v>
      </c>
      <c r="E16" s="2937">
        <v>1</v>
      </c>
      <c r="F16" s="2937">
        <v>1</v>
      </c>
      <c r="G16" s="2937">
        <v>1</v>
      </c>
      <c r="H16" s="2937">
        <v>1</v>
      </c>
      <c r="I16" s="2934"/>
      <c r="J16" s="2934"/>
      <c r="K16" s="2934">
        <v>2</v>
      </c>
      <c r="L16" s="2934">
        <v>2</v>
      </c>
      <c r="M16" s="2937">
        <v>2</v>
      </c>
      <c r="N16" s="2845">
        <v>2</v>
      </c>
      <c r="O16" s="2845">
        <v>2</v>
      </c>
      <c r="P16" s="2845" t="s">
        <v>34</v>
      </c>
      <c r="Q16" s="2845" t="s">
        <v>34</v>
      </c>
      <c r="R16" s="2845" t="s">
        <v>35</v>
      </c>
      <c r="S16" s="2934" t="s">
        <v>35</v>
      </c>
      <c r="T16" s="2934" t="s">
        <v>35</v>
      </c>
      <c r="U16" s="2934" t="s">
        <v>35</v>
      </c>
      <c r="V16" s="2934" t="s">
        <v>35</v>
      </c>
      <c r="W16" s="2935"/>
      <c r="X16" s="2934"/>
      <c r="Y16" s="2845">
        <v>4</v>
      </c>
      <c r="Z16" s="2845">
        <v>4</v>
      </c>
      <c r="AA16" s="2845">
        <v>4</v>
      </c>
      <c r="AB16" s="2845">
        <v>4</v>
      </c>
      <c r="AC16" s="2845">
        <v>4</v>
      </c>
      <c r="AD16" s="2934" t="s">
        <v>36</v>
      </c>
      <c r="AE16" s="2934" t="s">
        <v>36</v>
      </c>
      <c r="AF16" s="2934" t="s">
        <v>35</v>
      </c>
      <c r="AG16" s="2939" t="s">
        <v>35</v>
      </c>
      <c r="AH16" s="25"/>
      <c r="AI16" s="25"/>
    </row>
    <row r="17" spans="1:36" ht="24" customHeight="1">
      <c r="A17" s="2940">
        <v>8546</v>
      </c>
      <c r="B17" s="2941" t="s">
        <v>39</v>
      </c>
      <c r="C17" s="3252" t="s">
        <v>36</v>
      </c>
      <c r="D17" s="2935" t="s">
        <v>35</v>
      </c>
      <c r="E17" s="2934" t="s">
        <v>35</v>
      </c>
      <c r="F17" s="2845" t="s">
        <v>35</v>
      </c>
      <c r="G17" s="2934" t="s">
        <v>35</v>
      </c>
      <c r="H17" s="2934" t="s">
        <v>35</v>
      </c>
      <c r="I17" s="2934"/>
      <c r="J17" s="2934"/>
      <c r="K17" s="2934">
        <v>1</v>
      </c>
      <c r="L17" s="2934">
        <v>1</v>
      </c>
      <c r="M17" s="2934">
        <v>1</v>
      </c>
      <c r="N17" s="2934">
        <v>1</v>
      </c>
      <c r="O17" s="2934">
        <v>1</v>
      </c>
      <c r="P17" s="2934"/>
      <c r="Q17" s="2934"/>
      <c r="R17" s="2934">
        <v>2</v>
      </c>
      <c r="S17" s="2934">
        <v>2</v>
      </c>
      <c r="T17" s="2934">
        <v>2</v>
      </c>
      <c r="U17" s="2934">
        <v>2</v>
      </c>
      <c r="V17" s="2934">
        <v>2</v>
      </c>
      <c r="W17" s="2934" t="s">
        <v>34</v>
      </c>
      <c r="X17" s="2935" t="s">
        <v>34</v>
      </c>
      <c r="Y17" s="2934" t="s">
        <v>35</v>
      </c>
      <c r="Z17" s="2934" t="s">
        <v>35</v>
      </c>
      <c r="AA17" s="2934" t="s">
        <v>35</v>
      </c>
      <c r="AB17" s="2934" t="s">
        <v>35</v>
      </c>
      <c r="AC17" s="2934" t="s">
        <v>35</v>
      </c>
      <c r="AD17" s="2934"/>
      <c r="AE17" s="2934"/>
      <c r="AF17" s="2934">
        <v>4</v>
      </c>
      <c r="AG17" s="2939">
        <v>4</v>
      </c>
      <c r="AH17" s="25"/>
      <c r="AI17" s="25"/>
    </row>
    <row r="18" spans="1:36" ht="24" customHeight="1">
      <c r="A18" s="2940">
        <v>8546</v>
      </c>
      <c r="B18" s="2931" t="s">
        <v>40</v>
      </c>
      <c r="C18" s="2934"/>
      <c r="D18" s="2935">
        <v>2</v>
      </c>
      <c r="E18" s="2934">
        <v>2</v>
      </c>
      <c r="F18" s="2934">
        <v>2</v>
      </c>
      <c r="G18" s="2934">
        <v>2</v>
      </c>
      <c r="H18" s="2934">
        <v>2</v>
      </c>
      <c r="I18" s="2934" t="s">
        <v>34</v>
      </c>
      <c r="J18" s="2845" t="s">
        <v>34</v>
      </c>
      <c r="K18" s="2845" t="s">
        <v>35</v>
      </c>
      <c r="L18" s="2934" t="s">
        <v>35</v>
      </c>
      <c r="M18" s="2845" t="s">
        <v>35</v>
      </c>
      <c r="N18" s="2845" t="s">
        <v>35</v>
      </c>
      <c r="O18" s="2934" t="s">
        <v>35</v>
      </c>
      <c r="P18" s="2934"/>
      <c r="Q18" s="2934"/>
      <c r="R18" s="2934">
        <v>4</v>
      </c>
      <c r="S18" s="2934">
        <v>4</v>
      </c>
      <c r="T18" s="2934">
        <v>4</v>
      </c>
      <c r="U18" s="2845">
        <v>4</v>
      </c>
      <c r="V18" s="2845">
        <v>4</v>
      </c>
      <c r="W18" s="2934" t="s">
        <v>36</v>
      </c>
      <c r="X18" s="2934" t="s">
        <v>36</v>
      </c>
      <c r="Y18" s="2934" t="s">
        <v>35</v>
      </c>
      <c r="Z18" s="2934" t="s">
        <v>35</v>
      </c>
      <c r="AA18" s="2934" t="s">
        <v>35</v>
      </c>
      <c r="AB18" s="2934" t="s">
        <v>35</v>
      </c>
      <c r="AC18" s="2947" t="s">
        <v>35</v>
      </c>
      <c r="AD18" s="2934"/>
      <c r="AE18" s="2934"/>
      <c r="AF18" s="2934">
        <v>1</v>
      </c>
      <c r="AG18" s="2939">
        <v>1</v>
      </c>
      <c r="AH18" s="25"/>
      <c r="AI18" s="25"/>
      <c r="AJ18" t="s">
        <v>0</v>
      </c>
    </row>
    <row r="19" spans="1:36" ht="24" customHeight="1" thickBot="1">
      <c r="A19" s="2948" t="s">
        <v>41</v>
      </c>
      <c r="B19" s="2949"/>
      <c r="C19" s="2950"/>
      <c r="D19" s="2950"/>
      <c r="E19" s="2950"/>
      <c r="F19" s="2950"/>
      <c r="G19" s="2950"/>
      <c r="H19" s="2950"/>
      <c r="I19" s="2950"/>
      <c r="J19" s="2950"/>
      <c r="K19" s="2950"/>
      <c r="L19" s="2950"/>
      <c r="M19" s="2950"/>
      <c r="N19" s="2950"/>
      <c r="O19" s="2950"/>
      <c r="P19" s="2950"/>
      <c r="Q19" s="2950"/>
      <c r="R19" s="2950"/>
      <c r="S19" s="2950"/>
      <c r="T19" s="2950"/>
      <c r="U19" s="2950"/>
      <c r="V19" s="2950"/>
      <c r="W19" s="2950"/>
      <c r="X19" s="2950"/>
      <c r="Y19" s="2950"/>
      <c r="Z19" s="2950"/>
      <c r="AA19" s="2950"/>
      <c r="AB19" s="2950"/>
      <c r="AC19" s="2950"/>
      <c r="AD19" s="2950"/>
      <c r="AE19" s="2950"/>
      <c r="AF19" s="2950"/>
      <c r="AG19" s="2951"/>
      <c r="AH19" s="26"/>
      <c r="AI19" s="26"/>
    </row>
    <row r="20" spans="1:36" ht="24" customHeight="1" thickBot="1">
      <c r="A20" s="1837">
        <v>8500</v>
      </c>
      <c r="B20" s="1838"/>
      <c r="C20" s="1839"/>
      <c r="D20" s="1839" t="s">
        <v>31</v>
      </c>
      <c r="E20" s="1839" t="s">
        <v>31</v>
      </c>
      <c r="F20" s="1839" t="s">
        <v>31</v>
      </c>
      <c r="G20" s="1839" t="s">
        <v>31</v>
      </c>
      <c r="H20" s="1839" t="s">
        <v>31</v>
      </c>
      <c r="I20" s="1840"/>
      <c r="J20" s="1839"/>
      <c r="K20" s="1839" t="s">
        <v>31</v>
      </c>
      <c r="L20" s="1839" t="s">
        <v>31</v>
      </c>
      <c r="M20" s="1839" t="s">
        <v>31</v>
      </c>
      <c r="N20" s="1839" t="s">
        <v>31</v>
      </c>
      <c r="O20" s="1839" t="s">
        <v>31</v>
      </c>
      <c r="P20" s="1839"/>
      <c r="Q20" s="1839"/>
      <c r="R20" s="1839" t="s">
        <v>31</v>
      </c>
      <c r="S20" s="1839" t="s">
        <v>31</v>
      </c>
      <c r="T20" s="1839" t="s">
        <v>31</v>
      </c>
      <c r="U20" s="1840" t="s">
        <v>31</v>
      </c>
      <c r="V20" s="1840" t="s">
        <v>31</v>
      </c>
      <c r="W20" s="1839"/>
      <c r="X20" s="1839"/>
      <c r="Y20" s="1839" t="s">
        <v>31</v>
      </c>
      <c r="Z20" s="1841"/>
      <c r="AA20" s="1841"/>
      <c r="AB20" s="1840"/>
      <c r="AC20" s="1840" t="s">
        <v>31</v>
      </c>
      <c r="AD20" s="1840"/>
      <c r="AE20" s="1840"/>
      <c r="AF20" s="1840" t="s">
        <v>31</v>
      </c>
      <c r="AG20" s="1843"/>
      <c r="AH20" s="25"/>
      <c r="AI20" s="25"/>
    </row>
    <row r="21" spans="1:36" ht="24" customHeight="1" thickBot="1">
      <c r="A21" s="3253">
        <v>8500</v>
      </c>
      <c r="B21" s="3254" t="s">
        <v>42</v>
      </c>
      <c r="C21" s="3255"/>
      <c r="D21" s="418">
        <v>1</v>
      </c>
      <c r="E21" s="3255">
        <v>1</v>
      </c>
      <c r="F21" s="3255">
        <v>1</v>
      </c>
      <c r="G21" s="3255">
        <v>1</v>
      </c>
      <c r="H21" s="3256" t="s">
        <v>31</v>
      </c>
      <c r="I21" s="3256"/>
      <c r="J21" s="3255"/>
      <c r="K21" s="3255" t="s">
        <v>31</v>
      </c>
      <c r="L21" s="3257" t="s">
        <v>237</v>
      </c>
      <c r="M21" s="3255">
        <v>2</v>
      </c>
      <c r="N21" s="3256" t="s">
        <v>31</v>
      </c>
      <c r="O21" s="3255" t="s">
        <v>31</v>
      </c>
      <c r="P21" s="3255"/>
      <c r="Q21" s="3255"/>
      <c r="R21" s="3255">
        <v>1</v>
      </c>
      <c r="S21" s="3258">
        <v>1</v>
      </c>
      <c r="T21" s="3255" t="s">
        <v>31</v>
      </c>
      <c r="U21" s="3259" t="s">
        <v>398</v>
      </c>
      <c r="V21" s="3244" t="s">
        <v>31</v>
      </c>
      <c r="W21" s="3255"/>
      <c r="X21" s="3255"/>
      <c r="Y21" s="3255" t="s">
        <v>31</v>
      </c>
      <c r="Z21" s="3255"/>
      <c r="AA21" s="3255"/>
      <c r="AB21" s="3255"/>
      <c r="AC21" s="3258" t="s">
        <v>31</v>
      </c>
      <c r="AD21" s="3255"/>
      <c r="AE21" s="3256"/>
      <c r="AF21" s="2952" t="s">
        <v>31</v>
      </c>
      <c r="AG21" s="3260"/>
      <c r="AH21" s="25"/>
      <c r="AI21" s="25"/>
    </row>
    <row r="22" spans="1:36" ht="24" customHeight="1" thickBot="1">
      <c r="A22" s="3253">
        <v>8500</v>
      </c>
      <c r="B22" s="3261" t="s">
        <v>43</v>
      </c>
      <c r="C22" s="3255" t="s">
        <v>45</v>
      </c>
      <c r="D22" s="3255">
        <v>8</v>
      </c>
      <c r="E22" s="1839">
        <v>99</v>
      </c>
      <c r="F22" s="1839">
        <v>99</v>
      </c>
      <c r="G22" s="1839">
        <v>4</v>
      </c>
      <c r="H22" s="1839">
        <v>1</v>
      </c>
      <c r="I22" s="3255"/>
      <c r="J22" s="3255"/>
      <c r="K22" s="3255" t="s">
        <v>112</v>
      </c>
      <c r="L22" s="3255" t="s">
        <v>121</v>
      </c>
      <c r="M22" s="3255" t="s">
        <v>121</v>
      </c>
      <c r="N22" s="3244" t="s">
        <v>121</v>
      </c>
      <c r="O22" s="3244" t="s">
        <v>121</v>
      </c>
      <c r="P22" s="3244"/>
      <c r="Q22" s="3244"/>
      <c r="R22" s="3244" t="s">
        <v>31</v>
      </c>
      <c r="S22" s="3244" t="s">
        <v>31</v>
      </c>
      <c r="T22" s="3244" t="s">
        <v>31</v>
      </c>
      <c r="U22" s="3244" t="s">
        <v>31</v>
      </c>
      <c r="V22" s="3262" t="s">
        <v>31</v>
      </c>
      <c r="W22" s="3244"/>
      <c r="X22" s="3244"/>
      <c r="Y22" s="3244" t="s">
        <v>123</v>
      </c>
      <c r="Z22" s="3255"/>
      <c r="AA22" s="3255"/>
      <c r="AB22" s="3255"/>
      <c r="AC22" s="3255" t="s">
        <v>31</v>
      </c>
      <c r="AD22" s="3256"/>
      <c r="AE22" s="3255"/>
      <c r="AF22" s="3256" t="s">
        <v>31</v>
      </c>
      <c r="AG22" s="3260"/>
      <c r="AH22" s="25"/>
      <c r="AI22" s="25"/>
    </row>
    <row r="23" spans="1:36" ht="24" customHeight="1">
      <c r="A23" s="3253"/>
      <c r="B23" s="2549" t="s">
        <v>46</v>
      </c>
      <c r="C23" s="3256" t="s">
        <v>36</v>
      </c>
      <c r="D23" s="3257" t="s">
        <v>35</v>
      </c>
      <c r="E23" s="3255" t="s">
        <v>35</v>
      </c>
      <c r="F23" s="3255" t="s">
        <v>35</v>
      </c>
      <c r="G23" s="3255" t="s">
        <v>31</v>
      </c>
      <c r="H23" s="3255" t="s">
        <v>35</v>
      </c>
      <c r="I23" s="3256"/>
      <c r="J23" s="3256"/>
      <c r="K23" s="3263" t="s">
        <v>31</v>
      </c>
      <c r="L23" s="3263" t="s">
        <v>31</v>
      </c>
      <c r="M23" s="3263" t="s">
        <v>31</v>
      </c>
      <c r="N23" s="3263" t="s">
        <v>31</v>
      </c>
      <c r="O23" s="3263" t="s">
        <v>31</v>
      </c>
      <c r="P23" s="3263"/>
      <c r="Q23" s="3263"/>
      <c r="R23" s="3244" t="s">
        <v>121</v>
      </c>
      <c r="S23" s="3244" t="s">
        <v>121</v>
      </c>
      <c r="T23" s="3244" t="s">
        <v>121</v>
      </c>
      <c r="U23" s="3244" t="s">
        <v>121</v>
      </c>
      <c r="V23" s="3244" t="s">
        <v>31</v>
      </c>
      <c r="W23" s="3256"/>
      <c r="X23" s="3256"/>
      <c r="Y23" s="3264" t="s">
        <v>31</v>
      </c>
      <c r="Z23" s="3256"/>
      <c r="AA23" s="3256"/>
      <c r="AB23" s="3256"/>
      <c r="AC23" s="3262" t="s">
        <v>31</v>
      </c>
      <c r="AD23" s="3244"/>
      <c r="AE23" s="3244"/>
      <c r="AF23" s="3262" t="s">
        <v>31</v>
      </c>
      <c r="AG23" s="3260"/>
    </row>
    <row r="24" spans="1:36" ht="24" customHeight="1" thickBot="1">
      <c r="A24" s="416"/>
      <c r="B24" s="417"/>
      <c r="C24" s="418"/>
      <c r="D24" s="418"/>
      <c r="E24" s="418"/>
      <c r="F24" s="418"/>
      <c r="G24" s="418" t="s">
        <v>0</v>
      </c>
      <c r="H24" s="418"/>
      <c r="I24" s="418"/>
      <c r="J24" s="418"/>
      <c r="K24" s="418"/>
      <c r="L24" s="418" t="s">
        <v>0</v>
      </c>
      <c r="M24" s="418"/>
      <c r="N24" s="418" t="s">
        <v>0</v>
      </c>
      <c r="O24" s="418" t="s">
        <v>0</v>
      </c>
      <c r="P24" s="418"/>
      <c r="Q24" s="418"/>
      <c r="R24" s="418"/>
      <c r="S24" s="418"/>
      <c r="T24" s="418"/>
      <c r="U24" s="418" t="s">
        <v>0</v>
      </c>
      <c r="V24" s="418"/>
      <c r="W24" s="418"/>
      <c r="X24" s="418"/>
      <c r="Y24" s="418"/>
      <c r="Z24" s="418"/>
      <c r="AA24" s="418"/>
      <c r="AB24" s="418"/>
      <c r="AC24" s="418"/>
      <c r="AD24" s="418"/>
      <c r="AE24" s="418"/>
      <c r="AF24" s="418"/>
      <c r="AG24" s="28"/>
    </row>
    <row r="25" spans="1:36" ht="24" customHeight="1">
      <c r="A25" s="29"/>
      <c r="D25">
        <v>23</v>
      </c>
      <c r="E25">
        <v>23</v>
      </c>
      <c r="F25" t="s">
        <v>0</v>
      </c>
      <c r="G25">
        <v>99</v>
      </c>
      <c r="H25" t="s">
        <v>0</v>
      </c>
      <c r="I25" t="s">
        <v>0</v>
      </c>
      <c r="J25">
        <v>23</v>
      </c>
      <c r="K25" t="s">
        <v>0</v>
      </c>
      <c r="O25" s="3265">
        <v>22</v>
      </c>
      <c r="P25">
        <v>22</v>
      </c>
      <c r="Q25">
        <v>22</v>
      </c>
      <c r="R25" t="s">
        <v>0</v>
      </c>
      <c r="U25" t="s">
        <v>0</v>
      </c>
      <c r="V25" s="3265" t="s">
        <v>0</v>
      </c>
      <c r="X25" t="s">
        <v>0</v>
      </c>
      <c r="Y25" s="3256" t="s">
        <v>0</v>
      </c>
      <c r="AC25" s="3265" t="s">
        <v>47</v>
      </c>
      <c r="AD25" t="s">
        <v>0</v>
      </c>
      <c r="AF25" s="3256" t="s">
        <v>0</v>
      </c>
    </row>
    <row r="26" spans="1:36" ht="24" customHeight="1" thickBot="1">
      <c r="A26" s="29"/>
      <c r="D26" s="30" t="s">
        <v>0</v>
      </c>
      <c r="G26" s="30" t="s">
        <v>0</v>
      </c>
      <c r="H26" t="s">
        <v>0</v>
      </c>
      <c r="I26" t="s">
        <v>0</v>
      </c>
      <c r="J26" t="s">
        <v>0</v>
      </c>
      <c r="Y26" s="3265" t="s">
        <v>47</v>
      </c>
      <c r="AC26" s="3256" t="s">
        <v>0</v>
      </c>
      <c r="AF26" s="30" t="s">
        <v>0</v>
      </c>
    </row>
    <row r="27" spans="1:36" ht="24" customHeight="1">
      <c r="A27" s="29"/>
      <c r="C27" s="801" t="s">
        <v>0</v>
      </c>
      <c r="D27" s="801" t="s">
        <v>0</v>
      </c>
      <c r="E27" s="802" t="s">
        <v>0</v>
      </c>
      <c r="F27" s="802" t="s">
        <v>0</v>
      </c>
      <c r="G27" s="801" t="s">
        <v>0</v>
      </c>
      <c r="H27" s="801" t="s">
        <v>0</v>
      </c>
      <c r="I27" s="801" t="s">
        <v>0</v>
      </c>
    </row>
    <row r="28" spans="1:36" ht="24" customHeight="1">
      <c r="A28" s="29"/>
    </row>
    <row r="29" spans="1:36" ht="24" customHeight="1">
      <c r="A29" s="29"/>
    </row>
    <row r="30" spans="1:36" ht="24" customHeight="1" thickBot="1">
      <c r="A30" s="14" t="s">
        <v>49</v>
      </c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</row>
    <row r="31" spans="1:36" ht="24" customHeight="1">
      <c r="A31" s="695" t="s">
        <v>50</v>
      </c>
      <c r="B31" s="696"/>
      <c r="C31" s="696"/>
      <c r="D31" s="697" t="s">
        <v>51</v>
      </c>
      <c r="E31" s="698"/>
      <c r="F31" s="698"/>
      <c r="G31" s="698"/>
      <c r="H31" s="698"/>
      <c r="I31" s="698"/>
      <c r="J31" s="698"/>
      <c r="K31" s="698"/>
      <c r="L31" s="698"/>
      <c r="M31" s="699" t="s">
        <v>52</v>
      </c>
      <c r="N31" s="698"/>
      <c r="O31" s="698"/>
      <c r="P31" s="698"/>
      <c r="Q31" s="698"/>
      <c r="R31" s="698"/>
      <c r="S31" s="700"/>
      <c r="T31" s="701" t="s">
        <v>53</v>
      </c>
      <c r="U31" s="702"/>
      <c r="V31" s="702"/>
      <c r="W31" s="702"/>
      <c r="X31" s="702"/>
      <c r="Y31" s="702"/>
      <c r="Z31" s="703"/>
      <c r="AA31" s="704" t="s">
        <v>54</v>
      </c>
      <c r="AB31" s="705"/>
      <c r="AC31" s="705"/>
      <c r="AD31" s="705"/>
      <c r="AE31" s="705"/>
      <c r="AF31" s="705"/>
      <c r="AG31" s="706"/>
    </row>
    <row r="32" spans="1:36" ht="24" customHeight="1">
      <c r="A32" s="2958" t="s">
        <v>55</v>
      </c>
      <c r="B32" s="2919"/>
      <c r="C32" s="2919"/>
      <c r="D32" s="2959" t="s">
        <v>56</v>
      </c>
      <c r="E32" s="2960"/>
      <c r="F32" s="2906"/>
      <c r="G32" s="2906"/>
      <c r="H32" s="2906"/>
      <c r="I32" s="2906"/>
      <c r="J32" s="2906"/>
      <c r="K32" s="2906"/>
      <c r="L32" s="2914"/>
      <c r="M32" s="2961" t="s">
        <v>57</v>
      </c>
      <c r="N32" s="2919"/>
      <c r="O32" s="2962"/>
      <c r="P32" s="2919"/>
      <c r="Q32" s="2919"/>
      <c r="R32" s="2919"/>
      <c r="S32" s="2963"/>
      <c r="T32" s="2959" t="s">
        <v>58</v>
      </c>
      <c r="U32" s="2906"/>
      <c r="V32" s="2960"/>
      <c r="W32" s="2906"/>
      <c r="X32" s="2906"/>
      <c r="Y32" s="2906"/>
      <c r="Z32" s="2914"/>
      <c r="AA32" s="31" t="s">
        <v>59</v>
      </c>
      <c r="AD32" s="20"/>
      <c r="AG32" s="32"/>
    </row>
    <row r="33" spans="1:35" ht="24" customHeight="1">
      <c r="A33" s="3266" t="s">
        <v>60</v>
      </c>
      <c r="B33" s="2906"/>
      <c r="C33" s="2906"/>
      <c r="D33" s="2965"/>
      <c r="E33" s="2906"/>
      <c r="F33" s="2906"/>
      <c r="G33" s="2914"/>
      <c r="H33" s="2921" t="s">
        <v>61</v>
      </c>
      <c r="I33" s="2906"/>
      <c r="J33" s="2906"/>
      <c r="K33" s="2906"/>
      <c r="L33" s="2906"/>
      <c r="M33" s="2966"/>
      <c r="N33" s="2906"/>
      <c r="O33" s="2906"/>
      <c r="P33" s="2906"/>
      <c r="Q33" s="2906"/>
      <c r="R33" s="2906"/>
      <c r="S33" s="2906"/>
      <c r="T33" s="2965"/>
      <c r="U33" s="14" t="s">
        <v>62</v>
      </c>
      <c r="AA33" s="2962"/>
      <c r="AB33" s="2919"/>
      <c r="AC33" s="2919"/>
      <c r="AD33" s="2919"/>
      <c r="AE33" s="2919"/>
      <c r="AF33" s="2919"/>
      <c r="AG33" s="2967"/>
    </row>
    <row r="34" spans="1:35" ht="24" customHeight="1" thickBot="1">
      <c r="A34" s="3267" t="s">
        <v>63</v>
      </c>
      <c r="B34" s="3268"/>
      <c r="C34" s="3268"/>
      <c r="D34" s="3269"/>
      <c r="E34" s="3268"/>
      <c r="F34" s="3268"/>
      <c r="G34" s="3270"/>
      <c r="H34" s="3271" t="s">
        <v>64</v>
      </c>
      <c r="I34" s="3270"/>
      <c r="J34" s="3268"/>
      <c r="K34" s="3268"/>
      <c r="L34" s="3268"/>
      <c r="M34" s="3272"/>
      <c r="N34" s="3268"/>
      <c r="O34" s="3268"/>
      <c r="P34" s="3268"/>
      <c r="Q34" s="3273"/>
      <c r="R34" s="3273"/>
      <c r="S34" s="3273"/>
      <c r="T34" s="3269"/>
      <c r="U34" s="3274" t="s">
        <v>65</v>
      </c>
      <c r="V34" s="3268"/>
      <c r="W34" s="3268"/>
      <c r="X34" s="3268"/>
      <c r="Y34" s="3268"/>
      <c r="Z34" s="3268"/>
      <c r="AA34" s="3268"/>
      <c r="AB34" s="3268"/>
      <c r="AC34" s="3268"/>
      <c r="AD34" s="3268"/>
      <c r="AE34" s="3268"/>
      <c r="AF34" s="3268"/>
      <c r="AG34" s="3275"/>
    </row>
    <row r="35" spans="1:35" ht="24" customHeight="1">
      <c r="B35" s="33" t="s">
        <v>27</v>
      </c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"/>
    </row>
    <row r="36" spans="1:35" ht="24" customHeight="1" thickBot="1">
      <c r="A36" s="2977" t="s">
        <v>28</v>
      </c>
      <c r="B36" s="2978" t="s">
        <v>29</v>
      </c>
      <c r="C36" s="3249">
        <v>1</v>
      </c>
      <c r="D36" s="3250">
        <v>2</v>
      </c>
      <c r="E36" s="3250">
        <v>3</v>
      </c>
      <c r="F36" s="3250">
        <v>4</v>
      </c>
      <c r="G36" s="3250">
        <v>5</v>
      </c>
      <c r="H36" s="3250">
        <v>6</v>
      </c>
      <c r="I36" s="3249">
        <v>7</v>
      </c>
      <c r="J36" s="3249">
        <v>8</v>
      </c>
      <c r="K36" s="3250">
        <v>9</v>
      </c>
      <c r="L36" s="3250">
        <v>10</v>
      </c>
      <c r="M36" s="3250">
        <v>11</v>
      </c>
      <c r="N36" s="3250">
        <v>12</v>
      </c>
      <c r="O36" s="3250">
        <v>13</v>
      </c>
      <c r="P36" s="3249">
        <v>14</v>
      </c>
      <c r="Q36" s="3249">
        <v>15</v>
      </c>
      <c r="R36" s="3250">
        <v>16</v>
      </c>
      <c r="S36" s="3250">
        <v>17</v>
      </c>
      <c r="T36" s="3250">
        <v>18</v>
      </c>
      <c r="U36" s="3250">
        <v>19</v>
      </c>
      <c r="V36" s="3250">
        <v>20</v>
      </c>
      <c r="W36" s="3249">
        <v>21</v>
      </c>
      <c r="X36" s="3249">
        <v>22</v>
      </c>
      <c r="Y36" s="3250">
        <v>23</v>
      </c>
      <c r="Z36" s="3249">
        <v>24</v>
      </c>
      <c r="AA36" s="3249">
        <v>25</v>
      </c>
      <c r="AB36" s="3249">
        <v>26</v>
      </c>
      <c r="AC36" s="3250">
        <v>27</v>
      </c>
      <c r="AD36" s="3249">
        <v>28</v>
      </c>
      <c r="AE36" s="3249">
        <v>29</v>
      </c>
      <c r="AF36" s="3250">
        <v>30</v>
      </c>
      <c r="AG36" s="3251">
        <v>31</v>
      </c>
      <c r="AH36" s="23"/>
      <c r="AI36" s="24"/>
    </row>
    <row r="37" spans="1:35" ht="24" customHeight="1">
      <c r="A37" s="2548">
        <v>1</v>
      </c>
      <c r="B37" s="2549" t="s">
        <v>66</v>
      </c>
      <c r="C37" s="802"/>
      <c r="D37" s="1816">
        <v>3</v>
      </c>
      <c r="E37" s="802">
        <v>3</v>
      </c>
      <c r="F37" s="802">
        <v>3</v>
      </c>
      <c r="G37" s="802">
        <v>3</v>
      </c>
      <c r="H37" s="802">
        <v>3</v>
      </c>
      <c r="I37" s="2979" t="s">
        <v>455</v>
      </c>
      <c r="J37" s="2979">
        <v>21</v>
      </c>
      <c r="K37" s="802">
        <v>11</v>
      </c>
      <c r="L37" s="802">
        <v>11</v>
      </c>
      <c r="M37" s="802">
        <v>11</v>
      </c>
      <c r="N37" s="802">
        <v>11</v>
      </c>
      <c r="O37" s="2979">
        <v>11</v>
      </c>
      <c r="P37" s="802" t="s">
        <v>68</v>
      </c>
      <c r="Q37" s="801" t="s">
        <v>68</v>
      </c>
      <c r="R37" s="1816" t="s">
        <v>35</v>
      </c>
      <c r="S37" s="2979" t="s">
        <v>253</v>
      </c>
      <c r="T37" s="802" t="s">
        <v>35</v>
      </c>
      <c r="U37" s="802" t="s">
        <v>35</v>
      </c>
      <c r="V37" s="802" t="s">
        <v>146</v>
      </c>
      <c r="W37" s="802" t="s">
        <v>69</v>
      </c>
      <c r="X37" s="801" t="s">
        <v>69</v>
      </c>
      <c r="Y37" s="801">
        <v>8</v>
      </c>
      <c r="Z37" s="802">
        <v>8</v>
      </c>
      <c r="AA37" s="802">
        <v>8</v>
      </c>
      <c r="AB37" s="801">
        <v>8</v>
      </c>
      <c r="AC37" s="801">
        <v>8</v>
      </c>
      <c r="AD37" s="801"/>
      <c r="AE37" s="802"/>
      <c r="AF37" s="802" t="s">
        <v>35</v>
      </c>
      <c r="AG37" s="2553" t="s">
        <v>35</v>
      </c>
      <c r="AH37" s="34"/>
      <c r="AI37" s="25"/>
    </row>
    <row r="38" spans="1:35" ht="24" customHeight="1">
      <c r="A38" s="3276">
        <v>6</v>
      </c>
      <c r="B38" s="3277" t="s">
        <v>355</v>
      </c>
      <c r="C38" s="2981"/>
      <c r="D38" s="2981">
        <v>1</v>
      </c>
      <c r="E38" s="2981">
        <v>1</v>
      </c>
      <c r="F38" s="2981">
        <v>1</v>
      </c>
      <c r="G38" s="2981">
        <v>1</v>
      </c>
      <c r="H38" s="2981">
        <v>1</v>
      </c>
      <c r="I38" s="2981"/>
      <c r="J38" s="2981"/>
      <c r="K38" s="2981">
        <v>9</v>
      </c>
      <c r="L38" s="2981">
        <v>9</v>
      </c>
      <c r="M38" s="2981">
        <v>9</v>
      </c>
      <c r="N38" s="2981">
        <v>9</v>
      </c>
      <c r="O38" s="2981">
        <v>9</v>
      </c>
      <c r="P38" s="2981" t="s">
        <v>70</v>
      </c>
      <c r="Q38" s="2981" t="s">
        <v>70</v>
      </c>
      <c r="R38" s="2981" t="s">
        <v>35</v>
      </c>
      <c r="S38" s="2981" t="s">
        <v>35</v>
      </c>
      <c r="T38" s="2981" t="s">
        <v>35</v>
      </c>
      <c r="U38" s="2981" t="s">
        <v>35</v>
      </c>
      <c r="V38" s="2981" t="s">
        <v>35</v>
      </c>
      <c r="W38" s="2981" t="s">
        <v>75</v>
      </c>
      <c r="X38" s="2981" t="s">
        <v>69</v>
      </c>
      <c r="Y38" s="2981">
        <v>6</v>
      </c>
      <c r="Z38" s="2981">
        <v>6</v>
      </c>
      <c r="AA38" s="2981">
        <v>6</v>
      </c>
      <c r="AB38" s="2981">
        <v>6</v>
      </c>
      <c r="AC38" s="2981">
        <v>6</v>
      </c>
      <c r="AD38" s="2981"/>
      <c r="AE38" s="2981"/>
      <c r="AF38" s="2981" t="s">
        <v>35</v>
      </c>
      <c r="AG38" s="2983" t="s">
        <v>35</v>
      </c>
      <c r="AH38" s="34"/>
      <c r="AI38" s="25"/>
    </row>
    <row r="39" spans="1:35" ht="24" customHeight="1" thickBot="1">
      <c r="A39" s="3278">
        <v>11</v>
      </c>
      <c r="B39" s="3279" t="s">
        <v>71</v>
      </c>
      <c r="C39" s="3250"/>
      <c r="D39" s="3280">
        <v>5</v>
      </c>
      <c r="E39" s="3280">
        <v>5</v>
      </c>
      <c r="F39" s="3280">
        <v>5</v>
      </c>
      <c r="G39" s="3280">
        <v>5</v>
      </c>
      <c r="H39" s="3280">
        <v>5</v>
      </c>
      <c r="I39" s="3228"/>
      <c r="J39" s="3228"/>
      <c r="K39" s="3228">
        <v>10</v>
      </c>
      <c r="L39" s="3228">
        <v>10</v>
      </c>
      <c r="M39" s="3228">
        <v>10</v>
      </c>
      <c r="N39" s="3228">
        <v>10</v>
      </c>
      <c r="O39" s="3250">
        <v>10</v>
      </c>
      <c r="P39" s="3228" t="s">
        <v>72</v>
      </c>
      <c r="Q39" s="3250" t="s">
        <v>72</v>
      </c>
      <c r="R39" s="3250" t="s">
        <v>35</v>
      </c>
      <c r="S39" s="3228" t="s">
        <v>35</v>
      </c>
      <c r="T39" s="3228" t="s">
        <v>35</v>
      </c>
      <c r="U39" s="3228" t="s">
        <v>35</v>
      </c>
      <c r="V39" s="3228" t="s">
        <v>35</v>
      </c>
      <c r="W39" s="3228" t="s">
        <v>67</v>
      </c>
      <c r="X39" s="3250" t="s">
        <v>67</v>
      </c>
      <c r="Y39" s="3228">
        <v>7</v>
      </c>
      <c r="Z39" s="3228">
        <v>7</v>
      </c>
      <c r="AA39" s="3228">
        <v>7</v>
      </c>
      <c r="AB39" s="3281">
        <v>7</v>
      </c>
      <c r="AC39" s="3281">
        <v>7</v>
      </c>
      <c r="AD39" s="3281"/>
      <c r="AE39" s="3228"/>
      <c r="AF39" s="3228">
        <v>4</v>
      </c>
      <c r="AG39" s="3282">
        <v>4</v>
      </c>
      <c r="AH39" s="34"/>
      <c r="AI39" s="25"/>
    </row>
    <row r="40" spans="1:35" ht="24" customHeight="1">
      <c r="A40" s="2548">
        <v>2</v>
      </c>
      <c r="B40" s="35" t="s">
        <v>73</v>
      </c>
      <c r="C40" s="2692"/>
      <c r="D40" s="1816">
        <v>11</v>
      </c>
      <c r="E40" s="1816">
        <v>11</v>
      </c>
      <c r="F40" s="1816">
        <v>11</v>
      </c>
      <c r="G40" s="1816">
        <v>11</v>
      </c>
      <c r="H40" s="802">
        <v>11</v>
      </c>
      <c r="I40" s="802" t="s">
        <v>68</v>
      </c>
      <c r="J40" s="1816" t="s">
        <v>68</v>
      </c>
      <c r="K40" s="1816" t="s">
        <v>35</v>
      </c>
      <c r="L40" s="802" t="s">
        <v>35</v>
      </c>
      <c r="M40" s="802" t="s">
        <v>35</v>
      </c>
      <c r="N40" s="802" t="s">
        <v>35</v>
      </c>
      <c r="O40" s="801" t="s">
        <v>35</v>
      </c>
      <c r="P40" s="802" t="s">
        <v>69</v>
      </c>
      <c r="Q40" s="801" t="s">
        <v>69</v>
      </c>
      <c r="R40" s="801">
        <v>8</v>
      </c>
      <c r="S40" s="1816">
        <v>8</v>
      </c>
      <c r="T40" s="1816">
        <v>8</v>
      </c>
      <c r="U40" s="801">
        <v>8</v>
      </c>
      <c r="V40" s="801">
        <v>8</v>
      </c>
      <c r="W40" s="801"/>
      <c r="X40" s="802"/>
      <c r="Y40" s="802" t="s">
        <v>35</v>
      </c>
      <c r="Z40" s="802" t="s">
        <v>35</v>
      </c>
      <c r="AA40" s="802" t="s">
        <v>35</v>
      </c>
      <c r="AB40" s="802" t="s">
        <v>35</v>
      </c>
      <c r="AC40" s="801" t="s">
        <v>35</v>
      </c>
      <c r="AD40" s="801"/>
      <c r="AE40" s="802"/>
      <c r="AF40" s="802">
        <v>1</v>
      </c>
      <c r="AG40" s="2553">
        <v>1</v>
      </c>
      <c r="AH40" s="34"/>
      <c r="AI40" s="25"/>
    </row>
    <row r="41" spans="1:35" ht="24" customHeight="1">
      <c r="A41" s="3276">
        <v>7</v>
      </c>
      <c r="B41" s="2941" t="s">
        <v>74</v>
      </c>
      <c r="C41" s="2990"/>
      <c r="D41" s="2840">
        <v>9</v>
      </c>
      <c r="E41" s="2990">
        <v>9</v>
      </c>
      <c r="F41" s="2990">
        <v>9</v>
      </c>
      <c r="G41" s="2990">
        <v>9</v>
      </c>
      <c r="H41" s="2990">
        <v>9</v>
      </c>
      <c r="I41" s="2990" t="s">
        <v>70</v>
      </c>
      <c r="J41" s="2840" t="s">
        <v>70</v>
      </c>
      <c r="K41" s="2991" t="s">
        <v>35</v>
      </c>
      <c r="L41" s="2991" t="s">
        <v>35</v>
      </c>
      <c r="M41" s="2991" t="s">
        <v>35</v>
      </c>
      <c r="N41" s="2990" t="s">
        <v>35</v>
      </c>
      <c r="O41" s="2990" t="s">
        <v>35</v>
      </c>
      <c r="P41" s="2990" t="s">
        <v>75</v>
      </c>
      <c r="Q41" s="2840" t="s">
        <v>69</v>
      </c>
      <c r="R41" s="2990">
        <v>6</v>
      </c>
      <c r="S41" s="2990">
        <v>6</v>
      </c>
      <c r="T41" s="2990">
        <v>6</v>
      </c>
      <c r="U41" s="2990">
        <v>6</v>
      </c>
      <c r="V41" s="2990">
        <v>6</v>
      </c>
      <c r="W41" s="2990"/>
      <c r="X41" s="2990"/>
      <c r="Y41" s="2990" t="s">
        <v>35</v>
      </c>
      <c r="Z41" s="2990" t="s">
        <v>35</v>
      </c>
      <c r="AA41" s="2990" t="s">
        <v>35</v>
      </c>
      <c r="AB41" s="2990" t="s">
        <v>35</v>
      </c>
      <c r="AC41" s="2990" t="s">
        <v>35</v>
      </c>
      <c r="AD41" s="2990"/>
      <c r="AE41" s="2990"/>
      <c r="AF41" s="2990">
        <v>5</v>
      </c>
      <c r="AG41" s="2993"/>
      <c r="AH41" s="34"/>
      <c r="AI41" s="25"/>
    </row>
    <row r="42" spans="1:35" ht="24" customHeight="1" thickBot="1">
      <c r="A42" s="3278">
        <v>12</v>
      </c>
      <c r="B42" s="3283" t="s">
        <v>76</v>
      </c>
      <c r="C42" s="3284" t="s">
        <v>69</v>
      </c>
      <c r="D42" s="3281">
        <v>10</v>
      </c>
      <c r="E42" s="3228">
        <v>10</v>
      </c>
      <c r="F42" s="3228">
        <v>10</v>
      </c>
      <c r="G42" s="3228">
        <v>10</v>
      </c>
      <c r="H42" s="3228">
        <v>10</v>
      </c>
      <c r="I42" s="3228" t="s">
        <v>72</v>
      </c>
      <c r="J42" s="3228" t="s">
        <v>72</v>
      </c>
      <c r="K42" s="3250" t="s">
        <v>35</v>
      </c>
      <c r="L42" s="3228" t="s">
        <v>35</v>
      </c>
      <c r="M42" s="3228" t="s">
        <v>35</v>
      </c>
      <c r="N42" s="3228" t="s">
        <v>35</v>
      </c>
      <c r="O42" s="3228" t="s">
        <v>35</v>
      </c>
      <c r="P42" s="3228" t="s">
        <v>67</v>
      </c>
      <c r="Q42" s="3250" t="s">
        <v>67</v>
      </c>
      <c r="R42" s="3228">
        <v>7</v>
      </c>
      <c r="S42" s="3228">
        <v>7</v>
      </c>
      <c r="T42" s="3228">
        <v>7</v>
      </c>
      <c r="U42" s="3281">
        <v>7</v>
      </c>
      <c r="V42" s="3281">
        <v>7</v>
      </c>
      <c r="W42" s="3281"/>
      <c r="X42" s="3228"/>
      <c r="Y42" s="3228">
        <v>4</v>
      </c>
      <c r="Z42" s="3228">
        <v>4</v>
      </c>
      <c r="AA42" s="3228">
        <v>4</v>
      </c>
      <c r="AB42" s="3228">
        <v>4</v>
      </c>
      <c r="AC42" s="3228">
        <v>4</v>
      </c>
      <c r="AD42" s="3250"/>
      <c r="AE42" s="3250"/>
      <c r="AF42" s="3250">
        <v>3</v>
      </c>
      <c r="AG42" s="3285">
        <v>3</v>
      </c>
      <c r="AH42" s="34"/>
      <c r="AI42" s="25"/>
    </row>
    <row r="43" spans="1:35" ht="24" customHeight="1">
      <c r="A43" s="2548">
        <v>3</v>
      </c>
      <c r="B43" s="2563" t="s">
        <v>77</v>
      </c>
      <c r="C43" s="801" t="s">
        <v>68</v>
      </c>
      <c r="D43" s="801" t="s">
        <v>35</v>
      </c>
      <c r="E43" s="802" t="s">
        <v>35</v>
      </c>
      <c r="F43" s="802" t="s">
        <v>35</v>
      </c>
      <c r="G43" s="802" t="s">
        <v>35</v>
      </c>
      <c r="H43" s="802" t="s">
        <v>35</v>
      </c>
      <c r="I43" s="802" t="s">
        <v>69</v>
      </c>
      <c r="J43" s="801" t="s">
        <v>69</v>
      </c>
      <c r="K43" s="801">
        <v>8</v>
      </c>
      <c r="L43" s="801">
        <v>8</v>
      </c>
      <c r="M43" s="801">
        <v>8</v>
      </c>
      <c r="N43" s="801">
        <v>8</v>
      </c>
      <c r="O43" s="801">
        <v>8</v>
      </c>
      <c r="P43" s="801"/>
      <c r="Q43" s="802"/>
      <c r="R43" s="802" t="s">
        <v>35</v>
      </c>
      <c r="S43" s="2979" t="s">
        <v>35</v>
      </c>
      <c r="T43" s="802" t="s">
        <v>35</v>
      </c>
      <c r="U43" s="802" t="s">
        <v>35</v>
      </c>
      <c r="V43" s="801" t="s">
        <v>35</v>
      </c>
      <c r="W43" s="801"/>
      <c r="X43" s="1816"/>
      <c r="Y43" s="802">
        <v>1</v>
      </c>
      <c r="Z43" s="802">
        <v>1</v>
      </c>
      <c r="AA43" s="802">
        <v>1</v>
      </c>
      <c r="AB43" s="802">
        <v>1</v>
      </c>
      <c r="AC43" s="2646">
        <v>1</v>
      </c>
      <c r="AD43" s="802"/>
      <c r="AE43" s="802"/>
      <c r="AF43" s="802">
        <v>9</v>
      </c>
      <c r="AG43" s="2553">
        <v>9</v>
      </c>
      <c r="AH43" s="34"/>
      <c r="AI43" s="25"/>
    </row>
    <row r="44" spans="1:35" ht="24" customHeight="1">
      <c r="A44" s="3276">
        <v>8</v>
      </c>
      <c r="B44" s="2941" t="s">
        <v>358</v>
      </c>
      <c r="C44" s="2998" t="s">
        <v>70</v>
      </c>
      <c r="D44" s="2845" t="s">
        <v>35</v>
      </c>
      <c r="E44" s="2845" t="s">
        <v>35</v>
      </c>
      <c r="F44" s="2845" t="s">
        <v>35</v>
      </c>
      <c r="G44" s="2845" t="s">
        <v>35</v>
      </c>
      <c r="H44" s="2845" t="s">
        <v>35</v>
      </c>
      <c r="I44" s="2998" t="s">
        <v>75</v>
      </c>
      <c r="J44" s="2998" t="s">
        <v>69</v>
      </c>
      <c r="K44" s="2937">
        <v>6</v>
      </c>
      <c r="L44" s="2937">
        <v>6</v>
      </c>
      <c r="M44" s="2937">
        <v>6</v>
      </c>
      <c r="N44" s="2937">
        <v>6</v>
      </c>
      <c r="O44" s="2937">
        <v>6</v>
      </c>
      <c r="P44" s="2990"/>
      <c r="Q44" s="2990"/>
      <c r="R44" s="2990" t="s">
        <v>35</v>
      </c>
      <c r="S44" s="2990" t="s">
        <v>35</v>
      </c>
      <c r="T44" s="2990" t="s">
        <v>35</v>
      </c>
      <c r="U44" s="2990" t="s">
        <v>35</v>
      </c>
      <c r="V44" s="2990" t="s">
        <v>35</v>
      </c>
      <c r="W44" s="2990"/>
      <c r="X44" s="2840"/>
      <c r="Y44" s="2937">
        <v>5</v>
      </c>
      <c r="Z44" s="2937"/>
      <c r="AA44" s="2937"/>
      <c r="AB44" s="2937"/>
      <c r="AC44" s="2937">
        <v>5</v>
      </c>
      <c r="AD44" s="2937"/>
      <c r="AE44" s="2937"/>
      <c r="AF44" s="2937">
        <v>10</v>
      </c>
      <c r="AG44" s="3286">
        <v>10</v>
      </c>
      <c r="AH44" s="34"/>
      <c r="AI44" s="25"/>
    </row>
    <row r="45" spans="1:35" ht="24" customHeight="1" thickBot="1">
      <c r="A45" s="3278">
        <v>13</v>
      </c>
      <c r="B45" s="3279" t="s">
        <v>79</v>
      </c>
      <c r="C45" s="3250" t="s">
        <v>72</v>
      </c>
      <c r="D45" s="3250" t="s">
        <v>35</v>
      </c>
      <c r="E45" s="3228" t="s">
        <v>35</v>
      </c>
      <c r="F45" s="3228" t="s">
        <v>35</v>
      </c>
      <c r="G45" s="3228" t="s">
        <v>35</v>
      </c>
      <c r="H45" s="3228" t="s">
        <v>35</v>
      </c>
      <c r="I45" s="3228" t="s">
        <v>67</v>
      </c>
      <c r="J45" s="3250" t="s">
        <v>67</v>
      </c>
      <c r="K45" s="3228">
        <v>7</v>
      </c>
      <c r="L45" s="3281">
        <v>7</v>
      </c>
      <c r="M45" s="3228">
        <v>7</v>
      </c>
      <c r="N45" s="3281">
        <v>7</v>
      </c>
      <c r="O45" s="3281">
        <v>7</v>
      </c>
      <c r="P45" s="3281"/>
      <c r="Q45" s="3228"/>
      <c r="R45" s="3228">
        <v>4</v>
      </c>
      <c r="S45" s="3228" t="s">
        <v>434</v>
      </c>
      <c r="T45" s="3228" t="s">
        <v>434</v>
      </c>
      <c r="U45" s="3228" t="s">
        <v>434</v>
      </c>
      <c r="V45" s="3228" t="s">
        <v>434</v>
      </c>
      <c r="W45" s="3228"/>
      <c r="X45" s="3228"/>
      <c r="Y45" s="3250">
        <v>3</v>
      </c>
      <c r="Z45" s="3228">
        <v>3</v>
      </c>
      <c r="AA45" s="3228">
        <v>3</v>
      </c>
      <c r="AB45" s="3228">
        <v>3</v>
      </c>
      <c r="AC45" s="3228">
        <v>3</v>
      </c>
      <c r="AD45" s="3228"/>
      <c r="AE45" s="3250"/>
      <c r="AF45" s="3228">
        <v>11</v>
      </c>
      <c r="AG45" s="3282">
        <v>11</v>
      </c>
      <c r="AH45" s="34"/>
      <c r="AI45" s="25"/>
    </row>
    <row r="46" spans="1:35" ht="24" customHeight="1">
      <c r="A46" s="2548">
        <v>4</v>
      </c>
      <c r="B46" s="2549" t="s">
        <v>80</v>
      </c>
      <c r="C46" s="3001" t="s">
        <v>69</v>
      </c>
      <c r="D46" s="3001">
        <v>8</v>
      </c>
      <c r="E46" s="2570">
        <v>8</v>
      </c>
      <c r="F46" s="2570">
        <v>8</v>
      </c>
      <c r="G46" s="3001">
        <v>8</v>
      </c>
      <c r="H46" s="3001">
        <v>8</v>
      </c>
      <c r="I46" s="801"/>
      <c r="J46" s="802"/>
      <c r="K46" s="802" t="s">
        <v>35</v>
      </c>
      <c r="L46" s="801" t="s">
        <v>35</v>
      </c>
      <c r="M46" s="801" t="s">
        <v>35</v>
      </c>
      <c r="N46" s="802" t="s">
        <v>35</v>
      </c>
      <c r="O46" s="801" t="s">
        <v>35</v>
      </c>
      <c r="P46" s="801"/>
      <c r="Q46" s="1816"/>
      <c r="R46" s="802">
        <v>1</v>
      </c>
      <c r="S46" s="802">
        <v>1</v>
      </c>
      <c r="T46" s="802">
        <v>1</v>
      </c>
      <c r="U46" s="802">
        <v>1</v>
      </c>
      <c r="V46" s="2646">
        <v>1</v>
      </c>
      <c r="W46" s="802"/>
      <c r="X46" s="802"/>
      <c r="Y46" s="1816">
        <v>9</v>
      </c>
      <c r="Z46" s="802">
        <v>9</v>
      </c>
      <c r="AA46" s="802">
        <v>9</v>
      </c>
      <c r="AB46" s="802">
        <v>9</v>
      </c>
      <c r="AC46" s="802">
        <v>9</v>
      </c>
      <c r="AD46" s="802" t="s">
        <v>70</v>
      </c>
      <c r="AE46" s="801" t="s">
        <v>70</v>
      </c>
      <c r="AF46" s="802" t="s">
        <v>35</v>
      </c>
      <c r="AG46" s="2553" t="s">
        <v>35</v>
      </c>
      <c r="AH46" s="34"/>
      <c r="AI46" s="25"/>
    </row>
    <row r="47" spans="1:35" ht="24" customHeight="1">
      <c r="A47" s="3276">
        <v>9</v>
      </c>
      <c r="B47" s="2941" t="s">
        <v>81</v>
      </c>
      <c r="C47" s="2840" t="s">
        <v>69</v>
      </c>
      <c r="D47" s="2990">
        <v>6</v>
      </c>
      <c r="E47" s="2990">
        <v>6</v>
      </c>
      <c r="F47" s="2990">
        <v>6</v>
      </c>
      <c r="G47" s="2990">
        <v>6</v>
      </c>
      <c r="H47" s="2990">
        <v>6</v>
      </c>
      <c r="I47" s="2990"/>
      <c r="J47" s="2990"/>
      <c r="K47" s="2990" t="s">
        <v>35</v>
      </c>
      <c r="L47" s="2990" t="s">
        <v>35</v>
      </c>
      <c r="M47" s="2990" t="s">
        <v>35</v>
      </c>
      <c r="N47" s="2990" t="s">
        <v>35</v>
      </c>
      <c r="O47" s="2990" t="s">
        <v>35</v>
      </c>
      <c r="P47" s="2990"/>
      <c r="Q47" s="2840"/>
      <c r="R47" s="2990">
        <v>5</v>
      </c>
      <c r="S47" s="2990">
        <v>5</v>
      </c>
      <c r="T47" s="2990">
        <v>5</v>
      </c>
      <c r="U47" s="2990">
        <v>5</v>
      </c>
      <c r="V47" s="2990">
        <v>5</v>
      </c>
      <c r="W47" s="2990"/>
      <c r="X47" s="2990"/>
      <c r="Y47" s="2990">
        <v>10</v>
      </c>
      <c r="Z47" s="2990">
        <v>10</v>
      </c>
      <c r="AA47" s="2990">
        <v>10</v>
      </c>
      <c r="AB47" s="2990">
        <v>10</v>
      </c>
      <c r="AC47" s="2990">
        <v>10</v>
      </c>
      <c r="AD47" s="2990" t="s">
        <v>72</v>
      </c>
      <c r="AE47" s="2990" t="s">
        <v>72</v>
      </c>
      <c r="AF47" s="2990" t="s">
        <v>35</v>
      </c>
      <c r="AG47" s="2993" t="s">
        <v>35</v>
      </c>
      <c r="AH47" s="34"/>
      <c r="AI47" s="25"/>
    </row>
    <row r="48" spans="1:35" ht="24" customHeight="1" thickBot="1">
      <c r="A48" s="3278">
        <v>14</v>
      </c>
      <c r="B48" s="3279" t="s">
        <v>82</v>
      </c>
      <c r="C48" s="3250" t="s">
        <v>67</v>
      </c>
      <c r="D48" s="3228">
        <v>7</v>
      </c>
      <c r="E48" s="3228">
        <v>7</v>
      </c>
      <c r="F48" s="3228">
        <v>7</v>
      </c>
      <c r="G48" s="3281">
        <v>7</v>
      </c>
      <c r="H48" s="3281">
        <v>7</v>
      </c>
      <c r="I48" s="3281"/>
      <c r="J48" s="3228"/>
      <c r="K48" s="3287">
        <v>4</v>
      </c>
      <c r="L48" s="3287">
        <v>4</v>
      </c>
      <c r="M48" s="3287">
        <v>4</v>
      </c>
      <c r="N48" s="3287">
        <v>4</v>
      </c>
      <c r="O48" s="3287">
        <v>4</v>
      </c>
      <c r="P48" s="3287"/>
      <c r="Q48" s="3287"/>
      <c r="R48" s="3287">
        <v>3</v>
      </c>
      <c r="S48" s="3287">
        <v>3</v>
      </c>
      <c r="T48" s="3287">
        <v>3</v>
      </c>
      <c r="U48" s="3287">
        <v>3</v>
      </c>
      <c r="V48" s="3287">
        <v>3</v>
      </c>
      <c r="W48" s="3228"/>
      <c r="X48" s="3250"/>
      <c r="Y48" s="3228">
        <v>11</v>
      </c>
      <c r="Z48" s="3228">
        <v>11</v>
      </c>
      <c r="AA48" s="3228">
        <v>11</v>
      </c>
      <c r="AB48" s="3228">
        <v>11</v>
      </c>
      <c r="AC48" s="3250">
        <v>11</v>
      </c>
      <c r="AD48" s="3228" t="s">
        <v>68</v>
      </c>
      <c r="AE48" s="3228" t="s">
        <v>68</v>
      </c>
      <c r="AF48" s="3250" t="s">
        <v>35</v>
      </c>
      <c r="AG48" s="3285" t="s">
        <v>35</v>
      </c>
      <c r="AH48" s="34"/>
      <c r="AI48" s="25"/>
    </row>
    <row r="49" spans="1:35" ht="24" customHeight="1">
      <c r="A49" s="2548">
        <v>5</v>
      </c>
      <c r="B49" s="2941" t="s">
        <v>83</v>
      </c>
      <c r="C49" s="802"/>
      <c r="D49" s="802" t="s">
        <v>35</v>
      </c>
      <c r="E49" s="802" t="s">
        <v>35</v>
      </c>
      <c r="F49" s="802" t="s">
        <v>35</v>
      </c>
      <c r="G49" s="802" t="s">
        <v>35</v>
      </c>
      <c r="H49" s="801" t="s">
        <v>35</v>
      </c>
      <c r="I49" s="801"/>
      <c r="J49" s="1816"/>
      <c r="K49" s="802">
        <v>1</v>
      </c>
      <c r="L49" s="802">
        <v>1</v>
      </c>
      <c r="M49" s="802">
        <v>1</v>
      </c>
      <c r="N49" s="802">
        <v>1</v>
      </c>
      <c r="O49" s="1818">
        <v>1</v>
      </c>
      <c r="P49" s="802"/>
      <c r="Q49" s="802"/>
      <c r="R49" s="1816">
        <v>9</v>
      </c>
      <c r="S49" s="802">
        <v>9</v>
      </c>
      <c r="T49" s="802">
        <v>9</v>
      </c>
      <c r="U49" s="801">
        <v>9</v>
      </c>
      <c r="V49" s="801">
        <v>9</v>
      </c>
      <c r="W49" s="801" t="s">
        <v>70</v>
      </c>
      <c r="X49" s="801" t="s">
        <v>70</v>
      </c>
      <c r="Y49" s="801" t="s">
        <v>35</v>
      </c>
      <c r="Z49" s="801" t="s">
        <v>35</v>
      </c>
      <c r="AA49" s="801" t="s">
        <v>35</v>
      </c>
      <c r="AB49" s="801" t="s">
        <v>35</v>
      </c>
      <c r="AC49" s="801" t="s">
        <v>35</v>
      </c>
      <c r="AD49" s="802" t="s">
        <v>75</v>
      </c>
      <c r="AE49" s="802" t="s">
        <v>69</v>
      </c>
      <c r="AF49" s="3002">
        <v>6</v>
      </c>
      <c r="AG49" s="3003">
        <v>6</v>
      </c>
      <c r="AH49" s="34"/>
      <c r="AI49" s="25"/>
    </row>
    <row r="50" spans="1:35" ht="24" customHeight="1">
      <c r="A50" s="3276">
        <v>10</v>
      </c>
      <c r="B50" s="2941" t="s">
        <v>84</v>
      </c>
      <c r="C50" s="2990"/>
      <c r="D50" s="2990" t="s">
        <v>35</v>
      </c>
      <c r="E50" s="2990" t="s">
        <v>35</v>
      </c>
      <c r="F50" s="2845" t="s">
        <v>35</v>
      </c>
      <c r="G50" s="2981" t="s">
        <v>35</v>
      </c>
      <c r="H50" s="2981" t="s">
        <v>35</v>
      </c>
      <c r="I50" s="2981"/>
      <c r="J50" s="2981"/>
      <c r="K50" s="3288">
        <v>5</v>
      </c>
      <c r="L50" s="3288">
        <v>5</v>
      </c>
      <c r="M50" s="3288">
        <v>5</v>
      </c>
      <c r="N50" s="3288">
        <v>5</v>
      </c>
      <c r="O50" s="3288">
        <v>5</v>
      </c>
      <c r="P50" s="3288"/>
      <c r="Q50" s="3288"/>
      <c r="R50" s="2981">
        <v>10</v>
      </c>
      <c r="S50" s="2981">
        <v>10</v>
      </c>
      <c r="T50" s="2981">
        <v>10</v>
      </c>
      <c r="U50" s="2981">
        <v>10</v>
      </c>
      <c r="V50" s="2981">
        <v>10</v>
      </c>
      <c r="W50" s="2845" t="s">
        <v>72</v>
      </c>
      <c r="X50" s="2990" t="s">
        <v>72</v>
      </c>
      <c r="Y50" s="2840" t="s">
        <v>35</v>
      </c>
      <c r="Z50" s="2990" t="s">
        <v>35</v>
      </c>
      <c r="AA50" s="2990" t="s">
        <v>35</v>
      </c>
      <c r="AB50" s="2990" t="s">
        <v>35</v>
      </c>
      <c r="AC50" s="2990" t="s">
        <v>35</v>
      </c>
      <c r="AD50" s="2998" t="s">
        <v>67</v>
      </c>
      <c r="AE50" s="2990" t="s">
        <v>67</v>
      </c>
      <c r="AF50" s="2990">
        <v>7</v>
      </c>
      <c r="AG50" s="2993">
        <v>7</v>
      </c>
      <c r="AH50" s="34"/>
      <c r="AI50" s="25"/>
    </row>
    <row r="51" spans="1:35" ht="24" customHeight="1" thickBot="1">
      <c r="A51" s="3278">
        <v>15</v>
      </c>
      <c r="B51" s="3279" t="s">
        <v>85</v>
      </c>
      <c r="C51" s="3228"/>
      <c r="D51" s="3229">
        <v>4</v>
      </c>
      <c r="E51" s="3229">
        <v>4</v>
      </c>
      <c r="F51" s="3229">
        <v>4</v>
      </c>
      <c r="G51" s="3229">
        <v>4</v>
      </c>
      <c r="H51" s="3289">
        <v>4</v>
      </c>
      <c r="I51" s="3289"/>
      <c r="J51" s="3229"/>
      <c r="K51" s="3250">
        <v>3</v>
      </c>
      <c r="L51" s="3228">
        <v>3</v>
      </c>
      <c r="M51" s="3228">
        <v>3</v>
      </c>
      <c r="N51" s="3228">
        <v>3</v>
      </c>
      <c r="O51" s="3228">
        <v>3</v>
      </c>
      <c r="P51" s="3228"/>
      <c r="Q51" s="3250"/>
      <c r="R51" s="3228">
        <v>11</v>
      </c>
      <c r="S51" s="3228">
        <v>11</v>
      </c>
      <c r="T51" s="3228">
        <v>11</v>
      </c>
      <c r="U51" s="3228">
        <v>11</v>
      </c>
      <c r="V51" s="3228">
        <v>11</v>
      </c>
      <c r="W51" s="3228" t="s">
        <v>68</v>
      </c>
      <c r="X51" s="3228" t="s">
        <v>68</v>
      </c>
      <c r="Y51" s="3250" t="s">
        <v>35</v>
      </c>
      <c r="Z51" s="3228" t="s">
        <v>35</v>
      </c>
      <c r="AA51" s="3228" t="s">
        <v>35</v>
      </c>
      <c r="AB51" s="3228" t="s">
        <v>35</v>
      </c>
      <c r="AC51" s="3228" t="s">
        <v>35</v>
      </c>
      <c r="AD51" s="3228" t="s">
        <v>69</v>
      </c>
      <c r="AE51" s="3250" t="s">
        <v>69</v>
      </c>
      <c r="AF51" s="3281">
        <v>8</v>
      </c>
      <c r="AG51" s="3290">
        <v>8</v>
      </c>
      <c r="AH51" s="34"/>
      <c r="AI51" s="25"/>
    </row>
    <row r="52" spans="1:35" ht="24" customHeight="1">
      <c r="A52" s="29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"/>
    </row>
    <row r="53" spans="1:35" ht="24" customHeight="1">
      <c r="A53" s="36"/>
      <c r="B53" s="37" t="s">
        <v>86</v>
      </c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1"/>
    </row>
    <row r="54" spans="1:35" ht="24" customHeight="1">
      <c r="A54" s="3006" t="s">
        <v>28</v>
      </c>
      <c r="B54" s="3006"/>
      <c r="C54" s="2936"/>
      <c r="D54" s="3006" t="s">
        <v>87</v>
      </c>
      <c r="E54" s="3007"/>
      <c r="F54" s="2936"/>
      <c r="G54" s="3006" t="s">
        <v>88</v>
      </c>
      <c r="H54" s="3007"/>
      <c r="I54" s="2936"/>
      <c r="J54" s="3006" t="s">
        <v>89</v>
      </c>
      <c r="K54" s="3007"/>
      <c r="L54" s="2936"/>
      <c r="M54" s="3006" t="s">
        <v>90</v>
      </c>
      <c r="N54" s="3007"/>
      <c r="O54" s="2936"/>
      <c r="P54" s="3006" t="s">
        <v>91</v>
      </c>
      <c r="Q54" s="3007"/>
      <c r="R54" s="3008"/>
      <c r="S54" s="3009" t="s">
        <v>92</v>
      </c>
      <c r="T54" s="3007"/>
      <c r="U54" s="2936"/>
      <c r="V54" s="3006" t="s">
        <v>93</v>
      </c>
      <c r="W54" s="3007"/>
      <c r="X54" s="3010" t="s">
        <v>94</v>
      </c>
      <c r="Y54" s="3007"/>
      <c r="Z54" s="3007"/>
      <c r="AA54" s="3011"/>
      <c r="AB54" s="2908"/>
      <c r="AC54" s="2908"/>
      <c r="AD54" s="2908"/>
      <c r="AE54" s="2908"/>
      <c r="AF54" s="2908"/>
      <c r="AG54" s="2909"/>
      <c r="AH54" s="1"/>
    </row>
    <row r="55" spans="1:35" ht="24" customHeight="1">
      <c r="A55" s="3012">
        <v>8517</v>
      </c>
      <c r="B55" s="2940" t="s">
        <v>95</v>
      </c>
      <c r="C55" s="3013" t="s">
        <v>96</v>
      </c>
      <c r="D55" s="3014"/>
      <c r="E55" s="2907"/>
      <c r="F55" s="3013" t="s">
        <v>96</v>
      </c>
      <c r="G55" s="3014"/>
      <c r="H55" s="2907"/>
      <c r="I55" s="3013" t="s">
        <v>96</v>
      </c>
      <c r="J55" s="3014"/>
      <c r="K55" s="2907"/>
      <c r="L55" s="3013" t="s">
        <v>96</v>
      </c>
      <c r="M55" s="3014"/>
      <c r="N55" s="2907"/>
      <c r="O55" s="3013" t="s">
        <v>97</v>
      </c>
      <c r="P55" s="3014"/>
      <c r="Q55" s="2907"/>
      <c r="R55" s="3013" t="s">
        <v>96</v>
      </c>
      <c r="S55" s="3014"/>
      <c r="T55" s="2907"/>
      <c r="U55" s="3013" t="s">
        <v>96</v>
      </c>
      <c r="V55" s="3014"/>
      <c r="W55" s="2907"/>
      <c r="X55" s="2905"/>
      <c r="Y55" s="2908"/>
      <c r="Z55" s="2908"/>
      <c r="AA55" s="2908"/>
      <c r="AB55" s="2908"/>
      <c r="AC55" s="2908"/>
      <c r="AD55" s="2908"/>
      <c r="AE55" s="2908"/>
      <c r="AF55" s="2908"/>
      <c r="AG55" s="2909"/>
      <c r="AH55" s="1"/>
    </row>
    <row r="56" spans="1:35" ht="24" customHeight="1">
      <c r="B56" s="3015" t="s">
        <v>98</v>
      </c>
      <c r="C56" s="3016" t="s">
        <v>99</v>
      </c>
      <c r="D56" s="3017"/>
      <c r="E56" s="3018"/>
      <c r="F56" s="3016" t="s">
        <v>99</v>
      </c>
      <c r="G56" s="3019"/>
      <c r="H56" s="3018"/>
      <c r="I56" s="3013" t="s">
        <v>99</v>
      </c>
      <c r="J56" s="3014"/>
      <c r="K56" s="3020"/>
      <c r="L56" s="3013" t="s">
        <v>99</v>
      </c>
      <c r="M56" s="3014"/>
      <c r="N56" s="3020"/>
      <c r="O56" s="3013" t="s">
        <v>100</v>
      </c>
      <c r="P56" s="3014"/>
      <c r="Q56" s="2907"/>
      <c r="R56" s="3021" t="s">
        <v>0</v>
      </c>
      <c r="S56" s="3014"/>
      <c r="T56" s="3020"/>
      <c r="U56" s="3014" t="s">
        <v>0</v>
      </c>
      <c r="V56" s="3014"/>
      <c r="W56" s="2907"/>
      <c r="X56" s="3291" t="s">
        <v>0</v>
      </c>
      <c r="Y56" s="17"/>
      <c r="Z56" s="17"/>
      <c r="AA56" s="17"/>
      <c r="AB56" s="17"/>
      <c r="AC56" s="17"/>
      <c r="AD56" s="17"/>
      <c r="AE56" s="17"/>
      <c r="AF56" s="17"/>
      <c r="AG56" s="39"/>
      <c r="AH56" s="1"/>
    </row>
    <row r="57" spans="1:35" ht="24" customHeight="1">
      <c r="A57" s="3022"/>
      <c r="B57" s="2940" t="s">
        <v>101</v>
      </c>
      <c r="C57" s="3013" t="s">
        <v>102</v>
      </c>
      <c r="D57" s="3014"/>
      <c r="E57" s="2907"/>
      <c r="F57" s="3013" t="s">
        <v>102</v>
      </c>
      <c r="G57" s="3014"/>
      <c r="H57" s="3020"/>
      <c r="I57" s="3013" t="s">
        <v>102</v>
      </c>
      <c r="J57" s="3014"/>
      <c r="K57" s="3020"/>
      <c r="L57" s="3013" t="s">
        <v>102</v>
      </c>
      <c r="M57" s="3014"/>
      <c r="N57" s="3020"/>
      <c r="O57" s="3013" t="s">
        <v>103</v>
      </c>
      <c r="P57" s="3014"/>
      <c r="Q57" s="2907"/>
      <c r="R57" s="40"/>
      <c r="S57" s="41"/>
      <c r="T57" s="3020"/>
      <c r="U57" s="3014"/>
      <c r="V57" s="3014"/>
      <c r="W57" s="2907"/>
      <c r="X57" s="2905"/>
      <c r="Y57" s="2908"/>
      <c r="Z57" s="2908"/>
      <c r="AA57" s="2908"/>
      <c r="AB57" s="2908"/>
      <c r="AC57" s="2908"/>
      <c r="AD57" s="2908"/>
      <c r="AE57" s="2908"/>
      <c r="AF57" s="2908"/>
      <c r="AG57" s="2909"/>
      <c r="AH57" s="1"/>
    </row>
    <row r="58" spans="1:35" ht="24" customHeight="1">
      <c r="A58" s="3006"/>
      <c r="B58" s="3015" t="s">
        <v>104</v>
      </c>
      <c r="C58" s="3023" t="s">
        <v>105</v>
      </c>
      <c r="D58" s="3023"/>
      <c r="E58" s="3024"/>
      <c r="F58" s="3023" t="s">
        <v>105</v>
      </c>
      <c r="G58" s="3023"/>
      <c r="H58" s="3024"/>
      <c r="I58" s="3023" t="s">
        <v>105</v>
      </c>
      <c r="J58" s="3023"/>
      <c r="K58" s="3024"/>
      <c r="L58" s="3023" t="s">
        <v>105</v>
      </c>
      <c r="M58" s="3023"/>
      <c r="N58" s="3024"/>
      <c r="O58" s="3023" t="s">
        <v>105</v>
      </c>
      <c r="P58" s="3023"/>
      <c r="Q58" s="3024"/>
      <c r="R58" s="3023" t="s">
        <v>105</v>
      </c>
      <c r="S58" s="3023"/>
      <c r="T58" s="3024"/>
      <c r="U58" s="3023" t="s">
        <v>105</v>
      </c>
      <c r="V58" s="3023"/>
      <c r="W58" s="3024"/>
      <c r="X58" s="2905"/>
      <c r="Y58" s="2908"/>
      <c r="Z58" s="2908"/>
      <c r="AA58" s="2908"/>
      <c r="AB58" s="2908"/>
      <c r="AC58" s="2908"/>
      <c r="AD58" s="2908"/>
      <c r="AE58" s="2908"/>
      <c r="AF58" s="2908"/>
      <c r="AG58" s="2909"/>
      <c r="AH58" s="1"/>
    </row>
    <row r="59" spans="1:35" ht="24" customHeight="1">
      <c r="A59" s="42"/>
      <c r="B59" s="29"/>
      <c r="C59" s="22"/>
      <c r="D59" s="22"/>
      <c r="E59" s="18"/>
      <c r="F59" s="22"/>
      <c r="G59" s="22"/>
      <c r="H59" s="18"/>
      <c r="I59" s="22"/>
      <c r="J59" s="22"/>
      <c r="K59" s="18"/>
      <c r="L59" s="22"/>
      <c r="M59" s="22"/>
      <c r="N59" s="18"/>
      <c r="O59" s="22"/>
      <c r="P59" s="22"/>
      <c r="Q59" s="18"/>
      <c r="R59" s="22"/>
      <c r="S59" s="22"/>
      <c r="T59" s="18"/>
      <c r="U59" s="22"/>
      <c r="V59" s="22"/>
      <c r="W59" s="18"/>
      <c r="X59" s="18"/>
      <c r="Y59" s="17"/>
      <c r="Z59" s="17"/>
      <c r="AA59" s="17"/>
      <c r="AB59" s="17"/>
      <c r="AC59" s="17"/>
      <c r="AD59" s="17"/>
      <c r="AE59" s="17"/>
      <c r="AF59" s="17"/>
      <c r="AG59" s="17"/>
      <c r="AH59" s="1"/>
    </row>
    <row r="60" spans="1:35" ht="24" customHeight="1" thickBot="1">
      <c r="A60" s="3025"/>
      <c r="B60" s="2978" t="s">
        <v>29</v>
      </c>
      <c r="C60" s="3027">
        <v>1</v>
      </c>
      <c r="D60" s="3026">
        <v>2</v>
      </c>
      <c r="E60" s="3026">
        <v>3</v>
      </c>
      <c r="F60" s="3026">
        <v>4</v>
      </c>
      <c r="G60" s="3026">
        <v>5</v>
      </c>
      <c r="H60" s="3026">
        <v>6</v>
      </c>
      <c r="I60" s="3027">
        <v>7</v>
      </c>
      <c r="J60" s="3027">
        <v>8</v>
      </c>
      <c r="K60" s="3026">
        <v>9</v>
      </c>
      <c r="L60" s="3026">
        <v>10</v>
      </c>
      <c r="M60" s="3026">
        <v>11</v>
      </c>
      <c r="N60" s="3026">
        <v>12</v>
      </c>
      <c r="O60" s="3026">
        <v>13</v>
      </c>
      <c r="P60" s="3027">
        <v>14</v>
      </c>
      <c r="Q60" s="3027">
        <v>15</v>
      </c>
      <c r="R60" s="3026">
        <v>16</v>
      </c>
      <c r="S60" s="3026">
        <v>17</v>
      </c>
      <c r="T60" s="3026">
        <v>18</v>
      </c>
      <c r="U60" s="3026">
        <v>19</v>
      </c>
      <c r="V60" s="3026">
        <v>20</v>
      </c>
      <c r="W60" s="3027">
        <v>21</v>
      </c>
      <c r="X60" s="3027">
        <v>22</v>
      </c>
      <c r="Y60" s="3026">
        <v>23</v>
      </c>
      <c r="Z60" s="3027">
        <v>24</v>
      </c>
      <c r="AA60" s="3027">
        <v>25</v>
      </c>
      <c r="AB60" s="3027">
        <v>26</v>
      </c>
      <c r="AC60" s="3026">
        <v>27</v>
      </c>
      <c r="AD60" s="3027">
        <v>28</v>
      </c>
      <c r="AE60" s="3027">
        <v>29</v>
      </c>
      <c r="AF60" s="3026">
        <v>30</v>
      </c>
      <c r="AG60" s="3292">
        <v>31</v>
      </c>
      <c r="AH60" s="1"/>
    </row>
    <row r="61" spans="1:35" ht="24" customHeight="1">
      <c r="A61" s="2584"/>
      <c r="B61" s="3293" t="s">
        <v>106</v>
      </c>
      <c r="C61" s="2585" t="s">
        <v>108</v>
      </c>
      <c r="D61" s="2585" t="s">
        <v>110</v>
      </c>
      <c r="E61" s="2585" t="s">
        <v>110</v>
      </c>
      <c r="F61" s="2585" t="s">
        <v>110</v>
      </c>
      <c r="G61" s="2585" t="s">
        <v>110</v>
      </c>
      <c r="H61" s="2585" t="s">
        <v>110</v>
      </c>
      <c r="I61" s="2587" t="s">
        <v>108</v>
      </c>
      <c r="J61" s="2587" t="s">
        <v>108</v>
      </c>
      <c r="K61" s="2803" t="s">
        <v>31</v>
      </c>
      <c r="L61" s="2803" t="s">
        <v>31</v>
      </c>
      <c r="M61" s="2803" t="s">
        <v>31</v>
      </c>
      <c r="N61" s="2803" t="s">
        <v>31</v>
      </c>
      <c r="O61" s="2803" t="s">
        <v>31</v>
      </c>
      <c r="P61" s="2803"/>
      <c r="Q61" s="2803"/>
      <c r="R61" s="1839">
        <v>26</v>
      </c>
      <c r="S61" s="1839">
        <v>26</v>
      </c>
      <c r="T61" s="1839">
        <v>26</v>
      </c>
      <c r="U61" s="1839">
        <v>26</v>
      </c>
      <c r="V61" s="1839">
        <v>26</v>
      </c>
      <c r="W61" s="1839"/>
      <c r="X61" s="1839"/>
      <c r="Y61" s="2586">
        <v>25</v>
      </c>
      <c r="Z61" s="2586"/>
      <c r="AA61" s="2586"/>
      <c r="AB61" s="1839"/>
      <c r="AC61" s="1839">
        <v>25</v>
      </c>
      <c r="AD61" s="1839"/>
      <c r="AE61" s="1839"/>
      <c r="AF61" s="1839">
        <v>25</v>
      </c>
      <c r="AG61" s="1843"/>
      <c r="AH61" s="1"/>
    </row>
    <row r="62" spans="1:35" ht="24" customHeight="1" thickBot="1">
      <c r="A62" s="3293"/>
      <c r="B62" s="3277" t="s">
        <v>111</v>
      </c>
      <c r="C62" s="3256" t="s">
        <v>45</v>
      </c>
      <c r="D62" s="3258" t="s">
        <v>31</v>
      </c>
      <c r="E62" s="3256">
        <v>8</v>
      </c>
      <c r="F62" s="3256">
        <v>8</v>
      </c>
      <c r="G62" s="3256">
        <v>8</v>
      </c>
      <c r="H62" s="3256">
        <v>8</v>
      </c>
      <c r="I62" s="3256"/>
      <c r="J62" s="3256"/>
      <c r="K62" s="3294">
        <v>5</v>
      </c>
      <c r="L62" s="3294">
        <v>5</v>
      </c>
      <c r="M62" s="3294">
        <v>5</v>
      </c>
      <c r="N62" s="3294">
        <v>5</v>
      </c>
      <c r="O62" s="3294">
        <v>5</v>
      </c>
      <c r="P62" s="3294" t="s">
        <v>108</v>
      </c>
      <c r="Q62" s="3294" t="s">
        <v>108</v>
      </c>
      <c r="R62" s="3295" t="s">
        <v>35</v>
      </c>
      <c r="S62" s="3295" t="s">
        <v>35</v>
      </c>
      <c r="T62" s="3295" t="s">
        <v>31</v>
      </c>
      <c r="U62" s="3296" t="s">
        <v>31</v>
      </c>
      <c r="V62" s="3296" t="s">
        <v>31</v>
      </c>
      <c r="W62" s="3296"/>
      <c r="X62" s="3297"/>
      <c r="Y62" s="3298" t="s">
        <v>250</v>
      </c>
      <c r="Z62" s="3257"/>
      <c r="AA62" s="3257"/>
      <c r="AB62" s="3299"/>
      <c r="AC62" s="3299" t="s">
        <v>110</v>
      </c>
      <c r="AD62" s="3299">
        <v>26</v>
      </c>
      <c r="AE62" s="3299">
        <v>26</v>
      </c>
      <c r="AF62" s="3256">
        <v>26</v>
      </c>
      <c r="AG62" s="3260">
        <v>26</v>
      </c>
      <c r="AH62" s="1"/>
    </row>
    <row r="63" spans="1:35" ht="24" customHeight="1">
      <c r="A63" s="3254"/>
      <c r="B63" s="3277" t="s">
        <v>113</v>
      </c>
      <c r="C63" s="1817" t="s">
        <v>69</v>
      </c>
      <c r="D63" s="2580">
        <v>8</v>
      </c>
      <c r="E63" s="2580">
        <v>8</v>
      </c>
      <c r="F63" s="2580">
        <v>8</v>
      </c>
      <c r="G63" s="2580">
        <v>8</v>
      </c>
      <c r="H63" s="1818">
        <v>8</v>
      </c>
      <c r="I63" s="801"/>
      <c r="J63" s="802"/>
      <c r="K63" s="802" t="s">
        <v>35</v>
      </c>
      <c r="L63" s="801" t="s">
        <v>35</v>
      </c>
      <c r="M63" s="801" t="s">
        <v>35</v>
      </c>
      <c r="N63" s="802" t="s">
        <v>35</v>
      </c>
      <c r="O63" s="801" t="s">
        <v>35</v>
      </c>
      <c r="P63" s="3042" t="s">
        <v>115</v>
      </c>
      <c r="Q63" s="1816"/>
      <c r="R63" s="1818">
        <v>1</v>
      </c>
      <c r="S63" s="1818">
        <v>1</v>
      </c>
      <c r="T63" s="1818">
        <v>1</v>
      </c>
      <c r="U63" s="1818">
        <v>1</v>
      </c>
      <c r="V63" s="1818">
        <v>1</v>
      </c>
      <c r="W63" s="802"/>
      <c r="X63" s="802"/>
      <c r="Y63" s="1816">
        <v>9</v>
      </c>
      <c r="Z63" s="802">
        <v>9</v>
      </c>
      <c r="AA63" s="802">
        <v>9</v>
      </c>
      <c r="AB63" s="802">
        <v>9</v>
      </c>
      <c r="AC63" s="802">
        <v>9</v>
      </c>
      <c r="AD63" s="802" t="s">
        <v>70</v>
      </c>
      <c r="AE63" s="801" t="s">
        <v>72</v>
      </c>
      <c r="AF63" s="802" t="s">
        <v>35</v>
      </c>
      <c r="AG63" s="2553" t="s">
        <v>35</v>
      </c>
      <c r="AH63" s="1"/>
    </row>
    <row r="64" spans="1:35" ht="24" customHeight="1">
      <c r="A64" s="3277"/>
      <c r="B64" s="3300" t="s">
        <v>116</v>
      </c>
      <c r="C64" s="3256" t="s">
        <v>68</v>
      </c>
      <c r="D64" s="3256" t="s">
        <v>35</v>
      </c>
      <c r="E64" s="3244" t="s">
        <v>35</v>
      </c>
      <c r="F64" s="3256" t="s">
        <v>127</v>
      </c>
      <c r="G64" s="3299" t="s">
        <v>127</v>
      </c>
      <c r="H64" s="3299" t="s">
        <v>127</v>
      </c>
      <c r="I64" s="3299" t="s">
        <v>45</v>
      </c>
      <c r="J64" s="3299"/>
      <c r="K64" s="3299">
        <v>25</v>
      </c>
      <c r="L64" s="3256">
        <v>25</v>
      </c>
      <c r="M64" s="3256">
        <v>25</v>
      </c>
      <c r="N64" s="3256">
        <v>25</v>
      </c>
      <c r="O64" s="3256">
        <v>25</v>
      </c>
      <c r="P64" s="3299" t="s">
        <v>45</v>
      </c>
      <c r="Q64" s="3299"/>
      <c r="R64" s="3263" t="s">
        <v>31</v>
      </c>
      <c r="S64" s="3256">
        <v>99</v>
      </c>
      <c r="T64" s="3256">
        <v>99</v>
      </c>
      <c r="U64" s="3255">
        <v>99</v>
      </c>
      <c r="V64" s="3301" t="s">
        <v>35</v>
      </c>
      <c r="W64" s="3259">
        <v>26</v>
      </c>
      <c r="X64" s="3216" t="s">
        <v>456</v>
      </c>
      <c r="Y64" s="3294">
        <v>5</v>
      </c>
      <c r="Z64" s="3301"/>
      <c r="AA64" s="3301"/>
      <c r="AB64" s="3256"/>
      <c r="AC64" s="3256">
        <v>5</v>
      </c>
      <c r="AD64" s="3256" t="s">
        <v>67</v>
      </c>
      <c r="AE64" s="3256"/>
      <c r="AF64" s="3256">
        <v>69</v>
      </c>
      <c r="AG64" s="3260"/>
      <c r="AH64" s="1"/>
    </row>
    <row r="65" spans="1:34" ht="24" customHeight="1" thickBot="1">
      <c r="A65" s="3277"/>
      <c r="B65" s="3300" t="s">
        <v>122</v>
      </c>
      <c r="C65" s="3256">
        <v>26</v>
      </c>
      <c r="D65" s="3263" t="s">
        <v>31</v>
      </c>
      <c r="E65" s="3263" t="s">
        <v>31</v>
      </c>
      <c r="F65" s="3263" t="s">
        <v>31</v>
      </c>
      <c r="G65" s="3263" t="s">
        <v>31</v>
      </c>
      <c r="H65" s="3263" t="s">
        <v>31</v>
      </c>
      <c r="I65" s="3263"/>
      <c r="J65" s="3263"/>
      <c r="K65" s="3263" t="s">
        <v>31</v>
      </c>
      <c r="L65" s="3263" t="s">
        <v>31</v>
      </c>
      <c r="M65" s="3263" t="s">
        <v>31</v>
      </c>
      <c r="N65" s="3263" t="s">
        <v>31</v>
      </c>
      <c r="O65" s="3263" t="s">
        <v>31</v>
      </c>
      <c r="P65" s="3263"/>
      <c r="Q65" s="3263"/>
      <c r="R65" s="3256">
        <v>25</v>
      </c>
      <c r="S65" s="3256">
        <v>25</v>
      </c>
      <c r="T65" s="3256">
        <v>25</v>
      </c>
      <c r="U65" s="3299">
        <v>25</v>
      </c>
      <c r="V65" s="3299">
        <v>25</v>
      </c>
      <c r="W65" s="3299"/>
      <c r="X65" s="3299"/>
      <c r="Y65" s="3299">
        <v>26</v>
      </c>
      <c r="Z65" s="3256">
        <v>26</v>
      </c>
      <c r="AA65" s="3256">
        <v>26</v>
      </c>
      <c r="AB65" s="3256">
        <v>26</v>
      </c>
      <c r="AC65" s="3256">
        <v>26</v>
      </c>
      <c r="AD65" s="3256"/>
      <c r="AE65" s="3256"/>
      <c r="AF65" s="3256">
        <v>10</v>
      </c>
      <c r="AG65" s="3260">
        <v>10</v>
      </c>
      <c r="AH65" s="1"/>
    </row>
    <row r="66" spans="1:34" ht="24" customHeight="1">
      <c r="A66" s="3277"/>
      <c r="B66" s="3277" t="s">
        <v>124</v>
      </c>
      <c r="C66" s="3256" t="s">
        <v>0</v>
      </c>
      <c r="D66" s="3302">
        <v>5</v>
      </c>
      <c r="E66" s="3302">
        <v>5</v>
      </c>
      <c r="F66" s="3302">
        <v>5</v>
      </c>
      <c r="G66" s="3302">
        <v>5</v>
      </c>
      <c r="H66" s="3302">
        <v>5</v>
      </c>
      <c r="I66" s="3302">
        <v>23</v>
      </c>
      <c r="J66" s="3303"/>
      <c r="K66" s="3302">
        <v>21</v>
      </c>
      <c r="L66" s="1839">
        <v>21</v>
      </c>
      <c r="M66" s="1839">
        <v>21</v>
      </c>
      <c r="N66" s="1839">
        <v>21</v>
      </c>
      <c r="O66" s="1839">
        <v>21</v>
      </c>
      <c r="P66" s="1839">
        <v>21</v>
      </c>
      <c r="Q66" s="1839">
        <v>21</v>
      </c>
      <c r="R66" s="3256" t="s">
        <v>35</v>
      </c>
      <c r="S66" s="3255" t="s">
        <v>35</v>
      </c>
      <c r="T66" s="3255" t="s">
        <v>35</v>
      </c>
      <c r="U66" s="3258" t="s">
        <v>31</v>
      </c>
      <c r="V66" s="3258" t="s">
        <v>31</v>
      </c>
      <c r="W66" s="3302">
        <v>26</v>
      </c>
      <c r="X66" s="3302">
        <v>21</v>
      </c>
      <c r="Y66" s="3256" t="s">
        <v>110</v>
      </c>
      <c r="Z66" s="3256"/>
      <c r="AA66" s="3256"/>
      <c r="AB66" s="3256"/>
      <c r="AC66" s="3256">
        <v>79</v>
      </c>
      <c r="AD66" s="3303" t="s">
        <v>0</v>
      </c>
      <c r="AE66" s="3256"/>
      <c r="AF66" s="3256">
        <v>99</v>
      </c>
      <c r="AG66" s="3260"/>
      <c r="AH66" s="1"/>
    </row>
    <row r="67" spans="1:34" ht="24" customHeight="1">
      <c r="A67" s="3277"/>
      <c r="B67" s="3300" t="s">
        <v>126</v>
      </c>
      <c r="C67" s="3255"/>
      <c r="D67" s="3299" t="s">
        <v>31</v>
      </c>
      <c r="E67" s="3299" t="s">
        <v>31</v>
      </c>
      <c r="F67" s="3299" t="s">
        <v>31</v>
      </c>
      <c r="G67" s="3258" t="s">
        <v>31</v>
      </c>
      <c r="H67" s="3299" t="s">
        <v>31</v>
      </c>
      <c r="I67" s="3303" t="s">
        <v>0</v>
      </c>
      <c r="J67" s="3256"/>
      <c r="K67" s="3299" t="s">
        <v>31</v>
      </c>
      <c r="L67" s="3299" t="s">
        <v>31</v>
      </c>
      <c r="M67" s="3299" t="s">
        <v>31</v>
      </c>
      <c r="N67" s="3299" t="s">
        <v>31</v>
      </c>
      <c r="O67" s="3299" t="s">
        <v>31</v>
      </c>
      <c r="P67" s="3256"/>
      <c r="Q67" s="3256"/>
      <c r="R67" s="3263" t="s">
        <v>31</v>
      </c>
      <c r="S67" s="3263" t="s">
        <v>31</v>
      </c>
      <c r="T67" s="3263" t="s">
        <v>31</v>
      </c>
      <c r="U67" s="3263" t="s">
        <v>31</v>
      </c>
      <c r="V67" s="3263" t="s">
        <v>31</v>
      </c>
      <c r="W67" s="3263"/>
      <c r="X67" s="3263"/>
      <c r="Y67" s="3299" t="s">
        <v>31</v>
      </c>
      <c r="Z67" s="3255"/>
      <c r="AA67" s="3256"/>
      <c r="AB67" s="3255"/>
      <c r="AC67" s="3299" t="s">
        <v>31</v>
      </c>
      <c r="AD67" s="3255"/>
      <c r="AE67" s="3255"/>
      <c r="AF67" s="3299" t="s">
        <v>31</v>
      </c>
      <c r="AG67" s="3260"/>
      <c r="AH67" s="1"/>
    </row>
    <row r="68" spans="1:34" ht="24" customHeight="1">
      <c r="A68" s="3277"/>
      <c r="B68" s="3300" t="s">
        <v>129</v>
      </c>
      <c r="C68" s="3263"/>
      <c r="D68" s="3304">
        <v>25</v>
      </c>
      <c r="E68" s="3256">
        <v>25</v>
      </c>
      <c r="F68" s="3256">
        <v>25</v>
      </c>
      <c r="G68" s="3304">
        <v>25</v>
      </c>
      <c r="H68" s="3304">
        <v>25</v>
      </c>
      <c r="I68" s="3304" t="s">
        <v>45</v>
      </c>
      <c r="J68" s="3304" t="s">
        <v>45</v>
      </c>
      <c r="K68" s="3304">
        <v>26</v>
      </c>
      <c r="L68" s="3256">
        <v>26</v>
      </c>
      <c r="M68" s="3256">
        <v>26</v>
      </c>
      <c r="N68" s="3215">
        <v>26</v>
      </c>
      <c r="O68" s="3215">
        <v>26</v>
      </c>
      <c r="P68" s="3215">
        <v>26</v>
      </c>
      <c r="Q68" s="3215" t="s">
        <v>456</v>
      </c>
      <c r="R68" s="3305" t="s">
        <v>31</v>
      </c>
      <c r="S68" s="3305" t="s">
        <v>31</v>
      </c>
      <c r="T68" s="3255" t="s">
        <v>31</v>
      </c>
      <c r="U68" s="3255" t="s">
        <v>31</v>
      </c>
      <c r="V68" s="3255" t="s">
        <v>121</v>
      </c>
      <c r="W68" s="3256"/>
      <c r="X68" s="3256"/>
      <c r="Y68" s="3256" t="s">
        <v>127</v>
      </c>
      <c r="Z68" s="3256"/>
      <c r="AA68" s="3256"/>
      <c r="AB68" s="3256"/>
      <c r="AC68" s="3255" t="s">
        <v>127</v>
      </c>
      <c r="AD68" s="3256">
        <v>89</v>
      </c>
      <c r="AE68" s="3256"/>
      <c r="AF68" s="3256" t="s">
        <v>127</v>
      </c>
      <c r="AG68" s="3306"/>
      <c r="AH68" s="1"/>
    </row>
    <row r="69" spans="1:34" ht="24" customHeight="1" thickBot="1">
      <c r="A69" s="3300"/>
      <c r="B69" s="3307" t="s">
        <v>130</v>
      </c>
      <c r="C69" s="3303"/>
      <c r="D69" s="3304" t="s">
        <v>127</v>
      </c>
      <c r="E69" s="3256" t="s">
        <v>127</v>
      </c>
      <c r="F69" s="3308">
        <v>25</v>
      </c>
      <c r="G69" s="3304" t="s">
        <v>35</v>
      </c>
      <c r="H69" s="3304" t="s">
        <v>35</v>
      </c>
      <c r="I69" s="3304" t="s">
        <v>75</v>
      </c>
      <c r="J69" s="3304" t="s">
        <v>69</v>
      </c>
      <c r="K69" s="3304" t="s">
        <v>110</v>
      </c>
      <c r="L69" s="3304" t="s">
        <v>110</v>
      </c>
      <c r="M69" s="3304" t="s">
        <v>110</v>
      </c>
      <c r="N69" s="3304" t="s">
        <v>110</v>
      </c>
      <c r="O69" s="3304" t="s">
        <v>110</v>
      </c>
      <c r="P69" s="3256"/>
      <c r="Q69" s="3256"/>
      <c r="R69" s="3256">
        <v>21</v>
      </c>
      <c r="S69" s="3256">
        <v>21</v>
      </c>
      <c r="T69" s="3256">
        <v>21</v>
      </c>
      <c r="U69" s="3256">
        <v>21</v>
      </c>
      <c r="V69" s="3256">
        <v>21</v>
      </c>
      <c r="W69" s="3256">
        <v>21</v>
      </c>
      <c r="X69" s="3256"/>
      <c r="Y69" s="3256">
        <v>79</v>
      </c>
      <c r="Z69" s="3256"/>
      <c r="AA69" s="3256"/>
      <c r="AB69" s="3256"/>
      <c r="AC69" s="3258" t="s">
        <v>31</v>
      </c>
      <c r="AD69" s="3256"/>
      <c r="AE69" s="3256"/>
      <c r="AF69" s="3309" t="s">
        <v>110</v>
      </c>
      <c r="AG69" s="3310" t="s">
        <v>108</v>
      </c>
      <c r="AH69" s="1"/>
    </row>
    <row r="70" spans="1:34" ht="24" customHeight="1">
      <c r="A70" s="3300"/>
      <c r="B70" s="3311" t="s">
        <v>132</v>
      </c>
      <c r="C70" s="3294" t="s">
        <v>45</v>
      </c>
      <c r="D70" s="3312">
        <v>69</v>
      </c>
      <c r="E70" s="3312">
        <v>69</v>
      </c>
      <c r="F70" s="3312">
        <v>69</v>
      </c>
      <c r="G70" s="3312">
        <v>69</v>
      </c>
      <c r="H70" s="3312">
        <v>69</v>
      </c>
      <c r="I70" s="3294"/>
      <c r="J70" s="3294"/>
      <c r="K70" s="3294" t="s">
        <v>127</v>
      </c>
      <c r="L70" s="3294" t="s">
        <v>127</v>
      </c>
      <c r="M70" s="3294" t="s">
        <v>127</v>
      </c>
      <c r="N70" s="3294" t="s">
        <v>127</v>
      </c>
      <c r="O70" s="3294">
        <v>1</v>
      </c>
      <c r="P70" s="3294"/>
      <c r="Q70" s="3294"/>
      <c r="R70" s="3294">
        <v>1</v>
      </c>
      <c r="S70" s="3294">
        <v>1</v>
      </c>
      <c r="T70" s="3294">
        <v>1</v>
      </c>
      <c r="U70" s="3294">
        <v>1</v>
      </c>
      <c r="V70" s="3294">
        <v>1</v>
      </c>
      <c r="W70" s="3294">
        <v>89</v>
      </c>
      <c r="X70" s="3294"/>
      <c r="Y70" s="3294">
        <v>69</v>
      </c>
      <c r="Z70" s="3294"/>
      <c r="AA70" s="3294"/>
      <c r="AB70" s="3294"/>
      <c r="AC70" s="3294">
        <v>89</v>
      </c>
      <c r="AD70" s="3294"/>
      <c r="AE70" s="3294"/>
      <c r="AF70" s="3312">
        <v>89</v>
      </c>
      <c r="AG70" s="3313"/>
      <c r="AH70" s="1"/>
    </row>
    <row r="71" spans="1:34" ht="24" customHeight="1">
      <c r="A71" s="3303"/>
      <c r="B71" s="3261" t="s">
        <v>133</v>
      </c>
      <c r="C71" s="3256" t="s">
        <v>45</v>
      </c>
      <c r="D71" s="3256">
        <v>26</v>
      </c>
      <c r="E71" s="3256">
        <v>26</v>
      </c>
      <c r="F71" s="3256">
        <v>26</v>
      </c>
      <c r="G71" s="3256">
        <v>26</v>
      </c>
      <c r="H71" s="3256">
        <v>26</v>
      </c>
      <c r="I71" s="3255">
        <v>26</v>
      </c>
      <c r="J71" s="3255">
        <v>26</v>
      </c>
      <c r="K71" s="3255" t="s">
        <v>35</v>
      </c>
      <c r="L71" s="3303" t="s">
        <v>35</v>
      </c>
      <c r="M71" s="3299" t="s">
        <v>35</v>
      </c>
      <c r="N71" s="3299">
        <v>89</v>
      </c>
      <c r="O71" s="3256" t="s">
        <v>237</v>
      </c>
      <c r="P71" s="3302">
        <v>26</v>
      </c>
      <c r="Q71" s="3302">
        <v>26</v>
      </c>
      <c r="R71" s="3256" t="s">
        <v>31</v>
      </c>
      <c r="S71" s="3256" t="s">
        <v>31</v>
      </c>
      <c r="T71" s="3302" t="s">
        <v>31</v>
      </c>
      <c r="U71" s="3302" t="s">
        <v>31</v>
      </c>
      <c r="V71" s="3256" t="s">
        <v>31</v>
      </c>
      <c r="W71" s="3294" t="s">
        <v>45</v>
      </c>
      <c r="X71" s="3294" t="s">
        <v>45</v>
      </c>
      <c r="Y71" s="3256">
        <v>99</v>
      </c>
      <c r="Z71" s="3256"/>
      <c r="AA71" s="3256"/>
      <c r="AB71" s="3256"/>
      <c r="AC71" s="3258" t="s">
        <v>31</v>
      </c>
      <c r="AD71" s="3256"/>
      <c r="AE71" s="3256"/>
      <c r="AF71" s="3258" t="s">
        <v>31</v>
      </c>
      <c r="AG71" s="3260" t="s">
        <v>0</v>
      </c>
      <c r="AH71" s="1"/>
    </row>
    <row r="72" spans="1:34" ht="24" customHeight="1">
      <c r="A72" s="3303"/>
      <c r="B72" s="3314" t="s">
        <v>374</v>
      </c>
      <c r="C72" s="3315"/>
      <c r="D72" s="3256" t="s">
        <v>31</v>
      </c>
      <c r="E72" s="3256" t="s">
        <v>31</v>
      </c>
      <c r="F72" s="3256" t="s">
        <v>31</v>
      </c>
      <c r="G72" s="3256" t="s">
        <v>31</v>
      </c>
      <c r="H72" s="3256" t="s">
        <v>31</v>
      </c>
      <c r="I72" s="3256"/>
      <c r="J72" s="3256"/>
      <c r="K72" s="3256" t="s">
        <v>31</v>
      </c>
      <c r="L72" s="3256" t="s">
        <v>31</v>
      </c>
      <c r="M72" s="3256" t="s">
        <v>31</v>
      </c>
      <c r="N72" s="3256" t="s">
        <v>31</v>
      </c>
      <c r="O72" s="3256" t="s">
        <v>31</v>
      </c>
      <c r="P72" s="3316"/>
      <c r="Q72" s="3316"/>
      <c r="R72" s="3256" t="s">
        <v>31</v>
      </c>
      <c r="S72" s="3256" t="s">
        <v>31</v>
      </c>
      <c r="T72" s="3256" t="s">
        <v>31</v>
      </c>
      <c r="U72" s="2929" t="s">
        <v>31</v>
      </c>
      <c r="V72" s="3256" t="s">
        <v>31</v>
      </c>
      <c r="W72" s="3298"/>
      <c r="X72" s="3256"/>
      <c r="Y72" s="3256" t="s">
        <v>31</v>
      </c>
      <c r="Z72" s="3298"/>
      <c r="AA72" s="3298"/>
      <c r="AB72" s="3256"/>
      <c r="AC72" s="3317" t="s">
        <v>31</v>
      </c>
      <c r="AD72" s="3256"/>
      <c r="AE72" s="3256"/>
      <c r="AF72" s="3256" t="s">
        <v>31</v>
      </c>
      <c r="AG72" s="3306"/>
      <c r="AH72" s="1"/>
    </row>
    <row r="73" spans="1:34" ht="24" customHeight="1" thickBot="1">
      <c r="A73" s="3303"/>
      <c r="B73" s="3300" t="s">
        <v>137</v>
      </c>
      <c r="C73" s="3303"/>
      <c r="D73" s="3303"/>
      <c r="E73" s="3303"/>
      <c r="F73" s="3303"/>
      <c r="G73" s="3303"/>
      <c r="H73" s="3303"/>
      <c r="I73" s="3303"/>
      <c r="J73" s="3303"/>
      <c r="K73" s="3318" t="s">
        <v>31</v>
      </c>
      <c r="L73" s="3318" t="s">
        <v>31</v>
      </c>
      <c r="M73" s="3318" t="s">
        <v>31</v>
      </c>
      <c r="N73" s="3318" t="s">
        <v>115</v>
      </c>
      <c r="O73" s="3318" t="s">
        <v>115</v>
      </c>
      <c r="P73" s="3303"/>
      <c r="Q73" s="3303"/>
      <c r="R73" s="3318">
        <v>89</v>
      </c>
      <c r="S73" s="3318">
        <v>89</v>
      </c>
      <c r="T73" s="3318">
        <v>89</v>
      </c>
      <c r="U73" s="3318">
        <v>89</v>
      </c>
      <c r="V73" s="3318">
        <v>89</v>
      </c>
      <c r="W73" s="3303"/>
      <c r="X73" s="3303"/>
      <c r="Y73" s="3303" t="s">
        <v>35</v>
      </c>
      <c r="Z73" s="3303"/>
      <c r="AA73" s="3303"/>
      <c r="AB73" s="3303"/>
      <c r="AC73" s="3303" t="s">
        <v>35</v>
      </c>
      <c r="AD73" s="3303"/>
      <c r="AE73" s="3303"/>
      <c r="AF73" s="3303" t="s">
        <v>35</v>
      </c>
      <c r="AG73" s="3319"/>
      <c r="AH73" s="1"/>
    </row>
    <row r="74" spans="1:34" ht="24" customHeight="1" thickBot="1">
      <c r="A74" s="423"/>
      <c r="B74" s="2636" t="s">
        <v>135</v>
      </c>
      <c r="C74" s="1839">
        <v>23</v>
      </c>
      <c r="D74" s="3304" t="s">
        <v>35</v>
      </c>
      <c r="E74" s="3304" t="s">
        <v>35</v>
      </c>
      <c r="F74" s="3304" t="s">
        <v>35</v>
      </c>
      <c r="G74" s="3304" t="s">
        <v>35</v>
      </c>
      <c r="H74" s="3304" t="s">
        <v>35</v>
      </c>
      <c r="I74" s="1840" t="s">
        <v>45</v>
      </c>
      <c r="J74" s="1840" t="s">
        <v>45</v>
      </c>
      <c r="K74" s="1840">
        <v>6</v>
      </c>
      <c r="L74" s="2587">
        <v>6</v>
      </c>
      <c r="M74" s="2587">
        <v>6</v>
      </c>
      <c r="N74" s="2587">
        <v>6</v>
      </c>
      <c r="O74" s="2587">
        <v>6</v>
      </c>
      <c r="P74" s="2587"/>
      <c r="Q74" s="2587"/>
      <c r="R74" s="2587">
        <v>23</v>
      </c>
      <c r="S74" s="2587">
        <v>23</v>
      </c>
      <c r="T74" s="2587">
        <v>23</v>
      </c>
      <c r="U74" s="1839" t="s">
        <v>31</v>
      </c>
      <c r="V74" s="3299" t="s">
        <v>31</v>
      </c>
      <c r="W74" s="1839" t="s">
        <v>0</v>
      </c>
      <c r="X74" s="1839" t="s">
        <v>0</v>
      </c>
      <c r="Y74" s="3299" t="s">
        <v>31</v>
      </c>
      <c r="Z74" s="802" t="s">
        <v>35</v>
      </c>
      <c r="AA74" s="1839"/>
      <c r="AB74" s="1839"/>
      <c r="AC74" s="1839"/>
      <c r="AD74" s="1839"/>
      <c r="AE74" s="1839"/>
      <c r="AF74" s="3256" t="s">
        <v>0</v>
      </c>
      <c r="AG74" s="3320" t="s">
        <v>0</v>
      </c>
      <c r="AH74" s="1"/>
    </row>
    <row r="75" spans="1:34" ht="24" customHeight="1" thickBot="1">
      <c r="A75" s="2628"/>
      <c r="B75" s="3040"/>
      <c r="C75" s="2328"/>
      <c r="D75" s="2328"/>
      <c r="E75" s="2328"/>
      <c r="F75" s="2328"/>
      <c r="G75" s="2328"/>
      <c r="H75" s="2328"/>
      <c r="I75" s="2328"/>
      <c r="J75" s="2328"/>
      <c r="K75" s="2328"/>
      <c r="L75" s="2328"/>
      <c r="M75" s="2328"/>
      <c r="N75" s="2328"/>
      <c r="O75" s="2328"/>
      <c r="P75" s="2328"/>
      <c r="Q75" s="2328"/>
      <c r="R75" s="2328"/>
      <c r="S75" s="2328"/>
      <c r="T75" s="2328"/>
      <c r="U75" s="2328"/>
      <c r="V75" s="2328"/>
      <c r="W75" s="2328"/>
      <c r="X75" s="2328"/>
      <c r="Y75" s="2328"/>
      <c r="Z75" s="2328"/>
      <c r="AA75" s="2328"/>
      <c r="AB75" s="2328"/>
      <c r="AC75" s="2328"/>
      <c r="AD75" s="2328"/>
      <c r="AE75" s="2328"/>
      <c r="AF75" s="2328"/>
      <c r="AG75" s="3041"/>
      <c r="AH75" s="1"/>
    </row>
    <row r="76" spans="1:34" ht="24" customHeight="1" thickBot="1">
      <c r="A76" s="2631"/>
      <c r="B76" s="2632" t="s">
        <v>138</v>
      </c>
      <c r="C76" s="3249">
        <v>1</v>
      </c>
      <c r="D76" s="3250">
        <v>2</v>
      </c>
      <c r="E76" s="3250">
        <v>3</v>
      </c>
      <c r="F76" s="3250">
        <v>4</v>
      </c>
      <c r="G76" s="3250">
        <v>5</v>
      </c>
      <c r="H76" s="3250">
        <v>6</v>
      </c>
      <c r="I76" s="3249">
        <v>7</v>
      </c>
      <c r="J76" s="3249">
        <v>8</v>
      </c>
      <c r="K76" s="3250">
        <v>9</v>
      </c>
      <c r="L76" s="3250">
        <v>10</v>
      </c>
      <c r="M76" s="3250">
        <v>11</v>
      </c>
      <c r="N76" s="3250">
        <v>12</v>
      </c>
      <c r="O76" s="3250">
        <v>13</v>
      </c>
      <c r="P76" s="3249">
        <v>14</v>
      </c>
      <c r="Q76" s="3249">
        <v>15</v>
      </c>
      <c r="R76" s="3250">
        <v>16</v>
      </c>
      <c r="S76" s="3250">
        <v>17</v>
      </c>
      <c r="T76" s="3250">
        <v>18</v>
      </c>
      <c r="U76" s="3250">
        <v>19</v>
      </c>
      <c r="V76" s="3250">
        <v>20</v>
      </c>
      <c r="W76" s="3249">
        <v>21</v>
      </c>
      <c r="X76" s="3249">
        <v>22</v>
      </c>
      <c r="Y76" s="3250">
        <v>23</v>
      </c>
      <c r="Z76" s="3249">
        <v>24</v>
      </c>
      <c r="AA76" s="3249">
        <v>25</v>
      </c>
      <c r="AB76" s="3249">
        <v>26</v>
      </c>
      <c r="AC76" s="3250">
        <v>27</v>
      </c>
      <c r="AD76" s="3249">
        <v>28</v>
      </c>
      <c r="AE76" s="3249">
        <v>29</v>
      </c>
      <c r="AF76" s="3250">
        <v>30</v>
      </c>
      <c r="AG76" s="3251">
        <v>31</v>
      </c>
      <c r="AH76" s="1"/>
    </row>
    <row r="77" spans="1:34" ht="24" customHeight="1">
      <c r="A77" s="2636"/>
      <c r="B77" s="2636" t="s">
        <v>0</v>
      </c>
      <c r="C77" s="1839" t="s">
        <v>0</v>
      </c>
      <c r="D77" s="3256"/>
      <c r="E77" s="3256"/>
      <c r="F77" s="3256"/>
      <c r="G77" s="3256"/>
      <c r="H77" s="3256"/>
      <c r="I77" s="3256"/>
      <c r="J77" s="3256"/>
      <c r="K77" s="3256"/>
      <c r="L77" s="3256"/>
      <c r="M77" s="3256"/>
      <c r="N77" s="3256"/>
      <c r="O77" s="3256"/>
      <c r="P77" s="3256"/>
      <c r="Q77" s="3256"/>
      <c r="R77" s="3256"/>
      <c r="S77" s="3256"/>
      <c r="T77" s="3256"/>
      <c r="U77" s="3256"/>
      <c r="V77" s="3256"/>
      <c r="W77" s="3256"/>
      <c r="X77" s="3256"/>
      <c r="Y77" s="3256"/>
      <c r="Z77" s="3256"/>
      <c r="AA77" s="3256"/>
      <c r="AB77" s="3256"/>
      <c r="AC77" s="3256"/>
      <c r="AD77" s="3256"/>
      <c r="AE77" s="3256"/>
      <c r="AF77" s="3256"/>
      <c r="AG77" s="3256"/>
      <c r="AH77" s="1"/>
    </row>
    <row r="78" spans="1:34" ht="24" customHeight="1">
      <c r="A78" s="3300"/>
      <c r="B78" s="3300" t="s">
        <v>139</v>
      </c>
      <c r="C78" s="3256"/>
      <c r="D78" s="3299">
        <v>4</v>
      </c>
      <c r="E78" s="3299">
        <v>4</v>
      </c>
      <c r="F78" s="3299">
        <v>4</v>
      </c>
      <c r="G78" s="3299">
        <v>4</v>
      </c>
      <c r="H78" s="3299">
        <v>4</v>
      </c>
      <c r="I78" s="3256"/>
      <c r="J78" s="3256"/>
      <c r="K78" s="3299">
        <v>4</v>
      </c>
      <c r="L78" s="3299">
        <v>4</v>
      </c>
      <c r="M78" s="3299">
        <v>4</v>
      </c>
      <c r="N78" s="3299">
        <v>4</v>
      </c>
      <c r="O78" s="3299">
        <v>4</v>
      </c>
      <c r="P78" s="3316"/>
      <c r="Q78" s="3316"/>
      <c r="R78" s="3316">
        <v>3</v>
      </c>
      <c r="S78" s="3256">
        <v>3</v>
      </c>
      <c r="T78" s="3256">
        <v>3</v>
      </c>
      <c r="U78" s="3298" t="s">
        <v>354</v>
      </c>
      <c r="V78" s="3298" t="s">
        <v>354</v>
      </c>
      <c r="W78" s="3298"/>
      <c r="X78" s="3256"/>
      <c r="Y78" s="3298" t="s">
        <v>457</v>
      </c>
      <c r="Z78" s="3298"/>
      <c r="AA78" s="3298"/>
      <c r="AB78" s="3256"/>
      <c r="AC78" s="3294">
        <v>69</v>
      </c>
      <c r="AD78" s="3256"/>
      <c r="AE78" s="3256"/>
      <c r="AF78" s="3303">
        <v>79</v>
      </c>
      <c r="AG78" s="3306"/>
      <c r="AH78" s="1"/>
    </row>
    <row r="79" spans="1:34" ht="24" customHeight="1">
      <c r="A79" s="3321"/>
      <c r="B79" s="3300"/>
      <c r="C79" s="3256"/>
      <c r="D79" s="3256"/>
      <c r="E79" s="3256"/>
      <c r="F79" s="3256"/>
      <c r="G79" s="3256"/>
      <c r="H79" s="3256"/>
      <c r="I79" s="3256"/>
      <c r="J79" s="3256"/>
      <c r="K79" s="3256"/>
      <c r="L79" s="3256"/>
      <c r="M79" s="3256"/>
      <c r="N79" s="3256"/>
      <c r="O79" s="3256"/>
      <c r="P79" s="3256"/>
      <c r="Q79" s="3256"/>
      <c r="R79" s="3256"/>
      <c r="S79" s="3256"/>
      <c r="T79" s="3256"/>
      <c r="U79" s="3256"/>
      <c r="V79" s="3256"/>
      <c r="W79" s="3256"/>
      <c r="X79" s="3256"/>
      <c r="Y79" s="3256"/>
      <c r="Z79" s="3256"/>
      <c r="AA79" s="3256"/>
      <c r="AB79" s="3256"/>
      <c r="AC79" s="3256"/>
      <c r="AD79" s="3256"/>
      <c r="AE79" s="3256"/>
      <c r="AF79" s="3256"/>
      <c r="AG79" s="3320"/>
      <c r="AH79" s="1"/>
    </row>
    <row r="80" spans="1:34" ht="24" customHeight="1" thickBot="1">
      <c r="A80" s="401"/>
      <c r="B80" s="402"/>
      <c r="C80" s="418"/>
      <c r="D80" s="424"/>
      <c r="E80" s="424"/>
      <c r="F80" s="424"/>
      <c r="G80" s="424"/>
      <c r="H80" s="424"/>
      <c r="I80" s="418"/>
      <c r="J80" s="418"/>
      <c r="K80" s="424"/>
      <c r="L80" s="424"/>
      <c r="M80" s="424"/>
      <c r="N80" s="424"/>
      <c r="O80" s="424"/>
      <c r="P80" s="408"/>
      <c r="Q80" s="408"/>
      <c r="R80" s="418"/>
      <c r="S80" s="408"/>
      <c r="T80" s="408"/>
      <c r="U80" s="408"/>
      <c r="V80" s="408"/>
      <c r="W80" s="408"/>
      <c r="X80" s="418"/>
      <c r="Y80" s="408"/>
      <c r="Z80" s="408"/>
      <c r="AA80" s="408"/>
      <c r="AB80" s="408"/>
      <c r="AC80" s="418"/>
      <c r="AD80" s="408"/>
      <c r="AE80" s="408"/>
      <c r="AF80" s="418"/>
      <c r="AG80" s="28"/>
      <c r="AH80" s="1"/>
    </row>
    <row r="81" spans="1:35" ht="24" customHeight="1" thickBot="1">
      <c r="A81" s="44"/>
      <c r="B81" s="45" t="s">
        <v>147</v>
      </c>
      <c r="C81" s="46"/>
      <c r="D81" s="47"/>
      <c r="E81" s="47"/>
      <c r="F81" s="47"/>
      <c r="G81" s="47"/>
      <c r="H81" s="47"/>
      <c r="I81" s="46"/>
      <c r="J81" s="46"/>
      <c r="K81" s="47"/>
      <c r="L81" s="47"/>
      <c r="M81" s="47"/>
      <c r="N81" s="47"/>
      <c r="O81" s="47"/>
      <c r="P81" s="46"/>
      <c r="Q81" s="46"/>
      <c r="R81" s="46"/>
      <c r="S81" s="48"/>
      <c r="T81" s="48"/>
      <c r="U81" s="48"/>
      <c r="V81" s="49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50"/>
      <c r="AH81" s="1"/>
    </row>
    <row r="82" spans="1:35" ht="24" customHeight="1" thickBot="1">
      <c r="A82" s="51"/>
      <c r="B82" s="52" t="s">
        <v>148</v>
      </c>
      <c r="C82" s="2981" t="s">
        <v>0</v>
      </c>
      <c r="D82" s="2981">
        <v>1</v>
      </c>
      <c r="E82" s="2981">
        <v>1</v>
      </c>
      <c r="F82" s="2981">
        <v>1</v>
      </c>
      <c r="G82" s="2981">
        <v>1</v>
      </c>
      <c r="H82" s="2981">
        <v>1</v>
      </c>
      <c r="I82" s="2981"/>
      <c r="J82" s="2981"/>
      <c r="K82" s="2981">
        <v>9</v>
      </c>
      <c r="L82" s="2981">
        <v>9</v>
      </c>
      <c r="M82" s="2981">
        <v>9</v>
      </c>
      <c r="N82" s="2981">
        <v>9</v>
      </c>
      <c r="O82" s="2981">
        <v>9</v>
      </c>
      <c r="P82" s="2981" t="s">
        <v>72</v>
      </c>
      <c r="Q82" s="2981" t="s">
        <v>72</v>
      </c>
      <c r="R82" s="2981" t="s">
        <v>35</v>
      </c>
      <c r="S82" s="2981" t="s">
        <v>35</v>
      </c>
      <c r="T82" s="2981" t="s">
        <v>35</v>
      </c>
      <c r="U82" s="2981" t="s">
        <v>35</v>
      </c>
      <c r="V82" s="2981" t="s">
        <v>35</v>
      </c>
      <c r="W82" s="2981" t="s">
        <v>75</v>
      </c>
      <c r="X82" s="2981" t="s">
        <v>69</v>
      </c>
      <c r="Y82" s="2981">
        <v>6</v>
      </c>
      <c r="Z82" s="2981">
        <v>6</v>
      </c>
      <c r="AA82" s="2981">
        <v>6</v>
      </c>
      <c r="AB82" s="2981">
        <v>6</v>
      </c>
      <c r="AC82" s="2981"/>
      <c r="AD82" s="2981"/>
      <c r="AE82" s="2981" t="s">
        <v>35</v>
      </c>
      <c r="AF82" s="2983" t="s">
        <v>35</v>
      </c>
      <c r="AG82" s="53"/>
      <c r="AH82" s="1"/>
    </row>
    <row r="83" spans="1:35" ht="24" customHeight="1">
      <c r="A83" s="37" t="s">
        <v>149</v>
      </c>
      <c r="AH83" s="1"/>
    </row>
    <row r="84" spans="1:35" ht="24" customHeight="1" thickBot="1">
      <c r="A84" s="3025"/>
      <c r="B84" s="2978" t="s">
        <v>29</v>
      </c>
      <c r="C84" s="3249">
        <v>1</v>
      </c>
      <c r="D84" s="3250">
        <v>2</v>
      </c>
      <c r="E84" s="3250">
        <v>3</v>
      </c>
      <c r="F84" s="3250">
        <v>4</v>
      </c>
      <c r="G84" s="3250">
        <v>5</v>
      </c>
      <c r="H84" s="3250">
        <v>6</v>
      </c>
      <c r="I84" s="3249">
        <v>7</v>
      </c>
      <c r="J84" s="3249">
        <v>8</v>
      </c>
      <c r="K84" s="3250">
        <v>9</v>
      </c>
      <c r="L84" s="3250">
        <v>10</v>
      </c>
      <c r="M84" s="3250">
        <v>11</v>
      </c>
      <c r="N84" s="3250">
        <v>12</v>
      </c>
      <c r="O84" s="3250">
        <v>13</v>
      </c>
      <c r="P84" s="3249">
        <v>14</v>
      </c>
      <c r="Q84" s="3249">
        <v>15</v>
      </c>
      <c r="R84" s="3250">
        <v>16</v>
      </c>
      <c r="S84" s="3250">
        <v>17</v>
      </c>
      <c r="T84" s="3250">
        <v>18</v>
      </c>
      <c r="U84" s="3250">
        <v>19</v>
      </c>
      <c r="V84" s="3250">
        <v>20</v>
      </c>
      <c r="W84" s="3249">
        <v>21</v>
      </c>
      <c r="X84" s="3249">
        <v>22</v>
      </c>
      <c r="Y84" s="3250">
        <v>23</v>
      </c>
      <c r="Z84" s="3249">
        <v>24</v>
      </c>
      <c r="AA84" s="3249">
        <v>25</v>
      </c>
      <c r="AB84" s="3249">
        <v>26</v>
      </c>
      <c r="AC84" s="3250">
        <v>27</v>
      </c>
      <c r="AD84" s="3249">
        <v>28</v>
      </c>
      <c r="AE84" s="3249">
        <v>29</v>
      </c>
      <c r="AF84" s="3250">
        <v>30</v>
      </c>
      <c r="AG84" s="3251">
        <v>31</v>
      </c>
      <c r="AH84" s="1"/>
    </row>
    <row r="85" spans="1:35" ht="24" customHeight="1" thickBot="1">
      <c r="A85" s="2644"/>
      <c r="B85" s="2645" t="s">
        <v>150</v>
      </c>
      <c r="C85" s="1816"/>
      <c r="D85" s="2646"/>
      <c r="E85" s="1816"/>
      <c r="F85" s="1816"/>
      <c r="G85" s="1816"/>
      <c r="H85" s="1816"/>
      <c r="I85" s="1816"/>
      <c r="J85" s="1816"/>
      <c r="K85" s="1816"/>
      <c r="L85" s="1816"/>
      <c r="M85" s="1816"/>
      <c r="N85" s="1816"/>
      <c r="O85" s="1816"/>
      <c r="P85" s="1816"/>
      <c r="Q85" s="1816"/>
      <c r="R85" s="1816"/>
      <c r="S85" s="1816"/>
      <c r="T85" s="1816"/>
      <c r="U85" s="1816"/>
      <c r="V85" s="1816"/>
      <c r="W85" s="1816"/>
      <c r="X85" s="1816"/>
      <c r="Y85" s="1816"/>
      <c r="Z85" s="1816"/>
      <c r="AA85" s="1816"/>
      <c r="AB85" s="1816"/>
      <c r="AC85" s="1816"/>
      <c r="AD85" s="1816"/>
      <c r="AE85" s="1816"/>
      <c r="AF85" s="1816"/>
      <c r="AG85" s="1819"/>
      <c r="AH85" s="1"/>
    </row>
    <row r="86" spans="1:35" ht="24" customHeight="1">
      <c r="A86" s="3045">
        <v>1</v>
      </c>
      <c r="B86" s="2647"/>
      <c r="C86" s="3322"/>
      <c r="D86" s="3322"/>
      <c r="E86" s="2646"/>
      <c r="F86" s="2646"/>
      <c r="G86" s="3322"/>
      <c r="H86" s="3322"/>
      <c r="I86" s="3322"/>
      <c r="J86" s="3322"/>
      <c r="K86" s="3322"/>
      <c r="L86" s="2646"/>
      <c r="M86" s="2646"/>
      <c r="N86" s="3322"/>
      <c r="O86" s="3322"/>
      <c r="P86" s="3322"/>
      <c r="Q86" s="3322"/>
      <c r="R86" s="3322"/>
      <c r="S86" s="2646"/>
      <c r="T86" s="2646"/>
      <c r="U86" s="3322"/>
      <c r="V86" s="3322"/>
      <c r="W86" s="3322"/>
      <c r="X86" s="3322"/>
      <c r="Y86" s="3322"/>
      <c r="Z86" s="3322"/>
      <c r="AA86" s="3322"/>
      <c r="AB86" s="3322"/>
      <c r="AC86" s="3322"/>
      <c r="AD86" s="3322"/>
      <c r="AE86" s="3322"/>
      <c r="AF86" s="3322"/>
      <c r="AG86" s="3323"/>
      <c r="AH86" s="1"/>
    </row>
    <row r="87" spans="1:35" ht="24" customHeight="1">
      <c r="A87" s="3045">
        <v>2</v>
      </c>
      <c r="B87" s="3046"/>
      <c r="C87" s="2840"/>
      <c r="D87" s="2840"/>
      <c r="E87" s="2840"/>
      <c r="F87" s="2840"/>
      <c r="G87" s="2840"/>
      <c r="H87" s="2840"/>
      <c r="I87" s="2840"/>
      <c r="J87" s="2840"/>
      <c r="K87" s="2840"/>
      <c r="L87" s="2840"/>
      <c r="M87" s="2840"/>
      <c r="N87" s="2840"/>
      <c r="O87" s="2840"/>
      <c r="P87" s="2840"/>
      <c r="Q87" s="2840"/>
      <c r="R87" s="3050"/>
      <c r="S87" s="3050"/>
      <c r="T87" s="3050"/>
      <c r="U87" s="3050"/>
      <c r="V87" s="3050"/>
      <c r="W87" s="2840"/>
      <c r="X87" s="2840"/>
      <c r="Y87" s="3050"/>
      <c r="Z87" s="3050"/>
      <c r="AA87" s="3050"/>
      <c r="AB87" s="3050"/>
      <c r="AC87" s="3050"/>
      <c r="AD87" s="2840"/>
      <c r="AE87" s="2840"/>
      <c r="AF87" s="3050"/>
      <c r="AG87" s="3051"/>
      <c r="AH87" s="1"/>
    </row>
    <row r="88" spans="1:35" ht="24" customHeight="1">
      <c r="A88" s="3045">
        <v>3</v>
      </c>
      <c r="B88" s="3324"/>
      <c r="C88" s="2840"/>
      <c r="D88" s="2840"/>
      <c r="E88" s="2840"/>
      <c r="F88" s="2840"/>
      <c r="G88" s="2840"/>
      <c r="H88" s="2840"/>
      <c r="I88" s="2840"/>
      <c r="J88" s="2840"/>
      <c r="K88" s="2840"/>
      <c r="L88" s="2840"/>
      <c r="M88" s="2840"/>
      <c r="N88" s="2840"/>
      <c r="O88" s="2840"/>
      <c r="P88" s="2840"/>
      <c r="Q88" s="2840"/>
      <c r="R88" s="2840"/>
      <c r="S88" s="2840"/>
      <c r="T88" s="2840"/>
      <c r="U88" s="2840"/>
      <c r="V88" s="2840"/>
      <c r="W88" s="2840"/>
      <c r="X88" s="2840"/>
      <c r="Y88" s="2840"/>
      <c r="Z88" s="2840"/>
      <c r="AA88" s="2840"/>
      <c r="AB88" s="2840"/>
      <c r="AC88" s="2840"/>
      <c r="AD88" s="2840"/>
      <c r="AE88" s="2840"/>
      <c r="AF88" s="2840"/>
      <c r="AG88" s="2983"/>
      <c r="AH88" s="1"/>
    </row>
    <row r="89" spans="1:35" ht="24" customHeight="1" thickBot="1">
      <c r="A89" s="3045">
        <v>4</v>
      </c>
      <c r="B89" s="3279"/>
      <c r="C89" s="3250"/>
      <c r="D89" s="3250"/>
      <c r="E89" s="3250"/>
      <c r="F89" s="3250"/>
      <c r="G89" s="3250"/>
      <c r="H89" s="3250"/>
      <c r="I89" s="3250"/>
      <c r="J89" s="3250"/>
      <c r="K89" s="3250"/>
      <c r="L89" s="3250"/>
      <c r="M89" s="3250"/>
      <c r="N89" s="3250"/>
      <c r="O89" s="3250"/>
      <c r="P89" s="3250"/>
      <c r="Q89" s="3250"/>
      <c r="R89" s="3325"/>
      <c r="S89" s="3325"/>
      <c r="T89" s="3325"/>
      <c r="U89" s="3250"/>
      <c r="V89" s="3250"/>
      <c r="W89" s="3250"/>
      <c r="X89" s="3250"/>
      <c r="Y89" s="3250"/>
      <c r="Z89" s="3250"/>
      <c r="AA89" s="3250"/>
      <c r="AB89" s="3250"/>
      <c r="AC89" s="3250"/>
      <c r="AD89" s="3250"/>
      <c r="AE89" s="3250"/>
      <c r="AF89" s="3250"/>
      <c r="AG89" s="3285"/>
      <c r="AH89" s="1"/>
    </row>
    <row r="90" spans="1:35" ht="24" customHeight="1">
      <c r="A90" s="54"/>
      <c r="B90" s="55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56"/>
      <c r="S90" s="56"/>
      <c r="T90" s="56"/>
      <c r="U90" s="30"/>
      <c r="V90" s="30"/>
      <c r="W90" s="30"/>
      <c r="X90" s="30"/>
      <c r="Y90" s="30"/>
      <c r="Z90" s="30"/>
      <c r="AA90" s="30"/>
      <c r="AB90" s="30"/>
      <c r="AC90" s="30"/>
      <c r="AD90" s="30"/>
      <c r="AE90" s="30"/>
      <c r="AF90" s="30"/>
      <c r="AG90" s="30"/>
      <c r="AH90" s="1"/>
    </row>
    <row r="91" spans="1:35" ht="24" customHeight="1" thickBot="1">
      <c r="A91" s="57" t="s">
        <v>154</v>
      </c>
      <c r="B91" s="58"/>
      <c r="C91" s="58"/>
      <c r="D91" s="58"/>
      <c r="E91" s="58"/>
      <c r="F91" s="58"/>
      <c r="G91" s="59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8"/>
      <c r="AI91" s="58"/>
    </row>
    <row r="92" spans="1:35" ht="24" customHeight="1" thickBot="1">
      <c r="A92" s="60"/>
      <c r="B92" s="836" t="s">
        <v>155</v>
      </c>
      <c r="C92" s="837"/>
      <c r="D92" s="838" t="s">
        <v>87</v>
      </c>
      <c r="E92" s="839"/>
      <c r="F92" s="840"/>
      <c r="G92" s="837"/>
      <c r="H92" s="838" t="s">
        <v>88</v>
      </c>
      <c r="I92" s="839"/>
      <c r="J92" s="840"/>
      <c r="K92" s="837"/>
      <c r="L92" s="838" t="s">
        <v>89</v>
      </c>
      <c r="M92" s="839"/>
      <c r="N92" s="840"/>
      <c r="O92" s="837"/>
      <c r="P92" s="838" t="s">
        <v>90</v>
      </c>
      <c r="Q92" s="839"/>
      <c r="R92" s="840"/>
      <c r="S92" s="841" t="s">
        <v>156</v>
      </c>
      <c r="T92" s="838"/>
      <c r="U92" s="839"/>
      <c r="V92" s="840"/>
      <c r="W92" s="837" t="s">
        <v>108</v>
      </c>
      <c r="X92" s="838" t="s">
        <v>157</v>
      </c>
      <c r="Y92" s="839"/>
      <c r="Z92" s="840"/>
      <c r="AA92" s="837" t="s">
        <v>108</v>
      </c>
      <c r="AB92" s="838" t="s">
        <v>93</v>
      </c>
      <c r="AC92" s="839"/>
      <c r="AD92" s="839"/>
      <c r="AE92" s="842" t="s">
        <v>158</v>
      </c>
      <c r="AF92" s="839"/>
      <c r="AG92" s="839"/>
      <c r="AH92" s="839"/>
      <c r="AI92" s="843"/>
    </row>
    <row r="93" spans="1:35" ht="24" customHeight="1">
      <c r="A93" s="60"/>
      <c r="B93" s="2655" t="s">
        <v>159</v>
      </c>
      <c r="C93" s="845" t="s">
        <v>160</v>
      </c>
      <c r="D93" s="839"/>
      <c r="E93" s="846"/>
      <c r="F93" s="847"/>
      <c r="G93" s="845" t="s">
        <v>160</v>
      </c>
      <c r="H93" s="846"/>
      <c r="I93" s="846"/>
      <c r="J93" s="847"/>
      <c r="K93" s="848" t="s">
        <v>160</v>
      </c>
      <c r="L93" s="839"/>
      <c r="M93" s="839"/>
      <c r="N93" s="849"/>
      <c r="O93" s="848" t="s">
        <v>161</v>
      </c>
      <c r="P93" s="839"/>
      <c r="Q93" s="846"/>
      <c r="R93" s="847"/>
      <c r="S93" s="845" t="s">
        <v>162</v>
      </c>
      <c r="T93" s="846"/>
      <c r="U93" s="846"/>
      <c r="V93" s="850"/>
      <c r="W93" s="2656"/>
      <c r="X93" s="2657"/>
      <c r="Y93" s="2657"/>
      <c r="Z93" s="2658"/>
      <c r="AA93" s="850"/>
      <c r="AB93" s="846"/>
      <c r="AC93" s="846"/>
      <c r="AD93" s="850"/>
      <c r="AE93" s="854">
        <v>37</v>
      </c>
      <c r="AF93" s="839"/>
      <c r="AG93" s="846"/>
      <c r="AH93" s="850"/>
      <c r="AI93" s="855"/>
    </row>
    <row r="94" spans="1:35" ht="24" customHeight="1">
      <c r="A94" s="60"/>
      <c r="B94" s="3326" t="s">
        <v>163</v>
      </c>
      <c r="C94" s="3058" t="s">
        <v>156</v>
      </c>
      <c r="D94" s="3059"/>
      <c r="E94" s="3059"/>
      <c r="F94" s="3060"/>
      <c r="G94" s="3058" t="s">
        <v>164</v>
      </c>
      <c r="H94" s="3059"/>
      <c r="I94" s="3059"/>
      <c r="J94" s="3060"/>
      <c r="K94" s="3058" t="s">
        <v>165</v>
      </c>
      <c r="L94" s="3061" t="s">
        <v>166</v>
      </c>
      <c r="M94" s="3059"/>
      <c r="N94" s="3060"/>
      <c r="O94" s="3058" t="s">
        <v>165</v>
      </c>
      <c r="P94" s="3061" t="s">
        <v>166</v>
      </c>
      <c r="Q94" s="3059"/>
      <c r="R94" s="3060"/>
      <c r="S94" s="3058" t="s">
        <v>164</v>
      </c>
      <c r="T94" s="3061" t="s">
        <v>167</v>
      </c>
      <c r="U94" s="3059"/>
      <c r="V94" s="3060"/>
      <c r="W94" s="61" t="s">
        <v>168</v>
      </c>
      <c r="X94" s="62" t="s">
        <v>169</v>
      </c>
      <c r="Y94" s="63"/>
      <c r="Z94" s="63"/>
      <c r="AA94" s="3058" t="s">
        <v>170</v>
      </c>
      <c r="AB94" s="3062" t="s">
        <v>157</v>
      </c>
      <c r="AC94" s="3058"/>
      <c r="AD94" s="3058"/>
      <c r="AE94" s="3063">
        <v>68</v>
      </c>
      <c r="AF94" s="3059"/>
      <c r="AG94" s="3064"/>
      <c r="AH94" s="3065"/>
      <c r="AI94" s="3066"/>
    </row>
    <row r="95" spans="1:35" ht="24" customHeight="1">
      <c r="A95" s="60"/>
      <c r="B95" s="3326" t="s">
        <v>171</v>
      </c>
      <c r="C95" s="3067" t="s">
        <v>172</v>
      </c>
      <c r="D95" s="3059"/>
      <c r="E95" s="3059"/>
      <c r="F95" s="3060"/>
      <c r="G95" s="3059" t="s">
        <v>172</v>
      </c>
      <c r="H95" s="3059"/>
      <c r="I95" s="3059"/>
      <c r="J95" s="3060"/>
      <c r="K95" s="3059" t="s">
        <v>172</v>
      </c>
      <c r="L95" s="3059"/>
      <c r="M95" s="3059"/>
      <c r="N95" s="3060"/>
      <c r="O95" s="3059" t="s">
        <v>172</v>
      </c>
      <c r="P95" s="3059"/>
      <c r="Q95" s="3059"/>
      <c r="R95" s="3060"/>
      <c r="S95" s="3059" t="s">
        <v>172</v>
      </c>
      <c r="T95" s="3059"/>
      <c r="U95" s="3059"/>
      <c r="V95" s="3060"/>
      <c r="W95" s="3058"/>
      <c r="X95" s="3059"/>
      <c r="Y95" s="3059"/>
      <c r="Z95" s="3060"/>
      <c r="AA95" s="3058"/>
      <c r="AB95" s="3059"/>
      <c r="AC95" s="3059"/>
      <c r="AD95" s="3061"/>
      <c r="AE95" s="3063">
        <v>0</v>
      </c>
      <c r="AF95" s="3064"/>
      <c r="AG95" s="3059"/>
      <c r="AH95" s="3061"/>
      <c r="AI95" s="3068"/>
    </row>
    <row r="96" spans="1:35" ht="24" customHeight="1" thickBot="1">
      <c r="A96" s="60"/>
      <c r="B96" s="3327" t="s">
        <v>173</v>
      </c>
      <c r="C96" s="64"/>
      <c r="D96" s="65" t="s">
        <v>174</v>
      </c>
      <c r="E96" s="64"/>
      <c r="F96" s="64"/>
      <c r="G96" s="3328" t="s">
        <v>175</v>
      </c>
      <c r="H96" s="3329"/>
      <c r="I96" s="3330"/>
      <c r="J96" s="3331"/>
      <c r="K96" s="3328" t="s">
        <v>174</v>
      </c>
      <c r="L96" s="3329"/>
      <c r="M96" s="3330"/>
      <c r="N96" s="3331"/>
      <c r="O96" s="3328" t="s">
        <v>174</v>
      </c>
      <c r="P96" s="3329"/>
      <c r="Q96" s="3330"/>
      <c r="R96" s="3331"/>
      <c r="S96" s="3328" t="s">
        <v>174</v>
      </c>
      <c r="T96" s="3329"/>
      <c r="U96" s="3330"/>
      <c r="V96" s="3331"/>
      <c r="W96" s="3332"/>
      <c r="X96" s="3330"/>
      <c r="Y96" s="3330"/>
      <c r="Z96" s="3333"/>
      <c r="AA96" s="3334"/>
      <c r="AB96" s="3330"/>
      <c r="AC96" s="3330"/>
      <c r="AD96" s="3334"/>
      <c r="AE96" s="3335">
        <v>37</v>
      </c>
      <c r="AF96" s="3330"/>
      <c r="AG96" s="3330"/>
      <c r="AH96" s="3334"/>
      <c r="AI96" s="3336"/>
    </row>
    <row r="97" spans="1:35" ht="24" customHeight="1">
      <c r="A97" s="66"/>
      <c r="B97" s="60"/>
      <c r="C97" s="58"/>
      <c r="D97" s="63"/>
      <c r="E97" s="58"/>
      <c r="F97" s="58"/>
      <c r="G97" s="58"/>
      <c r="H97" s="58"/>
      <c r="I97" s="58"/>
      <c r="J97" s="58"/>
      <c r="K97" s="58"/>
      <c r="L97" s="58"/>
      <c r="M97" s="58"/>
      <c r="N97" s="58"/>
      <c r="O97" s="58"/>
      <c r="P97" s="58"/>
      <c r="Q97" s="58"/>
      <c r="R97" s="58"/>
      <c r="S97" s="58"/>
      <c r="T97" s="58"/>
      <c r="U97" s="58"/>
      <c r="V97" s="58"/>
      <c r="W97" s="58"/>
      <c r="X97" s="58"/>
      <c r="Y97" s="58"/>
      <c r="Z97" s="58"/>
      <c r="AA97" s="58"/>
      <c r="AB97" s="58"/>
      <c r="AC97" s="58"/>
      <c r="AD97" s="58"/>
      <c r="AE97" s="58"/>
      <c r="AF97" s="58"/>
      <c r="AG97" s="58"/>
      <c r="AH97" s="58"/>
      <c r="AI97" s="58"/>
    </row>
    <row r="98" spans="1:35" ht="24" customHeight="1" thickBot="1">
      <c r="A98" s="3078"/>
      <c r="B98" s="3079" t="s">
        <v>29</v>
      </c>
      <c r="C98" s="3249">
        <v>1</v>
      </c>
      <c r="D98" s="3250">
        <v>2</v>
      </c>
      <c r="E98" s="3250">
        <v>3</v>
      </c>
      <c r="F98" s="3250">
        <v>4</v>
      </c>
      <c r="G98" s="3250">
        <v>5</v>
      </c>
      <c r="H98" s="3250">
        <v>6</v>
      </c>
      <c r="I98" s="3249">
        <v>7</v>
      </c>
      <c r="J98" s="3249">
        <v>8</v>
      </c>
      <c r="K98" s="3250">
        <v>9</v>
      </c>
      <c r="L98" s="3250">
        <v>10</v>
      </c>
      <c r="M98" s="3250">
        <v>11</v>
      </c>
      <c r="N98" s="3250">
        <v>12</v>
      </c>
      <c r="O98" s="3250">
        <v>13</v>
      </c>
      <c r="P98" s="3249">
        <v>14</v>
      </c>
      <c r="Q98" s="3249">
        <v>15</v>
      </c>
      <c r="R98" s="3250">
        <v>16</v>
      </c>
      <c r="S98" s="3250">
        <v>17</v>
      </c>
      <c r="T98" s="3250">
        <v>18</v>
      </c>
      <c r="U98" s="3250">
        <v>19</v>
      </c>
      <c r="V98" s="3250">
        <v>20</v>
      </c>
      <c r="W98" s="3249">
        <v>21</v>
      </c>
      <c r="X98" s="3249">
        <v>22</v>
      </c>
      <c r="Y98" s="3250">
        <v>23</v>
      </c>
      <c r="Z98" s="3249">
        <v>24</v>
      </c>
      <c r="AA98" s="3249">
        <v>25</v>
      </c>
      <c r="AB98" s="3249">
        <v>26</v>
      </c>
      <c r="AC98" s="3250">
        <v>27</v>
      </c>
      <c r="AD98" s="3249">
        <v>28</v>
      </c>
      <c r="AE98" s="3249">
        <v>29</v>
      </c>
      <c r="AF98" s="3250">
        <v>30</v>
      </c>
      <c r="AG98" s="3251">
        <v>31</v>
      </c>
      <c r="AH98" s="67"/>
      <c r="AI98" s="68"/>
    </row>
    <row r="99" spans="1:35" ht="24" customHeight="1">
      <c r="A99" s="2671">
        <v>1</v>
      </c>
      <c r="B99" s="2549"/>
      <c r="C99" s="2672"/>
      <c r="D99" s="2672" t="s">
        <v>176</v>
      </c>
      <c r="E99" s="2672" t="s">
        <v>176</v>
      </c>
      <c r="F99" s="2672" t="s">
        <v>176</v>
      </c>
      <c r="G99" s="2672" t="s">
        <v>176</v>
      </c>
      <c r="H99" s="2672" t="s">
        <v>176</v>
      </c>
      <c r="I99" s="2672"/>
      <c r="J99" s="2672"/>
      <c r="K99" s="2999" t="s">
        <v>110</v>
      </c>
      <c r="L99" s="2999" t="s">
        <v>110</v>
      </c>
      <c r="M99" s="2999" t="s">
        <v>110</v>
      </c>
      <c r="N99" s="2999" t="s">
        <v>110</v>
      </c>
      <c r="O99" s="2999" t="s">
        <v>110</v>
      </c>
      <c r="P99" s="2999" t="s">
        <v>108</v>
      </c>
      <c r="Q99" s="2999" t="s">
        <v>108</v>
      </c>
      <c r="R99" s="2672" t="s">
        <v>35</v>
      </c>
      <c r="S99" s="2672" t="s">
        <v>35</v>
      </c>
      <c r="T99" s="2672" t="s">
        <v>35</v>
      </c>
      <c r="U99" s="2672" t="s">
        <v>35</v>
      </c>
      <c r="V99" s="2672" t="s">
        <v>35</v>
      </c>
      <c r="W99" s="2672"/>
      <c r="X99" s="2674"/>
      <c r="Y99" s="1818" t="s">
        <v>176</v>
      </c>
      <c r="Z99" s="2674"/>
      <c r="AA99" s="2674"/>
      <c r="AB99" s="2672"/>
      <c r="AC99" s="1818" t="s">
        <v>176</v>
      </c>
      <c r="AD99" s="2672"/>
      <c r="AE99" s="2672"/>
      <c r="AF99" s="1818" t="s">
        <v>176</v>
      </c>
      <c r="AG99" s="2675"/>
      <c r="AH99" s="69"/>
      <c r="AI99" s="70"/>
    </row>
    <row r="100" spans="1:35" ht="24" customHeight="1" thickBot="1">
      <c r="A100" s="3081">
        <v>2</v>
      </c>
      <c r="B100" s="2941" t="s">
        <v>177</v>
      </c>
      <c r="C100" s="3337"/>
      <c r="D100" s="3337" t="s">
        <v>176</v>
      </c>
      <c r="E100" s="3337" t="s">
        <v>176</v>
      </c>
      <c r="F100" s="3337" t="s">
        <v>176</v>
      </c>
      <c r="G100" s="3337" t="s">
        <v>176</v>
      </c>
      <c r="H100" s="3337" t="s">
        <v>176</v>
      </c>
      <c r="I100" s="3337"/>
      <c r="J100" s="3338"/>
      <c r="K100" s="3339" t="s">
        <v>127</v>
      </c>
      <c r="L100" s="3339" t="s">
        <v>127</v>
      </c>
      <c r="M100" s="3339" t="s">
        <v>127</v>
      </c>
      <c r="N100" s="3339" t="s">
        <v>127</v>
      </c>
      <c r="O100" s="3339" t="s">
        <v>127</v>
      </c>
      <c r="P100" s="3082"/>
      <c r="Q100" s="3084"/>
      <c r="R100" s="3084" t="s">
        <v>110</v>
      </c>
      <c r="S100" s="3084" t="s">
        <v>110</v>
      </c>
      <c r="T100" s="3084" t="s">
        <v>110</v>
      </c>
      <c r="U100" s="3085" t="s">
        <v>110</v>
      </c>
      <c r="V100" s="3084" t="s">
        <v>110</v>
      </c>
      <c r="W100" s="3086" t="s">
        <v>108</v>
      </c>
      <c r="X100" s="3084" t="s">
        <v>108</v>
      </c>
      <c r="Y100" s="2936" t="s">
        <v>35</v>
      </c>
      <c r="Z100" s="3084" t="s">
        <v>35</v>
      </c>
      <c r="AA100" s="3084" t="s">
        <v>35</v>
      </c>
      <c r="AB100" s="3084" t="s">
        <v>35</v>
      </c>
      <c r="AC100" s="3084" t="s">
        <v>35</v>
      </c>
      <c r="AD100" s="3084"/>
      <c r="AE100" s="3082"/>
      <c r="AF100" s="3082" t="s">
        <v>261</v>
      </c>
      <c r="AG100" s="3088"/>
      <c r="AH100" s="69"/>
      <c r="AI100" s="70"/>
    </row>
    <row r="101" spans="1:35" ht="24" customHeight="1" thickTop="1" thickBot="1">
      <c r="A101" s="3081">
        <v>3</v>
      </c>
      <c r="B101" s="3340" t="s">
        <v>178</v>
      </c>
      <c r="C101" s="2998" t="s">
        <v>108</v>
      </c>
      <c r="D101" s="2992" t="s">
        <v>407</v>
      </c>
      <c r="E101" s="3091" t="s">
        <v>35</v>
      </c>
      <c r="F101" s="2992">
        <v>23</v>
      </c>
      <c r="G101" s="2992">
        <v>23</v>
      </c>
      <c r="H101" s="3093" t="s">
        <v>35</v>
      </c>
      <c r="I101" s="3093"/>
      <c r="J101" s="3082"/>
      <c r="K101" s="3341" t="s">
        <v>121</v>
      </c>
      <c r="L101" s="2936" t="s">
        <v>176</v>
      </c>
      <c r="M101" s="2936" t="s">
        <v>176</v>
      </c>
      <c r="N101" s="2936" t="s">
        <v>123</v>
      </c>
      <c r="O101" s="2936" t="s">
        <v>176</v>
      </c>
      <c r="P101" s="2936"/>
      <c r="Q101" s="2990"/>
      <c r="R101" s="2990" t="s">
        <v>127</v>
      </c>
      <c r="S101" s="2990" t="s">
        <v>127</v>
      </c>
      <c r="T101" s="2990" t="s">
        <v>127</v>
      </c>
      <c r="U101" s="2990" t="s">
        <v>127</v>
      </c>
      <c r="V101" s="2990" t="s">
        <v>127</v>
      </c>
      <c r="W101" s="2990"/>
      <c r="X101" s="2992" t="s">
        <v>48</v>
      </c>
      <c r="Y101" s="290" t="s">
        <v>110</v>
      </c>
      <c r="Z101" s="2936" t="s">
        <v>110</v>
      </c>
      <c r="AA101" s="2936" t="s">
        <v>110</v>
      </c>
      <c r="AB101" s="2936" t="s">
        <v>110</v>
      </c>
      <c r="AC101" s="290" t="s">
        <v>110</v>
      </c>
      <c r="AD101" s="2936" t="s">
        <v>108</v>
      </c>
      <c r="AE101" s="2936" t="s">
        <v>108</v>
      </c>
      <c r="AF101" s="3039" t="s">
        <v>35</v>
      </c>
      <c r="AG101" s="3098" t="s">
        <v>35</v>
      </c>
      <c r="AH101" s="69"/>
      <c r="AI101" s="70"/>
    </row>
    <row r="102" spans="1:35" ht="24" customHeight="1" thickTop="1" thickBot="1">
      <c r="A102" s="3342">
        <v>4</v>
      </c>
      <c r="B102" s="3343"/>
      <c r="C102" s="3344" t="s">
        <v>0</v>
      </c>
      <c r="D102" s="3344" t="s">
        <v>110</v>
      </c>
      <c r="E102" s="3344" t="s">
        <v>110</v>
      </c>
      <c r="F102" s="3344" t="s">
        <v>110</v>
      </c>
      <c r="G102" s="3344" t="s">
        <v>110</v>
      </c>
      <c r="H102" s="3344" t="s">
        <v>110</v>
      </c>
      <c r="I102" s="3344" t="s">
        <v>108</v>
      </c>
      <c r="J102" s="3344" t="s">
        <v>108</v>
      </c>
      <c r="K102" s="3345" t="s">
        <v>35</v>
      </c>
      <c r="L102" s="3345" t="s">
        <v>35</v>
      </c>
      <c r="M102" s="3345" t="s">
        <v>35</v>
      </c>
      <c r="N102" s="3345" t="s">
        <v>35</v>
      </c>
      <c r="O102" s="3345" t="s">
        <v>35</v>
      </c>
      <c r="P102" s="3345"/>
      <c r="Q102" s="3345"/>
      <c r="R102" s="3345" t="s">
        <v>176</v>
      </c>
      <c r="S102" s="3345" t="s">
        <v>176</v>
      </c>
      <c r="T102" s="3345" t="s">
        <v>176</v>
      </c>
      <c r="U102" s="3345" t="s">
        <v>176</v>
      </c>
      <c r="V102" s="3345" t="s">
        <v>176</v>
      </c>
      <c r="W102" s="3345"/>
      <c r="X102" s="3345"/>
      <c r="Y102" s="3345" t="s">
        <v>176</v>
      </c>
      <c r="Z102" s="3345"/>
      <c r="AA102" s="3345"/>
      <c r="AB102" s="3345"/>
      <c r="AC102" s="3345" t="s">
        <v>176</v>
      </c>
      <c r="AD102" s="3345" t="s">
        <v>0</v>
      </c>
      <c r="AE102" s="3345" t="s">
        <v>0</v>
      </c>
      <c r="AF102" s="3345" t="s">
        <v>110</v>
      </c>
      <c r="AG102" s="3346" t="s">
        <v>110</v>
      </c>
      <c r="AH102" s="69"/>
      <c r="AI102" s="70"/>
    </row>
    <row r="103" spans="1:35" ht="24" customHeight="1" thickBot="1">
      <c r="A103" s="71"/>
      <c r="B103" s="72"/>
      <c r="C103" s="73"/>
      <c r="D103" s="73"/>
      <c r="E103" s="73"/>
      <c r="F103" s="73"/>
      <c r="G103" s="73"/>
      <c r="H103" s="73"/>
      <c r="I103" s="73"/>
      <c r="J103" s="73"/>
      <c r="K103" s="73"/>
      <c r="L103" s="73"/>
      <c r="M103" s="73"/>
      <c r="N103" s="73"/>
      <c r="O103" s="73"/>
      <c r="P103" s="73"/>
      <c r="Q103" s="73"/>
      <c r="R103" s="73"/>
      <c r="S103" s="73"/>
      <c r="T103" s="73"/>
      <c r="U103" s="73"/>
      <c r="V103" s="73"/>
      <c r="W103" s="73"/>
      <c r="X103" s="73"/>
      <c r="Y103" s="73"/>
      <c r="Z103" s="73"/>
      <c r="AA103" s="73"/>
      <c r="AB103" s="73"/>
      <c r="AC103" s="73"/>
      <c r="AD103" s="73"/>
      <c r="AE103" s="73"/>
      <c r="AF103" s="73"/>
      <c r="AG103" s="74"/>
      <c r="AH103" s="75"/>
      <c r="AI103" s="70"/>
    </row>
    <row r="104" spans="1:35" ht="24" customHeight="1">
      <c r="A104" s="17"/>
      <c r="B104" s="900" t="s">
        <v>179</v>
      </c>
      <c r="C104" s="901"/>
      <c r="D104" s="902" t="s">
        <v>87</v>
      </c>
      <c r="E104" s="903"/>
      <c r="F104" s="901"/>
      <c r="G104" s="904" t="s">
        <v>88</v>
      </c>
      <c r="H104" s="905"/>
      <c r="I104" s="906"/>
      <c r="J104" s="904" t="s">
        <v>89</v>
      </c>
      <c r="K104" s="907"/>
      <c r="L104" s="906"/>
      <c r="M104" s="908" t="s">
        <v>90</v>
      </c>
      <c r="N104" s="907"/>
      <c r="O104" s="906"/>
      <c r="P104" s="904" t="s">
        <v>91</v>
      </c>
      <c r="Q104" s="909"/>
      <c r="R104" s="906"/>
      <c r="S104" s="904" t="s">
        <v>92</v>
      </c>
      <c r="T104" s="910"/>
      <c r="U104" s="906"/>
      <c r="V104" s="904" t="s">
        <v>93</v>
      </c>
      <c r="W104" s="909"/>
      <c r="X104" s="911" t="s">
        <v>158</v>
      </c>
      <c r="Y104" s="912"/>
      <c r="Z104" s="912"/>
      <c r="AA104" s="913"/>
      <c r="AB104" s="914" t="s">
        <v>94</v>
      </c>
      <c r="AC104" s="915"/>
      <c r="AD104" s="915"/>
      <c r="AE104" s="916"/>
      <c r="AF104" s="916"/>
      <c r="AG104" s="917"/>
      <c r="AH104" s="75"/>
      <c r="AI104" s="70"/>
    </row>
    <row r="105" spans="1:35" ht="24" customHeight="1">
      <c r="A105" s="17"/>
      <c r="B105" s="3347" t="s">
        <v>180</v>
      </c>
      <c r="C105" s="3104" t="s">
        <v>181</v>
      </c>
      <c r="D105" s="2908"/>
      <c r="E105" s="2909"/>
      <c r="F105" s="3104" t="s">
        <v>181</v>
      </c>
      <c r="G105" s="2908"/>
      <c r="H105" s="2909"/>
      <c r="I105" s="3104" t="s">
        <v>181</v>
      </c>
      <c r="J105" s="2908"/>
      <c r="K105" s="2909"/>
      <c r="L105" s="3104" t="s">
        <v>181</v>
      </c>
      <c r="M105" s="2908"/>
      <c r="N105" s="2909"/>
      <c r="O105" s="3104" t="s">
        <v>182</v>
      </c>
      <c r="P105" s="2908"/>
      <c r="Q105" s="2909"/>
      <c r="R105" s="3104"/>
      <c r="S105" s="2908"/>
      <c r="T105" s="2909"/>
      <c r="U105" s="3104"/>
      <c r="V105" s="2908"/>
      <c r="W105" s="2909"/>
      <c r="X105" s="3104"/>
      <c r="Y105" s="3105"/>
      <c r="Z105" s="3105"/>
      <c r="AA105" s="3105"/>
      <c r="AB105" s="2905"/>
      <c r="AC105" s="3105"/>
      <c r="AD105" s="3105"/>
      <c r="AE105" s="3105"/>
      <c r="AF105" s="3105"/>
      <c r="AG105" s="3106"/>
      <c r="AH105" s="75"/>
      <c r="AI105" s="70"/>
    </row>
    <row r="106" spans="1:35" ht="24" customHeight="1">
      <c r="A106" s="17"/>
      <c r="B106" s="16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75"/>
      <c r="AI106" s="70"/>
    </row>
    <row r="107" spans="1:35" ht="24" customHeight="1" thickBot="1">
      <c r="A107" s="3025" t="s">
        <v>28</v>
      </c>
      <c r="B107" s="2978" t="s">
        <v>29</v>
      </c>
      <c r="C107" s="3249">
        <v>1</v>
      </c>
      <c r="D107" s="3250">
        <v>2</v>
      </c>
      <c r="E107" s="3250">
        <v>3</v>
      </c>
      <c r="F107" s="3250">
        <v>4</v>
      </c>
      <c r="G107" s="3250">
        <v>5</v>
      </c>
      <c r="H107" s="3250">
        <v>6</v>
      </c>
      <c r="I107" s="3249">
        <v>7</v>
      </c>
      <c r="J107" s="3249">
        <v>8</v>
      </c>
      <c r="K107" s="3250">
        <v>9</v>
      </c>
      <c r="L107" s="3250">
        <v>10</v>
      </c>
      <c r="M107" s="3250">
        <v>11</v>
      </c>
      <c r="N107" s="3250">
        <v>12</v>
      </c>
      <c r="O107" s="3250">
        <v>13</v>
      </c>
      <c r="P107" s="3249">
        <v>14</v>
      </c>
      <c r="Q107" s="3249">
        <v>15</v>
      </c>
      <c r="R107" s="3250">
        <v>16</v>
      </c>
      <c r="S107" s="3250">
        <v>17</v>
      </c>
      <c r="T107" s="3250">
        <v>18</v>
      </c>
      <c r="U107" s="3250">
        <v>19</v>
      </c>
      <c r="V107" s="3250">
        <v>20</v>
      </c>
      <c r="W107" s="3249">
        <v>21</v>
      </c>
      <c r="X107" s="3249">
        <v>22</v>
      </c>
      <c r="Y107" s="3250">
        <v>23</v>
      </c>
      <c r="Z107" s="3249">
        <v>24</v>
      </c>
      <c r="AA107" s="3249">
        <v>25</v>
      </c>
      <c r="AB107" s="3249">
        <v>26</v>
      </c>
      <c r="AC107" s="3250">
        <v>27</v>
      </c>
      <c r="AD107" s="3249">
        <v>28</v>
      </c>
      <c r="AE107" s="3249">
        <v>29</v>
      </c>
      <c r="AF107" s="3250">
        <v>30</v>
      </c>
      <c r="AG107" s="3251">
        <v>31</v>
      </c>
      <c r="AH107" s="75"/>
      <c r="AI107" s="70"/>
    </row>
    <row r="108" spans="1:35" ht="24" customHeight="1">
      <c r="A108" s="2690">
        <v>8520</v>
      </c>
      <c r="B108" s="2691" t="s">
        <v>183</v>
      </c>
      <c r="C108" s="1816"/>
      <c r="D108" s="1816" t="s">
        <v>118</v>
      </c>
      <c r="E108" s="1816" t="s">
        <v>118</v>
      </c>
      <c r="F108" s="1816" t="s">
        <v>118</v>
      </c>
      <c r="G108" s="1816" t="s">
        <v>118</v>
      </c>
      <c r="H108" s="1816" t="s">
        <v>118</v>
      </c>
      <c r="I108" s="1816"/>
      <c r="J108" s="1816"/>
      <c r="K108" s="1816" t="s">
        <v>118</v>
      </c>
      <c r="L108" s="1816" t="s">
        <v>118</v>
      </c>
      <c r="M108" s="1816" t="s">
        <v>118</v>
      </c>
      <c r="N108" s="1816" t="s">
        <v>118</v>
      </c>
      <c r="O108" s="1816" t="s">
        <v>118</v>
      </c>
      <c r="P108" s="1816"/>
      <c r="Q108" s="1816"/>
      <c r="R108" s="1816" t="s">
        <v>118</v>
      </c>
      <c r="S108" s="1816" t="s">
        <v>118</v>
      </c>
      <c r="T108" s="1816" t="s">
        <v>118</v>
      </c>
      <c r="U108" s="1816" t="s">
        <v>118</v>
      </c>
      <c r="V108" s="1816" t="s">
        <v>118</v>
      </c>
      <c r="W108" s="1816"/>
      <c r="X108" s="1816"/>
      <c r="Y108" s="1816" t="s">
        <v>118</v>
      </c>
      <c r="Z108" s="1816"/>
      <c r="AA108" s="1816"/>
      <c r="AB108" s="1816"/>
      <c r="AC108" s="1816" t="s">
        <v>118</v>
      </c>
      <c r="AD108" s="1816"/>
      <c r="AE108" s="1816"/>
      <c r="AF108" s="1816" t="s">
        <v>118</v>
      </c>
      <c r="AG108" s="1819"/>
      <c r="AH108" s="75"/>
      <c r="AI108" s="70"/>
    </row>
    <row r="109" spans="1:35" ht="24" customHeight="1">
      <c r="AH109" s="76"/>
      <c r="AI109" s="76"/>
    </row>
    <row r="110" spans="1:35" ht="24" customHeight="1" thickBot="1">
      <c r="A110" s="77" t="s">
        <v>185</v>
      </c>
      <c r="B110" s="78"/>
      <c r="C110" s="78"/>
      <c r="D110" s="79"/>
      <c r="E110" s="79"/>
      <c r="F110" s="79"/>
      <c r="G110" s="80"/>
      <c r="H110" s="79"/>
      <c r="I110" s="79"/>
      <c r="J110" s="79"/>
      <c r="K110" s="79"/>
      <c r="L110" s="79"/>
      <c r="M110" s="79"/>
      <c r="N110" s="79"/>
      <c r="O110" s="79"/>
      <c r="P110" s="79"/>
      <c r="Q110" s="79"/>
      <c r="R110" s="79"/>
      <c r="S110" s="79"/>
      <c r="T110" s="79"/>
      <c r="U110" s="79"/>
      <c r="V110" s="79"/>
      <c r="W110" s="79"/>
      <c r="X110" s="79"/>
      <c r="Y110" s="79"/>
      <c r="Z110" s="79"/>
      <c r="AA110" s="79"/>
      <c r="AB110" s="79"/>
      <c r="AC110" s="79"/>
      <c r="AD110" s="79"/>
      <c r="AE110" s="79"/>
      <c r="AF110" s="79"/>
      <c r="AG110" s="79"/>
      <c r="AH110" s="78"/>
      <c r="AI110" s="78"/>
    </row>
    <row r="111" spans="1:35" ht="24" customHeight="1">
      <c r="A111" s="77"/>
      <c r="B111" s="900" t="s">
        <v>186</v>
      </c>
      <c r="C111" s="924"/>
      <c r="D111" s="925" t="s">
        <v>87</v>
      </c>
      <c r="E111" s="926"/>
      <c r="F111" s="927"/>
      <c r="G111" s="924"/>
      <c r="H111" s="925" t="s">
        <v>88</v>
      </c>
      <c r="I111" s="926"/>
      <c r="J111" s="927"/>
      <c r="K111" s="924"/>
      <c r="L111" s="925" t="s">
        <v>89</v>
      </c>
      <c r="M111" s="926"/>
      <c r="N111" s="927"/>
      <c r="O111" s="924"/>
      <c r="P111" s="925" t="s">
        <v>90</v>
      </c>
      <c r="Q111" s="926"/>
      <c r="R111" s="927"/>
      <c r="S111" s="924"/>
      <c r="T111" s="925" t="s">
        <v>91</v>
      </c>
      <c r="U111" s="926"/>
      <c r="V111" s="927"/>
      <c r="W111" s="924"/>
      <c r="X111" s="925" t="s">
        <v>92</v>
      </c>
      <c r="Y111" s="926"/>
      <c r="Z111" s="927"/>
      <c r="AA111" s="924"/>
      <c r="AB111" s="925" t="s">
        <v>93</v>
      </c>
      <c r="AC111" s="926"/>
      <c r="AD111" s="926"/>
      <c r="AE111" s="928" t="s">
        <v>94</v>
      </c>
      <c r="AF111" s="926"/>
      <c r="AG111" s="926"/>
      <c r="AH111" s="926"/>
      <c r="AI111" s="929"/>
    </row>
    <row r="112" spans="1:35" ht="24" customHeight="1">
      <c r="A112" s="77"/>
      <c r="B112" s="3348" t="s">
        <v>159</v>
      </c>
      <c r="C112" s="3108">
        <v>69</v>
      </c>
      <c r="D112" s="3109" t="s">
        <v>187</v>
      </c>
      <c r="E112" s="3109"/>
      <c r="F112" s="3110"/>
      <c r="G112" s="3108">
        <v>69</v>
      </c>
      <c r="H112" s="3109" t="s">
        <v>187</v>
      </c>
      <c r="I112" s="3109"/>
      <c r="J112" s="3110"/>
      <c r="K112" s="3108">
        <v>69</v>
      </c>
      <c r="L112" s="3109" t="s">
        <v>187</v>
      </c>
      <c r="M112" s="3109"/>
      <c r="N112" s="3110"/>
      <c r="O112" s="3108">
        <v>69</v>
      </c>
      <c r="P112" s="3109" t="s">
        <v>187</v>
      </c>
      <c r="Q112" s="3109"/>
      <c r="R112" s="3110"/>
      <c r="S112" s="3108">
        <v>69</v>
      </c>
      <c r="T112" s="3109" t="s">
        <v>187</v>
      </c>
      <c r="U112" s="3109"/>
      <c r="V112" s="3110"/>
      <c r="W112" s="3108"/>
      <c r="X112" s="3111"/>
      <c r="Y112" s="3111"/>
      <c r="Z112" s="3112"/>
      <c r="AA112" s="3108"/>
      <c r="AB112" s="3109"/>
      <c r="AC112" s="3109"/>
      <c r="AD112" s="3014"/>
      <c r="AE112" s="3113">
        <v>35</v>
      </c>
      <c r="AF112" s="3109"/>
      <c r="AG112" s="3109"/>
      <c r="AH112" s="3014"/>
      <c r="AI112" s="3114"/>
    </row>
    <row r="113" spans="1:35" ht="24" customHeight="1">
      <c r="A113" s="77"/>
      <c r="B113" s="3348" t="s">
        <v>163</v>
      </c>
      <c r="C113" s="3108">
        <v>79</v>
      </c>
      <c r="D113" s="3109" t="s">
        <v>188</v>
      </c>
      <c r="E113" s="3109"/>
      <c r="F113" s="3110"/>
      <c r="G113" s="3108">
        <v>79</v>
      </c>
      <c r="H113" s="3109" t="s">
        <v>188</v>
      </c>
      <c r="I113" s="3109"/>
      <c r="J113" s="3110"/>
      <c r="K113" s="3108">
        <v>79</v>
      </c>
      <c r="L113" s="3109" t="s">
        <v>188</v>
      </c>
      <c r="M113" s="3109"/>
      <c r="N113" s="3110"/>
      <c r="O113" s="3108">
        <v>79</v>
      </c>
      <c r="P113" s="3109" t="s">
        <v>188</v>
      </c>
      <c r="Q113" s="3109"/>
      <c r="R113" s="3110"/>
      <c r="S113" s="3108">
        <v>79</v>
      </c>
      <c r="T113" s="3109" t="s">
        <v>188</v>
      </c>
      <c r="U113" s="3109"/>
      <c r="V113" s="3110"/>
      <c r="W113" s="3108"/>
      <c r="X113" s="3109"/>
      <c r="Y113" s="3109"/>
      <c r="Z113" s="3110"/>
      <c r="AA113" s="3109"/>
      <c r="AB113" s="3109"/>
      <c r="AC113" s="3109"/>
      <c r="AD113" s="3014"/>
      <c r="AE113" s="3113">
        <v>40</v>
      </c>
      <c r="AF113" s="3109"/>
      <c r="AG113" s="3109"/>
      <c r="AH113" s="3014"/>
      <c r="AI113" s="3114"/>
    </row>
    <row r="114" spans="1:35" ht="24" customHeight="1">
      <c r="A114" s="77"/>
      <c r="B114" s="3348" t="s">
        <v>171</v>
      </c>
      <c r="C114" s="3108">
        <v>89</v>
      </c>
      <c r="D114" s="3109" t="s">
        <v>189</v>
      </c>
      <c r="E114" s="3109"/>
      <c r="F114" s="3110"/>
      <c r="G114" s="3108">
        <v>89</v>
      </c>
      <c r="H114" s="3109" t="s">
        <v>189</v>
      </c>
      <c r="I114" s="3109"/>
      <c r="J114" s="3110"/>
      <c r="K114" s="3108">
        <v>89</v>
      </c>
      <c r="L114" s="3109" t="s">
        <v>189</v>
      </c>
      <c r="M114" s="3109"/>
      <c r="N114" s="3110"/>
      <c r="O114" s="3108">
        <v>89</v>
      </c>
      <c r="P114" s="3109" t="s">
        <v>189</v>
      </c>
      <c r="Q114" s="3109"/>
      <c r="R114" s="3110"/>
      <c r="S114" s="3108">
        <v>89</v>
      </c>
      <c r="T114" s="3109" t="s">
        <v>190</v>
      </c>
      <c r="U114" s="3109"/>
      <c r="V114" s="3110"/>
      <c r="W114" s="3115"/>
      <c r="X114" s="3116" t="s">
        <v>191</v>
      </c>
      <c r="Y114" s="3116"/>
      <c r="Z114" s="3117"/>
      <c r="AA114" s="3115"/>
      <c r="AB114" s="3116"/>
      <c r="AC114" s="3116"/>
      <c r="AD114" s="3017"/>
      <c r="AE114" s="3113">
        <v>44</v>
      </c>
      <c r="AF114" s="3109"/>
      <c r="AG114" s="3109"/>
      <c r="AH114" s="3014"/>
      <c r="AI114" s="3114"/>
    </row>
    <row r="115" spans="1:35" ht="24" customHeight="1">
      <c r="A115" s="77"/>
      <c r="B115" s="81" t="s">
        <v>173</v>
      </c>
      <c r="C115" s="3115">
        <v>99</v>
      </c>
      <c r="D115" s="3116" t="s">
        <v>192</v>
      </c>
      <c r="E115" s="3116"/>
      <c r="F115" s="3117"/>
      <c r="G115" s="3115">
        <v>99</v>
      </c>
      <c r="H115" s="3116" t="s">
        <v>192</v>
      </c>
      <c r="I115" s="3116"/>
      <c r="J115" s="3117"/>
      <c r="K115" s="3115">
        <v>99</v>
      </c>
      <c r="L115" s="3116" t="s">
        <v>192</v>
      </c>
      <c r="M115" s="3116"/>
      <c r="N115" s="3117"/>
      <c r="O115" s="3115">
        <v>99</v>
      </c>
      <c r="P115" s="3116" t="s">
        <v>192</v>
      </c>
      <c r="Q115" s="3116"/>
      <c r="R115" s="3117"/>
      <c r="S115" s="3115">
        <v>99</v>
      </c>
      <c r="T115" s="3116" t="s">
        <v>172</v>
      </c>
      <c r="U115" s="3116"/>
      <c r="V115" s="3017"/>
      <c r="W115" s="3016"/>
      <c r="X115" s="3017"/>
      <c r="Y115" s="3116"/>
      <c r="Z115" s="3117"/>
      <c r="AA115" s="3016"/>
      <c r="AB115" s="3017"/>
      <c r="AC115" s="3116"/>
      <c r="AD115" s="3117"/>
      <c r="AE115" s="3118">
        <v>28</v>
      </c>
      <c r="AF115" s="3116"/>
      <c r="AG115" s="3116"/>
      <c r="AH115" s="3017"/>
      <c r="AI115" s="3119"/>
    </row>
    <row r="116" spans="1:35" ht="24" customHeight="1" thickBot="1">
      <c r="A116" s="77"/>
      <c r="B116" s="3349" t="s">
        <v>193</v>
      </c>
      <c r="C116" s="3350" t="s">
        <v>47</v>
      </c>
      <c r="D116" s="3351" t="s">
        <v>194</v>
      </c>
      <c r="E116" s="3352"/>
      <c r="F116" s="3270"/>
      <c r="G116" s="3350" t="s">
        <v>47</v>
      </c>
      <c r="H116" s="3351" t="s">
        <v>194</v>
      </c>
      <c r="I116" s="3268"/>
      <c r="J116" s="3352"/>
      <c r="K116" s="3350" t="s">
        <v>47</v>
      </c>
      <c r="L116" s="3351" t="s">
        <v>194</v>
      </c>
      <c r="M116" s="3352"/>
      <c r="N116" s="3353"/>
      <c r="O116" s="3350" t="s">
        <v>47</v>
      </c>
      <c r="P116" s="3351" t="s">
        <v>194</v>
      </c>
      <c r="Q116" s="3352"/>
      <c r="R116" s="3351"/>
      <c r="S116" s="3350" t="s">
        <v>47</v>
      </c>
      <c r="T116" s="3272" t="s">
        <v>195</v>
      </c>
      <c r="U116" s="3351"/>
      <c r="V116" s="3353"/>
      <c r="W116" s="3352"/>
      <c r="X116" s="3351"/>
      <c r="Y116" s="3351"/>
      <c r="Z116" s="3351"/>
      <c r="AA116" s="3354"/>
      <c r="AB116" s="3355"/>
      <c r="AC116" s="3351"/>
      <c r="AD116" s="3356"/>
      <c r="AE116" s="3351"/>
      <c r="AF116" s="3351"/>
      <c r="AG116" s="3351"/>
      <c r="AH116" s="3357"/>
      <c r="AI116" s="3358"/>
    </row>
    <row r="117" spans="1:35" ht="24" customHeight="1">
      <c r="A117" s="82"/>
      <c r="B117" s="77"/>
      <c r="C117" s="79"/>
      <c r="D117" s="79"/>
      <c r="E117" s="79"/>
      <c r="F117" s="79"/>
      <c r="G117" s="79"/>
      <c r="H117" s="79"/>
      <c r="I117" s="79"/>
      <c r="J117" s="79"/>
      <c r="K117" s="79"/>
      <c r="L117" s="79"/>
      <c r="M117" s="79"/>
      <c r="N117" s="79"/>
      <c r="O117" s="79"/>
      <c r="P117" s="79"/>
      <c r="Q117" s="79"/>
      <c r="R117" s="79"/>
      <c r="S117" s="79"/>
      <c r="T117" s="79"/>
      <c r="U117" s="79"/>
      <c r="V117" s="79"/>
      <c r="W117" s="79"/>
      <c r="X117" s="79"/>
      <c r="Y117" s="79"/>
      <c r="Z117" s="79"/>
      <c r="AA117" s="79"/>
      <c r="AB117" s="79"/>
      <c r="AC117" s="79"/>
      <c r="AD117" s="79"/>
      <c r="AE117" s="79"/>
      <c r="AF117" s="79"/>
      <c r="AG117" s="79"/>
      <c r="AH117" s="78"/>
      <c r="AI117" s="78"/>
    </row>
    <row r="118" spans="1:35" ht="24" customHeight="1" thickBot="1">
      <c r="A118" s="3025"/>
      <c r="B118" s="2978" t="s">
        <v>29</v>
      </c>
      <c r="C118" s="3249">
        <v>1</v>
      </c>
      <c r="D118" s="3250">
        <v>2</v>
      </c>
      <c r="E118" s="3250">
        <v>3</v>
      </c>
      <c r="F118" s="3250">
        <v>4</v>
      </c>
      <c r="G118" s="3250">
        <v>5</v>
      </c>
      <c r="H118" s="3250">
        <v>6</v>
      </c>
      <c r="I118" s="3249">
        <v>7</v>
      </c>
      <c r="J118" s="3249">
        <v>8</v>
      </c>
      <c r="K118" s="3250">
        <v>9</v>
      </c>
      <c r="L118" s="3250">
        <v>10</v>
      </c>
      <c r="M118" s="3250">
        <v>11</v>
      </c>
      <c r="N118" s="3250">
        <v>12</v>
      </c>
      <c r="O118" s="3250">
        <v>13</v>
      </c>
      <c r="P118" s="3249">
        <v>14</v>
      </c>
      <c r="Q118" s="3249">
        <v>15</v>
      </c>
      <c r="R118" s="3250">
        <v>16</v>
      </c>
      <c r="S118" s="3250">
        <v>17</v>
      </c>
      <c r="T118" s="3250">
        <v>18</v>
      </c>
      <c r="U118" s="3250">
        <v>19</v>
      </c>
      <c r="V118" s="3250">
        <v>20</v>
      </c>
      <c r="W118" s="3249">
        <v>21</v>
      </c>
      <c r="X118" s="3249">
        <v>22</v>
      </c>
      <c r="Y118" s="3250">
        <v>23</v>
      </c>
      <c r="Z118" s="3249">
        <v>24</v>
      </c>
      <c r="AA118" s="3249">
        <v>25</v>
      </c>
      <c r="AB118" s="3249">
        <v>26</v>
      </c>
      <c r="AC118" s="3250">
        <v>27</v>
      </c>
      <c r="AD118" s="3249">
        <v>28</v>
      </c>
      <c r="AE118" s="3249">
        <v>29</v>
      </c>
      <c r="AF118" s="3250">
        <v>30</v>
      </c>
      <c r="AG118" s="3251">
        <v>31</v>
      </c>
      <c r="AH118" s="23"/>
      <c r="AI118" s="24"/>
    </row>
    <row r="119" spans="1:35" ht="24" customHeight="1">
      <c r="A119" s="2703">
        <v>1</v>
      </c>
      <c r="B119" s="2647" t="s">
        <v>196</v>
      </c>
      <c r="C119" s="802"/>
      <c r="D119" s="2565">
        <v>99</v>
      </c>
      <c r="E119" s="2692">
        <v>99</v>
      </c>
      <c r="F119" s="2692">
        <v>99</v>
      </c>
      <c r="G119" s="2564">
        <v>99</v>
      </c>
      <c r="H119" s="2565" t="s">
        <v>35</v>
      </c>
      <c r="I119" s="2564"/>
      <c r="J119" s="2564"/>
      <c r="K119" s="802" t="s">
        <v>47</v>
      </c>
      <c r="L119" s="801" t="s">
        <v>47</v>
      </c>
      <c r="M119" s="1816" t="s">
        <v>47</v>
      </c>
      <c r="N119" s="802" t="s">
        <v>47</v>
      </c>
      <c r="O119" s="802" t="s">
        <v>47</v>
      </c>
      <c r="P119" s="802"/>
      <c r="Q119" s="802"/>
      <c r="R119" s="2566">
        <v>69</v>
      </c>
      <c r="S119" s="2566">
        <v>69</v>
      </c>
      <c r="T119" s="2566" t="s">
        <v>458</v>
      </c>
      <c r="U119" s="2999">
        <v>69</v>
      </c>
      <c r="V119" s="2999">
        <v>69</v>
      </c>
      <c r="W119" s="802"/>
      <c r="X119" s="802"/>
      <c r="Y119" s="3359">
        <v>79</v>
      </c>
      <c r="Z119" s="802"/>
      <c r="AA119" s="801"/>
      <c r="AB119" s="802"/>
      <c r="AC119" s="3360">
        <v>79</v>
      </c>
      <c r="AD119" s="802"/>
      <c r="AE119" s="802"/>
      <c r="AF119" s="3359">
        <v>89</v>
      </c>
      <c r="AG119" s="2553"/>
      <c r="AH119" s="83"/>
      <c r="AI119" s="76"/>
    </row>
    <row r="120" spans="1:35" ht="24" customHeight="1">
      <c r="A120" s="3130">
        <v>2</v>
      </c>
      <c r="B120" s="3046" t="s">
        <v>197</v>
      </c>
      <c r="C120" s="2845"/>
      <c r="D120" s="2990" t="s">
        <v>47</v>
      </c>
      <c r="E120" s="2840" t="s">
        <v>47</v>
      </c>
      <c r="F120" s="2840" t="s">
        <v>47</v>
      </c>
      <c r="G120" s="2990" t="s">
        <v>47</v>
      </c>
      <c r="H120" s="2990" t="s">
        <v>47</v>
      </c>
      <c r="I120" s="2990"/>
      <c r="J120" s="2990"/>
      <c r="K120" s="2990">
        <v>69</v>
      </c>
      <c r="L120" s="2840">
        <v>69</v>
      </c>
      <c r="M120" s="2840">
        <v>69</v>
      </c>
      <c r="N120" s="2990">
        <v>69</v>
      </c>
      <c r="O120" s="2990">
        <v>69</v>
      </c>
      <c r="P120" s="2992" t="s">
        <v>457</v>
      </c>
      <c r="Q120" s="2990"/>
      <c r="R120" s="2845">
        <v>79</v>
      </c>
      <c r="S120" s="2990">
        <v>79</v>
      </c>
      <c r="T120" s="2840">
        <v>79</v>
      </c>
      <c r="U120" s="2990">
        <v>79</v>
      </c>
      <c r="V120" s="2990">
        <v>79</v>
      </c>
      <c r="W120" s="2990"/>
      <c r="X120" s="2990"/>
      <c r="Y120" s="3361">
        <v>89</v>
      </c>
      <c r="Z120" s="2840"/>
      <c r="AA120" s="2840"/>
      <c r="AB120" s="2845"/>
      <c r="AC120" s="3361">
        <v>89</v>
      </c>
      <c r="AD120" s="3362">
        <v>89</v>
      </c>
      <c r="AE120" s="2845"/>
      <c r="AF120" s="3361">
        <v>99</v>
      </c>
      <c r="AG120" s="3131"/>
      <c r="AH120" s="84"/>
      <c r="AI120" s="85"/>
    </row>
    <row r="121" spans="1:35" ht="24" customHeight="1">
      <c r="A121" s="3130">
        <v>3</v>
      </c>
      <c r="B121" s="3046" t="s">
        <v>198</v>
      </c>
      <c r="C121" s="3132"/>
      <c r="D121" s="3132">
        <v>69</v>
      </c>
      <c r="E121" s="3132">
        <v>69</v>
      </c>
      <c r="F121" s="3132">
        <v>69</v>
      </c>
      <c r="G121" s="3132">
        <v>69</v>
      </c>
      <c r="H121" s="3132">
        <v>69</v>
      </c>
      <c r="I121" s="2990"/>
      <c r="J121" s="2845"/>
      <c r="K121" s="2990">
        <v>79</v>
      </c>
      <c r="L121" s="2845">
        <v>79</v>
      </c>
      <c r="M121" s="2840">
        <v>79</v>
      </c>
      <c r="N121" s="2990">
        <v>79</v>
      </c>
      <c r="O121" s="2990">
        <v>79</v>
      </c>
      <c r="P121" s="2990"/>
      <c r="Q121" s="2990"/>
      <c r="R121" s="3363">
        <v>89</v>
      </c>
      <c r="S121" s="3363">
        <v>89</v>
      </c>
      <c r="T121" s="3363">
        <v>89</v>
      </c>
      <c r="U121" s="3363">
        <v>89</v>
      </c>
      <c r="V121" s="3364">
        <v>89</v>
      </c>
      <c r="W121" s="86">
        <v>89</v>
      </c>
      <c r="X121" s="64"/>
      <c r="Y121" s="3094">
        <v>99</v>
      </c>
      <c r="Z121" s="2840"/>
      <c r="AA121" s="2840"/>
      <c r="AB121" s="2990"/>
      <c r="AC121" s="2990" t="s">
        <v>35</v>
      </c>
      <c r="AD121" s="2990"/>
      <c r="AE121" s="2990"/>
      <c r="AF121" s="3094" t="s">
        <v>47</v>
      </c>
      <c r="AG121" s="2993"/>
      <c r="AH121" s="83"/>
      <c r="AI121" s="76"/>
    </row>
    <row r="122" spans="1:35" ht="24" customHeight="1">
      <c r="A122" s="3130">
        <v>4</v>
      </c>
      <c r="B122" s="3046" t="s">
        <v>441</v>
      </c>
      <c r="C122" s="3050"/>
      <c r="D122" s="2840" t="s">
        <v>244</v>
      </c>
      <c r="E122" s="2840" t="s">
        <v>244</v>
      </c>
      <c r="F122" s="2840" t="s">
        <v>244</v>
      </c>
      <c r="G122" s="2840" t="s">
        <v>244</v>
      </c>
      <c r="H122" s="2840" t="s">
        <v>244</v>
      </c>
      <c r="I122" s="2990"/>
      <c r="J122" s="2990"/>
      <c r="K122" s="2840" t="s">
        <v>244</v>
      </c>
      <c r="L122" s="2840" t="s">
        <v>244</v>
      </c>
      <c r="M122" s="2840" t="s">
        <v>244</v>
      </c>
      <c r="N122" s="2840" t="s">
        <v>244</v>
      </c>
      <c r="O122" s="2840" t="s">
        <v>244</v>
      </c>
      <c r="P122" s="3050" t="s">
        <v>0</v>
      </c>
      <c r="Q122" s="3050"/>
      <c r="R122" s="2840" t="s">
        <v>244</v>
      </c>
      <c r="S122" s="2840" t="s">
        <v>244</v>
      </c>
      <c r="T122" s="2840" t="s">
        <v>244</v>
      </c>
      <c r="U122" s="2840" t="s">
        <v>244</v>
      </c>
      <c r="V122" s="2840" t="s">
        <v>244</v>
      </c>
      <c r="W122" s="3050"/>
      <c r="X122" s="3050"/>
      <c r="Y122" s="2840" t="s">
        <v>244</v>
      </c>
      <c r="Z122" s="2846"/>
      <c r="AA122" s="2846"/>
      <c r="AB122" s="3050"/>
      <c r="AC122" s="2840" t="s">
        <v>244</v>
      </c>
      <c r="AD122" s="3050"/>
      <c r="AE122" s="3050"/>
      <c r="AF122" s="2840" t="s">
        <v>244</v>
      </c>
      <c r="AG122" s="3135"/>
      <c r="AH122" s="83"/>
      <c r="AI122" s="76"/>
    </row>
    <row r="123" spans="1:35" ht="24" customHeight="1" thickBot="1">
      <c r="A123" s="3365">
        <v>5</v>
      </c>
      <c r="B123" s="3366" t="s">
        <v>200</v>
      </c>
      <c r="C123" s="3367"/>
      <c r="D123" s="3367">
        <v>89</v>
      </c>
      <c r="E123" s="3367">
        <v>89</v>
      </c>
      <c r="F123" s="3367">
        <v>89</v>
      </c>
      <c r="G123" s="3367">
        <v>89</v>
      </c>
      <c r="H123" s="3228">
        <v>89</v>
      </c>
      <c r="I123" s="3228">
        <v>89</v>
      </c>
      <c r="J123" s="3228"/>
      <c r="K123" s="3367">
        <v>99</v>
      </c>
      <c r="L123" s="3367">
        <v>99</v>
      </c>
      <c r="M123" s="3367">
        <v>99</v>
      </c>
      <c r="N123" s="3367">
        <v>99</v>
      </c>
      <c r="O123" s="3367" t="s">
        <v>35</v>
      </c>
      <c r="P123" s="3367"/>
      <c r="Q123" s="3367"/>
      <c r="R123" s="3367" t="s">
        <v>47</v>
      </c>
      <c r="S123" s="3250" t="s">
        <v>47</v>
      </c>
      <c r="T123" s="3368" t="s">
        <v>47</v>
      </c>
      <c r="U123" s="3367" t="s">
        <v>47</v>
      </c>
      <c r="V123" s="3367" t="s">
        <v>47</v>
      </c>
      <c r="W123" s="3367"/>
      <c r="X123" s="3367"/>
      <c r="Y123" s="3287">
        <v>69</v>
      </c>
      <c r="Z123" s="3369"/>
      <c r="AA123" s="3369"/>
      <c r="AB123" s="3367"/>
      <c r="AC123" s="3287">
        <v>69</v>
      </c>
      <c r="AD123" s="3367"/>
      <c r="AE123" s="3367"/>
      <c r="AF123" s="3287">
        <v>79</v>
      </c>
      <c r="AG123" s="3370"/>
      <c r="AH123" s="83"/>
      <c r="AI123" s="76"/>
    </row>
    <row r="124" spans="1:35" ht="24" customHeight="1">
      <c r="A124" s="36"/>
      <c r="B124" s="87"/>
      <c r="C124" s="38"/>
      <c r="D124" s="38"/>
      <c r="E124" s="38"/>
      <c r="F124" s="38"/>
      <c r="G124" s="38"/>
      <c r="H124" s="38"/>
      <c r="I124" s="38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76"/>
      <c r="AI124" s="76"/>
    </row>
    <row r="125" spans="1:35" ht="24" customHeight="1" thickBot="1">
      <c r="A125" s="77" t="s">
        <v>202</v>
      </c>
      <c r="B125" s="78"/>
      <c r="C125" s="78"/>
      <c r="D125" s="79"/>
      <c r="E125" s="79"/>
      <c r="F125" s="79"/>
      <c r="G125" s="80"/>
      <c r="H125" s="79"/>
      <c r="I125" s="79"/>
      <c r="J125" s="79"/>
      <c r="K125" s="79"/>
      <c r="L125" s="79"/>
      <c r="M125" s="79"/>
      <c r="N125" s="79"/>
      <c r="O125" s="79"/>
      <c r="P125" s="79"/>
      <c r="Q125" s="79"/>
      <c r="R125" s="79"/>
      <c r="S125" s="79"/>
      <c r="T125" s="79"/>
      <c r="U125" s="79"/>
      <c r="V125" s="79"/>
      <c r="W125" s="79"/>
      <c r="X125" s="79"/>
      <c r="Y125" s="79"/>
      <c r="Z125" s="79"/>
      <c r="AA125" s="79"/>
      <c r="AB125" s="79"/>
      <c r="AC125" s="79"/>
      <c r="AD125" s="79"/>
      <c r="AE125" s="79"/>
      <c r="AF125" s="79"/>
      <c r="AG125" s="79"/>
      <c r="AH125" s="78"/>
      <c r="AI125" s="78"/>
    </row>
    <row r="126" spans="1:35" ht="24" customHeight="1">
      <c r="A126" s="77"/>
      <c r="B126" s="900" t="s">
        <v>186</v>
      </c>
      <c r="C126" s="924"/>
      <c r="D126" s="925" t="s">
        <v>87</v>
      </c>
      <c r="E126" s="926"/>
      <c r="F126" s="927"/>
      <c r="G126" s="924"/>
      <c r="H126" s="925" t="s">
        <v>88</v>
      </c>
      <c r="I126" s="926"/>
      <c r="J126" s="927"/>
      <c r="K126" s="924"/>
      <c r="L126" s="925" t="s">
        <v>89</v>
      </c>
      <c r="M126" s="926"/>
      <c r="N126" s="927"/>
      <c r="O126" s="924"/>
      <c r="P126" s="925" t="s">
        <v>90</v>
      </c>
      <c r="Q126" s="926"/>
      <c r="R126" s="927"/>
      <c r="S126" s="924"/>
      <c r="T126" s="925" t="s">
        <v>91</v>
      </c>
      <c r="U126" s="926"/>
      <c r="V126" s="927"/>
      <c r="W126" s="924"/>
      <c r="X126" s="925" t="s">
        <v>92</v>
      </c>
      <c r="Y126" s="926"/>
      <c r="Z126" s="927"/>
      <c r="AA126" s="924"/>
      <c r="AB126" s="925" t="s">
        <v>93</v>
      </c>
      <c r="AC126" s="926"/>
      <c r="AD126" s="926"/>
      <c r="AE126" s="928" t="s">
        <v>94</v>
      </c>
      <c r="AF126" s="926"/>
      <c r="AG126" s="926"/>
      <c r="AH126" s="926"/>
      <c r="AI126" s="929"/>
    </row>
    <row r="127" spans="1:35" ht="24" customHeight="1">
      <c r="A127" s="77"/>
      <c r="B127" s="3348" t="s">
        <v>203</v>
      </c>
      <c r="C127" s="3013" t="s">
        <v>204</v>
      </c>
      <c r="D127" s="3109"/>
      <c r="E127" s="3109"/>
      <c r="F127" s="3110"/>
      <c r="G127" s="3013" t="s">
        <v>204</v>
      </c>
      <c r="H127" s="3109"/>
      <c r="I127" s="3109"/>
      <c r="J127" s="3110"/>
      <c r="K127" s="3013" t="s">
        <v>204</v>
      </c>
      <c r="L127" s="3109"/>
      <c r="M127" s="3109"/>
      <c r="N127" s="3110"/>
      <c r="O127" s="3013" t="s">
        <v>204</v>
      </c>
      <c r="P127" s="3109"/>
      <c r="Q127" s="3109"/>
      <c r="R127" s="3110"/>
      <c r="S127" s="3013" t="s">
        <v>204</v>
      </c>
      <c r="T127" s="3109"/>
      <c r="U127" s="3109"/>
      <c r="V127" s="3110"/>
      <c r="W127" s="3013" t="s">
        <v>205</v>
      </c>
      <c r="X127" s="3111"/>
      <c r="Y127" s="3111"/>
      <c r="Z127" s="3112"/>
      <c r="AA127" s="3013" t="s">
        <v>205</v>
      </c>
      <c r="AB127" s="3109"/>
      <c r="AC127" s="3109"/>
      <c r="AD127" s="3014"/>
      <c r="AE127" s="3113">
        <v>68</v>
      </c>
      <c r="AF127" s="88"/>
      <c r="AG127" s="88"/>
      <c r="AH127" s="88"/>
      <c r="AI127" s="89"/>
    </row>
    <row r="128" spans="1:35" ht="24" customHeight="1">
      <c r="A128" s="77"/>
      <c r="B128" s="3348" t="s">
        <v>163</v>
      </c>
      <c r="C128" s="3013" t="s">
        <v>172</v>
      </c>
      <c r="D128" s="3109"/>
      <c r="E128" s="3109"/>
      <c r="F128" s="3110"/>
      <c r="G128" s="3013" t="s">
        <v>172</v>
      </c>
      <c r="H128" s="3109"/>
      <c r="I128" s="3109"/>
      <c r="J128" s="3110"/>
      <c r="K128" s="3013" t="s">
        <v>172</v>
      </c>
      <c r="L128" s="3109"/>
      <c r="M128" s="3109"/>
      <c r="N128" s="3110"/>
      <c r="O128" s="3013" t="s">
        <v>172</v>
      </c>
      <c r="P128" s="3109"/>
      <c r="Q128" s="3109"/>
      <c r="R128" s="3110"/>
      <c r="S128" s="3013" t="s">
        <v>172</v>
      </c>
      <c r="T128" s="3109"/>
      <c r="U128" s="3109"/>
      <c r="V128" s="3110"/>
      <c r="W128" s="3013" t="s">
        <v>172</v>
      </c>
      <c r="X128" s="3109"/>
      <c r="Y128" s="3109"/>
      <c r="Z128" s="3110"/>
      <c r="AA128" s="3109" t="s">
        <v>172</v>
      </c>
      <c r="AB128" s="3109"/>
      <c r="AC128" s="3109"/>
      <c r="AD128" s="3014"/>
      <c r="AE128" s="3113">
        <v>0</v>
      </c>
      <c r="AF128" s="88"/>
      <c r="AG128" s="88"/>
      <c r="AH128" s="88"/>
      <c r="AI128" s="89"/>
    </row>
    <row r="129" spans="1:35" ht="24" customHeight="1">
      <c r="A129" s="77"/>
      <c r="B129" s="3348" t="s">
        <v>206</v>
      </c>
      <c r="C129" s="3013" t="s">
        <v>204</v>
      </c>
      <c r="D129" s="3109"/>
      <c r="E129" s="3109"/>
      <c r="F129" s="3110"/>
      <c r="G129" s="3013" t="s">
        <v>204</v>
      </c>
      <c r="H129" s="3109"/>
      <c r="I129" s="3109"/>
      <c r="J129" s="3110"/>
      <c r="K129" s="3013" t="s">
        <v>204</v>
      </c>
      <c r="L129" s="3109"/>
      <c r="M129" s="3109"/>
      <c r="N129" s="3110"/>
      <c r="O129" s="3013" t="s">
        <v>204</v>
      </c>
      <c r="P129" s="3109"/>
      <c r="Q129" s="3109"/>
      <c r="R129" s="3110"/>
      <c r="S129" s="3013" t="s">
        <v>204</v>
      </c>
      <c r="T129" s="3109"/>
      <c r="U129" s="3109"/>
      <c r="V129" s="3110"/>
      <c r="W129" s="3013" t="s">
        <v>205</v>
      </c>
      <c r="X129" s="3111"/>
      <c r="Y129" s="3111"/>
      <c r="Z129" s="3112"/>
      <c r="AA129" s="3013" t="s">
        <v>205</v>
      </c>
      <c r="AB129" s="3109"/>
      <c r="AC129" s="3109"/>
      <c r="AD129" s="3014"/>
      <c r="AE129" s="3113">
        <v>68</v>
      </c>
      <c r="AF129" s="3109"/>
      <c r="AG129" s="3109" t="s">
        <v>0</v>
      </c>
      <c r="AH129" s="3014"/>
      <c r="AI129" s="3114"/>
    </row>
    <row r="130" spans="1:35" ht="24" customHeight="1">
      <c r="A130" s="77"/>
      <c r="B130" s="3348" t="s">
        <v>173</v>
      </c>
      <c r="C130" s="3013" t="s">
        <v>172</v>
      </c>
      <c r="D130" s="3109"/>
      <c r="E130" s="3109"/>
      <c r="F130" s="3110"/>
      <c r="G130" s="3013" t="s">
        <v>172</v>
      </c>
      <c r="H130" s="3109"/>
      <c r="I130" s="3109"/>
      <c r="J130" s="3110"/>
      <c r="K130" s="3013" t="s">
        <v>172</v>
      </c>
      <c r="L130" s="3109"/>
      <c r="M130" s="3109"/>
      <c r="N130" s="3110"/>
      <c r="O130" s="3013" t="s">
        <v>172</v>
      </c>
      <c r="P130" s="3109"/>
      <c r="Q130" s="3109"/>
      <c r="R130" s="3110"/>
      <c r="S130" s="3013" t="s">
        <v>172</v>
      </c>
      <c r="T130" s="3109"/>
      <c r="U130" s="3109"/>
      <c r="V130" s="3110"/>
      <c r="W130" s="3013" t="s">
        <v>172</v>
      </c>
      <c r="X130" s="3109"/>
      <c r="Y130" s="3109"/>
      <c r="Z130" s="3110"/>
      <c r="AA130" s="3109" t="s">
        <v>172</v>
      </c>
      <c r="AB130" s="3109"/>
      <c r="AC130" s="3109"/>
      <c r="AD130" s="3014"/>
      <c r="AE130" s="3113">
        <v>0</v>
      </c>
      <c r="AF130" s="3109"/>
      <c r="AG130" s="3109"/>
      <c r="AH130" s="3014"/>
      <c r="AI130" s="3114"/>
    </row>
    <row r="131" spans="1:35" ht="24" customHeight="1">
      <c r="A131" s="77"/>
      <c r="B131" s="3348" t="s">
        <v>207</v>
      </c>
      <c r="C131" s="3013" t="s">
        <v>204</v>
      </c>
      <c r="D131" s="3109"/>
      <c r="E131" s="3109"/>
      <c r="F131" s="3110"/>
      <c r="G131" s="3013" t="s">
        <v>204</v>
      </c>
      <c r="H131" s="3109"/>
      <c r="I131" s="3109"/>
      <c r="J131" s="3110"/>
      <c r="K131" s="3013" t="s">
        <v>204</v>
      </c>
      <c r="L131" s="3109"/>
      <c r="M131" s="3109"/>
      <c r="N131" s="3110"/>
      <c r="O131" s="3013" t="s">
        <v>204</v>
      </c>
      <c r="P131" s="3109"/>
      <c r="Q131" s="3109"/>
      <c r="R131" s="3110"/>
      <c r="S131" s="3013" t="s">
        <v>204</v>
      </c>
      <c r="T131" s="3109"/>
      <c r="U131" s="3109"/>
      <c r="V131" s="3110"/>
      <c r="W131" s="3013" t="s">
        <v>208</v>
      </c>
      <c r="X131" s="3116"/>
      <c r="Y131" s="3116"/>
      <c r="Z131" s="3117"/>
      <c r="AA131" s="3013" t="s">
        <v>208</v>
      </c>
      <c r="AB131" s="3116"/>
      <c r="AC131" s="3116"/>
      <c r="AD131" s="3017"/>
      <c r="AE131" s="3113">
        <v>68</v>
      </c>
      <c r="AF131" s="3109"/>
      <c r="AG131" s="3109"/>
      <c r="AH131" s="3014"/>
      <c r="AI131" s="3114"/>
    </row>
    <row r="132" spans="1:35" ht="24" customHeight="1" thickBot="1">
      <c r="A132" s="77"/>
      <c r="B132" s="3348" t="s">
        <v>209</v>
      </c>
      <c r="C132" s="3371" t="s">
        <v>172</v>
      </c>
      <c r="D132" s="3372"/>
      <c r="E132" s="3372"/>
      <c r="F132" s="3373"/>
      <c r="G132" s="3371" t="s">
        <v>172</v>
      </c>
      <c r="H132" s="3372"/>
      <c r="I132" s="3372"/>
      <c r="J132" s="3373"/>
      <c r="K132" s="3371" t="s">
        <v>172</v>
      </c>
      <c r="L132" s="3372"/>
      <c r="M132" s="3372"/>
      <c r="N132" s="3373"/>
      <c r="O132" s="3371" t="s">
        <v>172</v>
      </c>
      <c r="P132" s="3372"/>
      <c r="Q132" s="3372"/>
      <c r="R132" s="3373"/>
      <c r="S132" s="3371" t="s">
        <v>172</v>
      </c>
      <c r="T132" s="3372"/>
      <c r="U132" s="3372"/>
      <c r="V132" s="3357"/>
      <c r="W132" s="3371" t="s">
        <v>172</v>
      </c>
      <c r="X132" s="3357"/>
      <c r="Y132" s="3372"/>
      <c r="Z132" s="3373"/>
      <c r="AA132" s="3371" t="s">
        <v>172</v>
      </c>
      <c r="AB132" s="3357"/>
      <c r="AC132" s="3372"/>
      <c r="AD132" s="3373"/>
      <c r="AE132" s="3374" t="s">
        <v>210</v>
      </c>
      <c r="AF132" s="3372"/>
      <c r="AG132" s="3372"/>
      <c r="AH132" s="3357"/>
      <c r="AI132" s="3358"/>
    </row>
    <row r="133" spans="1:35" ht="24" customHeight="1">
      <c r="A133" s="82"/>
      <c r="B133" s="77"/>
      <c r="C133" s="79"/>
      <c r="D133" s="79"/>
      <c r="E133" s="79"/>
      <c r="F133" s="79"/>
      <c r="G133" s="79"/>
      <c r="H133" s="79"/>
      <c r="I133" s="79"/>
      <c r="J133" s="79"/>
      <c r="K133" s="79"/>
      <c r="L133" s="79"/>
      <c r="M133" s="79"/>
      <c r="N133" s="79"/>
      <c r="O133" s="79"/>
      <c r="P133" s="79"/>
      <c r="Q133" s="79"/>
      <c r="R133" s="79"/>
      <c r="S133" s="79"/>
      <c r="T133" s="79"/>
      <c r="U133" s="79"/>
      <c r="V133" s="79"/>
      <c r="W133" s="79"/>
      <c r="X133" s="79"/>
      <c r="Y133" s="79"/>
      <c r="Z133" s="79"/>
      <c r="AA133" s="79"/>
      <c r="AB133" s="79"/>
      <c r="AC133" s="79"/>
      <c r="AD133" s="79"/>
      <c r="AE133" s="79"/>
      <c r="AF133" s="79"/>
      <c r="AG133" s="79"/>
      <c r="AH133" s="78"/>
      <c r="AI133" s="78"/>
    </row>
    <row r="134" spans="1:35" ht="24" customHeight="1" thickBot="1">
      <c r="A134" s="3025"/>
      <c r="B134" s="2978" t="s">
        <v>29</v>
      </c>
      <c r="C134" s="3249">
        <v>1</v>
      </c>
      <c r="D134" s="3250">
        <v>2</v>
      </c>
      <c r="E134" s="3250">
        <v>3</v>
      </c>
      <c r="F134" s="3250">
        <v>4</v>
      </c>
      <c r="G134" s="3250">
        <v>5</v>
      </c>
      <c r="H134" s="3250">
        <v>6</v>
      </c>
      <c r="I134" s="3249">
        <v>7</v>
      </c>
      <c r="J134" s="3249">
        <v>8</v>
      </c>
      <c r="K134" s="3250">
        <v>9</v>
      </c>
      <c r="L134" s="3250">
        <v>10</v>
      </c>
      <c r="M134" s="3250">
        <v>11</v>
      </c>
      <c r="N134" s="3250">
        <v>12</v>
      </c>
      <c r="O134" s="3250">
        <v>13</v>
      </c>
      <c r="P134" s="3249">
        <v>14</v>
      </c>
      <c r="Q134" s="3249">
        <v>15</v>
      </c>
      <c r="R134" s="3250">
        <v>16</v>
      </c>
      <c r="S134" s="3250">
        <v>17</v>
      </c>
      <c r="T134" s="3250">
        <v>18</v>
      </c>
      <c r="U134" s="3250">
        <v>19</v>
      </c>
      <c r="V134" s="3250">
        <v>20</v>
      </c>
      <c r="W134" s="3249">
        <v>21</v>
      </c>
      <c r="X134" s="3249">
        <v>22</v>
      </c>
      <c r="Y134" s="3250">
        <v>23</v>
      </c>
      <c r="Z134" s="3249">
        <v>24</v>
      </c>
      <c r="AA134" s="3249">
        <v>25</v>
      </c>
      <c r="AB134" s="3249">
        <v>26</v>
      </c>
      <c r="AC134" s="3250">
        <v>27</v>
      </c>
      <c r="AD134" s="3249">
        <v>28</v>
      </c>
      <c r="AE134" s="3249">
        <v>29</v>
      </c>
      <c r="AF134" s="3250">
        <v>30</v>
      </c>
      <c r="AG134" s="3251">
        <v>31</v>
      </c>
      <c r="AH134" s="23"/>
      <c r="AI134" s="24"/>
    </row>
    <row r="135" spans="1:35" ht="24" customHeight="1">
      <c r="A135" s="2718">
        <v>1</v>
      </c>
      <c r="B135" s="3375" t="s">
        <v>211</v>
      </c>
      <c r="C135" s="1839">
        <v>22</v>
      </c>
      <c r="D135" s="1839" t="s">
        <v>35</v>
      </c>
      <c r="E135" s="1839" t="s">
        <v>35</v>
      </c>
      <c r="F135" s="1839" t="s">
        <v>35</v>
      </c>
      <c r="G135" s="2586" t="s">
        <v>35</v>
      </c>
      <c r="H135" s="1842">
        <v>22</v>
      </c>
      <c r="I135" s="1842" t="s">
        <v>459</v>
      </c>
      <c r="J135" s="1842">
        <v>22</v>
      </c>
      <c r="K135" s="1839">
        <v>23</v>
      </c>
      <c r="L135" s="2720">
        <v>23</v>
      </c>
      <c r="M135" s="2586">
        <v>23</v>
      </c>
      <c r="N135" s="2586">
        <v>23</v>
      </c>
      <c r="O135" s="1839">
        <v>23</v>
      </c>
      <c r="P135" s="1839">
        <v>23</v>
      </c>
      <c r="Q135" s="1839">
        <v>23</v>
      </c>
      <c r="R135" s="1839" t="s">
        <v>35</v>
      </c>
      <c r="S135" s="1839" t="s">
        <v>35</v>
      </c>
      <c r="T135" s="1839" t="s">
        <v>35</v>
      </c>
      <c r="U135" s="1839" t="s">
        <v>35</v>
      </c>
      <c r="V135" s="1839" t="s">
        <v>35</v>
      </c>
      <c r="W135" s="2720"/>
      <c r="X135" s="1839"/>
      <c r="Y135" s="1839">
        <v>21</v>
      </c>
      <c r="Z135" s="2720">
        <v>21</v>
      </c>
      <c r="AA135" s="1839">
        <v>21</v>
      </c>
      <c r="AB135" s="1839">
        <v>21</v>
      </c>
      <c r="AC135" s="1839">
        <v>21</v>
      </c>
      <c r="AD135" s="1839">
        <v>21</v>
      </c>
      <c r="AE135" s="1839">
        <v>21</v>
      </c>
      <c r="AF135" s="1839" t="s">
        <v>35</v>
      </c>
      <c r="AG135" s="1843" t="s">
        <v>35</v>
      </c>
      <c r="AH135" s="76"/>
      <c r="AI135" s="76"/>
    </row>
    <row r="136" spans="1:35" ht="24" customHeight="1">
      <c r="A136" s="3376">
        <v>2</v>
      </c>
      <c r="B136" s="3254" t="s">
        <v>212</v>
      </c>
      <c r="C136" s="3258">
        <v>23</v>
      </c>
      <c r="D136" s="3256" t="s">
        <v>35</v>
      </c>
      <c r="E136" s="3256" t="s">
        <v>35</v>
      </c>
      <c r="F136" s="3256" t="s">
        <v>35</v>
      </c>
      <c r="G136" s="3256" t="s">
        <v>35</v>
      </c>
      <c r="H136" s="3256" t="s">
        <v>35</v>
      </c>
      <c r="I136" s="3298"/>
      <c r="J136" s="3256"/>
      <c r="K136" s="3295">
        <v>21</v>
      </c>
      <c r="L136" s="3296">
        <v>21</v>
      </c>
      <c r="M136" s="3377">
        <v>21</v>
      </c>
      <c r="N136" s="3377">
        <v>21</v>
      </c>
      <c r="O136" s="3377">
        <v>21</v>
      </c>
      <c r="P136" s="3295">
        <v>21</v>
      </c>
      <c r="Q136" s="3295">
        <v>21</v>
      </c>
      <c r="R136" s="3256" t="s">
        <v>35</v>
      </c>
      <c r="S136" s="3256" t="s">
        <v>35</v>
      </c>
      <c r="T136" s="3257" t="s">
        <v>35</v>
      </c>
      <c r="U136" s="3257" t="s">
        <v>35</v>
      </c>
      <c r="V136" s="3257" t="s">
        <v>35</v>
      </c>
      <c r="W136" s="3298"/>
      <c r="X136" s="3256"/>
      <c r="Y136" s="3256">
        <v>22</v>
      </c>
      <c r="Z136" s="3298">
        <v>22</v>
      </c>
      <c r="AA136" s="3256">
        <v>22</v>
      </c>
      <c r="AB136" s="3256">
        <v>22</v>
      </c>
      <c r="AC136" s="3256">
        <v>22</v>
      </c>
      <c r="AD136" s="3256">
        <v>22</v>
      </c>
      <c r="AE136" s="3256">
        <v>22</v>
      </c>
      <c r="AF136" s="3256" t="s">
        <v>35</v>
      </c>
      <c r="AG136" s="3260" t="s">
        <v>35</v>
      </c>
      <c r="AH136" s="76"/>
      <c r="AI136" s="76"/>
    </row>
    <row r="137" spans="1:35" ht="24" customHeight="1">
      <c r="A137" s="3376">
        <v>3</v>
      </c>
      <c r="B137" s="3254" t="s">
        <v>213</v>
      </c>
      <c r="C137" s="3256">
        <v>21</v>
      </c>
      <c r="D137" s="3256" t="s">
        <v>35</v>
      </c>
      <c r="E137" s="3256" t="s">
        <v>35</v>
      </c>
      <c r="F137" s="3256" t="s">
        <v>35</v>
      </c>
      <c r="G137" s="3257" t="s">
        <v>35</v>
      </c>
      <c r="H137" s="3257" t="s">
        <v>35</v>
      </c>
      <c r="I137" s="3298"/>
      <c r="J137" s="3256"/>
      <c r="K137" s="3256">
        <v>22</v>
      </c>
      <c r="L137" s="3298">
        <v>22</v>
      </c>
      <c r="M137" s="3256">
        <v>22</v>
      </c>
      <c r="N137" s="3256">
        <v>22</v>
      </c>
      <c r="O137" s="3258">
        <v>22</v>
      </c>
      <c r="P137" s="3258">
        <v>22</v>
      </c>
      <c r="Q137" s="3258">
        <v>22</v>
      </c>
      <c r="R137" s="3256" t="s">
        <v>35</v>
      </c>
      <c r="S137" s="3256" t="s">
        <v>35</v>
      </c>
      <c r="T137" s="3256" t="s">
        <v>35</v>
      </c>
      <c r="U137" s="3257" t="s">
        <v>35</v>
      </c>
      <c r="V137" s="3257" t="s">
        <v>35</v>
      </c>
      <c r="W137" s="3298"/>
      <c r="X137" s="3256"/>
      <c r="Y137" s="3256">
        <v>23</v>
      </c>
      <c r="Z137" s="3298">
        <v>23</v>
      </c>
      <c r="AA137" s="3256">
        <v>23</v>
      </c>
      <c r="AB137" s="3256">
        <v>23</v>
      </c>
      <c r="AC137" s="3256">
        <v>23</v>
      </c>
      <c r="AD137" s="3256">
        <v>23</v>
      </c>
      <c r="AE137" s="3256">
        <v>23</v>
      </c>
      <c r="AF137" s="3256" t="s">
        <v>35</v>
      </c>
      <c r="AG137" s="3260" t="s">
        <v>35</v>
      </c>
      <c r="AH137" s="76"/>
      <c r="AI137" s="76"/>
    </row>
    <row r="138" spans="1:35" ht="24" customHeight="1">
      <c r="A138" s="3376">
        <v>4</v>
      </c>
      <c r="B138" s="3254" t="s">
        <v>214</v>
      </c>
      <c r="C138" s="3256"/>
      <c r="D138" s="3256">
        <v>22</v>
      </c>
      <c r="E138" s="3298">
        <v>22</v>
      </c>
      <c r="F138" s="3256">
        <v>22</v>
      </c>
      <c r="G138" s="3256">
        <v>22</v>
      </c>
      <c r="H138" s="3378">
        <v>22</v>
      </c>
      <c r="I138" s="3378">
        <v>22</v>
      </c>
      <c r="J138" s="3378">
        <v>22</v>
      </c>
      <c r="K138" s="3378" t="s">
        <v>35</v>
      </c>
      <c r="L138" s="3378" t="s">
        <v>351</v>
      </c>
      <c r="M138" s="3256" t="s">
        <v>35</v>
      </c>
      <c r="N138" s="3256" t="s">
        <v>35</v>
      </c>
      <c r="O138" s="3379" t="s">
        <v>35</v>
      </c>
      <c r="P138" s="3298"/>
      <c r="Q138" s="3256"/>
      <c r="R138" s="3380">
        <v>23</v>
      </c>
      <c r="S138" s="3381">
        <v>23</v>
      </c>
      <c r="T138" s="3295">
        <v>23</v>
      </c>
      <c r="U138" s="3295">
        <v>23</v>
      </c>
      <c r="V138" s="3295">
        <v>23</v>
      </c>
      <c r="W138" s="3295">
        <v>23</v>
      </c>
      <c r="X138" s="3295">
        <v>23</v>
      </c>
      <c r="Y138" s="3256" t="s">
        <v>35</v>
      </c>
      <c r="Z138" s="3256" t="s">
        <v>35</v>
      </c>
      <c r="AA138" s="3256" t="s">
        <v>35</v>
      </c>
      <c r="AB138" s="3256" t="s">
        <v>35</v>
      </c>
      <c r="AC138" s="3256" t="s">
        <v>35</v>
      </c>
      <c r="AD138" s="3298"/>
      <c r="AE138" s="3256"/>
      <c r="AF138" s="3256">
        <v>21</v>
      </c>
      <c r="AG138" s="3320">
        <v>21</v>
      </c>
      <c r="AH138" s="76"/>
      <c r="AI138" s="76"/>
    </row>
    <row r="139" spans="1:35" ht="24" customHeight="1">
      <c r="A139" s="3376">
        <v>5</v>
      </c>
      <c r="B139" s="3254" t="s">
        <v>216</v>
      </c>
      <c r="C139" s="3257" t="s">
        <v>31</v>
      </c>
      <c r="D139" s="3256">
        <v>23</v>
      </c>
      <c r="E139" s="3298">
        <v>23</v>
      </c>
      <c r="F139" s="3256">
        <v>23</v>
      </c>
      <c r="G139" s="3256">
        <v>23</v>
      </c>
      <c r="H139" s="3256">
        <v>23</v>
      </c>
      <c r="I139" s="3256">
        <v>23</v>
      </c>
      <c r="J139" s="3256">
        <v>23</v>
      </c>
      <c r="K139" s="3256" t="s">
        <v>35</v>
      </c>
      <c r="L139" s="3256" t="s">
        <v>35</v>
      </c>
      <c r="M139" s="3256" t="s">
        <v>35</v>
      </c>
      <c r="N139" s="3256" t="s">
        <v>35</v>
      </c>
      <c r="O139" s="3256" t="s">
        <v>35</v>
      </c>
      <c r="P139" s="3298"/>
      <c r="Q139" s="3256"/>
      <c r="R139" s="3256">
        <v>21</v>
      </c>
      <c r="S139" s="3298">
        <v>21</v>
      </c>
      <c r="T139" s="3256">
        <v>21</v>
      </c>
      <c r="U139" s="3256">
        <v>21</v>
      </c>
      <c r="V139" s="3256">
        <v>21</v>
      </c>
      <c r="W139" s="3256">
        <v>21</v>
      </c>
      <c r="X139" s="3256">
        <v>21</v>
      </c>
      <c r="Y139" s="3256" t="s">
        <v>35</v>
      </c>
      <c r="Z139" s="3256" t="s">
        <v>35</v>
      </c>
      <c r="AA139" s="3256" t="s">
        <v>35</v>
      </c>
      <c r="AB139" s="3256" t="s">
        <v>35</v>
      </c>
      <c r="AC139" s="3257" t="s">
        <v>35</v>
      </c>
      <c r="AD139" s="3257"/>
      <c r="AE139" s="3257"/>
      <c r="AF139" s="3256">
        <v>22</v>
      </c>
      <c r="AG139" s="3320">
        <v>22</v>
      </c>
      <c r="AH139" s="76"/>
      <c r="AI139" s="76"/>
    </row>
    <row r="140" spans="1:35" ht="24" customHeight="1" thickBot="1">
      <c r="A140" s="405">
        <v>6</v>
      </c>
      <c r="B140" s="406" t="s">
        <v>217</v>
      </c>
      <c r="C140" s="418"/>
      <c r="D140" s="418">
        <v>21</v>
      </c>
      <c r="E140" s="408">
        <v>21</v>
      </c>
      <c r="F140" s="418">
        <v>21</v>
      </c>
      <c r="G140" s="418">
        <v>21</v>
      </c>
      <c r="H140" s="434">
        <v>21</v>
      </c>
      <c r="I140" s="434">
        <v>21</v>
      </c>
      <c r="J140" s="434">
        <v>21</v>
      </c>
      <c r="K140" s="409" t="s">
        <v>35</v>
      </c>
      <c r="L140" s="409" t="s">
        <v>35</v>
      </c>
      <c r="M140" s="409" t="s">
        <v>35</v>
      </c>
      <c r="N140" s="410" t="s">
        <v>35</v>
      </c>
      <c r="O140" s="410" t="s">
        <v>35</v>
      </c>
      <c r="P140" s="408"/>
      <c r="Q140" s="418"/>
      <c r="R140" s="418">
        <v>22</v>
      </c>
      <c r="S140" s="408">
        <v>22</v>
      </c>
      <c r="T140" s="418">
        <v>22</v>
      </c>
      <c r="U140" s="418">
        <v>22</v>
      </c>
      <c r="V140" s="418">
        <v>22</v>
      </c>
      <c r="W140" s="418">
        <v>22</v>
      </c>
      <c r="X140" s="418">
        <v>22</v>
      </c>
      <c r="Y140" s="418" t="s">
        <v>35</v>
      </c>
      <c r="Z140" s="418" t="s">
        <v>35</v>
      </c>
      <c r="AA140" s="418" t="s">
        <v>35</v>
      </c>
      <c r="AB140" s="410" t="s">
        <v>35</v>
      </c>
      <c r="AC140" s="410" t="s">
        <v>35</v>
      </c>
      <c r="AD140" s="408"/>
      <c r="AE140" s="418"/>
      <c r="AF140" s="418">
        <v>23</v>
      </c>
      <c r="AG140" s="90">
        <v>23</v>
      </c>
      <c r="AH140" s="76"/>
      <c r="AI140" s="76"/>
    </row>
    <row r="141" spans="1:35" ht="24" customHeight="1">
      <c r="A141" s="36"/>
      <c r="B141" s="87"/>
      <c r="C141" s="91"/>
      <c r="D141" s="91"/>
      <c r="E141" s="85"/>
      <c r="F141" s="91"/>
      <c r="G141" s="91"/>
      <c r="H141" s="91"/>
      <c r="I141" s="91"/>
      <c r="J141" s="91"/>
      <c r="K141" s="91"/>
      <c r="L141" s="91"/>
      <c r="M141" s="91"/>
      <c r="N141" s="91"/>
      <c r="O141" s="91"/>
      <c r="P141" s="85"/>
      <c r="Q141" s="91"/>
      <c r="R141" s="91"/>
      <c r="S141" s="85"/>
      <c r="T141" s="91"/>
      <c r="U141" s="91"/>
      <c r="V141" s="91"/>
      <c r="W141" s="91"/>
      <c r="X141" s="91"/>
      <c r="Y141" s="91"/>
      <c r="Z141" s="91"/>
      <c r="AA141" s="91"/>
      <c r="AB141" s="91"/>
      <c r="AC141" s="92"/>
      <c r="AD141" s="92"/>
      <c r="AE141" s="92"/>
      <c r="AF141" s="91"/>
      <c r="AG141" s="85"/>
      <c r="AH141" s="76"/>
      <c r="AI141" s="76"/>
    </row>
    <row r="142" spans="1:35" ht="24" customHeight="1" thickBot="1">
      <c r="A142" s="14" t="s">
        <v>218</v>
      </c>
      <c r="D142" s="17"/>
      <c r="E142" s="17"/>
      <c r="F142" s="17"/>
      <c r="G142" s="80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</row>
    <row r="143" spans="1:35" ht="24" customHeight="1">
      <c r="A143" s="1"/>
      <c r="B143" s="900" t="s">
        <v>186</v>
      </c>
      <c r="C143" s="901"/>
      <c r="D143" s="925" t="s">
        <v>87</v>
      </c>
      <c r="E143" s="705"/>
      <c r="F143" s="905"/>
      <c r="G143" s="901"/>
      <c r="H143" s="925" t="s">
        <v>88</v>
      </c>
      <c r="I143" s="705"/>
      <c r="J143" s="905"/>
      <c r="K143" s="901"/>
      <c r="L143" s="925" t="s">
        <v>89</v>
      </c>
      <c r="M143" s="705"/>
      <c r="N143" s="905"/>
      <c r="O143" s="901"/>
      <c r="P143" s="925" t="s">
        <v>90</v>
      </c>
      <c r="Q143" s="705"/>
      <c r="R143" s="905"/>
      <c r="S143" s="901"/>
      <c r="T143" s="925" t="s">
        <v>91</v>
      </c>
      <c r="U143" s="705"/>
      <c r="V143" s="905"/>
      <c r="W143" s="901"/>
      <c r="X143" s="925" t="s">
        <v>92</v>
      </c>
      <c r="Y143" s="705"/>
      <c r="Z143" s="905"/>
      <c r="AA143" s="901"/>
      <c r="AB143" s="925" t="s">
        <v>93</v>
      </c>
      <c r="AC143" s="705"/>
      <c r="AD143" s="705"/>
      <c r="AE143" s="928" t="s">
        <v>94</v>
      </c>
      <c r="AF143" s="705"/>
      <c r="AG143" s="705"/>
      <c r="AH143" s="705"/>
      <c r="AI143" s="706"/>
    </row>
    <row r="144" spans="1:35" ht="24" customHeight="1">
      <c r="A144" s="1"/>
      <c r="B144" s="3348" t="s">
        <v>159</v>
      </c>
      <c r="C144" s="3013" t="s">
        <v>368</v>
      </c>
      <c r="D144" s="2906"/>
      <c r="E144" s="2906"/>
      <c r="F144" s="3110"/>
      <c r="G144" s="3013" t="s">
        <v>368</v>
      </c>
      <c r="H144" s="2906"/>
      <c r="I144" s="2906"/>
      <c r="J144" s="3110"/>
      <c r="K144" s="3013" t="s">
        <v>368</v>
      </c>
      <c r="L144" s="2906"/>
      <c r="M144" s="2906"/>
      <c r="N144" s="3110"/>
      <c r="O144" s="3013" t="s">
        <v>195</v>
      </c>
      <c r="P144" s="2906"/>
      <c r="Q144" s="2906"/>
      <c r="R144" s="3110"/>
      <c r="S144" s="3013" t="s">
        <v>172</v>
      </c>
      <c r="T144" s="2906"/>
      <c r="U144" s="2906"/>
      <c r="V144" s="3110"/>
      <c r="W144" s="3158"/>
      <c r="X144" s="3159"/>
      <c r="Y144" s="3159"/>
      <c r="Z144" s="3112"/>
      <c r="AA144" s="3108"/>
      <c r="AB144" s="2906"/>
      <c r="AC144" s="2906"/>
      <c r="AD144" s="3014"/>
      <c r="AE144" s="3113">
        <v>27</v>
      </c>
      <c r="AF144" s="2906"/>
      <c r="AG144" s="2906"/>
      <c r="AH144" s="3014"/>
      <c r="AI144" s="2915"/>
    </row>
    <row r="145" spans="1:35" ht="24" customHeight="1">
      <c r="A145" s="1"/>
      <c r="B145" s="3348" t="s">
        <v>163</v>
      </c>
      <c r="C145" s="3013" t="s">
        <v>188</v>
      </c>
      <c r="D145" s="2906"/>
      <c r="E145" s="2906"/>
      <c r="F145" s="3110"/>
      <c r="G145" s="3013" t="s">
        <v>188</v>
      </c>
      <c r="H145" s="2906"/>
      <c r="I145" s="2906"/>
      <c r="J145" s="3110"/>
      <c r="K145" s="3013" t="s">
        <v>188</v>
      </c>
      <c r="L145" s="2906"/>
      <c r="M145" s="2906"/>
      <c r="N145" s="3110"/>
      <c r="O145" s="3013" t="s">
        <v>188</v>
      </c>
      <c r="P145" s="2906"/>
      <c r="Q145" s="2906"/>
      <c r="R145" s="3110"/>
      <c r="S145" s="3013" t="s">
        <v>368</v>
      </c>
      <c r="T145" s="2906"/>
      <c r="U145" s="2906"/>
      <c r="V145" s="3110"/>
      <c r="W145" s="3013"/>
      <c r="X145" s="2906"/>
      <c r="Y145" s="2906"/>
      <c r="Z145" s="3110"/>
      <c r="AA145" s="2906"/>
      <c r="AB145" s="2906"/>
      <c r="AC145" s="2906"/>
      <c r="AD145" s="3014"/>
      <c r="AE145" s="3113">
        <v>39</v>
      </c>
      <c r="AF145" s="2906"/>
      <c r="AG145" s="2906"/>
      <c r="AH145" s="3014"/>
      <c r="AI145" s="2915"/>
    </row>
    <row r="146" spans="1:35" ht="24" customHeight="1">
      <c r="A146" s="1"/>
      <c r="B146" s="3348" t="s">
        <v>171</v>
      </c>
      <c r="C146" s="3013" t="s">
        <v>188</v>
      </c>
      <c r="D146" s="2906"/>
      <c r="E146" s="2906"/>
      <c r="F146" s="3110"/>
      <c r="G146" s="3013" t="s">
        <v>188</v>
      </c>
      <c r="H146" s="2906"/>
      <c r="I146" s="2906"/>
      <c r="J146" s="3110"/>
      <c r="K146" s="3013" t="s">
        <v>188</v>
      </c>
      <c r="L146" s="2906"/>
      <c r="M146" s="2906"/>
      <c r="N146" s="3110"/>
      <c r="O146" s="3013" t="s">
        <v>188</v>
      </c>
      <c r="P146" s="2906"/>
      <c r="Q146" s="2906"/>
      <c r="R146" s="3110"/>
      <c r="S146" s="3013" t="s">
        <v>188</v>
      </c>
      <c r="T146" s="2906"/>
      <c r="U146" s="2906"/>
      <c r="V146" s="3110"/>
      <c r="W146" s="3016" t="s">
        <v>221</v>
      </c>
      <c r="X146" s="2919"/>
      <c r="Y146" s="2919"/>
      <c r="Z146" s="3117"/>
      <c r="AA146" s="3115"/>
      <c r="AB146" s="2919"/>
      <c r="AC146" s="2919"/>
      <c r="AD146" s="3017"/>
      <c r="AE146" s="3113">
        <v>45</v>
      </c>
      <c r="AF146" s="2906"/>
      <c r="AG146" s="2906"/>
      <c r="AH146" s="3014"/>
      <c r="AI146" s="2915"/>
    </row>
    <row r="147" spans="1:35" ht="24" customHeight="1" thickBot="1">
      <c r="A147" s="1"/>
      <c r="B147" s="3382" t="s">
        <v>173</v>
      </c>
      <c r="C147" s="3371"/>
      <c r="D147" s="3268"/>
      <c r="E147" s="3268"/>
      <c r="F147" s="3373"/>
      <c r="G147" s="3371"/>
      <c r="H147" s="3268"/>
      <c r="I147" s="3268"/>
      <c r="J147" s="3373"/>
      <c r="K147" s="3371"/>
      <c r="L147" s="3268"/>
      <c r="M147" s="3268"/>
      <c r="N147" s="3373"/>
      <c r="O147" s="3371"/>
      <c r="P147" s="3268"/>
      <c r="Q147" s="3268"/>
      <c r="R147" s="3373"/>
      <c r="S147" s="3371"/>
      <c r="T147" s="3268"/>
      <c r="U147" s="3268"/>
      <c r="V147" s="3357"/>
      <c r="W147" s="3371"/>
      <c r="X147" s="3357"/>
      <c r="Y147" s="3268"/>
      <c r="Z147" s="3373"/>
      <c r="AA147" s="3371"/>
      <c r="AB147" s="3357"/>
      <c r="AC147" s="3268"/>
      <c r="AD147" s="3373"/>
      <c r="AE147" s="3383"/>
      <c r="AF147" s="3268"/>
      <c r="AG147" s="3268"/>
      <c r="AH147" s="3357"/>
      <c r="AI147" s="3275"/>
    </row>
    <row r="148" spans="1:35" ht="24" customHeight="1">
      <c r="A148" s="82"/>
      <c r="B148" s="1" t="s">
        <v>460</v>
      </c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</row>
    <row r="149" spans="1:35" ht="24" customHeight="1" thickBot="1">
      <c r="A149" s="3025"/>
      <c r="B149" s="2978" t="s">
        <v>29</v>
      </c>
      <c r="C149" s="3249">
        <v>1</v>
      </c>
      <c r="D149" s="3250">
        <v>2</v>
      </c>
      <c r="E149" s="3250">
        <v>3</v>
      </c>
      <c r="F149" s="3250">
        <v>4</v>
      </c>
      <c r="G149" s="3250">
        <v>5</v>
      </c>
      <c r="H149" s="3250">
        <v>6</v>
      </c>
      <c r="I149" s="3249">
        <v>7</v>
      </c>
      <c r="J149" s="3249">
        <v>8</v>
      </c>
      <c r="K149" s="3250">
        <v>9</v>
      </c>
      <c r="L149" s="3250">
        <v>10</v>
      </c>
      <c r="M149" s="3250">
        <v>11</v>
      </c>
      <c r="N149" s="3250">
        <v>12</v>
      </c>
      <c r="O149" s="3250">
        <v>13</v>
      </c>
      <c r="P149" s="3249">
        <v>14</v>
      </c>
      <c r="Q149" s="3249">
        <v>15</v>
      </c>
      <c r="R149" s="3250">
        <v>16</v>
      </c>
      <c r="S149" s="3250">
        <v>17</v>
      </c>
      <c r="T149" s="3250">
        <v>18</v>
      </c>
      <c r="U149" s="3250">
        <v>19</v>
      </c>
      <c r="V149" s="3250">
        <v>20</v>
      </c>
      <c r="W149" s="3249">
        <v>21</v>
      </c>
      <c r="X149" s="3249">
        <v>22</v>
      </c>
      <c r="Y149" s="3250">
        <v>23</v>
      </c>
      <c r="Z149" s="3249">
        <v>24</v>
      </c>
      <c r="AA149" s="3249">
        <v>25</v>
      </c>
      <c r="AB149" s="3249">
        <v>26</v>
      </c>
      <c r="AC149" s="3250">
        <v>27</v>
      </c>
      <c r="AD149" s="3249">
        <v>28</v>
      </c>
      <c r="AE149" s="3249">
        <v>29</v>
      </c>
      <c r="AF149" s="3250">
        <v>30</v>
      </c>
      <c r="AG149" s="3251">
        <v>31</v>
      </c>
      <c r="AH149" s="23"/>
      <c r="AI149" s="24"/>
    </row>
    <row r="150" spans="1:35" ht="24" customHeight="1">
      <c r="A150" s="2703">
        <v>1</v>
      </c>
      <c r="B150" s="2727" t="s">
        <v>223</v>
      </c>
      <c r="C150" s="2728"/>
      <c r="D150" s="3384" t="s">
        <v>31</v>
      </c>
      <c r="E150" s="3384" t="s">
        <v>304</v>
      </c>
      <c r="F150" s="2728" t="s">
        <v>31</v>
      </c>
      <c r="G150" s="2728" t="s">
        <v>31</v>
      </c>
      <c r="H150" s="2728" t="s">
        <v>31</v>
      </c>
      <c r="I150" s="2728"/>
      <c r="J150" s="2728"/>
      <c r="K150" s="2728" t="s">
        <v>31</v>
      </c>
      <c r="L150" s="2728" t="s">
        <v>31</v>
      </c>
      <c r="M150" s="2728" t="s">
        <v>31</v>
      </c>
      <c r="N150" s="2728" t="s">
        <v>31</v>
      </c>
      <c r="O150" s="1818" t="s">
        <v>31</v>
      </c>
      <c r="P150" s="2728"/>
      <c r="Q150" s="2728"/>
      <c r="R150" s="3385" t="s">
        <v>31</v>
      </c>
      <c r="S150" s="2728" t="s">
        <v>31</v>
      </c>
      <c r="T150" s="2728" t="s">
        <v>31</v>
      </c>
      <c r="U150" s="2728" t="s">
        <v>31</v>
      </c>
      <c r="V150" s="1818" t="s">
        <v>31</v>
      </c>
      <c r="W150" s="2728"/>
      <c r="X150" s="2728"/>
      <c r="Y150" s="2580" t="s">
        <v>31</v>
      </c>
      <c r="Z150" s="2728"/>
      <c r="AA150" s="2728"/>
      <c r="AB150" s="2728"/>
      <c r="AC150" s="2580" t="s">
        <v>31</v>
      </c>
      <c r="AD150" s="2728"/>
      <c r="AE150" s="2728"/>
      <c r="AF150" s="2580" t="s">
        <v>31</v>
      </c>
      <c r="AG150" s="2729"/>
      <c r="AH150" s="34"/>
      <c r="AI150" s="25"/>
    </row>
    <row r="151" spans="1:35" ht="24" customHeight="1">
      <c r="A151" s="3130">
        <v>2</v>
      </c>
      <c r="B151" s="3161" t="s">
        <v>224</v>
      </c>
      <c r="C151" s="3162"/>
      <c r="D151" s="3163" t="s">
        <v>114</v>
      </c>
      <c r="E151" s="3162" t="s">
        <v>114</v>
      </c>
      <c r="F151" s="3162" t="s">
        <v>114</v>
      </c>
      <c r="G151" s="3162" t="s">
        <v>114</v>
      </c>
      <c r="H151" s="3162" t="s">
        <v>114</v>
      </c>
      <c r="I151" s="3162"/>
      <c r="J151" s="3162"/>
      <c r="K151" s="2936" t="s">
        <v>115</v>
      </c>
      <c r="L151" s="2936" t="s">
        <v>115</v>
      </c>
      <c r="M151" s="2936" t="s">
        <v>115</v>
      </c>
      <c r="N151" s="2936" t="s">
        <v>115</v>
      </c>
      <c r="O151" s="2936" t="s">
        <v>115</v>
      </c>
      <c r="P151" s="3386" t="s">
        <v>115</v>
      </c>
      <c r="Q151" s="2936"/>
      <c r="R151" s="2936" t="s">
        <v>225</v>
      </c>
      <c r="S151" s="2936" t="s">
        <v>225</v>
      </c>
      <c r="T151" s="2936" t="s">
        <v>225</v>
      </c>
      <c r="U151" s="2936" t="s">
        <v>225</v>
      </c>
      <c r="V151" s="2936" t="s">
        <v>35</v>
      </c>
      <c r="W151" s="2936"/>
      <c r="X151" s="2936"/>
      <c r="Y151" s="3386" t="s">
        <v>114</v>
      </c>
      <c r="Z151" s="2936"/>
      <c r="AA151" s="2936"/>
      <c r="AB151" s="2936"/>
      <c r="AC151" s="3386" t="s">
        <v>114</v>
      </c>
      <c r="AD151" s="2936"/>
      <c r="AE151" s="2936"/>
      <c r="AF151" s="3386" t="s">
        <v>115</v>
      </c>
      <c r="AG151" s="3164"/>
      <c r="AH151" s="34"/>
      <c r="AI151" s="25"/>
    </row>
    <row r="152" spans="1:35" ht="24" customHeight="1">
      <c r="A152" s="3130">
        <v>3</v>
      </c>
      <c r="B152" s="3165" t="s">
        <v>226</v>
      </c>
      <c r="C152" s="2932"/>
      <c r="D152" s="2932" t="s">
        <v>115</v>
      </c>
      <c r="E152" s="2932" t="s">
        <v>115</v>
      </c>
      <c r="F152" s="2932" t="s">
        <v>115</v>
      </c>
      <c r="G152" s="2932" t="s">
        <v>115</v>
      </c>
      <c r="H152" s="2932" t="s">
        <v>115</v>
      </c>
      <c r="I152" s="2932" t="s">
        <v>115</v>
      </c>
      <c r="J152" s="2932"/>
      <c r="K152" s="3387" t="s">
        <v>225</v>
      </c>
      <c r="L152" s="3387" t="s">
        <v>225</v>
      </c>
      <c r="M152" s="3387" t="s">
        <v>225</v>
      </c>
      <c r="N152" s="3387" t="s">
        <v>461</v>
      </c>
      <c r="O152" s="3039" t="s">
        <v>35</v>
      </c>
      <c r="P152" s="2936"/>
      <c r="Q152" s="2936"/>
      <c r="R152" s="2936" t="s">
        <v>114</v>
      </c>
      <c r="S152" s="2936" t="s">
        <v>114</v>
      </c>
      <c r="T152" s="2936" t="s">
        <v>114</v>
      </c>
      <c r="U152" s="2936" t="s">
        <v>114</v>
      </c>
      <c r="V152" s="2936" t="s">
        <v>114</v>
      </c>
      <c r="W152" s="2936"/>
      <c r="X152" s="2936"/>
      <c r="Y152" s="2936" t="s">
        <v>115</v>
      </c>
      <c r="Z152" s="2936"/>
      <c r="AA152" s="2936"/>
      <c r="AB152" s="2936"/>
      <c r="AC152" s="2936" t="s">
        <v>115</v>
      </c>
      <c r="AD152" s="2936" t="s">
        <v>115</v>
      </c>
      <c r="AE152" s="2936"/>
      <c r="AF152" s="2936" t="s">
        <v>225</v>
      </c>
      <c r="AG152" s="3164"/>
      <c r="AH152" s="34"/>
      <c r="AI152" s="25"/>
    </row>
    <row r="153" spans="1:35" ht="24" customHeight="1">
      <c r="A153" s="3130">
        <v>4</v>
      </c>
      <c r="B153" s="3165" t="s">
        <v>227</v>
      </c>
      <c r="C153" s="3162"/>
      <c r="D153" s="2840"/>
      <c r="E153" s="2936" t="s">
        <v>31</v>
      </c>
      <c r="F153" s="2936" t="s">
        <v>31</v>
      </c>
      <c r="G153" s="2936"/>
      <c r="H153" s="2936" t="s">
        <v>31</v>
      </c>
      <c r="I153" s="2936"/>
      <c r="J153" s="2936"/>
      <c r="K153" s="2936"/>
      <c r="L153" s="2936" t="s">
        <v>31</v>
      </c>
      <c r="M153" s="2936" t="s">
        <v>31</v>
      </c>
      <c r="N153" s="2936"/>
      <c r="O153" s="2936" t="s">
        <v>31</v>
      </c>
      <c r="P153" s="2936"/>
      <c r="Q153" s="2936"/>
      <c r="R153" s="3094"/>
      <c r="S153" s="2998" t="s">
        <v>31</v>
      </c>
      <c r="T153" s="3094"/>
      <c r="U153" s="3094"/>
      <c r="V153" s="2998" t="s">
        <v>31</v>
      </c>
      <c r="W153" s="3388" t="s">
        <v>115</v>
      </c>
      <c r="X153" s="3094"/>
      <c r="Y153" s="3094"/>
      <c r="Z153" s="3094"/>
      <c r="AA153" s="3094"/>
      <c r="AB153" s="3094"/>
      <c r="AC153" s="2998" t="s">
        <v>31</v>
      </c>
      <c r="AD153" s="3094"/>
      <c r="AE153" s="3094"/>
      <c r="AF153" s="3094"/>
      <c r="AG153" s="3094"/>
      <c r="AH153" s="34"/>
      <c r="AI153" s="25"/>
    </row>
    <row r="154" spans="1:35" ht="24" customHeight="1">
      <c r="A154" s="3130">
        <v>5</v>
      </c>
      <c r="B154" s="3165" t="s">
        <v>228</v>
      </c>
      <c r="C154" s="3162"/>
      <c r="D154" s="3162"/>
      <c r="E154" s="3162" t="s">
        <v>31</v>
      </c>
      <c r="F154" s="3162"/>
      <c r="G154" s="3162" t="s">
        <v>31</v>
      </c>
      <c r="H154" s="3162"/>
      <c r="I154" s="3162"/>
      <c r="J154" s="3162"/>
      <c r="K154" s="3162"/>
      <c r="L154" s="3162" t="s">
        <v>31</v>
      </c>
      <c r="M154" s="3162"/>
      <c r="N154" s="3162" t="s">
        <v>31</v>
      </c>
      <c r="O154" s="3162"/>
      <c r="P154" s="3162"/>
      <c r="Q154" s="3162"/>
      <c r="R154" s="3162"/>
      <c r="S154" s="3162" t="s">
        <v>31</v>
      </c>
      <c r="T154" s="3162"/>
      <c r="U154" s="3162" t="s">
        <v>31</v>
      </c>
      <c r="V154" s="3162"/>
      <c r="W154" s="3162"/>
      <c r="X154" s="3162"/>
      <c r="Y154" s="3389"/>
      <c r="Z154" s="3162"/>
      <c r="AA154" s="3162"/>
      <c r="AB154" s="3162"/>
      <c r="AC154" s="3162"/>
      <c r="AD154" s="3162"/>
      <c r="AE154" s="3162"/>
      <c r="AF154" s="3389"/>
      <c r="AG154" s="3164"/>
      <c r="AH154" s="34"/>
      <c r="AI154" s="25"/>
    </row>
    <row r="155" spans="1:35" ht="24" customHeight="1" thickBot="1">
      <c r="A155" s="3365">
        <v>6</v>
      </c>
      <c r="B155" s="3169" t="s">
        <v>229</v>
      </c>
      <c r="C155" s="3170"/>
      <c r="D155" s="3170" t="s">
        <v>31</v>
      </c>
      <c r="E155" s="3170" t="s">
        <v>31</v>
      </c>
      <c r="F155" s="3170" t="s">
        <v>31</v>
      </c>
      <c r="G155" s="3170" t="s">
        <v>31</v>
      </c>
      <c r="H155" s="3170" t="s">
        <v>31</v>
      </c>
      <c r="I155" s="3170"/>
      <c r="J155" s="3170"/>
      <c r="K155" s="3170" t="s">
        <v>31</v>
      </c>
      <c r="L155" s="3170" t="s">
        <v>31</v>
      </c>
      <c r="M155" s="3170" t="s">
        <v>31</v>
      </c>
      <c r="N155" s="3170" t="s">
        <v>31</v>
      </c>
      <c r="O155" s="3170" t="s">
        <v>31</v>
      </c>
      <c r="P155" s="3170"/>
      <c r="Q155" s="3170"/>
      <c r="R155" s="3170" t="s">
        <v>31</v>
      </c>
      <c r="S155" s="3170" t="s">
        <v>31</v>
      </c>
      <c r="T155" s="3170" t="s">
        <v>31</v>
      </c>
      <c r="U155" s="3170" t="s">
        <v>31</v>
      </c>
      <c r="V155" s="3170" t="s">
        <v>31</v>
      </c>
      <c r="W155" s="3170"/>
      <c r="X155" s="3170"/>
      <c r="Y155" s="3390" t="s">
        <v>31</v>
      </c>
      <c r="Z155" s="3170"/>
      <c r="AA155" s="3170"/>
      <c r="AB155" s="3170"/>
      <c r="AC155" s="3390" t="s">
        <v>31</v>
      </c>
      <c r="AD155" s="3170"/>
      <c r="AE155" s="3170"/>
      <c r="AF155" s="3390" t="s">
        <v>31</v>
      </c>
      <c r="AG155" s="3173"/>
      <c r="AH155" s="93"/>
      <c r="AI155" s="76"/>
    </row>
    <row r="156" spans="1:35" ht="24" customHeight="1">
      <c r="A156" s="36"/>
      <c r="B156" s="3254" t="s">
        <v>432</v>
      </c>
      <c r="C156" s="3391"/>
      <c r="D156" s="3391"/>
      <c r="E156" s="3391"/>
      <c r="F156" s="3391"/>
      <c r="G156" s="3391"/>
      <c r="H156" s="3391"/>
      <c r="I156" s="3391" t="s">
        <v>115</v>
      </c>
      <c r="J156" s="3391"/>
      <c r="K156" s="3391"/>
      <c r="L156" s="3391"/>
      <c r="M156" s="3391"/>
      <c r="N156" s="3391"/>
      <c r="O156" s="3391"/>
      <c r="P156" s="3391"/>
      <c r="Q156" s="3391"/>
      <c r="R156" s="3391"/>
      <c r="S156" s="3391"/>
      <c r="T156" s="3391"/>
      <c r="U156" s="3391"/>
      <c r="V156" s="3391"/>
      <c r="W156" s="3391" t="s">
        <v>115</v>
      </c>
      <c r="X156" s="3391"/>
      <c r="Y156" s="3391"/>
      <c r="Z156" s="3391"/>
      <c r="AA156" s="3391"/>
      <c r="AB156" s="3391"/>
      <c r="AC156" s="3391"/>
      <c r="AD156" s="3391"/>
      <c r="AE156" s="3391"/>
      <c r="AF156" s="3391"/>
      <c r="AG156" s="3391"/>
      <c r="AH156" s="76"/>
      <c r="AI156" s="76"/>
    </row>
    <row r="157" spans="1:35" ht="24" customHeight="1" thickBot="1">
      <c r="A157" s="94" t="s">
        <v>230</v>
      </c>
      <c r="B157" s="17"/>
      <c r="C157" s="38" t="s">
        <v>96</v>
      </c>
      <c r="D157" s="17"/>
      <c r="E157" s="17"/>
      <c r="F157" s="38" t="s">
        <v>96</v>
      </c>
      <c r="G157" s="17"/>
      <c r="H157" s="17"/>
      <c r="I157" s="38" t="s">
        <v>96</v>
      </c>
      <c r="J157" s="38"/>
      <c r="K157" s="17"/>
      <c r="L157" s="38" t="s">
        <v>96</v>
      </c>
      <c r="M157" s="17"/>
      <c r="N157" s="17"/>
      <c r="O157" s="38" t="s">
        <v>96</v>
      </c>
      <c r="P157" s="17"/>
      <c r="Q157" s="38"/>
      <c r="R157" s="38" t="s">
        <v>96</v>
      </c>
      <c r="S157" s="17"/>
      <c r="T157" s="17"/>
      <c r="U157" s="38" t="s">
        <v>96</v>
      </c>
      <c r="V157" s="17"/>
      <c r="W157" s="38"/>
      <c r="X157" s="38"/>
      <c r="Y157" s="17"/>
      <c r="Z157" s="17"/>
      <c r="AA157" s="17"/>
      <c r="AB157" s="17"/>
      <c r="AC157" s="17"/>
      <c r="AD157" s="17"/>
      <c r="AE157" s="38"/>
      <c r="AF157" s="17"/>
      <c r="AG157" s="17"/>
      <c r="AH157" s="76"/>
      <c r="AI157" s="76"/>
    </row>
    <row r="158" spans="1:35" ht="24" customHeight="1">
      <c r="A158" s="36"/>
      <c r="B158" s="2735" t="s">
        <v>231</v>
      </c>
      <c r="C158" s="2736"/>
      <c r="D158" s="2737" t="s">
        <v>87</v>
      </c>
      <c r="E158" s="2738"/>
      <c r="F158" s="2739"/>
      <c r="G158" s="2740"/>
      <c r="H158" s="2737" t="s">
        <v>88</v>
      </c>
      <c r="I158" s="2738"/>
      <c r="J158" s="2739"/>
      <c r="K158" s="2740"/>
      <c r="L158" s="2737" t="s">
        <v>89</v>
      </c>
      <c r="M158" s="2738"/>
      <c r="N158" s="2739"/>
      <c r="O158" s="2740"/>
      <c r="P158" s="2737" t="s">
        <v>90</v>
      </c>
      <c r="Q158" s="2738"/>
      <c r="R158" s="2739"/>
      <c r="S158" s="2740"/>
      <c r="T158" s="2737" t="s">
        <v>91</v>
      </c>
      <c r="U158" s="2738"/>
      <c r="V158" s="2739"/>
      <c r="W158" s="2740"/>
      <c r="X158" s="2737" t="s">
        <v>92</v>
      </c>
      <c r="Y158" s="2738"/>
      <c r="Z158" s="2739"/>
      <c r="AA158" s="2740"/>
      <c r="AB158" s="2737" t="s">
        <v>93</v>
      </c>
      <c r="AC158" s="2738"/>
      <c r="AD158" s="2738"/>
      <c r="AE158" s="2741" t="s">
        <v>94</v>
      </c>
      <c r="AF158" s="2738"/>
      <c r="AG158" s="2738"/>
      <c r="AH158" s="2738"/>
      <c r="AI158" s="2742"/>
    </row>
    <row r="159" spans="1:35" ht="24" customHeight="1">
      <c r="A159" s="36"/>
      <c r="B159" s="3392" t="s">
        <v>232</v>
      </c>
      <c r="C159" s="3393" t="s">
        <v>233</v>
      </c>
      <c r="D159" s="3176" t="s">
        <v>369</v>
      </c>
      <c r="E159" s="3177"/>
      <c r="F159" s="3178"/>
      <c r="G159" s="3393"/>
      <c r="H159" s="3176" t="s">
        <v>369</v>
      </c>
      <c r="I159" s="3177"/>
      <c r="J159" s="3178"/>
      <c r="K159" s="3393"/>
      <c r="L159" s="3176" t="s">
        <v>369</v>
      </c>
      <c r="M159" s="3177"/>
      <c r="N159" s="3178"/>
      <c r="O159" s="3393"/>
      <c r="P159" s="3176" t="s">
        <v>370</v>
      </c>
      <c r="Q159" s="3177"/>
      <c r="R159" s="3178"/>
      <c r="S159" s="3393"/>
      <c r="T159" s="3176" t="s">
        <v>236</v>
      </c>
      <c r="U159" s="3177"/>
      <c r="V159" s="3178"/>
      <c r="W159" s="3393"/>
      <c r="X159" s="3177"/>
      <c r="Y159" s="3177"/>
      <c r="Z159" s="3178"/>
      <c r="AA159" s="3393"/>
      <c r="AB159" s="3177"/>
      <c r="AC159" s="3177"/>
      <c r="AD159" s="3177"/>
      <c r="AE159" s="3393"/>
      <c r="AF159" s="3177"/>
      <c r="AG159" s="3177"/>
      <c r="AH159" s="3179"/>
      <c r="AI159" s="3394"/>
    </row>
    <row r="160" spans="1:35" ht="24" customHeight="1">
      <c r="A160" s="36"/>
      <c r="B160" s="3395" t="s">
        <v>371</v>
      </c>
      <c r="C160" s="3393" t="s">
        <v>237</v>
      </c>
      <c r="D160" s="3176" t="s">
        <v>369</v>
      </c>
      <c r="E160" s="3177"/>
      <c r="F160" s="3178"/>
      <c r="G160" s="3393"/>
      <c r="H160" s="3176" t="s">
        <v>369</v>
      </c>
      <c r="I160" s="3177"/>
      <c r="J160" s="3178"/>
      <c r="K160" s="3393"/>
      <c r="L160" s="3176" t="s">
        <v>369</v>
      </c>
      <c r="M160" s="3177"/>
      <c r="N160" s="3178"/>
      <c r="O160" s="3393"/>
      <c r="P160" s="3176" t="s">
        <v>370</v>
      </c>
      <c r="Q160" s="3177"/>
      <c r="R160" s="3178"/>
      <c r="S160" s="3393"/>
      <c r="T160" s="3176" t="s">
        <v>236</v>
      </c>
      <c r="U160" s="3177"/>
      <c r="V160" s="3178"/>
      <c r="W160" s="3393"/>
      <c r="X160" s="3177"/>
      <c r="Y160" s="3177"/>
      <c r="Z160" s="3178"/>
      <c r="AA160" s="3393"/>
      <c r="AB160" s="3177"/>
      <c r="AC160" s="3177"/>
      <c r="AD160" s="3177"/>
      <c r="AE160" s="3393"/>
      <c r="AF160" s="3177"/>
      <c r="AG160" s="3177"/>
      <c r="AH160" s="3179"/>
      <c r="AI160" s="3394"/>
    </row>
    <row r="161" spans="1:35" ht="24" customHeight="1">
      <c r="A161" s="36"/>
      <c r="B161" s="3395" t="s">
        <v>238</v>
      </c>
      <c r="C161" s="3393" t="s">
        <v>201</v>
      </c>
      <c r="D161" s="3176" t="s">
        <v>369</v>
      </c>
      <c r="E161" s="3177"/>
      <c r="F161" s="3178"/>
      <c r="G161" s="3393"/>
      <c r="H161" s="3176" t="s">
        <v>369</v>
      </c>
      <c r="I161" s="3177"/>
      <c r="J161" s="3178"/>
      <c r="K161" s="3393"/>
      <c r="L161" s="3176" t="s">
        <v>369</v>
      </c>
      <c r="M161" s="3177"/>
      <c r="N161" s="3178"/>
      <c r="O161" s="3393"/>
      <c r="P161" s="3176" t="s">
        <v>370</v>
      </c>
      <c r="Q161" s="3177"/>
      <c r="R161" s="3178"/>
      <c r="S161" s="3393"/>
      <c r="T161" s="3176" t="s">
        <v>236</v>
      </c>
      <c r="U161" s="3177"/>
      <c r="V161" s="3178"/>
      <c r="W161" s="3393"/>
      <c r="X161" s="3177"/>
      <c r="Y161" s="3177"/>
      <c r="Z161" s="3178"/>
      <c r="AA161" s="3393"/>
      <c r="AB161" s="3177"/>
      <c r="AC161" s="3177"/>
      <c r="AD161" s="3177"/>
      <c r="AE161" s="3393"/>
      <c r="AF161" s="3177"/>
      <c r="AG161" s="3177"/>
      <c r="AH161" s="3179"/>
      <c r="AI161" s="3394"/>
    </row>
    <row r="162" spans="1:35" ht="24" customHeight="1">
      <c r="A162" s="36"/>
      <c r="B162" s="3395" t="s">
        <v>239</v>
      </c>
      <c r="C162" s="3393" t="s">
        <v>121</v>
      </c>
      <c r="D162" s="3176" t="s">
        <v>369</v>
      </c>
      <c r="E162" s="3177"/>
      <c r="F162" s="3178"/>
      <c r="G162" s="3393"/>
      <c r="H162" s="3176" t="s">
        <v>369</v>
      </c>
      <c r="I162" s="3177"/>
      <c r="J162" s="3178"/>
      <c r="K162" s="3393"/>
      <c r="L162" s="3176" t="s">
        <v>369</v>
      </c>
      <c r="M162" s="3177"/>
      <c r="N162" s="3178"/>
      <c r="O162" s="3393"/>
      <c r="P162" s="3176" t="s">
        <v>370</v>
      </c>
      <c r="Q162" s="3177"/>
      <c r="R162" s="3178"/>
      <c r="S162" s="3393"/>
      <c r="T162" s="3176" t="s">
        <v>236</v>
      </c>
      <c r="U162" s="3177"/>
      <c r="V162" s="3178"/>
      <c r="W162" s="3393"/>
      <c r="X162" s="3177"/>
      <c r="Y162" s="3177"/>
      <c r="Z162" s="3178"/>
      <c r="AA162" s="3393"/>
      <c r="AB162" s="3177"/>
      <c r="AC162" s="3177"/>
      <c r="AD162" s="3177"/>
      <c r="AE162" s="3393"/>
      <c r="AF162" s="3177"/>
      <c r="AG162" s="3177"/>
      <c r="AH162" s="3179"/>
      <c r="AI162" s="3394"/>
    </row>
    <row r="163" spans="1:35" ht="24" customHeight="1">
      <c r="A163" s="36"/>
      <c r="B163" s="3395" t="s">
        <v>243</v>
      </c>
      <c r="C163" s="3393" t="s">
        <v>244</v>
      </c>
      <c r="D163" s="3176" t="s">
        <v>369</v>
      </c>
      <c r="E163" s="3177"/>
      <c r="F163" s="3178"/>
      <c r="G163" s="3393"/>
      <c r="H163" s="3176" t="s">
        <v>369</v>
      </c>
      <c r="I163" s="3177"/>
      <c r="J163" s="3178"/>
      <c r="K163" s="3393"/>
      <c r="L163" s="3176" t="s">
        <v>369</v>
      </c>
      <c r="M163" s="3177"/>
      <c r="N163" s="3178"/>
      <c r="O163" s="3393"/>
      <c r="P163" s="3176" t="s">
        <v>370</v>
      </c>
      <c r="Q163" s="3177"/>
      <c r="R163" s="3178"/>
      <c r="S163" s="3393"/>
      <c r="T163" s="3180" t="s">
        <v>242</v>
      </c>
      <c r="U163" s="3177"/>
      <c r="V163" s="3178"/>
      <c r="W163" s="3393"/>
      <c r="X163" s="3177"/>
      <c r="Y163" s="3177"/>
      <c r="Z163" s="3178"/>
      <c r="AA163" s="3393"/>
      <c r="AB163" s="3177"/>
      <c r="AC163" s="3177"/>
      <c r="AD163" s="3177"/>
      <c r="AE163" s="3393"/>
      <c r="AF163" s="3177"/>
      <c r="AG163" s="3177"/>
      <c r="AH163" s="3179"/>
      <c r="AI163" s="3394"/>
    </row>
    <row r="164" spans="1:35" ht="24" customHeight="1">
      <c r="A164" s="36"/>
      <c r="B164" s="3395" t="s">
        <v>248</v>
      </c>
      <c r="C164" s="3393" t="s">
        <v>128</v>
      </c>
      <c r="D164" s="3176" t="s">
        <v>234</v>
      </c>
      <c r="E164" s="3177"/>
      <c r="F164" s="3178"/>
      <c r="G164" s="3393"/>
      <c r="H164" s="3180" t="s">
        <v>234</v>
      </c>
      <c r="I164" s="3177"/>
      <c r="J164" s="3178"/>
      <c r="K164" s="3393"/>
      <c r="L164" s="3180" t="s">
        <v>234</v>
      </c>
      <c r="M164" s="3177"/>
      <c r="N164" s="3178"/>
      <c r="O164" s="3393"/>
      <c r="P164" s="3180" t="s">
        <v>234</v>
      </c>
      <c r="Q164" s="3177"/>
      <c r="R164" s="3178"/>
      <c r="S164" s="3393"/>
      <c r="T164" s="3180" t="s">
        <v>245</v>
      </c>
      <c r="U164" s="3177"/>
      <c r="V164" s="3178"/>
      <c r="W164" s="3393"/>
      <c r="X164" s="3177"/>
      <c r="Y164" s="3177"/>
      <c r="Z164" s="3178"/>
      <c r="AA164" s="3393"/>
      <c r="AB164" s="3177"/>
      <c r="AC164" s="3177"/>
      <c r="AD164" s="3177"/>
      <c r="AE164" s="3393"/>
      <c r="AF164" s="3177"/>
      <c r="AG164" s="3177"/>
      <c r="AH164" s="3179"/>
      <c r="AI164" s="3394"/>
    </row>
    <row r="165" spans="1:35" ht="24" customHeight="1">
      <c r="A165" s="36"/>
      <c r="B165" s="3395" t="s">
        <v>249</v>
      </c>
      <c r="C165" s="3393" t="s">
        <v>250</v>
      </c>
      <c r="D165" s="3176" t="s">
        <v>369</v>
      </c>
      <c r="E165" s="3177"/>
      <c r="F165" s="3178"/>
      <c r="G165" s="3393"/>
      <c r="H165" s="3176" t="s">
        <v>369</v>
      </c>
      <c r="I165" s="3177"/>
      <c r="J165" s="3178"/>
      <c r="K165" s="3393"/>
      <c r="L165" s="3176" t="s">
        <v>369</v>
      </c>
      <c r="M165" s="3177"/>
      <c r="N165" s="3178"/>
      <c r="O165" s="3393"/>
      <c r="P165" s="3176" t="s">
        <v>370</v>
      </c>
      <c r="Q165" s="3177"/>
      <c r="R165" s="3178"/>
      <c r="S165" s="3393"/>
      <c r="T165" s="3176" t="s">
        <v>236</v>
      </c>
      <c r="U165" s="3177"/>
      <c r="V165" s="3178"/>
      <c r="W165" s="3393"/>
      <c r="X165" s="3177"/>
      <c r="Y165" s="3177"/>
      <c r="Z165" s="3178"/>
      <c r="AA165" s="3393"/>
      <c r="AB165" s="3177"/>
      <c r="AC165" s="3177"/>
      <c r="AD165" s="3177"/>
      <c r="AE165" s="3393"/>
      <c r="AF165" s="3177"/>
      <c r="AG165" s="3177"/>
      <c r="AH165" s="3179"/>
      <c r="AI165" s="3394"/>
    </row>
    <row r="166" spans="1:35" ht="24" customHeight="1">
      <c r="A166" s="36"/>
      <c r="B166" s="3395" t="s">
        <v>249</v>
      </c>
      <c r="C166" s="3393" t="s">
        <v>251</v>
      </c>
      <c r="D166" s="3176" t="s">
        <v>369</v>
      </c>
      <c r="E166" s="3177"/>
      <c r="F166" s="3178"/>
      <c r="G166" s="3393"/>
      <c r="H166" s="3176" t="s">
        <v>369</v>
      </c>
      <c r="I166" s="3177"/>
      <c r="J166" s="3178"/>
      <c r="K166" s="3393"/>
      <c r="L166" s="3176" t="s">
        <v>369</v>
      </c>
      <c r="M166" s="3177"/>
      <c r="N166" s="3178"/>
      <c r="O166" s="3393"/>
      <c r="P166" s="3176" t="s">
        <v>370</v>
      </c>
      <c r="Q166" s="3177"/>
      <c r="R166" s="3178"/>
      <c r="S166" s="3393"/>
      <c r="T166" s="3176" t="s">
        <v>236</v>
      </c>
      <c r="U166" s="3177"/>
      <c r="V166" s="3178"/>
      <c r="W166" s="3393"/>
      <c r="X166" s="3177"/>
      <c r="Y166" s="3177"/>
      <c r="Z166" s="3178"/>
      <c r="AA166" s="3393"/>
      <c r="AB166" s="3177"/>
      <c r="AC166" s="3177"/>
      <c r="AD166" s="3177"/>
      <c r="AE166" s="3393"/>
      <c r="AF166" s="3177"/>
      <c r="AG166" s="3177"/>
      <c r="AH166" s="3179"/>
      <c r="AI166" s="3394"/>
    </row>
    <row r="167" spans="1:35" ht="24" customHeight="1">
      <c r="A167" s="36"/>
      <c r="B167" s="3395" t="s">
        <v>252</v>
      </c>
      <c r="C167" s="3393" t="s">
        <v>253</v>
      </c>
      <c r="D167" s="3176" t="s">
        <v>369</v>
      </c>
      <c r="E167" s="3177"/>
      <c r="F167" s="3178"/>
      <c r="G167" s="3393"/>
      <c r="H167" s="3176" t="s">
        <v>369</v>
      </c>
      <c r="I167" s="3177"/>
      <c r="J167" s="3178"/>
      <c r="K167" s="3393"/>
      <c r="L167" s="3176" t="s">
        <v>369</v>
      </c>
      <c r="M167" s="3177"/>
      <c r="N167" s="3178"/>
      <c r="O167" s="3393"/>
      <c r="P167" s="3176" t="s">
        <v>370</v>
      </c>
      <c r="Q167" s="3177"/>
      <c r="R167" s="3178"/>
      <c r="S167" s="3393"/>
      <c r="T167" s="3176" t="s">
        <v>236</v>
      </c>
      <c r="U167" s="3177"/>
      <c r="V167" s="3178"/>
      <c r="W167" s="3393"/>
      <c r="X167" s="3177"/>
      <c r="Y167" s="3177"/>
      <c r="Z167" s="3178"/>
      <c r="AA167" s="3393"/>
      <c r="AB167" s="3177"/>
      <c r="AC167" s="3177"/>
      <c r="AD167" s="3177"/>
      <c r="AE167" s="3393"/>
      <c r="AF167" s="3177"/>
      <c r="AG167" s="3177"/>
      <c r="AH167" s="3179"/>
      <c r="AI167" s="3394"/>
    </row>
    <row r="168" spans="1:35" ht="24" customHeight="1">
      <c r="A168" s="36"/>
      <c r="B168" s="3181" t="s">
        <v>255</v>
      </c>
      <c r="C168" s="1632" t="s">
        <v>123</v>
      </c>
      <c r="D168" s="419" t="s">
        <v>369</v>
      </c>
      <c r="E168" s="420"/>
      <c r="F168" s="1633"/>
      <c r="G168" s="1632"/>
      <c r="H168" s="419" t="s">
        <v>369</v>
      </c>
      <c r="I168" s="420"/>
      <c r="J168" s="1633"/>
      <c r="K168" s="1632"/>
      <c r="L168" s="419" t="s">
        <v>369</v>
      </c>
      <c r="M168" s="420"/>
      <c r="N168" s="1633"/>
      <c r="O168" s="1632"/>
      <c r="P168" s="419" t="s">
        <v>370</v>
      </c>
      <c r="Q168" s="420"/>
      <c r="R168" s="1633"/>
      <c r="S168" s="1632"/>
      <c r="T168" s="419" t="s">
        <v>236</v>
      </c>
      <c r="U168" s="420"/>
      <c r="V168" s="1633"/>
      <c r="W168" s="1632"/>
      <c r="X168" s="420"/>
      <c r="Y168" s="420"/>
      <c r="Z168" s="1633"/>
      <c r="AA168" s="1632"/>
      <c r="AB168" s="420"/>
      <c r="AC168" s="420"/>
      <c r="AD168" s="420"/>
      <c r="AE168" s="1632"/>
      <c r="AF168" s="420"/>
      <c r="AG168" s="420"/>
      <c r="AH168" s="421"/>
      <c r="AI168" s="1634"/>
    </row>
    <row r="169" spans="1:35" ht="24" customHeight="1">
      <c r="A169" s="36"/>
      <c r="B169" s="3395" t="s">
        <v>256</v>
      </c>
      <c r="C169" s="3393" t="s">
        <v>146</v>
      </c>
      <c r="D169" s="3176" t="s">
        <v>369</v>
      </c>
      <c r="E169" s="3177"/>
      <c r="F169" s="3178"/>
      <c r="G169" s="3393"/>
      <c r="H169" s="3176" t="s">
        <v>369</v>
      </c>
      <c r="I169" s="3177"/>
      <c r="J169" s="3178"/>
      <c r="K169" s="3393"/>
      <c r="L169" s="3176" t="s">
        <v>369</v>
      </c>
      <c r="M169" s="3177"/>
      <c r="N169" s="3177"/>
      <c r="O169" s="3393"/>
      <c r="P169" s="3176" t="s">
        <v>370</v>
      </c>
      <c r="Q169" s="3177"/>
      <c r="R169" s="3177"/>
      <c r="S169" s="3393"/>
      <c r="T169" s="3176" t="s">
        <v>236</v>
      </c>
      <c r="U169" s="3177"/>
      <c r="V169" s="3177"/>
      <c r="W169" s="3393"/>
      <c r="X169" s="3177"/>
      <c r="Y169" s="3177"/>
      <c r="Z169" s="3177"/>
      <c r="AA169" s="3393"/>
      <c r="AB169" s="3177"/>
      <c r="AC169" s="3177"/>
      <c r="AD169" s="3177"/>
      <c r="AE169" s="3393"/>
      <c r="AF169" s="3177"/>
      <c r="AG169" s="3177"/>
      <c r="AH169" s="3179"/>
      <c r="AI169" s="3394"/>
    </row>
    <row r="170" spans="1:35" ht="24" customHeight="1">
      <c r="A170" s="36"/>
      <c r="B170" s="3395" t="s">
        <v>257</v>
      </c>
      <c r="C170" s="3396" t="s">
        <v>136</v>
      </c>
      <c r="D170" s="3176" t="s">
        <v>369</v>
      </c>
      <c r="E170" s="3177"/>
      <c r="F170" s="3178"/>
      <c r="G170" s="3393"/>
      <c r="H170" s="3176" t="s">
        <v>369</v>
      </c>
      <c r="I170" s="3177"/>
      <c r="J170" s="3178"/>
      <c r="K170" s="3393"/>
      <c r="L170" s="3176" t="s">
        <v>369</v>
      </c>
      <c r="M170" s="3177"/>
      <c r="N170" s="3177"/>
      <c r="O170" s="3393"/>
      <c r="P170" s="3176" t="s">
        <v>370</v>
      </c>
      <c r="Q170" s="3177"/>
      <c r="R170" s="3177"/>
      <c r="S170" s="3393"/>
      <c r="T170" s="3176" t="s">
        <v>236</v>
      </c>
      <c r="U170" s="3177"/>
      <c r="V170" s="3177"/>
      <c r="W170" s="3397"/>
      <c r="X170" s="3177"/>
      <c r="Y170" s="3177"/>
      <c r="Z170" s="3177"/>
      <c r="AA170" s="3393"/>
      <c r="AB170" s="3177"/>
      <c r="AC170" s="3177"/>
      <c r="AD170" s="3177"/>
      <c r="AE170" s="3393"/>
      <c r="AF170" s="3177"/>
      <c r="AG170" s="3177"/>
      <c r="AH170" s="3179"/>
      <c r="AI170" s="3394"/>
    </row>
    <row r="171" spans="1:35" ht="24" customHeight="1" thickBot="1">
      <c r="A171" s="36"/>
      <c r="B171" s="95" t="s">
        <v>259</v>
      </c>
      <c r="C171" s="3398" t="s">
        <v>112</v>
      </c>
      <c r="D171" s="3399" t="s">
        <v>369</v>
      </c>
      <c r="E171" s="3400"/>
      <c r="F171" s="3401"/>
      <c r="G171" s="3402"/>
      <c r="H171" s="3399" t="s">
        <v>369</v>
      </c>
      <c r="I171" s="3400"/>
      <c r="J171" s="3401"/>
      <c r="K171" s="3402"/>
      <c r="L171" s="3399" t="s">
        <v>369</v>
      </c>
      <c r="M171" s="3400"/>
      <c r="N171" s="3400"/>
      <c r="O171" s="3402"/>
      <c r="P171" s="3403" t="s">
        <v>372</v>
      </c>
      <c r="Q171" s="3400"/>
      <c r="R171" s="3400"/>
      <c r="S171" s="3402"/>
      <c r="T171" s="3403" t="s">
        <v>242</v>
      </c>
      <c r="U171" s="3400"/>
      <c r="V171" s="3400"/>
      <c r="W171" s="3404"/>
      <c r="X171" s="3400"/>
      <c r="Y171" s="3400"/>
      <c r="Z171" s="3401"/>
      <c r="AA171" s="3405"/>
      <c r="AB171" s="3406"/>
      <c r="AC171" s="3406"/>
      <c r="AD171" s="3406"/>
      <c r="AE171" s="3402"/>
      <c r="AF171" s="3406"/>
      <c r="AG171" s="3406"/>
      <c r="AH171" s="3407"/>
      <c r="AI171" s="3408"/>
    </row>
    <row r="172" spans="1:35" ht="24" customHeight="1" thickBot="1">
      <c r="A172" s="36"/>
      <c r="B172" s="95" t="s">
        <v>260</v>
      </c>
      <c r="C172" s="3398" t="s">
        <v>261</v>
      </c>
      <c r="D172" s="3399" t="s">
        <v>369</v>
      </c>
      <c r="E172" s="3400"/>
      <c r="F172" s="3401"/>
      <c r="G172" s="3402"/>
      <c r="H172" s="3399" t="s">
        <v>369</v>
      </c>
      <c r="I172" s="3400"/>
      <c r="J172" s="3401"/>
      <c r="K172" s="3402"/>
      <c r="L172" s="3399" t="s">
        <v>369</v>
      </c>
      <c r="M172" s="3400"/>
      <c r="N172" s="3400"/>
      <c r="O172" s="3402"/>
      <c r="P172" s="3403" t="s">
        <v>372</v>
      </c>
      <c r="Q172" s="3400"/>
      <c r="R172" s="3400"/>
      <c r="S172" s="3402"/>
      <c r="T172" s="3403" t="s">
        <v>242</v>
      </c>
      <c r="U172" s="3400"/>
      <c r="V172" s="3400"/>
      <c r="W172" s="3404"/>
      <c r="X172" s="3400"/>
      <c r="Y172" s="3400"/>
      <c r="Z172" s="3401"/>
      <c r="AA172" s="3405"/>
      <c r="AB172" s="3406"/>
      <c r="AC172" s="3406"/>
      <c r="AD172" s="3406"/>
      <c r="AE172" s="3402"/>
      <c r="AF172" s="3406"/>
      <c r="AG172" s="3406"/>
      <c r="AH172" s="3407"/>
      <c r="AI172" s="3408"/>
    </row>
    <row r="173" spans="1:35" ht="24" customHeight="1" thickBot="1">
      <c r="A173" s="36"/>
      <c r="B173" s="95" t="s">
        <v>0</v>
      </c>
      <c r="C173" s="3398" t="s">
        <v>0</v>
      </c>
      <c r="D173" s="3403" t="s">
        <v>0</v>
      </c>
      <c r="E173" s="3400"/>
      <c r="F173" s="3401"/>
      <c r="G173" s="3402"/>
      <c r="H173" s="3403" t="s">
        <v>0</v>
      </c>
      <c r="I173" s="3400"/>
      <c r="J173" s="3401"/>
      <c r="K173" s="3402"/>
      <c r="L173" s="3403" t="s">
        <v>0</v>
      </c>
      <c r="M173" s="3400"/>
      <c r="N173" s="3400"/>
      <c r="O173" s="3402"/>
      <c r="P173" s="3403" t="s">
        <v>0</v>
      </c>
      <c r="Q173" s="3400"/>
      <c r="R173" s="3400"/>
      <c r="S173" s="3402"/>
      <c r="T173" s="3403" t="s">
        <v>0</v>
      </c>
      <c r="U173" s="3409" t="s">
        <v>0</v>
      </c>
      <c r="V173" s="3400"/>
      <c r="W173" s="3404"/>
      <c r="X173" s="3400"/>
      <c r="Y173" s="3400"/>
      <c r="Z173" s="3401"/>
      <c r="AA173" s="3405"/>
      <c r="AB173" s="3406"/>
      <c r="AC173" s="3406"/>
      <c r="AD173" s="3406"/>
      <c r="AE173" s="3402"/>
      <c r="AF173" s="3406"/>
      <c r="AG173" s="3406"/>
      <c r="AH173" s="3407"/>
      <c r="AI173" s="3408"/>
    </row>
    <row r="174" spans="1:35" ht="24" customHeight="1" thickBot="1">
      <c r="A174" s="96"/>
      <c r="B174" s="1644" t="s">
        <v>29</v>
      </c>
      <c r="C174" s="3410">
        <v>1</v>
      </c>
      <c r="D174" s="3411">
        <v>2</v>
      </c>
      <c r="E174" s="3411">
        <v>3</v>
      </c>
      <c r="F174" s="3411">
        <v>4</v>
      </c>
      <c r="G174" s="3411">
        <v>5</v>
      </c>
      <c r="H174" s="3411">
        <v>6</v>
      </c>
      <c r="I174" s="3410">
        <v>7</v>
      </c>
      <c r="J174" s="3410">
        <v>8</v>
      </c>
      <c r="K174" s="3411">
        <v>9</v>
      </c>
      <c r="L174" s="3411">
        <v>10</v>
      </c>
      <c r="M174" s="3411">
        <v>11</v>
      </c>
      <c r="N174" s="3411">
        <v>12</v>
      </c>
      <c r="O174" s="3411">
        <v>13</v>
      </c>
      <c r="P174" s="3410">
        <v>14</v>
      </c>
      <c r="Q174" s="3410">
        <v>15</v>
      </c>
      <c r="R174" s="3411">
        <v>16</v>
      </c>
      <c r="S174" s="3411">
        <v>17</v>
      </c>
      <c r="T174" s="3411">
        <v>18</v>
      </c>
      <c r="U174" s="3411">
        <v>19</v>
      </c>
      <c r="V174" s="3411">
        <v>20</v>
      </c>
      <c r="W174" s="3410">
        <v>21</v>
      </c>
      <c r="X174" s="3410">
        <v>22</v>
      </c>
      <c r="Y174" s="3411">
        <v>23</v>
      </c>
      <c r="Z174" s="3410">
        <v>24</v>
      </c>
      <c r="AA174" s="3410">
        <v>25</v>
      </c>
      <c r="AB174" s="3410">
        <v>26</v>
      </c>
      <c r="AC174" s="3411">
        <v>27</v>
      </c>
      <c r="AD174" s="3410">
        <v>28</v>
      </c>
      <c r="AE174" s="3410">
        <v>29</v>
      </c>
      <c r="AF174" s="3411">
        <v>30</v>
      </c>
      <c r="AG174" s="3412">
        <v>31</v>
      </c>
      <c r="AH174" s="97"/>
      <c r="AI174" s="24"/>
    </row>
    <row r="175" spans="1:35" ht="24" customHeight="1">
      <c r="A175" s="36"/>
      <c r="B175" s="2765" t="s">
        <v>262</v>
      </c>
      <c r="C175" s="2720"/>
      <c r="D175" s="2720" t="s">
        <v>233</v>
      </c>
      <c r="E175" s="2720" t="s">
        <v>233</v>
      </c>
      <c r="F175" s="2720" t="s">
        <v>233</v>
      </c>
      <c r="G175" s="2720" t="s">
        <v>233</v>
      </c>
      <c r="H175" s="2720" t="s">
        <v>233</v>
      </c>
      <c r="I175" s="2720"/>
      <c r="J175" s="2720"/>
      <c r="K175" s="2720" t="s">
        <v>233</v>
      </c>
      <c r="L175" s="2720" t="s">
        <v>233</v>
      </c>
      <c r="M175" s="2720" t="s">
        <v>233</v>
      </c>
      <c r="N175" s="2720" t="s">
        <v>233</v>
      </c>
      <c r="O175" s="2720" t="s">
        <v>233</v>
      </c>
      <c r="P175" s="2720"/>
      <c r="Q175" s="2720"/>
      <c r="R175" s="2720" t="s">
        <v>233</v>
      </c>
      <c r="S175" s="2720" t="s">
        <v>233</v>
      </c>
      <c r="T175" s="2720" t="s">
        <v>233</v>
      </c>
      <c r="U175" s="2720" t="s">
        <v>233</v>
      </c>
      <c r="V175" s="2720" t="s">
        <v>233</v>
      </c>
      <c r="W175" s="2720"/>
      <c r="X175" s="2720"/>
      <c r="Y175" s="2720" t="s">
        <v>233</v>
      </c>
      <c r="Z175" s="2720"/>
      <c r="AA175" s="2720"/>
      <c r="AB175" s="2720"/>
      <c r="AC175" s="2720" t="s">
        <v>233</v>
      </c>
      <c r="AD175" s="2720"/>
      <c r="AE175" s="2720"/>
      <c r="AF175" s="2720" t="s">
        <v>233</v>
      </c>
      <c r="AG175" s="2766"/>
      <c r="AH175" s="25"/>
      <c r="AI175" s="25"/>
    </row>
    <row r="176" spans="1:35" ht="24" customHeight="1">
      <c r="A176" s="36"/>
      <c r="B176" s="3413" t="s">
        <v>263</v>
      </c>
      <c r="C176" s="3298"/>
      <c r="D176" s="3298" t="s">
        <v>233</v>
      </c>
      <c r="E176" s="3298" t="s">
        <v>233</v>
      </c>
      <c r="F176" s="3298" t="s">
        <v>233</v>
      </c>
      <c r="G176" s="3298" t="s">
        <v>233</v>
      </c>
      <c r="H176" s="3298" t="s">
        <v>233</v>
      </c>
      <c r="I176" s="3298"/>
      <c r="J176" s="3298"/>
      <c r="K176" s="3298" t="s">
        <v>233</v>
      </c>
      <c r="L176" s="3298" t="s">
        <v>233</v>
      </c>
      <c r="M176" s="3298" t="s">
        <v>233</v>
      </c>
      <c r="N176" s="3298" t="s">
        <v>233</v>
      </c>
      <c r="O176" s="3298" t="s">
        <v>233</v>
      </c>
      <c r="P176" s="3298"/>
      <c r="Q176" s="3298"/>
      <c r="R176" s="3298" t="s">
        <v>233</v>
      </c>
      <c r="S176" s="3298" t="s">
        <v>233</v>
      </c>
      <c r="T176" s="3298" t="s">
        <v>233</v>
      </c>
      <c r="U176" s="3298" t="s">
        <v>233</v>
      </c>
      <c r="V176" s="3298" t="s">
        <v>233</v>
      </c>
      <c r="W176" s="3298"/>
      <c r="X176" s="3298"/>
      <c r="Y176" s="3298" t="s">
        <v>233</v>
      </c>
      <c r="Z176" s="3298"/>
      <c r="AA176" s="3298"/>
      <c r="AB176" s="3298"/>
      <c r="AC176" s="3298" t="s">
        <v>233</v>
      </c>
      <c r="AD176" s="3298"/>
      <c r="AE176" s="3298"/>
      <c r="AF176" s="3298" t="s">
        <v>233</v>
      </c>
      <c r="AG176" s="3320"/>
      <c r="AH176" s="25"/>
      <c r="AI176" s="25"/>
    </row>
    <row r="177" spans="1:35" ht="24" customHeight="1">
      <c r="A177" s="36"/>
      <c r="B177" s="3413" t="s">
        <v>265</v>
      </c>
      <c r="C177" s="3298"/>
      <c r="D177" s="3298" t="s">
        <v>237</v>
      </c>
      <c r="E177" s="3298" t="s">
        <v>237</v>
      </c>
      <c r="F177" s="3298" t="s">
        <v>237</v>
      </c>
      <c r="G177" s="3298" t="s">
        <v>237</v>
      </c>
      <c r="H177" s="3298" t="s">
        <v>237</v>
      </c>
      <c r="I177" s="3298"/>
      <c r="J177" s="3298"/>
      <c r="K177" s="3298" t="s">
        <v>237</v>
      </c>
      <c r="L177" s="3414" t="s">
        <v>237</v>
      </c>
      <c r="M177" s="3414" t="s">
        <v>237</v>
      </c>
      <c r="N177" s="3414" t="s">
        <v>237</v>
      </c>
      <c r="O177" s="3414" t="s">
        <v>237</v>
      </c>
      <c r="P177" s="3415"/>
      <c r="Q177" s="3415"/>
      <c r="R177" s="3415" t="s">
        <v>237</v>
      </c>
      <c r="S177" s="3415" t="s">
        <v>237</v>
      </c>
      <c r="T177" s="3415" t="s">
        <v>396</v>
      </c>
      <c r="U177" s="3298" t="s">
        <v>201</v>
      </c>
      <c r="V177" s="3298" t="s">
        <v>237</v>
      </c>
      <c r="W177" s="3298"/>
      <c r="X177" s="3298"/>
      <c r="Y177" s="3298" t="s">
        <v>237</v>
      </c>
      <c r="Z177" s="3298"/>
      <c r="AA177" s="3298"/>
      <c r="AB177" s="3298"/>
      <c r="AC177" s="3298" t="s">
        <v>237</v>
      </c>
      <c r="AD177" s="3298"/>
      <c r="AE177" s="3298"/>
      <c r="AF177" s="3298" t="s">
        <v>237</v>
      </c>
      <c r="AG177" s="3320"/>
      <c r="AH177" s="25"/>
      <c r="AI177" s="25"/>
    </row>
    <row r="178" spans="1:35" ht="24" customHeight="1">
      <c r="A178" s="36"/>
      <c r="B178" s="3413" t="s">
        <v>266</v>
      </c>
      <c r="C178" s="3298"/>
      <c r="D178" s="3316" t="s">
        <v>201</v>
      </c>
      <c r="E178" s="3316" t="s">
        <v>201</v>
      </c>
      <c r="F178" s="3316" t="s">
        <v>201</v>
      </c>
      <c r="G178" s="3316" t="s">
        <v>201</v>
      </c>
      <c r="H178" s="3316" t="s">
        <v>201</v>
      </c>
      <c r="I178" s="3298"/>
      <c r="J178" s="3298"/>
      <c r="K178" s="3416" t="s">
        <v>201</v>
      </c>
      <c r="L178" s="3298" t="s">
        <v>201</v>
      </c>
      <c r="M178" s="3298" t="s">
        <v>201</v>
      </c>
      <c r="N178" s="3298" t="s">
        <v>201</v>
      </c>
      <c r="O178" s="3298" t="s">
        <v>201</v>
      </c>
      <c r="P178" s="3298"/>
      <c r="Q178" s="3298"/>
      <c r="R178" s="3298" t="s">
        <v>201</v>
      </c>
      <c r="S178" s="3298" t="s">
        <v>201</v>
      </c>
      <c r="T178" s="3298" t="s">
        <v>201</v>
      </c>
      <c r="U178" s="3298" t="s">
        <v>237</v>
      </c>
      <c r="V178" s="3298" t="s">
        <v>201</v>
      </c>
      <c r="W178" s="3298"/>
      <c r="X178" s="3298"/>
      <c r="Y178" s="3298" t="s">
        <v>201</v>
      </c>
      <c r="Z178" s="3298"/>
      <c r="AA178" s="3298"/>
      <c r="AB178" s="3298"/>
      <c r="AC178" s="3417" t="s">
        <v>201</v>
      </c>
      <c r="AD178" s="3298"/>
      <c r="AE178" s="3298"/>
      <c r="AF178" s="3417" t="s">
        <v>201</v>
      </c>
      <c r="AG178" s="3320"/>
      <c r="AH178" s="25"/>
      <c r="AI178" s="25"/>
    </row>
    <row r="179" spans="1:35" ht="24" customHeight="1">
      <c r="A179" s="36"/>
      <c r="B179" s="3418" t="s">
        <v>267</v>
      </c>
      <c r="C179" s="3298"/>
      <c r="D179" s="3298" t="s">
        <v>121</v>
      </c>
      <c r="E179" s="3298" t="s">
        <v>121</v>
      </c>
      <c r="F179" s="3299" t="s">
        <v>121</v>
      </c>
      <c r="G179" s="3298" t="s">
        <v>121</v>
      </c>
      <c r="H179" s="3298" t="s">
        <v>121</v>
      </c>
      <c r="I179" s="3298"/>
      <c r="J179" s="3298"/>
      <c r="K179" s="3419" t="s">
        <v>121</v>
      </c>
      <c r="L179" s="3420" t="s">
        <v>121</v>
      </c>
      <c r="M179" s="3420" t="s">
        <v>121</v>
      </c>
      <c r="N179" s="3419" t="s">
        <v>121</v>
      </c>
      <c r="O179" s="3419" t="s">
        <v>121</v>
      </c>
      <c r="P179" s="3419"/>
      <c r="Q179" s="3419"/>
      <c r="R179" s="3419" t="s">
        <v>121</v>
      </c>
      <c r="S179" s="3419" t="s">
        <v>121</v>
      </c>
      <c r="T179" s="3419" t="s">
        <v>121</v>
      </c>
      <c r="U179" s="3419" t="s">
        <v>121</v>
      </c>
      <c r="V179" s="3419" t="s">
        <v>121</v>
      </c>
      <c r="W179" s="3419"/>
      <c r="X179" s="3419"/>
      <c r="Y179" s="3298" t="s">
        <v>121</v>
      </c>
      <c r="Z179" s="3298"/>
      <c r="AA179" s="3298"/>
      <c r="AB179" s="3298"/>
      <c r="AC179" s="3417" t="s">
        <v>121</v>
      </c>
      <c r="AD179" s="3298"/>
      <c r="AE179" s="3298"/>
      <c r="AF179" s="3417" t="s">
        <v>121</v>
      </c>
      <c r="AG179" s="3320"/>
      <c r="AH179" s="25"/>
      <c r="AI179" s="25"/>
    </row>
    <row r="180" spans="1:35" ht="24" customHeight="1">
      <c r="A180" s="36"/>
      <c r="B180" s="3413" t="s">
        <v>374</v>
      </c>
      <c r="C180" s="3298"/>
      <c r="D180" s="3298" t="s">
        <v>244</v>
      </c>
      <c r="E180" s="3298" t="s">
        <v>244</v>
      </c>
      <c r="F180" s="3298" t="s">
        <v>244</v>
      </c>
      <c r="G180" s="3298" t="s">
        <v>244</v>
      </c>
      <c r="H180" s="3298" t="s">
        <v>244</v>
      </c>
      <c r="I180" s="3298"/>
      <c r="J180" s="3298"/>
      <c r="K180" s="3298" t="s">
        <v>244</v>
      </c>
      <c r="L180" s="3298" t="s">
        <v>244</v>
      </c>
      <c r="M180" s="3298" t="s">
        <v>244</v>
      </c>
      <c r="N180" s="3298" t="s">
        <v>244</v>
      </c>
      <c r="O180" s="3298" t="s">
        <v>244</v>
      </c>
      <c r="P180" s="3298"/>
      <c r="Q180" s="3298"/>
      <c r="R180" s="3298" t="s">
        <v>244</v>
      </c>
      <c r="S180" s="3298" t="s">
        <v>244</v>
      </c>
      <c r="T180" s="3298" t="s">
        <v>244</v>
      </c>
      <c r="U180" s="3298" t="s">
        <v>244</v>
      </c>
      <c r="V180" s="3298" t="s">
        <v>244</v>
      </c>
      <c r="W180" s="3298"/>
      <c r="X180" s="3298"/>
      <c r="Y180" s="3298" t="s">
        <v>244</v>
      </c>
      <c r="Z180" s="3298"/>
      <c r="AA180" s="3298"/>
      <c r="AB180" s="3298"/>
      <c r="AC180" s="3298" t="s">
        <v>244</v>
      </c>
      <c r="AD180" s="3298"/>
      <c r="AE180" s="3421"/>
      <c r="AF180" s="3298" t="s">
        <v>244</v>
      </c>
      <c r="AG180" s="3320"/>
      <c r="AH180" s="25"/>
      <c r="AI180" s="25"/>
    </row>
    <row r="181" spans="1:35" ht="24" customHeight="1">
      <c r="A181" s="36"/>
      <c r="B181" s="3413" t="s">
        <v>269</v>
      </c>
      <c r="C181" s="3298"/>
      <c r="D181" s="3298" t="s">
        <v>128</v>
      </c>
      <c r="E181" s="3298" t="s">
        <v>128</v>
      </c>
      <c r="F181" s="3298" t="s">
        <v>128</v>
      </c>
      <c r="G181" s="3298" t="s">
        <v>128</v>
      </c>
      <c r="H181" s="3298" t="s">
        <v>128</v>
      </c>
      <c r="I181" s="3298"/>
      <c r="J181" s="3298"/>
      <c r="K181" s="3298" t="s">
        <v>128</v>
      </c>
      <c r="L181" s="3298" t="s">
        <v>128</v>
      </c>
      <c r="M181" s="3298" t="s">
        <v>128</v>
      </c>
      <c r="N181" s="3298" t="s">
        <v>128</v>
      </c>
      <c r="O181" s="3298" t="s">
        <v>128</v>
      </c>
      <c r="P181" s="3298"/>
      <c r="Q181" s="3298"/>
      <c r="R181" s="3298" t="s">
        <v>128</v>
      </c>
      <c r="S181" s="3298" t="s">
        <v>128</v>
      </c>
      <c r="T181" s="3298" t="s">
        <v>128</v>
      </c>
      <c r="U181" s="3298" t="s">
        <v>128</v>
      </c>
      <c r="V181" s="3298" t="s">
        <v>128</v>
      </c>
      <c r="W181" s="3298"/>
      <c r="X181" s="3298"/>
      <c r="Y181" s="58" t="s">
        <v>128</v>
      </c>
      <c r="Z181" s="3298"/>
      <c r="AA181" s="3298"/>
      <c r="AB181" s="3298"/>
      <c r="AC181" s="2998" t="s">
        <v>128</v>
      </c>
      <c r="AD181" s="3298"/>
      <c r="AE181" s="3298"/>
      <c r="AF181" s="2998" t="s">
        <v>128</v>
      </c>
      <c r="AG181" s="3320"/>
      <c r="AH181" s="25"/>
      <c r="AI181" s="25"/>
    </row>
    <row r="182" spans="1:35" ht="24" customHeight="1">
      <c r="A182" s="36"/>
      <c r="B182" s="3300" t="s">
        <v>271</v>
      </c>
      <c r="C182" s="3298"/>
      <c r="D182" s="3298" t="s">
        <v>250</v>
      </c>
      <c r="E182" s="3298" t="s">
        <v>250</v>
      </c>
      <c r="F182" s="3298" t="s">
        <v>250</v>
      </c>
      <c r="G182" s="3298" t="s">
        <v>250</v>
      </c>
      <c r="H182" s="3256" t="s">
        <v>250</v>
      </c>
      <c r="I182" s="3298"/>
      <c r="J182" s="3298"/>
      <c r="K182" s="3298" t="s">
        <v>250</v>
      </c>
      <c r="L182" s="3298" t="s">
        <v>250</v>
      </c>
      <c r="M182" s="3298" t="s">
        <v>250</v>
      </c>
      <c r="N182" s="3298" t="s">
        <v>250</v>
      </c>
      <c r="O182" s="3298" t="s">
        <v>250</v>
      </c>
      <c r="P182" s="3298"/>
      <c r="Q182" s="3298"/>
      <c r="R182" s="3298" t="s">
        <v>250</v>
      </c>
      <c r="S182" s="3298" t="s">
        <v>250</v>
      </c>
      <c r="T182" s="3298" t="s">
        <v>250</v>
      </c>
      <c r="U182" s="3298" t="s">
        <v>250</v>
      </c>
      <c r="V182" s="3422" t="s">
        <v>250</v>
      </c>
      <c r="W182" s="3298"/>
      <c r="X182" s="3298"/>
      <c r="Y182" s="3417" t="s">
        <v>250</v>
      </c>
      <c r="Z182" s="3298"/>
      <c r="AA182" s="3298"/>
      <c r="AB182" s="3298"/>
      <c r="AC182" s="3423" t="s">
        <v>250</v>
      </c>
      <c r="AD182" s="3298"/>
      <c r="AE182" s="3298"/>
      <c r="AF182" s="3423" t="s">
        <v>250</v>
      </c>
      <c r="AG182" s="3320"/>
      <c r="AH182" s="25"/>
      <c r="AI182" s="25"/>
    </row>
    <row r="183" spans="1:35" ht="24" customHeight="1">
      <c r="A183" s="36"/>
      <c r="B183" s="3413" t="s">
        <v>273</v>
      </c>
      <c r="C183" s="3298"/>
      <c r="D183" s="3298" t="s">
        <v>251</v>
      </c>
      <c r="E183" s="3298" t="s">
        <v>251</v>
      </c>
      <c r="F183" s="3298" t="s">
        <v>251</v>
      </c>
      <c r="G183" s="3298" t="s">
        <v>251</v>
      </c>
      <c r="H183" s="3298" t="s">
        <v>251</v>
      </c>
      <c r="I183" s="3298"/>
      <c r="J183" s="3298"/>
      <c r="K183" s="3298" t="s">
        <v>251</v>
      </c>
      <c r="L183" s="3298" t="s">
        <v>251</v>
      </c>
      <c r="M183" s="3298" t="s">
        <v>251</v>
      </c>
      <c r="N183" s="3424" t="s">
        <v>251</v>
      </c>
      <c r="O183" s="3298" t="s">
        <v>251</v>
      </c>
      <c r="P183" s="3298"/>
      <c r="Q183" s="3298"/>
      <c r="R183" s="3298" t="s">
        <v>251</v>
      </c>
      <c r="S183" s="3298" t="s">
        <v>251</v>
      </c>
      <c r="T183" s="3298" t="s">
        <v>251</v>
      </c>
      <c r="U183" s="3298" t="s">
        <v>251</v>
      </c>
      <c r="V183" s="3298" t="s">
        <v>251</v>
      </c>
      <c r="W183" s="3298"/>
      <c r="X183" s="3298"/>
      <c r="Y183" s="3298" t="s">
        <v>251</v>
      </c>
      <c r="Z183" s="3298"/>
      <c r="AA183" s="3298"/>
      <c r="AB183" s="3298"/>
      <c r="AC183" s="3296" t="s">
        <v>251</v>
      </c>
      <c r="AD183" s="3298"/>
      <c r="AE183" s="3298"/>
      <c r="AF183" s="3425" t="s">
        <v>251</v>
      </c>
      <c r="AG183" s="3320"/>
      <c r="AH183" s="25"/>
      <c r="AI183" s="25"/>
    </row>
    <row r="184" spans="1:35" ht="24" customHeight="1">
      <c r="A184" s="36"/>
      <c r="B184" s="3413" t="s">
        <v>274</v>
      </c>
      <c r="C184" s="3298"/>
      <c r="D184" s="3298" t="s">
        <v>253</v>
      </c>
      <c r="E184" s="3298" t="s">
        <v>253</v>
      </c>
      <c r="F184" s="3298" t="s">
        <v>253</v>
      </c>
      <c r="G184" s="3316" t="s">
        <v>253</v>
      </c>
      <c r="H184" s="3316" t="s">
        <v>253</v>
      </c>
      <c r="I184" s="3316"/>
      <c r="J184" s="3316"/>
      <c r="K184" s="3316" t="s">
        <v>253</v>
      </c>
      <c r="L184" s="3298" t="s">
        <v>253</v>
      </c>
      <c r="M184" s="3298" t="s">
        <v>253</v>
      </c>
      <c r="N184" s="3298" t="s">
        <v>253</v>
      </c>
      <c r="O184" s="3298" t="s">
        <v>253</v>
      </c>
      <c r="P184" s="3298"/>
      <c r="Q184" s="3298"/>
      <c r="R184" s="3415" t="s">
        <v>253</v>
      </c>
      <c r="S184" s="3415" t="s">
        <v>253</v>
      </c>
      <c r="T184" s="3415" t="s">
        <v>253</v>
      </c>
      <c r="U184" s="3415" t="s">
        <v>410</v>
      </c>
      <c r="V184" s="3426" t="s">
        <v>253</v>
      </c>
      <c r="W184" s="3298"/>
      <c r="X184" s="3298"/>
      <c r="Y184" s="3298" t="s">
        <v>253</v>
      </c>
      <c r="Z184" s="3298"/>
      <c r="AA184" s="3298"/>
      <c r="AB184" s="3298"/>
      <c r="AC184" s="3298" t="s">
        <v>253</v>
      </c>
      <c r="AD184" s="3298"/>
      <c r="AE184" s="3298"/>
      <c r="AF184" s="3298" t="s">
        <v>253</v>
      </c>
      <c r="AG184" s="3320"/>
      <c r="AH184" s="25"/>
      <c r="AI184" s="25"/>
    </row>
    <row r="185" spans="1:35" ht="24" customHeight="1">
      <c r="A185" s="36"/>
      <c r="B185" s="3300" t="s">
        <v>275</v>
      </c>
      <c r="C185" s="3298"/>
      <c r="D185" s="3298" t="s">
        <v>123</v>
      </c>
      <c r="E185" s="3298" t="s">
        <v>123</v>
      </c>
      <c r="F185" s="3298" t="s">
        <v>123</v>
      </c>
      <c r="G185" s="3298" t="s">
        <v>123</v>
      </c>
      <c r="H185" s="3298" t="s">
        <v>123</v>
      </c>
      <c r="I185" s="3298"/>
      <c r="J185" s="3298"/>
      <c r="K185" s="3298" t="s">
        <v>123</v>
      </c>
      <c r="L185" s="3298" t="s">
        <v>123</v>
      </c>
      <c r="M185" s="3298" t="s">
        <v>123</v>
      </c>
      <c r="N185" s="3427" t="s">
        <v>123</v>
      </c>
      <c r="O185" s="3298" t="s">
        <v>123</v>
      </c>
      <c r="P185" s="3298"/>
      <c r="Q185" s="3298"/>
      <c r="R185" s="3298" t="s">
        <v>123</v>
      </c>
      <c r="S185" s="3316" t="s">
        <v>123</v>
      </c>
      <c r="T185" s="3428" t="s">
        <v>123</v>
      </c>
      <c r="U185" s="3428" t="s">
        <v>123</v>
      </c>
      <c r="V185" s="3428" t="s">
        <v>123</v>
      </c>
      <c r="W185" s="3298"/>
      <c r="X185" s="3298"/>
      <c r="Y185" s="3429" t="s">
        <v>123</v>
      </c>
      <c r="Z185" s="3298"/>
      <c r="AA185" s="3298"/>
      <c r="AB185" s="3298"/>
      <c r="AC185" s="3429" t="s">
        <v>123</v>
      </c>
      <c r="AD185" s="3298"/>
      <c r="AE185" s="3430"/>
      <c r="AF185" s="3429" t="s">
        <v>123</v>
      </c>
      <c r="AG185" s="3320"/>
      <c r="AH185" s="25"/>
      <c r="AI185" s="25"/>
    </row>
    <row r="186" spans="1:35" ht="24" customHeight="1">
      <c r="A186" s="36"/>
      <c r="B186" s="3413" t="s">
        <v>276</v>
      </c>
      <c r="C186" s="3298"/>
      <c r="D186" s="3298" t="s">
        <v>146</v>
      </c>
      <c r="E186" s="3298" t="s">
        <v>146</v>
      </c>
      <c r="F186" s="3298" t="s">
        <v>146</v>
      </c>
      <c r="G186" s="3298" t="s">
        <v>146</v>
      </c>
      <c r="H186" s="3298" t="s">
        <v>146</v>
      </c>
      <c r="I186" s="3298"/>
      <c r="J186" s="3298"/>
      <c r="K186" s="3298" t="s">
        <v>146</v>
      </c>
      <c r="L186" s="3298" t="s">
        <v>146</v>
      </c>
      <c r="M186" s="3298" t="s">
        <v>146</v>
      </c>
      <c r="N186" s="3298" t="s">
        <v>146</v>
      </c>
      <c r="O186" s="3298" t="s">
        <v>146</v>
      </c>
      <c r="P186" s="3298"/>
      <c r="Q186" s="3298"/>
      <c r="R186" s="3298" t="s">
        <v>146</v>
      </c>
      <c r="S186" s="3298" t="s">
        <v>146</v>
      </c>
      <c r="T186" s="3298" t="s">
        <v>146</v>
      </c>
      <c r="U186" s="3298" t="s">
        <v>146</v>
      </c>
      <c r="V186" s="3298" t="s">
        <v>146</v>
      </c>
      <c r="W186" s="3298"/>
      <c r="X186" s="3298"/>
      <c r="Y186" s="3298" t="s">
        <v>146</v>
      </c>
      <c r="Z186" s="3298"/>
      <c r="AA186" s="3298"/>
      <c r="AB186" s="3298"/>
      <c r="AC186" s="3423" t="s">
        <v>146</v>
      </c>
      <c r="AD186" s="3298"/>
      <c r="AE186" s="3298"/>
      <c r="AF186" s="3423" t="s">
        <v>146</v>
      </c>
      <c r="AG186" s="3320"/>
      <c r="AH186" s="25"/>
      <c r="AI186" s="25"/>
    </row>
    <row r="187" spans="1:35" ht="24" customHeight="1" thickBot="1">
      <c r="A187" s="36"/>
      <c r="B187" s="402" t="s">
        <v>413</v>
      </c>
      <c r="C187" s="408"/>
      <c r="D187" s="408" t="s">
        <v>136</v>
      </c>
      <c r="E187" s="408" t="s">
        <v>136</v>
      </c>
      <c r="F187" s="408" t="s">
        <v>136</v>
      </c>
      <c r="G187" s="408" t="s">
        <v>136</v>
      </c>
      <c r="H187" s="408" t="s">
        <v>136</v>
      </c>
      <c r="I187" s="408"/>
      <c r="J187" s="408"/>
      <c r="K187" s="408" t="s">
        <v>136</v>
      </c>
      <c r="L187" s="408" t="s">
        <v>136</v>
      </c>
      <c r="M187" s="408" t="s">
        <v>136</v>
      </c>
      <c r="N187" s="408" t="s">
        <v>136</v>
      </c>
      <c r="O187" s="408" t="s">
        <v>136</v>
      </c>
      <c r="P187" s="408"/>
      <c r="Q187" s="408"/>
      <c r="R187" s="408" t="s">
        <v>136</v>
      </c>
      <c r="S187" s="408" t="s">
        <v>136</v>
      </c>
      <c r="T187" s="408" t="s">
        <v>136</v>
      </c>
      <c r="U187" s="408" t="s">
        <v>136</v>
      </c>
      <c r="V187" s="408" t="s">
        <v>136</v>
      </c>
      <c r="W187" s="408"/>
      <c r="X187" s="408"/>
      <c r="Y187" s="408" t="s">
        <v>136</v>
      </c>
      <c r="Z187" s="408"/>
      <c r="AA187" s="408"/>
      <c r="AB187" s="408"/>
      <c r="AC187" s="408" t="s">
        <v>136</v>
      </c>
      <c r="AD187" s="408"/>
      <c r="AE187" s="408"/>
      <c r="AF187" s="408" t="s">
        <v>136</v>
      </c>
      <c r="AG187" s="90"/>
      <c r="AH187" s="25"/>
      <c r="AI187" s="25"/>
    </row>
    <row r="188" spans="1:35" ht="24" customHeight="1" thickBot="1">
      <c r="A188" s="36"/>
      <c r="B188" s="402" t="s">
        <v>462</v>
      </c>
      <c r="C188" s="408"/>
      <c r="D188" s="408" t="s">
        <v>112</v>
      </c>
      <c r="E188" s="408" t="s">
        <v>112</v>
      </c>
      <c r="F188" s="408" t="s">
        <v>112</v>
      </c>
      <c r="G188" s="408" t="s">
        <v>112</v>
      </c>
      <c r="H188" s="408" t="s">
        <v>112</v>
      </c>
      <c r="I188" s="408"/>
      <c r="J188" s="408"/>
      <c r="K188" s="435" t="s">
        <v>463</v>
      </c>
      <c r="L188" s="436" t="s">
        <v>112</v>
      </c>
      <c r="M188" s="436" t="s">
        <v>112</v>
      </c>
      <c r="N188" s="436" t="s">
        <v>112</v>
      </c>
      <c r="O188" s="436" t="s">
        <v>112</v>
      </c>
      <c r="P188" s="408"/>
      <c r="Q188" s="408"/>
      <c r="R188" s="408" t="s">
        <v>112</v>
      </c>
      <c r="S188" s="408" t="s">
        <v>112</v>
      </c>
      <c r="T188" s="408" t="s">
        <v>112</v>
      </c>
      <c r="U188" s="408" t="s">
        <v>112</v>
      </c>
      <c r="V188" s="408" t="s">
        <v>112</v>
      </c>
      <c r="W188" s="408"/>
      <c r="X188" s="408"/>
      <c r="Y188" s="426" t="s">
        <v>112</v>
      </c>
      <c r="Z188" s="408"/>
      <c r="AA188" s="408"/>
      <c r="AB188" s="408"/>
      <c r="AC188" s="408" t="s">
        <v>112</v>
      </c>
      <c r="AD188" s="408"/>
      <c r="AE188" s="408"/>
      <c r="AF188" s="408" t="s">
        <v>112</v>
      </c>
      <c r="AG188" s="90"/>
      <c r="AH188" s="76"/>
      <c r="AI188" s="76"/>
    </row>
    <row r="189" spans="1:35" ht="24" customHeight="1" thickBot="1">
      <c r="A189" s="36"/>
      <c r="B189" s="402" t="s">
        <v>279</v>
      </c>
      <c r="C189" s="408"/>
      <c r="D189" s="408" t="s">
        <v>261</v>
      </c>
      <c r="E189" s="408" t="s">
        <v>261</v>
      </c>
      <c r="F189" s="408" t="s">
        <v>261</v>
      </c>
      <c r="G189" s="408" t="s">
        <v>261</v>
      </c>
      <c r="H189" s="408" t="s">
        <v>261</v>
      </c>
      <c r="I189" s="408"/>
      <c r="J189" s="408"/>
      <c r="K189" s="408" t="s">
        <v>261</v>
      </c>
      <c r="L189" s="408" t="s">
        <v>261</v>
      </c>
      <c r="M189" s="408" t="s">
        <v>261</v>
      </c>
      <c r="N189" s="408" t="s">
        <v>261</v>
      </c>
      <c r="O189" s="408" t="s">
        <v>261</v>
      </c>
      <c r="P189" s="408"/>
      <c r="Q189" s="408"/>
      <c r="R189" s="408" t="s">
        <v>261</v>
      </c>
      <c r="S189" s="408" t="s">
        <v>261</v>
      </c>
      <c r="T189" s="408" t="s">
        <v>261</v>
      </c>
      <c r="U189" s="408" t="s">
        <v>261</v>
      </c>
      <c r="V189" s="408" t="s">
        <v>261</v>
      </c>
      <c r="W189" s="408"/>
      <c r="X189" s="408"/>
      <c r="Y189" s="408" t="s">
        <v>261</v>
      </c>
      <c r="Z189" s="408"/>
      <c r="AA189" s="408"/>
      <c r="AB189" s="408"/>
      <c r="AC189" s="408" t="s">
        <v>261</v>
      </c>
      <c r="AD189" s="408"/>
      <c r="AE189" s="408"/>
      <c r="AF189" s="437" t="s">
        <v>261</v>
      </c>
      <c r="AG189" s="289" t="s">
        <v>261</v>
      </c>
      <c r="AH189" s="76"/>
      <c r="AI189" s="76"/>
    </row>
    <row r="190" spans="1:35" ht="24" customHeight="1">
      <c r="A190" s="96"/>
      <c r="B190" s="98"/>
      <c r="C190" s="91"/>
      <c r="D190" s="91"/>
      <c r="E190" s="91"/>
      <c r="F190" s="91"/>
      <c r="G190" s="91"/>
      <c r="H190" s="91"/>
      <c r="I190" s="91"/>
      <c r="J190" s="91"/>
      <c r="K190" s="91"/>
      <c r="L190" s="91"/>
      <c r="M190" s="91"/>
      <c r="N190" s="91"/>
      <c r="O190" s="91"/>
      <c r="P190" s="91"/>
      <c r="Q190" s="91"/>
      <c r="R190" s="91"/>
      <c r="S190" s="91"/>
      <c r="T190" s="91"/>
      <c r="U190" s="91"/>
      <c r="V190" s="91"/>
      <c r="W190" s="91"/>
      <c r="X190" s="91"/>
      <c r="Y190" s="91"/>
      <c r="Z190" s="91"/>
      <c r="AA190" s="91"/>
      <c r="AB190" s="91"/>
      <c r="AC190" s="91"/>
      <c r="AD190" s="91"/>
      <c r="AE190" s="91"/>
      <c r="AF190" s="91"/>
      <c r="AG190" s="91"/>
      <c r="AH190" s="99"/>
    </row>
    <row r="191" spans="1:35" ht="24" customHeight="1" thickBot="1">
      <c r="A191" s="1" t="s">
        <v>280</v>
      </c>
      <c r="B191" s="42"/>
      <c r="C191" s="100"/>
      <c r="D191" s="100"/>
      <c r="E191" s="100"/>
      <c r="F191" s="100"/>
      <c r="G191" s="100"/>
      <c r="H191" s="100"/>
      <c r="I191" s="100"/>
      <c r="J191" s="100"/>
      <c r="K191" s="100"/>
      <c r="L191" s="100"/>
      <c r="M191" s="100"/>
      <c r="N191" s="100"/>
      <c r="O191" s="100"/>
      <c r="P191" s="100"/>
      <c r="Q191" s="100"/>
      <c r="R191" s="100"/>
      <c r="S191" s="100"/>
      <c r="T191" s="100"/>
      <c r="U191" s="100"/>
      <c r="V191" s="100"/>
      <c r="W191" s="100"/>
      <c r="X191" s="100"/>
      <c r="Y191" s="100"/>
      <c r="Z191" s="100"/>
      <c r="AA191" s="100"/>
      <c r="AB191" s="100"/>
      <c r="AC191" s="100"/>
      <c r="AD191" s="100"/>
      <c r="AE191" s="100"/>
      <c r="AF191" s="100"/>
      <c r="AG191" s="100"/>
    </row>
    <row r="192" spans="1:35" ht="24" customHeight="1">
      <c r="A192" s="1"/>
      <c r="B192" s="3431" t="s">
        <v>281</v>
      </c>
      <c r="C192" s="1006" t="s">
        <v>87</v>
      </c>
      <c r="D192" s="1006"/>
      <c r="E192" s="1006"/>
      <c r="F192" s="1006"/>
      <c r="G192" s="2460" t="s">
        <v>88</v>
      </c>
      <c r="H192" s="1006"/>
      <c r="I192" s="1006"/>
      <c r="J192" s="1006"/>
      <c r="K192" s="2460" t="s">
        <v>89</v>
      </c>
      <c r="L192" s="1006"/>
      <c r="M192" s="1006"/>
      <c r="N192" s="1006"/>
      <c r="O192" s="2460" t="s">
        <v>90</v>
      </c>
      <c r="P192" s="1006"/>
      <c r="Q192" s="1006"/>
      <c r="R192" s="1006"/>
      <c r="S192" s="2460" t="s">
        <v>91</v>
      </c>
      <c r="T192" s="1006"/>
      <c r="U192" s="1006"/>
      <c r="V192" s="1006"/>
      <c r="W192" s="1008" t="s">
        <v>92</v>
      </c>
      <c r="X192" s="705"/>
      <c r="Y192" s="1006"/>
      <c r="Z192" s="1009"/>
      <c r="AA192" s="1008" t="s">
        <v>93</v>
      </c>
      <c r="AB192" s="705"/>
      <c r="AC192" s="1006"/>
      <c r="AD192" s="1009"/>
      <c r="AE192" s="1010" t="s">
        <v>94</v>
      </c>
      <c r="AF192" s="1006"/>
      <c r="AG192" s="1006"/>
      <c r="AH192" s="1006"/>
      <c r="AI192" s="706"/>
    </row>
    <row r="193" spans="1:35" ht="24" customHeight="1">
      <c r="A193" s="1"/>
      <c r="B193" s="1665">
        <v>3701</v>
      </c>
      <c r="C193" s="87" t="s">
        <v>282</v>
      </c>
      <c r="D193" s="87"/>
      <c r="E193" s="87"/>
      <c r="F193" s="87"/>
      <c r="G193" s="3190" t="s">
        <v>283</v>
      </c>
      <c r="H193" s="87"/>
      <c r="I193" s="87"/>
      <c r="J193" s="87"/>
      <c r="K193" s="3190" t="s">
        <v>283</v>
      </c>
      <c r="L193" s="87"/>
      <c r="M193" s="87"/>
      <c r="N193" s="87"/>
      <c r="O193" s="3190" t="s">
        <v>283</v>
      </c>
      <c r="P193" s="87"/>
      <c r="Q193" s="87"/>
      <c r="R193" s="87"/>
      <c r="S193" s="3190" t="s">
        <v>284</v>
      </c>
      <c r="T193" s="87"/>
      <c r="U193" s="87"/>
      <c r="V193" s="87"/>
      <c r="W193" s="3432"/>
      <c r="X193" s="3433"/>
      <c r="Y193" s="3434"/>
      <c r="Z193" s="3435"/>
      <c r="AA193" s="3432"/>
      <c r="AB193" s="3433"/>
      <c r="AC193" s="3434"/>
      <c r="AD193" s="3435"/>
      <c r="AE193" s="3436"/>
      <c r="AF193" s="3434"/>
      <c r="AG193" s="3434"/>
      <c r="AH193" s="3434"/>
      <c r="AI193" s="3437"/>
    </row>
    <row r="194" spans="1:35" ht="24" customHeight="1">
      <c r="A194" s="3438"/>
      <c r="B194" s="3431"/>
      <c r="C194" s="3439"/>
      <c r="D194" s="3180"/>
      <c r="E194" s="3180"/>
      <c r="F194" s="2789"/>
      <c r="G194" s="3439"/>
      <c r="H194" s="3180"/>
      <c r="I194" s="3180"/>
      <c r="J194" s="2789"/>
      <c r="K194" s="3439"/>
      <c r="L194" s="3180"/>
      <c r="M194" s="3180"/>
      <c r="N194" s="2789"/>
      <c r="O194" s="3439"/>
      <c r="P194" s="3180"/>
      <c r="Q194" s="3180"/>
      <c r="R194" s="2789"/>
      <c r="S194" s="3439"/>
      <c r="T194" s="3180"/>
      <c r="U194" s="3180"/>
      <c r="V194" s="3180"/>
      <c r="W194" s="3432"/>
      <c r="X194" s="3433"/>
      <c r="Y194" s="3434"/>
      <c r="Z194" s="3435"/>
      <c r="AA194" s="3432"/>
      <c r="AB194" s="3433"/>
      <c r="AC194" s="3434"/>
      <c r="AD194" s="3435"/>
      <c r="AE194" s="3436"/>
      <c r="AF194" s="3434"/>
      <c r="AG194" s="3434"/>
      <c r="AH194" s="3434"/>
      <c r="AI194" s="3437"/>
    </row>
    <row r="195" spans="1:35" ht="24" customHeight="1">
      <c r="A195" s="3438"/>
      <c r="B195" s="3431"/>
      <c r="C195" s="3439"/>
      <c r="D195" s="3180"/>
      <c r="E195" s="3180"/>
      <c r="F195" s="2789"/>
      <c r="G195" s="3439"/>
      <c r="H195" s="3180"/>
      <c r="I195" s="3180"/>
      <c r="J195" s="2789"/>
      <c r="K195" s="3439"/>
      <c r="L195" s="3180"/>
      <c r="M195" s="3180"/>
      <c r="N195" s="2789"/>
      <c r="O195" s="3439"/>
      <c r="P195" s="3180"/>
      <c r="Q195" s="3180"/>
      <c r="R195" s="2789"/>
      <c r="S195" s="3439"/>
      <c r="T195" s="3180"/>
      <c r="U195" s="3180"/>
      <c r="V195" s="3180"/>
      <c r="W195" s="3432"/>
      <c r="X195" s="3433"/>
      <c r="Y195" s="3434"/>
      <c r="Z195" s="3435"/>
      <c r="AA195" s="3432"/>
      <c r="AB195" s="3433"/>
      <c r="AC195" s="3434"/>
      <c r="AD195" s="3435"/>
      <c r="AE195" s="3436"/>
      <c r="AF195" s="3434"/>
      <c r="AG195" s="3434"/>
      <c r="AH195" s="3434"/>
      <c r="AI195" s="3437"/>
    </row>
    <row r="196" spans="1:35" ht="24" customHeight="1" thickBot="1">
      <c r="A196" s="411"/>
      <c r="B196" s="412"/>
      <c r="C196" s="3440"/>
      <c r="D196" s="3441"/>
      <c r="E196" s="3441"/>
      <c r="F196" s="3442"/>
      <c r="G196" s="3440"/>
      <c r="H196" s="3441"/>
      <c r="I196" s="3441"/>
      <c r="J196" s="3442"/>
      <c r="K196" s="3440"/>
      <c r="L196" s="3441"/>
      <c r="M196" s="3441"/>
      <c r="N196" s="3442"/>
      <c r="O196" s="3440"/>
      <c r="P196" s="3441"/>
      <c r="Q196" s="3441"/>
      <c r="R196" s="3442"/>
      <c r="S196" s="3440"/>
      <c r="T196" s="3441"/>
      <c r="U196" s="3441"/>
      <c r="V196" s="3441"/>
      <c r="W196" s="3443"/>
      <c r="X196" s="3444"/>
      <c r="Y196" s="3445"/>
      <c r="Z196" s="3446"/>
      <c r="AA196" s="3443"/>
      <c r="AB196" s="3444"/>
      <c r="AC196" s="3445"/>
      <c r="AD196" s="3446"/>
      <c r="AE196" s="3447"/>
      <c r="AF196" s="3448"/>
      <c r="AG196" s="3448"/>
      <c r="AH196" s="3448"/>
      <c r="AI196" s="3449"/>
    </row>
    <row r="197" spans="1:35" ht="24" customHeight="1">
      <c r="A197" s="1"/>
      <c r="B197" s="42"/>
      <c r="C197" s="87"/>
      <c r="D197" s="87"/>
      <c r="E197" s="87"/>
      <c r="F197" s="87"/>
      <c r="G197" s="87"/>
      <c r="H197" s="87"/>
      <c r="I197" s="87"/>
      <c r="J197" s="87"/>
      <c r="K197" s="87"/>
      <c r="L197" s="87"/>
      <c r="M197" s="87"/>
      <c r="N197" s="87"/>
      <c r="O197" s="87"/>
      <c r="P197" s="87"/>
      <c r="Q197" s="87"/>
      <c r="R197" s="87"/>
      <c r="S197" s="87"/>
      <c r="T197" s="87"/>
      <c r="U197" s="87"/>
      <c r="V197" s="87"/>
      <c r="W197" s="87"/>
      <c r="X197" s="37"/>
      <c r="Y197" s="87"/>
      <c r="Z197" s="87"/>
      <c r="AA197" s="87"/>
      <c r="AB197" s="37"/>
      <c r="AC197" s="87"/>
      <c r="AD197" s="87"/>
      <c r="AE197" s="37"/>
      <c r="AF197" s="87"/>
      <c r="AG197" s="87"/>
      <c r="AH197" s="87"/>
    </row>
    <row r="198" spans="1:35" ht="24" customHeight="1">
      <c r="AG198" s="87"/>
      <c r="AH198" s="87"/>
    </row>
    <row r="199" spans="1:35" ht="24" customHeight="1">
      <c r="B199" s="3431">
        <v>3700</v>
      </c>
      <c r="C199" s="3434" t="s">
        <v>181</v>
      </c>
      <c r="D199" s="3434"/>
      <c r="E199" s="3434"/>
      <c r="F199" s="3434"/>
      <c r="G199" s="3450" t="s">
        <v>181</v>
      </c>
      <c r="H199" s="3434"/>
      <c r="I199" s="3434"/>
      <c r="J199" s="3434"/>
      <c r="K199" s="3450" t="s">
        <v>181</v>
      </c>
      <c r="L199" s="3434"/>
      <c r="M199" s="3434"/>
      <c r="N199" s="3434"/>
      <c r="O199" s="3450" t="s">
        <v>181</v>
      </c>
      <c r="P199" s="3434"/>
      <c r="Q199" s="3434"/>
      <c r="R199" s="3434"/>
      <c r="S199" s="3450" t="s">
        <v>182</v>
      </c>
      <c r="T199" s="3434"/>
      <c r="U199" s="3434"/>
      <c r="V199" s="3434"/>
      <c r="W199" s="3434"/>
      <c r="X199" s="3450"/>
      <c r="Y199" s="3434"/>
      <c r="Z199" s="3451"/>
      <c r="AA199" s="3436"/>
      <c r="AB199" s="3434"/>
      <c r="AC199" s="3434"/>
      <c r="AD199" s="3452"/>
      <c r="AE199" s="3453"/>
      <c r="AF199" s="3434"/>
      <c r="AG199" s="3434"/>
      <c r="AH199" s="3452"/>
      <c r="AI199" s="3437"/>
    </row>
    <row r="200" spans="1:35" ht="24" customHeight="1">
      <c r="A200" s="1"/>
      <c r="B200" s="3431">
        <v>8514</v>
      </c>
      <c r="C200" s="3434" t="s">
        <v>283</v>
      </c>
      <c r="D200" s="3434"/>
      <c r="E200" s="3434"/>
      <c r="F200" s="3434"/>
      <c r="G200" s="3450" t="s">
        <v>283</v>
      </c>
      <c r="H200" s="3434"/>
      <c r="I200" s="3434"/>
      <c r="J200" s="3434"/>
      <c r="K200" s="3450" t="s">
        <v>283</v>
      </c>
      <c r="L200" s="3434"/>
      <c r="M200" s="3434"/>
      <c r="N200" s="3434"/>
      <c r="O200" s="3450" t="s">
        <v>283</v>
      </c>
      <c r="P200" s="3434"/>
      <c r="Q200" s="3434"/>
      <c r="R200" s="3434"/>
      <c r="S200" s="3450" t="s">
        <v>285</v>
      </c>
      <c r="T200" s="3434"/>
      <c r="U200" s="3434"/>
      <c r="V200" s="3434"/>
      <c r="W200" s="3434"/>
      <c r="X200" s="3450"/>
      <c r="Y200" s="3434"/>
      <c r="Z200" s="3451"/>
      <c r="AA200" s="3454"/>
      <c r="AB200" s="3434"/>
      <c r="AC200" s="3434"/>
      <c r="AD200" s="3452"/>
      <c r="AE200" s="3454"/>
      <c r="AF200" s="3434"/>
      <c r="AG200" s="3434"/>
      <c r="AH200" s="3452"/>
      <c r="AI200" s="3437"/>
    </row>
    <row r="201" spans="1:35" ht="24" customHeight="1">
      <c r="A201" s="1"/>
      <c r="B201" s="3431">
        <v>8500</v>
      </c>
      <c r="C201" s="101" t="s">
        <v>286</v>
      </c>
      <c r="D201" s="101"/>
      <c r="E201" s="101"/>
      <c r="F201" s="101"/>
      <c r="G201" s="102" t="s">
        <v>286</v>
      </c>
      <c r="H201" s="101"/>
      <c r="I201" s="101"/>
      <c r="J201" s="101"/>
      <c r="K201" s="102" t="s">
        <v>286</v>
      </c>
      <c r="L201" s="101"/>
      <c r="M201" s="101"/>
      <c r="N201" s="101"/>
      <c r="O201" s="102" t="s">
        <v>286</v>
      </c>
      <c r="P201" s="101"/>
      <c r="Q201" s="101"/>
      <c r="R201" s="101"/>
      <c r="S201" s="102" t="s">
        <v>287</v>
      </c>
      <c r="T201" s="101"/>
      <c r="U201" s="101"/>
      <c r="V201" s="101"/>
      <c r="W201" s="101"/>
      <c r="X201" s="102"/>
      <c r="Y201" s="101"/>
      <c r="Z201" s="103"/>
      <c r="AA201" s="104"/>
      <c r="AB201" s="101"/>
      <c r="AC201" s="101"/>
      <c r="AD201" s="103"/>
      <c r="AE201" s="104"/>
      <c r="AF201" s="101"/>
      <c r="AG201" s="101"/>
      <c r="AH201" s="41"/>
      <c r="AI201" s="105"/>
    </row>
    <row r="202" spans="1:35" ht="24" customHeight="1">
      <c r="A202" s="1"/>
      <c r="B202" s="3431">
        <v>8514</v>
      </c>
      <c r="C202" s="106" t="s">
        <v>283</v>
      </c>
      <c r="D202" s="106"/>
      <c r="E202" s="106"/>
      <c r="F202" s="106"/>
      <c r="G202" s="107" t="s">
        <v>283</v>
      </c>
      <c r="H202" s="106"/>
      <c r="I202" s="106"/>
      <c r="J202" s="106"/>
      <c r="K202" s="107" t="s">
        <v>283</v>
      </c>
      <c r="L202" s="106"/>
      <c r="M202" s="106"/>
      <c r="N202" s="106"/>
      <c r="O202" s="107" t="s">
        <v>283</v>
      </c>
      <c r="P202" s="106"/>
      <c r="Q202" s="106"/>
      <c r="R202" s="106"/>
      <c r="S202" s="107" t="s">
        <v>285</v>
      </c>
      <c r="T202" s="106"/>
      <c r="U202" s="106"/>
      <c r="V202" s="106"/>
      <c r="W202" s="106"/>
      <c r="X202" s="108"/>
      <c r="Y202" s="101"/>
      <c r="Z202" s="109"/>
      <c r="AA202" s="110"/>
      <c r="AB202" s="111"/>
      <c r="AC202" s="101"/>
      <c r="AD202" s="101"/>
      <c r="AE202" s="112"/>
      <c r="AF202" s="101"/>
      <c r="AG202" s="101"/>
      <c r="AH202" s="101"/>
      <c r="AI202" s="105"/>
    </row>
    <row r="203" spans="1:35" ht="24" customHeight="1" thickBot="1">
      <c r="A203" s="1"/>
      <c r="B203" s="3455" t="s">
        <v>288</v>
      </c>
      <c r="C203" s="3448" t="s">
        <v>289</v>
      </c>
      <c r="D203" s="3448"/>
      <c r="E203" s="3448"/>
      <c r="F203" s="3448"/>
      <c r="G203" s="3456" t="s">
        <v>289</v>
      </c>
      <c r="H203" s="3448"/>
      <c r="I203" s="3448"/>
      <c r="J203" s="3448"/>
      <c r="K203" s="3457" t="s">
        <v>289</v>
      </c>
      <c r="L203" s="3448"/>
      <c r="M203" s="3448"/>
      <c r="N203" s="3448"/>
      <c r="O203" s="3456" t="s">
        <v>289</v>
      </c>
      <c r="P203" s="3448"/>
      <c r="Q203" s="3448"/>
      <c r="R203" s="3448"/>
      <c r="S203" s="3456" t="s">
        <v>290</v>
      </c>
      <c r="T203" s="3448"/>
      <c r="U203" s="3448"/>
      <c r="V203" s="3448"/>
      <c r="W203" s="3448"/>
      <c r="X203" s="3456"/>
      <c r="Y203" s="3448"/>
      <c r="Z203" s="3373"/>
      <c r="AA203" s="3447"/>
      <c r="AB203" s="3448"/>
      <c r="AC203" s="3448"/>
      <c r="AD203" s="3357"/>
      <c r="AE203" s="3458"/>
      <c r="AF203" s="3448"/>
      <c r="AG203" s="3448"/>
      <c r="AH203" s="3357"/>
      <c r="AI203" s="3449"/>
    </row>
    <row r="204" spans="1:35" ht="24" customHeight="1">
      <c r="A204" s="1"/>
      <c r="B204" s="113"/>
      <c r="C204" s="37"/>
      <c r="D204" s="87"/>
      <c r="E204" s="87"/>
      <c r="F204" s="22"/>
      <c r="G204" s="37"/>
      <c r="H204" s="87"/>
      <c r="I204" s="87"/>
      <c r="J204" s="22"/>
      <c r="K204" s="37"/>
      <c r="L204" s="87"/>
      <c r="M204" s="87"/>
      <c r="N204" s="22"/>
      <c r="O204" s="37"/>
      <c r="P204" s="87"/>
      <c r="Q204" s="87"/>
      <c r="R204" s="22"/>
      <c r="S204" s="37"/>
      <c r="T204" s="87"/>
      <c r="U204" s="87"/>
      <c r="V204" s="22"/>
      <c r="W204" s="22"/>
      <c r="Z204" s="22"/>
      <c r="AA204" s="22"/>
      <c r="AD204" s="22"/>
      <c r="AE204" s="22"/>
      <c r="AH204" s="22"/>
    </row>
    <row r="205" spans="1:35" ht="24" customHeight="1">
      <c r="A205" s="1" t="s">
        <v>291</v>
      </c>
      <c r="B205" s="113"/>
      <c r="C205" s="37"/>
      <c r="D205" s="87"/>
      <c r="E205" s="87"/>
      <c r="F205" s="22"/>
      <c r="G205" s="37"/>
      <c r="H205" s="87"/>
      <c r="I205" s="87"/>
      <c r="J205" s="22"/>
      <c r="K205" s="37"/>
      <c r="L205" s="87"/>
      <c r="M205" s="87"/>
      <c r="N205" s="22"/>
      <c r="O205" s="37"/>
      <c r="P205" s="87"/>
      <c r="Q205" s="87"/>
      <c r="R205" s="22"/>
      <c r="S205" s="37"/>
      <c r="T205" s="87"/>
      <c r="U205" s="87"/>
      <c r="V205" s="22"/>
      <c r="W205" s="22"/>
      <c r="Z205" s="22"/>
      <c r="AA205" s="22"/>
      <c r="AD205" s="22"/>
      <c r="AE205" s="22"/>
      <c r="AH205" s="22"/>
    </row>
    <row r="206" spans="1:35" ht="24" customHeight="1" thickBot="1">
      <c r="A206" s="3025"/>
      <c r="B206" s="2978" t="s">
        <v>29</v>
      </c>
      <c r="C206" s="3027">
        <v>1</v>
      </c>
      <c r="D206" s="3026">
        <v>2</v>
      </c>
      <c r="E206" s="3026">
        <v>3</v>
      </c>
      <c r="F206" s="3026">
        <v>4</v>
      </c>
      <c r="G206" s="3026">
        <v>5</v>
      </c>
      <c r="H206" s="3026">
        <v>6</v>
      </c>
      <c r="I206" s="3027">
        <v>7</v>
      </c>
      <c r="J206" s="3027">
        <v>8</v>
      </c>
      <c r="K206" s="3026">
        <v>9</v>
      </c>
      <c r="L206" s="3026">
        <v>10</v>
      </c>
      <c r="M206" s="3026">
        <v>11</v>
      </c>
      <c r="N206" s="3026">
        <v>12</v>
      </c>
      <c r="O206" s="3026">
        <v>13</v>
      </c>
      <c r="P206" s="3027">
        <v>14</v>
      </c>
      <c r="Q206" s="3027">
        <v>15</v>
      </c>
      <c r="R206" s="3026">
        <v>16</v>
      </c>
      <c r="S206" s="3026">
        <v>17</v>
      </c>
      <c r="T206" s="3026">
        <v>18</v>
      </c>
      <c r="U206" s="3026">
        <v>19</v>
      </c>
      <c r="V206" s="3026">
        <v>20</v>
      </c>
      <c r="W206" s="3027">
        <v>21</v>
      </c>
      <c r="X206" s="3027">
        <v>22</v>
      </c>
      <c r="Y206" s="3026">
        <v>23</v>
      </c>
      <c r="Z206" s="3027">
        <v>24</v>
      </c>
      <c r="AA206" s="3027">
        <v>25</v>
      </c>
      <c r="AB206" s="3027">
        <v>26</v>
      </c>
      <c r="AC206" s="3026">
        <v>27</v>
      </c>
      <c r="AD206" s="3027">
        <v>28</v>
      </c>
      <c r="AE206" s="3027">
        <v>29</v>
      </c>
      <c r="AF206" s="3026">
        <v>30</v>
      </c>
      <c r="AG206" s="3292">
        <v>31</v>
      </c>
      <c r="AH206" s="23"/>
      <c r="AI206" s="24"/>
    </row>
    <row r="207" spans="1:35" ht="24" customHeight="1">
      <c r="A207" s="2478"/>
      <c r="B207" s="2479" t="s">
        <v>292</v>
      </c>
      <c r="C207" s="1839"/>
      <c r="D207" s="2480" t="s">
        <v>31</v>
      </c>
      <c r="E207" s="1839" t="s">
        <v>31</v>
      </c>
      <c r="F207" s="1839" t="s">
        <v>31</v>
      </c>
      <c r="G207" s="1839" t="s">
        <v>31</v>
      </c>
      <c r="H207" s="1839" t="s">
        <v>31</v>
      </c>
      <c r="I207" s="1839"/>
      <c r="J207" s="1839"/>
      <c r="K207" s="1839" t="s">
        <v>31</v>
      </c>
      <c r="L207" s="1839" t="s">
        <v>31</v>
      </c>
      <c r="M207" s="1839" t="s">
        <v>31</v>
      </c>
      <c r="N207" s="1839" t="s">
        <v>31</v>
      </c>
      <c r="O207" s="1839" t="s">
        <v>31</v>
      </c>
      <c r="P207" s="1839"/>
      <c r="Q207" s="1839"/>
      <c r="R207" s="1839" t="s">
        <v>31</v>
      </c>
      <c r="S207" s="1839" t="s">
        <v>31</v>
      </c>
      <c r="T207" s="1839" t="s">
        <v>31</v>
      </c>
      <c r="U207" s="3459" t="s">
        <v>31</v>
      </c>
      <c r="V207" s="1839" t="s">
        <v>31</v>
      </c>
      <c r="W207" s="1839"/>
      <c r="X207" s="1839"/>
      <c r="Y207" s="3459" t="s">
        <v>31</v>
      </c>
      <c r="Z207" s="1839"/>
      <c r="AA207" s="1839"/>
      <c r="AB207" s="1839"/>
      <c r="AC207" s="1839" t="s">
        <v>31</v>
      </c>
      <c r="AD207" s="1839"/>
      <c r="AE207" s="1839"/>
      <c r="AF207" s="1839" t="s">
        <v>31</v>
      </c>
      <c r="AG207" s="397"/>
      <c r="AH207" s="23"/>
      <c r="AI207" s="24"/>
    </row>
    <row r="208" spans="1:35" ht="24" customHeight="1">
      <c r="A208" s="3460"/>
      <c r="B208" s="3461" t="s">
        <v>293</v>
      </c>
      <c r="C208" s="3256"/>
      <c r="D208" s="3462" t="s">
        <v>31</v>
      </c>
      <c r="E208" s="3256" t="s">
        <v>31</v>
      </c>
      <c r="F208" s="3256" t="s">
        <v>31</v>
      </c>
      <c r="G208" s="3256" t="s">
        <v>31</v>
      </c>
      <c r="H208" s="3256" t="s">
        <v>31</v>
      </c>
      <c r="I208" s="3256"/>
      <c r="J208" s="3256"/>
      <c r="K208" s="3256" t="s">
        <v>31</v>
      </c>
      <c r="L208" s="3256" t="s">
        <v>31</v>
      </c>
      <c r="M208" s="3256" t="s">
        <v>31</v>
      </c>
      <c r="N208" s="3256" t="s">
        <v>31</v>
      </c>
      <c r="O208" s="3256" t="s">
        <v>31</v>
      </c>
      <c r="P208" s="3256"/>
      <c r="Q208" s="3256"/>
      <c r="R208" s="3256" t="s">
        <v>31</v>
      </c>
      <c r="S208" s="3256" t="s">
        <v>31</v>
      </c>
      <c r="T208" s="3256" t="s">
        <v>31</v>
      </c>
      <c r="U208" s="3256" t="s">
        <v>31</v>
      </c>
      <c r="V208" s="3256" t="s">
        <v>31</v>
      </c>
      <c r="W208" s="3256"/>
      <c r="X208" s="3256"/>
      <c r="Y208" s="3377" t="s">
        <v>31</v>
      </c>
      <c r="Z208" s="3256"/>
      <c r="AA208" s="3256"/>
      <c r="AB208" s="3256"/>
      <c r="AC208" s="3377" t="s">
        <v>31</v>
      </c>
      <c r="AD208" s="3256"/>
      <c r="AE208" s="3256"/>
      <c r="AF208" s="3377" t="s">
        <v>31</v>
      </c>
      <c r="AG208" s="3463"/>
      <c r="AH208" s="23"/>
      <c r="AI208" s="24"/>
    </row>
    <row r="209" spans="1:35" ht="24" customHeight="1">
      <c r="A209" s="3464">
        <v>8514</v>
      </c>
      <c r="B209" s="3418" t="s">
        <v>393</v>
      </c>
      <c r="C209" s="3256"/>
      <c r="D209" s="3462" t="s">
        <v>31</v>
      </c>
      <c r="E209" s="3256" t="s">
        <v>31</v>
      </c>
      <c r="F209" s="3256" t="s">
        <v>31</v>
      </c>
      <c r="G209" s="3465" t="s">
        <v>31</v>
      </c>
      <c r="H209" s="3256" t="s">
        <v>31</v>
      </c>
      <c r="I209" s="3256"/>
      <c r="J209" s="3256"/>
      <c r="K209" s="3256" t="s">
        <v>31</v>
      </c>
      <c r="L209" s="3256" t="s">
        <v>31</v>
      </c>
      <c r="M209" s="3256" t="s">
        <v>31</v>
      </c>
      <c r="N209" s="3256" t="s">
        <v>31</v>
      </c>
      <c r="O209" s="3256" t="s">
        <v>31</v>
      </c>
      <c r="P209" s="3256"/>
      <c r="Q209" s="3256"/>
      <c r="R209" s="3256" t="s">
        <v>31</v>
      </c>
      <c r="S209" s="3377" t="s">
        <v>31</v>
      </c>
      <c r="T209" s="3377" t="s">
        <v>31</v>
      </c>
      <c r="U209" s="3377" t="s">
        <v>31</v>
      </c>
      <c r="V209" s="3377" t="s">
        <v>31</v>
      </c>
      <c r="W209" s="3256"/>
      <c r="X209" s="3256"/>
      <c r="Y209" s="3295" t="s">
        <v>31</v>
      </c>
      <c r="Z209" s="3256"/>
      <c r="AA209" s="3256"/>
      <c r="AB209" s="3256"/>
      <c r="AC209" s="3295" t="s">
        <v>31</v>
      </c>
      <c r="AD209" s="3256"/>
      <c r="AE209" s="3256"/>
      <c r="AF209" s="3295" t="s">
        <v>31</v>
      </c>
      <c r="AG209" s="3463"/>
      <c r="AH209" s="34"/>
      <c r="AI209" s="25"/>
    </row>
    <row r="210" spans="1:35" ht="24" customHeight="1">
      <c r="A210" s="3464">
        <v>3701</v>
      </c>
      <c r="B210" s="3418" t="s">
        <v>295</v>
      </c>
      <c r="C210" s="3256"/>
      <c r="D210" s="3256" t="s">
        <v>31</v>
      </c>
      <c r="E210" s="3256" t="s">
        <v>31</v>
      </c>
      <c r="F210" s="3256" t="s">
        <v>31</v>
      </c>
      <c r="G210" s="3256" t="s">
        <v>31</v>
      </c>
      <c r="H210" s="3256" t="s">
        <v>31</v>
      </c>
      <c r="I210" s="3256"/>
      <c r="J210" s="3256"/>
      <c r="K210" s="3256" t="s">
        <v>31</v>
      </c>
      <c r="L210" s="3256" t="s">
        <v>31</v>
      </c>
      <c r="M210" s="3256" t="s">
        <v>31</v>
      </c>
      <c r="N210" s="3256" t="s">
        <v>31</v>
      </c>
      <c r="O210" s="3256" t="s">
        <v>31</v>
      </c>
      <c r="P210" s="3256"/>
      <c r="Q210" s="3256"/>
      <c r="R210" s="3256" t="s">
        <v>31</v>
      </c>
      <c r="S210" s="3256" t="s">
        <v>31</v>
      </c>
      <c r="T210" s="3256" t="s">
        <v>31</v>
      </c>
      <c r="U210" s="3256" t="s">
        <v>31</v>
      </c>
      <c r="V210" s="3256" t="s">
        <v>31</v>
      </c>
      <c r="W210" s="3256"/>
      <c r="X210" s="3256"/>
      <c r="Y210" s="3256" t="s">
        <v>31</v>
      </c>
      <c r="Z210" s="3256"/>
      <c r="AA210" s="3256"/>
      <c r="AB210" s="3256"/>
      <c r="AC210" s="3295" t="s">
        <v>31</v>
      </c>
      <c r="AD210" s="3256"/>
      <c r="AE210" s="3256"/>
      <c r="AF210" s="3295" t="s">
        <v>31</v>
      </c>
      <c r="AG210" s="3463"/>
      <c r="AH210" s="34"/>
      <c r="AI210" s="25"/>
    </row>
    <row r="211" spans="1:35" ht="24" customHeight="1">
      <c r="A211" s="3464">
        <v>3701</v>
      </c>
      <c r="B211" s="3418" t="s">
        <v>296</v>
      </c>
      <c r="C211" s="3256"/>
      <c r="D211" s="3256">
        <v>19</v>
      </c>
      <c r="E211" s="3256">
        <v>19</v>
      </c>
      <c r="F211" s="3256">
        <v>19</v>
      </c>
      <c r="G211" s="3256">
        <v>19</v>
      </c>
      <c r="H211" s="3256">
        <v>19</v>
      </c>
      <c r="I211" s="3256"/>
      <c r="J211" s="3256"/>
      <c r="K211" s="3256" t="s">
        <v>31</v>
      </c>
      <c r="L211" s="3256" t="s">
        <v>31</v>
      </c>
      <c r="M211" s="3256" t="s">
        <v>31</v>
      </c>
      <c r="N211" s="3256" t="s">
        <v>31</v>
      </c>
      <c r="O211" s="3256" t="s">
        <v>31</v>
      </c>
      <c r="P211" s="3256"/>
      <c r="Q211" s="3256"/>
      <c r="R211" s="3256" t="s">
        <v>31</v>
      </c>
      <c r="S211" s="3256" t="s">
        <v>31</v>
      </c>
      <c r="T211" s="3256" t="s">
        <v>31</v>
      </c>
      <c r="U211" s="3256" t="s">
        <v>31</v>
      </c>
      <c r="V211" s="3256" t="s">
        <v>31</v>
      </c>
      <c r="W211" s="3256"/>
      <c r="X211" s="3256"/>
      <c r="Y211" s="3423" t="s">
        <v>31</v>
      </c>
      <c r="Z211" s="3256"/>
      <c r="AA211" s="3256"/>
      <c r="AB211" s="3256"/>
      <c r="AC211" s="3423" t="s">
        <v>31</v>
      </c>
      <c r="AD211" s="3256"/>
      <c r="AE211" s="3256"/>
      <c r="AF211" s="3423" t="s">
        <v>31</v>
      </c>
      <c r="AG211" s="3463"/>
      <c r="AH211" s="34"/>
      <c r="AI211" s="25"/>
    </row>
    <row r="212" spans="1:35" ht="24" customHeight="1">
      <c r="A212" s="3464">
        <v>3701</v>
      </c>
      <c r="B212" s="3418" t="s">
        <v>297</v>
      </c>
      <c r="C212" s="3256"/>
      <c r="D212" s="3415" t="s">
        <v>31</v>
      </c>
      <c r="E212" s="3415" t="s">
        <v>304</v>
      </c>
      <c r="F212" s="3466" t="s">
        <v>31</v>
      </c>
      <c r="G212" s="3466" t="s">
        <v>31</v>
      </c>
      <c r="H212" s="3466" t="s">
        <v>31</v>
      </c>
      <c r="I212" s="3256"/>
      <c r="J212" s="3256"/>
      <c r="K212" s="3256" t="s">
        <v>31</v>
      </c>
      <c r="L212" s="3256" t="s">
        <v>31</v>
      </c>
      <c r="M212" s="3256" t="s">
        <v>31</v>
      </c>
      <c r="N212" s="3256" t="s">
        <v>31</v>
      </c>
      <c r="O212" s="3256" t="s">
        <v>31</v>
      </c>
      <c r="P212" s="3256"/>
      <c r="Q212" s="3256"/>
      <c r="R212" s="3256" t="s">
        <v>31</v>
      </c>
      <c r="S212" s="3256" t="s">
        <v>31</v>
      </c>
      <c r="T212" s="3256" t="s">
        <v>31</v>
      </c>
      <c r="U212" s="3256" t="s">
        <v>31</v>
      </c>
      <c r="V212" s="3256" t="s">
        <v>31</v>
      </c>
      <c r="W212" s="3256"/>
      <c r="X212" s="3256"/>
      <c r="Y212" s="3423">
        <v>19</v>
      </c>
      <c r="Z212" s="3256"/>
      <c r="AA212" s="3256"/>
      <c r="AB212" s="3256"/>
      <c r="AC212" s="3423">
        <v>19</v>
      </c>
      <c r="AD212" s="3256"/>
      <c r="AE212" s="3256"/>
      <c r="AF212" s="3423" t="s">
        <v>31</v>
      </c>
      <c r="AG212" s="3463"/>
      <c r="AH212" s="34"/>
      <c r="AI212" s="25"/>
    </row>
    <row r="213" spans="1:35" ht="24" customHeight="1">
      <c r="A213" s="3464">
        <v>3701</v>
      </c>
      <c r="B213" s="3418" t="s">
        <v>298</v>
      </c>
      <c r="C213" s="3256"/>
      <c r="D213" s="3256" t="s">
        <v>31</v>
      </c>
      <c r="E213" s="3256" t="s">
        <v>31</v>
      </c>
      <c r="F213" s="3256" t="s">
        <v>31</v>
      </c>
      <c r="G213" s="3256" t="s">
        <v>31</v>
      </c>
      <c r="H213" s="3256" t="s">
        <v>31</v>
      </c>
      <c r="I213" s="3256"/>
      <c r="J213" s="3256"/>
      <c r="K213" s="3256" t="s">
        <v>31</v>
      </c>
      <c r="L213" s="3256" t="s">
        <v>31</v>
      </c>
      <c r="M213" s="3429" t="s">
        <v>31</v>
      </c>
      <c r="N213" s="3429" t="s">
        <v>31</v>
      </c>
      <c r="O213" s="3429" t="s">
        <v>31</v>
      </c>
      <c r="P213" s="3256"/>
      <c r="Q213" s="3256"/>
      <c r="R213" s="3256" t="s">
        <v>31</v>
      </c>
      <c r="S213" s="3256" t="s">
        <v>31</v>
      </c>
      <c r="T213" s="3256" t="s">
        <v>31</v>
      </c>
      <c r="U213" s="3421" t="s">
        <v>31</v>
      </c>
      <c r="V213" s="3421" t="s">
        <v>31</v>
      </c>
      <c r="W213" s="3256"/>
      <c r="X213" s="3256"/>
      <c r="Y213" s="3256" t="s">
        <v>31</v>
      </c>
      <c r="Z213" s="3256"/>
      <c r="AA213" s="3256"/>
      <c r="AB213" s="3256"/>
      <c r="AC213" s="3429" t="s">
        <v>31</v>
      </c>
      <c r="AD213" s="3256"/>
      <c r="AE213" s="3256"/>
      <c r="AF213" s="3429" t="s">
        <v>31</v>
      </c>
      <c r="AG213" s="3463"/>
      <c r="AH213" s="34"/>
      <c r="AI213" s="25"/>
    </row>
    <row r="214" spans="1:35" ht="24" customHeight="1">
      <c r="A214" s="3464">
        <v>3701</v>
      </c>
      <c r="B214" s="3418" t="s">
        <v>299</v>
      </c>
      <c r="C214" s="3256"/>
      <c r="D214" s="3256" t="s">
        <v>31</v>
      </c>
      <c r="E214" s="3256" t="s">
        <v>31</v>
      </c>
      <c r="F214" s="3256" t="s">
        <v>31</v>
      </c>
      <c r="G214" s="3256" t="s">
        <v>31</v>
      </c>
      <c r="H214" s="3256" t="s">
        <v>31</v>
      </c>
      <c r="I214" s="3256"/>
      <c r="J214" s="3256"/>
      <c r="K214" s="3256" t="s">
        <v>31</v>
      </c>
      <c r="L214" s="3256" t="s">
        <v>31</v>
      </c>
      <c r="M214" s="3256" t="s">
        <v>31</v>
      </c>
      <c r="N214" s="3256" t="s">
        <v>31</v>
      </c>
      <c r="O214" s="3256" t="s">
        <v>31</v>
      </c>
      <c r="P214" s="3256"/>
      <c r="Q214" s="3256"/>
      <c r="R214" s="3430" t="s">
        <v>31</v>
      </c>
      <c r="S214" s="3430" t="s">
        <v>31</v>
      </c>
      <c r="T214" s="3430" t="s">
        <v>31</v>
      </c>
      <c r="U214" s="3256" t="s">
        <v>31</v>
      </c>
      <c r="V214" s="3256" t="s">
        <v>31</v>
      </c>
      <c r="W214" s="3256"/>
      <c r="X214" s="3256"/>
      <c r="Y214" s="3423" t="s">
        <v>31</v>
      </c>
      <c r="Z214" s="3256"/>
      <c r="AA214" s="3256"/>
      <c r="AB214" s="3256"/>
      <c r="AC214" s="3423" t="s">
        <v>31</v>
      </c>
      <c r="AD214" s="3256"/>
      <c r="AE214" s="3256"/>
      <c r="AF214" s="3423">
        <v>19</v>
      </c>
      <c r="AG214" s="3463"/>
      <c r="AH214" s="34"/>
      <c r="AI214" s="25"/>
    </row>
    <row r="215" spans="1:35" ht="24" customHeight="1">
      <c r="A215" s="3464">
        <v>3701</v>
      </c>
      <c r="B215" s="3418" t="s">
        <v>300</v>
      </c>
      <c r="C215" s="3256"/>
      <c r="D215" s="3256" t="s">
        <v>31</v>
      </c>
      <c r="E215" s="3256" t="s">
        <v>31</v>
      </c>
      <c r="F215" s="3256" t="s">
        <v>31</v>
      </c>
      <c r="G215" s="3256" t="s">
        <v>31</v>
      </c>
      <c r="H215" s="3256" t="s">
        <v>31</v>
      </c>
      <c r="I215" s="3256"/>
      <c r="J215" s="3256"/>
      <c r="K215" s="3256">
        <v>19</v>
      </c>
      <c r="L215" s="3256">
        <v>19</v>
      </c>
      <c r="M215" s="3256">
        <v>19</v>
      </c>
      <c r="N215" s="3256">
        <v>19</v>
      </c>
      <c r="O215" s="3256">
        <v>19</v>
      </c>
      <c r="P215" s="3256"/>
      <c r="Q215" s="3256"/>
      <c r="R215" s="3421" t="s">
        <v>31</v>
      </c>
      <c r="S215" s="3421" t="s">
        <v>31</v>
      </c>
      <c r="T215" s="3421" t="s">
        <v>31</v>
      </c>
      <c r="U215" s="3380" t="s">
        <v>31</v>
      </c>
      <c r="V215" s="3256" t="s">
        <v>31</v>
      </c>
      <c r="W215" s="3256"/>
      <c r="X215" s="3256"/>
      <c r="Y215" s="3380" t="s">
        <v>31</v>
      </c>
      <c r="Z215" s="3256"/>
      <c r="AA215" s="3256"/>
      <c r="AB215" s="3256"/>
      <c r="AC215" s="3380" t="s">
        <v>31</v>
      </c>
      <c r="AD215" s="3256"/>
      <c r="AE215" s="3256"/>
      <c r="AF215" s="3380" t="s">
        <v>31</v>
      </c>
      <c r="AG215" s="3463"/>
      <c r="AH215" s="34"/>
      <c r="AI215" s="25"/>
    </row>
    <row r="216" spans="1:35" ht="24" customHeight="1">
      <c r="A216" s="3464">
        <v>3701</v>
      </c>
      <c r="B216" s="3418" t="s">
        <v>301</v>
      </c>
      <c r="C216" s="3256"/>
      <c r="D216" s="3256" t="s">
        <v>31</v>
      </c>
      <c r="E216" s="3256" t="s">
        <v>31</v>
      </c>
      <c r="F216" s="3256" t="s">
        <v>31</v>
      </c>
      <c r="G216" s="3256" t="s">
        <v>31</v>
      </c>
      <c r="H216" s="3256" t="s">
        <v>31</v>
      </c>
      <c r="I216" s="3256"/>
      <c r="J216" s="3316"/>
      <c r="K216" s="3316" t="s">
        <v>31</v>
      </c>
      <c r="L216" s="3256" t="s">
        <v>31</v>
      </c>
      <c r="M216" s="3256" t="s">
        <v>31</v>
      </c>
      <c r="N216" s="3256" t="s">
        <v>31</v>
      </c>
      <c r="O216" s="3256" t="s">
        <v>31</v>
      </c>
      <c r="P216" s="3256"/>
      <c r="Q216" s="3256"/>
      <c r="R216" s="3256">
        <v>19</v>
      </c>
      <c r="S216" s="3256">
        <v>19</v>
      </c>
      <c r="T216" s="3256">
        <v>19</v>
      </c>
      <c r="U216" s="3256">
        <v>19</v>
      </c>
      <c r="V216" s="3256">
        <v>19</v>
      </c>
      <c r="W216" s="3256"/>
      <c r="X216" s="3256"/>
      <c r="Y216" s="3423" t="s">
        <v>31</v>
      </c>
      <c r="Z216" s="3256"/>
      <c r="AA216" s="3256"/>
      <c r="AB216" s="3256"/>
      <c r="AC216" s="3423" t="s">
        <v>31</v>
      </c>
      <c r="AD216" s="3256"/>
      <c r="AE216" s="3256"/>
      <c r="AF216" s="3423" t="s">
        <v>31</v>
      </c>
      <c r="AG216" s="3463"/>
      <c r="AH216" s="34"/>
      <c r="AI216" s="25"/>
    </row>
    <row r="217" spans="1:35" ht="24" customHeight="1">
      <c r="A217" s="3467">
        <v>3701</v>
      </c>
      <c r="B217" s="3418" t="s">
        <v>302</v>
      </c>
      <c r="C217" s="3256"/>
      <c r="D217" s="3256" t="s">
        <v>31</v>
      </c>
      <c r="E217" s="3256" t="s">
        <v>31</v>
      </c>
      <c r="F217" s="3256" t="s">
        <v>31</v>
      </c>
      <c r="G217" s="3256" t="s">
        <v>31</v>
      </c>
      <c r="H217" s="3256" t="s">
        <v>31</v>
      </c>
      <c r="I217" s="3256"/>
      <c r="J217" s="3256"/>
      <c r="K217" s="3256" t="s">
        <v>31</v>
      </c>
      <c r="L217" s="3256" t="s">
        <v>31</v>
      </c>
      <c r="M217" s="3256" t="s">
        <v>31</v>
      </c>
      <c r="N217" s="3256" t="s">
        <v>31</v>
      </c>
      <c r="O217" s="3256" t="s">
        <v>31</v>
      </c>
      <c r="P217" s="3256"/>
      <c r="Q217" s="3256"/>
      <c r="R217" s="3468" t="s">
        <v>31</v>
      </c>
      <c r="S217" s="3430" t="s">
        <v>31</v>
      </c>
      <c r="T217" s="3430" t="s">
        <v>31</v>
      </c>
      <c r="U217" s="3430" t="s">
        <v>31</v>
      </c>
      <c r="V217" s="3430" t="s">
        <v>31</v>
      </c>
      <c r="W217" s="3256"/>
      <c r="X217" s="3256"/>
      <c r="Y217" s="3380" t="s">
        <v>31</v>
      </c>
      <c r="Z217" s="3256"/>
      <c r="AA217" s="3256"/>
      <c r="AB217" s="3256"/>
      <c r="AC217" s="3295" t="s">
        <v>31</v>
      </c>
      <c r="AD217" s="3256"/>
      <c r="AE217" s="3256"/>
      <c r="AF217" s="3295" t="s">
        <v>31</v>
      </c>
      <c r="AG217" s="3463"/>
      <c r="AH217" s="34"/>
      <c r="AI217" s="25"/>
    </row>
    <row r="218" spans="1:35" ht="24" customHeight="1">
      <c r="A218" s="3464">
        <v>3701</v>
      </c>
      <c r="B218" s="3418" t="s">
        <v>303</v>
      </c>
      <c r="C218" s="3256"/>
      <c r="D218" s="3256" t="s">
        <v>31</v>
      </c>
      <c r="E218" s="3256" t="s">
        <v>31</v>
      </c>
      <c r="F218" s="3256" t="s">
        <v>31</v>
      </c>
      <c r="G218" s="3256" t="s">
        <v>31</v>
      </c>
      <c r="H218" s="3256" t="s">
        <v>31</v>
      </c>
      <c r="I218" s="3256"/>
      <c r="J218" s="3256"/>
      <c r="K218" s="3256" t="s">
        <v>31</v>
      </c>
      <c r="L218" s="3256" t="s">
        <v>31</v>
      </c>
      <c r="M218" s="3256" t="s">
        <v>31</v>
      </c>
      <c r="N218" s="3256" t="s">
        <v>31</v>
      </c>
      <c r="O218" s="3256" t="s">
        <v>31</v>
      </c>
      <c r="P218" s="3256"/>
      <c r="Q218" s="3256"/>
      <c r="R218" s="3469" t="s">
        <v>31</v>
      </c>
      <c r="S218" s="3469" t="s">
        <v>31</v>
      </c>
      <c r="T218" s="3469" t="s">
        <v>31</v>
      </c>
      <c r="U218" s="3469" t="s">
        <v>31</v>
      </c>
      <c r="V218" s="3469" t="s">
        <v>31</v>
      </c>
      <c r="W218" s="3421"/>
      <c r="X218" s="3421"/>
      <c r="Y218" s="3295" t="s">
        <v>31</v>
      </c>
      <c r="Z218" s="3256"/>
      <c r="AA218" s="3256"/>
      <c r="AB218" s="3256"/>
      <c r="AC218" s="3295" t="s">
        <v>31</v>
      </c>
      <c r="AD218" s="3421"/>
      <c r="AE218" s="3421"/>
      <c r="AF218" s="3470" t="s">
        <v>31</v>
      </c>
      <c r="AG218" s="3471"/>
      <c r="AH218" s="34"/>
      <c r="AI218" s="25"/>
    </row>
    <row r="219" spans="1:35" ht="24" customHeight="1">
      <c r="A219" s="3464">
        <v>3701</v>
      </c>
      <c r="B219" s="3418" t="s">
        <v>305</v>
      </c>
      <c r="C219" s="3472"/>
      <c r="D219" s="3472" t="s">
        <v>31</v>
      </c>
      <c r="E219" s="3472" t="s">
        <v>31</v>
      </c>
      <c r="F219" s="3472" t="s">
        <v>31</v>
      </c>
      <c r="G219" s="3472" t="s">
        <v>31</v>
      </c>
      <c r="H219" s="3472" t="s">
        <v>31</v>
      </c>
      <c r="I219" s="3472"/>
      <c r="J219" s="3472"/>
      <c r="K219" s="3472" t="s">
        <v>31</v>
      </c>
      <c r="L219" s="3472" t="s">
        <v>31</v>
      </c>
      <c r="M219" s="3472" t="s">
        <v>31</v>
      </c>
      <c r="N219" s="3472" t="s">
        <v>31</v>
      </c>
      <c r="O219" s="3472" t="s">
        <v>31</v>
      </c>
      <c r="P219" s="3472"/>
      <c r="Q219" s="3472"/>
      <c r="R219" s="3472" t="s">
        <v>31</v>
      </c>
      <c r="S219" s="3473" t="s">
        <v>31</v>
      </c>
      <c r="T219" s="3473" t="s">
        <v>31</v>
      </c>
      <c r="U219" s="3473" t="s">
        <v>304</v>
      </c>
      <c r="V219" s="3303" t="s">
        <v>31</v>
      </c>
      <c r="W219" s="3472"/>
      <c r="X219" s="3472"/>
      <c r="Y219" s="3472" t="s">
        <v>31</v>
      </c>
      <c r="Z219" s="3472"/>
      <c r="AA219" s="3472"/>
      <c r="AB219" s="3256"/>
      <c r="AC219" s="3474" t="s">
        <v>31</v>
      </c>
      <c r="AD219" s="3256"/>
      <c r="AE219" s="3256"/>
      <c r="AF219" s="3474" t="s">
        <v>31</v>
      </c>
      <c r="AG219" s="3475"/>
      <c r="AH219" s="34"/>
      <c r="AI219" s="25"/>
    </row>
    <row r="220" spans="1:35" ht="24" customHeight="1">
      <c r="A220" s="3464"/>
      <c r="B220" s="3476"/>
      <c r="C220" s="3256"/>
      <c r="D220" s="3256"/>
      <c r="E220" s="3256"/>
      <c r="F220" s="3256"/>
      <c r="G220" s="3256"/>
      <c r="H220" s="3256"/>
      <c r="I220" s="3256"/>
      <c r="J220" s="3256"/>
      <c r="K220" s="3256"/>
      <c r="L220" s="3256"/>
      <c r="M220" s="3256"/>
      <c r="N220" s="3256"/>
      <c r="O220" s="3256"/>
      <c r="P220" s="3256"/>
      <c r="Q220" s="3256"/>
      <c r="R220" s="3256"/>
      <c r="S220" s="3256"/>
      <c r="T220" s="3256"/>
      <c r="U220" s="3256"/>
      <c r="V220" s="3256"/>
      <c r="W220" s="3256"/>
      <c r="X220" s="3256"/>
      <c r="Y220" s="3256"/>
      <c r="Z220" s="3256"/>
      <c r="AA220" s="3256"/>
      <c r="AB220" s="3256"/>
      <c r="AC220" s="3256"/>
      <c r="AD220" s="3256"/>
      <c r="AE220" s="3256"/>
      <c r="AF220" s="3256"/>
      <c r="AG220" s="3463"/>
      <c r="AH220" s="34"/>
      <c r="AI220" s="25"/>
    </row>
    <row r="221" spans="1:35" ht="24" customHeight="1">
      <c r="A221" s="3464"/>
      <c r="B221" s="3418" t="s">
        <v>306</v>
      </c>
      <c r="C221" s="3472"/>
      <c r="D221" s="3472" t="s">
        <v>31</v>
      </c>
      <c r="E221" s="3472" t="s">
        <v>31</v>
      </c>
      <c r="F221" s="3472" t="s">
        <v>31</v>
      </c>
      <c r="G221" s="3472" t="s">
        <v>31</v>
      </c>
      <c r="H221" s="3472" t="s">
        <v>31</v>
      </c>
      <c r="I221" s="3472"/>
      <c r="J221" s="3472"/>
      <c r="K221" s="3472" t="s">
        <v>31</v>
      </c>
      <c r="L221" s="3472" t="s">
        <v>31</v>
      </c>
      <c r="M221" s="3472" t="s">
        <v>31</v>
      </c>
      <c r="N221" s="3472" t="s">
        <v>31</v>
      </c>
      <c r="O221" s="3472" t="s">
        <v>31</v>
      </c>
      <c r="P221" s="3472"/>
      <c r="Q221" s="3472"/>
      <c r="R221" s="3472" t="s">
        <v>31</v>
      </c>
      <c r="S221" s="3472" t="s">
        <v>31</v>
      </c>
      <c r="T221" s="3472" t="s">
        <v>31</v>
      </c>
      <c r="U221" s="3472" t="s">
        <v>31</v>
      </c>
      <c r="V221" s="3472" t="s">
        <v>31</v>
      </c>
      <c r="W221" s="3472"/>
      <c r="X221" s="3472"/>
      <c r="Y221" s="3472" t="s">
        <v>31</v>
      </c>
      <c r="Z221" s="3472"/>
      <c r="AA221" s="3472"/>
      <c r="AB221" s="3472"/>
      <c r="AC221" s="3472" t="s">
        <v>31</v>
      </c>
      <c r="AD221" s="3472"/>
      <c r="AE221" s="3472"/>
      <c r="AF221" s="3256" t="s">
        <v>31</v>
      </c>
      <c r="AG221" s="3463"/>
      <c r="AH221" s="34"/>
      <c r="AI221" s="25"/>
    </row>
    <row r="222" spans="1:35" ht="24" customHeight="1">
      <c r="A222" s="3464"/>
      <c r="B222" s="3418" t="s">
        <v>307</v>
      </c>
      <c r="C222" s="3256"/>
      <c r="D222" s="3477" t="s">
        <v>304</v>
      </c>
      <c r="E222" s="3316" t="s">
        <v>31</v>
      </c>
      <c r="F222" s="3316" t="s">
        <v>31</v>
      </c>
      <c r="G222" s="3316" t="s">
        <v>31</v>
      </c>
      <c r="H222" s="3316" t="s">
        <v>31</v>
      </c>
      <c r="I222" s="3256"/>
      <c r="J222" s="3256"/>
      <c r="K222" s="3256" t="s">
        <v>31</v>
      </c>
      <c r="L222" s="3256" t="s">
        <v>31</v>
      </c>
      <c r="M222" s="3256" t="s">
        <v>31</v>
      </c>
      <c r="N222" s="3256" t="s">
        <v>31</v>
      </c>
      <c r="O222" s="3256" t="s">
        <v>31</v>
      </c>
      <c r="P222" s="3256"/>
      <c r="Q222" s="3256"/>
      <c r="R222" s="3256" t="s">
        <v>31</v>
      </c>
      <c r="S222" s="3256" t="s">
        <v>31</v>
      </c>
      <c r="T222" s="3256" t="s">
        <v>31</v>
      </c>
      <c r="U222" s="3256" t="s">
        <v>31</v>
      </c>
      <c r="V222" s="3256" t="s">
        <v>31</v>
      </c>
      <c r="W222" s="3256"/>
      <c r="X222" s="3256"/>
      <c r="Y222" s="3256" t="s">
        <v>31</v>
      </c>
      <c r="Z222" s="3256"/>
      <c r="AA222" s="3256"/>
      <c r="AB222" s="3256"/>
      <c r="AC222" s="3256" t="s">
        <v>31</v>
      </c>
      <c r="AD222" s="3256"/>
      <c r="AE222" s="3256"/>
      <c r="AF222" s="3256" t="s">
        <v>31</v>
      </c>
      <c r="AG222" s="3463"/>
      <c r="AH222" s="34"/>
      <c r="AI222" s="25"/>
    </row>
    <row r="223" spans="1:35" ht="24" customHeight="1">
      <c r="A223" s="3464"/>
      <c r="B223" s="3418" t="s">
        <v>308</v>
      </c>
      <c r="C223" s="3256"/>
      <c r="D223" s="3256" t="s">
        <v>31</v>
      </c>
      <c r="E223" s="3256" t="s">
        <v>31</v>
      </c>
      <c r="F223" s="3256" t="s">
        <v>31</v>
      </c>
      <c r="G223" s="3256" t="s">
        <v>31</v>
      </c>
      <c r="H223" s="3256" t="s">
        <v>31</v>
      </c>
      <c r="I223" s="3256"/>
      <c r="J223" s="3256"/>
      <c r="K223" s="3256" t="s">
        <v>31</v>
      </c>
      <c r="L223" s="3256" t="s">
        <v>31</v>
      </c>
      <c r="M223" s="3256" t="s">
        <v>31</v>
      </c>
      <c r="N223" s="3316" t="s">
        <v>31</v>
      </c>
      <c r="O223" s="3316" t="s">
        <v>31</v>
      </c>
      <c r="P223" s="3256"/>
      <c r="Q223" s="3256"/>
      <c r="R223" s="3256" t="s">
        <v>31</v>
      </c>
      <c r="S223" s="3256" t="s">
        <v>31</v>
      </c>
      <c r="T223" s="3421" t="s">
        <v>31</v>
      </c>
      <c r="U223" s="3256" t="s">
        <v>31</v>
      </c>
      <c r="V223" s="114" t="s">
        <v>31</v>
      </c>
      <c r="W223" s="3256"/>
      <c r="X223" s="3256"/>
      <c r="Y223" s="3256" t="s">
        <v>31</v>
      </c>
      <c r="Z223" s="3256"/>
      <c r="AA223" s="3256"/>
      <c r="AB223" s="3256"/>
      <c r="AC223" s="3256" t="s">
        <v>31</v>
      </c>
      <c r="AD223" s="3256"/>
      <c r="AE223" s="3256"/>
      <c r="AF223" s="3256" t="s">
        <v>31</v>
      </c>
      <c r="AG223" s="3463"/>
      <c r="AH223" s="34"/>
      <c r="AI223" s="25"/>
    </row>
    <row r="224" spans="1:35" ht="24" customHeight="1">
      <c r="A224" s="3464"/>
      <c r="B224" s="3418" t="s">
        <v>309</v>
      </c>
      <c r="C224" s="3256"/>
      <c r="D224" s="3256" t="s">
        <v>31</v>
      </c>
      <c r="E224" s="3256" t="s">
        <v>31</v>
      </c>
      <c r="F224" s="3256" t="s">
        <v>31</v>
      </c>
      <c r="G224" s="3256" t="s">
        <v>31</v>
      </c>
      <c r="H224" s="3256" t="s">
        <v>31</v>
      </c>
      <c r="I224" s="3256"/>
      <c r="J224" s="3256"/>
      <c r="K224" s="3256" t="s">
        <v>31</v>
      </c>
      <c r="L224" s="3256" t="s">
        <v>31</v>
      </c>
      <c r="M224" s="3256" t="s">
        <v>31</v>
      </c>
      <c r="N224" s="3256" t="s">
        <v>31</v>
      </c>
      <c r="O224" s="3256" t="s">
        <v>31</v>
      </c>
      <c r="P224" s="3256"/>
      <c r="Q224" s="3256"/>
      <c r="R224" s="3256" t="s">
        <v>31</v>
      </c>
      <c r="S224" s="3256" t="s">
        <v>31</v>
      </c>
      <c r="T224" s="3256" t="s">
        <v>31</v>
      </c>
      <c r="U224" s="3256" t="s">
        <v>31</v>
      </c>
      <c r="V224" s="3256" t="s">
        <v>31</v>
      </c>
      <c r="W224" s="3256"/>
      <c r="X224" s="3256"/>
      <c r="Y224" s="3256" t="s">
        <v>31</v>
      </c>
      <c r="Z224" s="3256"/>
      <c r="AA224" s="3256"/>
      <c r="AB224" s="3256"/>
      <c r="AC224" s="3470" t="s">
        <v>31</v>
      </c>
      <c r="AD224" s="3421"/>
      <c r="AE224" s="3421"/>
      <c r="AF224" s="3421" t="s">
        <v>31</v>
      </c>
      <c r="AG224" s="3471"/>
      <c r="AH224" s="34"/>
      <c r="AI224" s="25"/>
    </row>
    <row r="225" spans="1:35" ht="24" customHeight="1">
      <c r="A225" s="3464"/>
      <c r="B225" s="3478" t="s">
        <v>310</v>
      </c>
      <c r="C225" s="3256"/>
      <c r="D225" s="3256"/>
      <c r="E225" s="3256"/>
      <c r="F225" s="3256"/>
      <c r="G225" s="3256"/>
      <c r="H225" s="3256"/>
      <c r="I225" s="3256"/>
      <c r="J225" s="3256"/>
      <c r="K225" s="3256"/>
      <c r="L225" s="3256"/>
      <c r="M225" s="3256"/>
      <c r="N225" s="3256"/>
      <c r="O225" s="3256"/>
      <c r="P225" s="3256"/>
      <c r="Q225" s="3256"/>
      <c r="R225" s="3256"/>
      <c r="S225" s="3256"/>
      <c r="T225" s="3256"/>
      <c r="U225" s="3256"/>
      <c r="V225" s="3256"/>
      <c r="W225" s="3256"/>
      <c r="X225" s="3256"/>
      <c r="Y225" s="3256"/>
      <c r="Z225" s="3256"/>
      <c r="AA225" s="3256"/>
      <c r="AB225" s="3256"/>
      <c r="AC225" s="3256"/>
      <c r="AD225" s="3256"/>
      <c r="AE225" s="3256"/>
      <c r="AF225" s="3256"/>
      <c r="AG225" s="3463"/>
      <c r="AH225" s="93"/>
      <c r="AI225" s="76"/>
    </row>
    <row r="226" spans="1:35" ht="24" customHeight="1">
      <c r="A226" s="3464"/>
      <c r="B226" s="3418"/>
      <c r="C226" s="3256"/>
      <c r="D226" s="3256"/>
      <c r="E226" s="3256"/>
      <c r="F226" s="3256"/>
      <c r="G226" s="3256"/>
      <c r="H226" s="3256"/>
      <c r="I226" s="3256"/>
      <c r="J226" s="3256"/>
      <c r="K226" s="3256"/>
      <c r="L226" s="3256"/>
      <c r="M226" s="3256"/>
      <c r="N226" s="3256"/>
      <c r="O226" s="3256"/>
      <c r="P226" s="3256"/>
      <c r="Q226" s="3256"/>
      <c r="R226" s="3256"/>
      <c r="S226" s="3256"/>
      <c r="T226" s="3256"/>
      <c r="U226" s="3256"/>
      <c r="V226" s="3256"/>
      <c r="W226" s="3256"/>
      <c r="X226" s="3256"/>
      <c r="Y226" s="3256"/>
      <c r="Z226" s="3256"/>
      <c r="AA226" s="3256"/>
      <c r="AB226" s="3256"/>
      <c r="AC226" s="3256"/>
      <c r="AD226" s="3256"/>
      <c r="AE226" s="3256"/>
      <c r="AF226" s="3256"/>
      <c r="AG226" s="3479"/>
      <c r="AH226" s="93"/>
      <c r="AI226" s="76"/>
    </row>
    <row r="227" spans="1:35" ht="24" customHeight="1">
      <c r="A227" s="3294"/>
      <c r="B227" s="3294"/>
      <c r="C227" s="3256"/>
      <c r="D227" s="3256"/>
      <c r="E227" s="3256"/>
      <c r="F227" s="3256"/>
      <c r="G227" s="3256"/>
      <c r="H227" s="3256"/>
      <c r="I227" s="3256"/>
      <c r="J227" s="3256"/>
      <c r="K227" s="3256"/>
      <c r="L227" s="3256"/>
      <c r="M227" s="3256"/>
      <c r="N227" s="3256"/>
      <c r="O227" s="3256"/>
      <c r="P227" s="3256"/>
      <c r="Q227" s="3256"/>
      <c r="R227" s="3256"/>
      <c r="S227" s="3256"/>
      <c r="T227" s="3256"/>
      <c r="U227" s="3256"/>
      <c r="V227" s="3256"/>
      <c r="W227" s="3256"/>
      <c r="X227" s="3256"/>
      <c r="Y227" s="3256"/>
      <c r="Z227" s="3256"/>
      <c r="AA227" s="3256"/>
      <c r="AB227" s="3256"/>
      <c r="AC227" s="3256"/>
      <c r="AD227" s="3256"/>
      <c r="AE227" s="3256"/>
      <c r="AF227" s="3256"/>
      <c r="AG227" s="3463"/>
      <c r="AH227" s="93"/>
      <c r="AI227" s="76"/>
    </row>
    <row r="228" spans="1:35" ht="24" customHeight="1">
      <c r="A228" s="3294"/>
      <c r="B228" s="3294"/>
      <c r="C228" s="3256"/>
      <c r="D228" s="3256"/>
      <c r="E228" s="3256"/>
      <c r="F228" s="3256"/>
      <c r="G228" s="3256"/>
      <c r="H228" s="3416"/>
      <c r="I228" s="3256"/>
      <c r="J228" s="3256"/>
      <c r="K228" s="3256"/>
      <c r="L228" s="3256"/>
      <c r="M228" s="3256"/>
      <c r="N228" s="3256"/>
      <c r="O228" s="3256"/>
      <c r="P228" s="3256"/>
      <c r="Q228" s="3256"/>
      <c r="R228" s="3256"/>
      <c r="S228" s="3256"/>
      <c r="T228" s="3256"/>
      <c r="U228" s="3256"/>
      <c r="V228" s="3256"/>
      <c r="W228" s="3256"/>
      <c r="X228" s="3256"/>
      <c r="Y228" s="3256"/>
      <c r="Z228" s="3256"/>
      <c r="AA228" s="3256"/>
      <c r="AB228" s="3256"/>
      <c r="AC228" s="3256"/>
      <c r="AD228" s="3256"/>
      <c r="AE228" s="3256"/>
      <c r="AF228" s="3256"/>
      <c r="AG228" s="3479"/>
      <c r="AH228" s="93"/>
      <c r="AI228" s="76"/>
    </row>
    <row r="229" spans="1:35" ht="24" customHeight="1">
      <c r="A229" s="3294"/>
      <c r="B229" s="3294"/>
      <c r="C229" s="3256"/>
      <c r="D229" s="3256"/>
      <c r="E229" s="3256"/>
      <c r="F229" s="3256"/>
      <c r="G229" s="3256"/>
      <c r="H229" s="3256"/>
      <c r="I229" s="3256"/>
      <c r="J229" s="3256"/>
      <c r="K229" s="3256"/>
      <c r="L229" s="3256"/>
      <c r="M229" s="3256"/>
      <c r="N229" s="3256"/>
      <c r="O229" s="3256"/>
      <c r="P229" s="3256"/>
      <c r="Q229" s="3256"/>
      <c r="R229" s="3256"/>
      <c r="S229" s="3256"/>
      <c r="T229" s="3256"/>
      <c r="U229" s="3256"/>
      <c r="V229" s="3256"/>
      <c r="W229" s="3256"/>
      <c r="X229" s="3256"/>
      <c r="Y229" s="3256"/>
      <c r="Z229" s="3256"/>
      <c r="AA229" s="3256"/>
      <c r="AB229" s="3256"/>
      <c r="AC229" s="3256"/>
      <c r="AD229" s="3256"/>
      <c r="AE229" s="3256"/>
      <c r="AF229" s="3256"/>
      <c r="AG229" s="3463"/>
      <c r="AH229" s="93"/>
      <c r="AI229" s="76"/>
    </row>
    <row r="230" spans="1:35" ht="24" customHeight="1">
      <c r="A230" s="3294"/>
      <c r="B230" s="3294"/>
      <c r="C230" s="3256"/>
      <c r="D230" s="3256"/>
      <c r="E230" s="3256"/>
      <c r="F230" s="3256"/>
      <c r="G230" s="3256"/>
      <c r="H230" s="3416"/>
      <c r="I230" s="3256"/>
      <c r="J230" s="3256"/>
      <c r="K230" s="3256"/>
      <c r="L230" s="3256"/>
      <c r="M230" s="3256"/>
      <c r="N230" s="3256"/>
      <c r="O230" s="3256"/>
      <c r="P230" s="3256"/>
      <c r="Q230" s="3256"/>
      <c r="R230" s="3256"/>
      <c r="S230" s="3256"/>
      <c r="T230" s="3256"/>
      <c r="U230" s="3256"/>
      <c r="V230" s="3256"/>
      <c r="W230" s="3256"/>
      <c r="X230" s="3256"/>
      <c r="Y230" s="3256"/>
      <c r="Z230" s="3256"/>
      <c r="AA230" s="3256"/>
      <c r="AB230" s="3256"/>
      <c r="AC230" s="3256"/>
      <c r="AD230" s="3256"/>
      <c r="AE230" s="3256"/>
      <c r="AF230" s="3256"/>
      <c r="AG230" s="3479"/>
      <c r="AH230" s="93"/>
      <c r="AI230" s="76"/>
    </row>
    <row r="231" spans="1:35" ht="24" customHeight="1">
      <c r="A231" s="3464"/>
      <c r="B231" s="3476"/>
      <c r="C231" s="3256"/>
      <c r="D231" s="3256"/>
      <c r="E231" s="3256"/>
      <c r="F231" s="3256"/>
      <c r="G231" s="3256"/>
      <c r="H231" s="3256"/>
      <c r="I231" s="3256"/>
      <c r="J231" s="3256"/>
      <c r="K231" s="3256"/>
      <c r="L231" s="3256"/>
      <c r="M231" s="3256"/>
      <c r="N231" s="3256"/>
      <c r="O231" s="3256"/>
      <c r="P231" s="3256"/>
      <c r="Q231" s="3256"/>
      <c r="R231" s="3256"/>
      <c r="S231" s="3256"/>
      <c r="T231" s="3256"/>
      <c r="U231" s="3256"/>
      <c r="V231" s="3256"/>
      <c r="W231" s="3256"/>
      <c r="X231" s="3256"/>
      <c r="Y231" s="3256"/>
      <c r="Z231" s="3256"/>
      <c r="AA231" s="3256"/>
      <c r="AB231" s="3256"/>
      <c r="AC231" s="3256"/>
      <c r="AD231" s="3256"/>
      <c r="AE231" s="3256"/>
      <c r="AF231" s="3256"/>
      <c r="AG231" s="3479"/>
      <c r="AH231" s="93"/>
      <c r="AI231" s="76"/>
    </row>
    <row r="232" spans="1:35" ht="24" customHeight="1">
      <c r="A232" s="3464"/>
      <c r="B232" s="3480"/>
      <c r="C232" s="3256"/>
      <c r="D232" s="3256"/>
      <c r="E232" s="3256"/>
      <c r="F232" s="3256"/>
      <c r="G232" s="3256"/>
      <c r="H232" s="3256"/>
      <c r="I232" s="3256"/>
      <c r="J232" s="3256"/>
      <c r="K232" s="3256"/>
      <c r="L232" s="3256"/>
      <c r="M232" s="3256"/>
      <c r="N232" s="3256"/>
      <c r="O232" s="3256"/>
      <c r="P232" s="3256"/>
      <c r="Q232" s="3256"/>
      <c r="R232" s="3256"/>
      <c r="S232" s="3256"/>
      <c r="T232" s="3256"/>
      <c r="U232" s="3256"/>
      <c r="V232" s="3256"/>
      <c r="W232" s="3256"/>
      <c r="X232" s="3256"/>
      <c r="Y232" s="3256"/>
      <c r="Z232" s="3256"/>
      <c r="AA232" s="3256"/>
      <c r="AB232" s="3256"/>
      <c r="AC232" s="3256"/>
      <c r="AD232" s="3256"/>
      <c r="AE232" s="3256"/>
      <c r="AF232" s="3256"/>
      <c r="AG232" s="3479"/>
      <c r="AH232" s="93"/>
      <c r="AI232" s="76"/>
    </row>
    <row r="233" spans="1:35" ht="24" customHeight="1">
      <c r="A233" s="82"/>
      <c r="B233" s="115"/>
      <c r="C233" s="38"/>
      <c r="D233" s="38"/>
      <c r="E233" s="38"/>
      <c r="F233" s="38"/>
      <c r="G233" s="38"/>
      <c r="H233" s="38"/>
      <c r="I233" s="38"/>
      <c r="J233" s="38"/>
      <c r="L233" s="38"/>
      <c r="M233" s="38"/>
      <c r="N233" s="38"/>
      <c r="O233" s="38"/>
      <c r="P233" s="17"/>
      <c r="Q233" s="17"/>
      <c r="R233" s="17"/>
      <c r="S233" s="38"/>
      <c r="T233" s="38"/>
      <c r="U233" s="38"/>
      <c r="V233" s="38"/>
      <c r="W233" s="38"/>
      <c r="X233" s="38"/>
      <c r="Y233" s="38"/>
      <c r="Z233" s="38"/>
      <c r="AA233" s="38"/>
      <c r="AB233" s="38"/>
      <c r="AC233" s="38"/>
      <c r="AD233" s="38"/>
      <c r="AE233" s="38"/>
      <c r="AF233" s="38"/>
      <c r="AG233" s="38"/>
      <c r="AH233" s="76"/>
      <c r="AI233" s="76"/>
    </row>
    <row r="234" spans="1:35" ht="24" customHeight="1"/>
    <row r="235" spans="1:35" ht="24" customHeight="1"/>
    <row r="236" spans="1:35" ht="24" customHeight="1"/>
    <row r="237" spans="1:35" ht="24" customHeight="1" thickBot="1">
      <c r="A237" s="14" t="s">
        <v>311</v>
      </c>
    </row>
    <row r="238" spans="1:35" ht="24" customHeight="1">
      <c r="B238" s="3481" t="s">
        <v>281</v>
      </c>
      <c r="C238" s="901"/>
      <c r="D238" s="925" t="s">
        <v>87</v>
      </c>
      <c r="E238" s="705"/>
      <c r="F238" s="905"/>
      <c r="G238" s="901"/>
      <c r="H238" s="925" t="s">
        <v>88</v>
      </c>
      <c r="I238" s="705"/>
      <c r="J238" s="905"/>
      <c r="K238" s="901"/>
      <c r="L238" s="925" t="s">
        <v>89</v>
      </c>
      <c r="M238" s="705"/>
      <c r="N238" s="905"/>
      <c r="O238" s="901"/>
      <c r="P238" s="925" t="s">
        <v>90</v>
      </c>
      <c r="Q238" s="705"/>
      <c r="R238" s="905"/>
      <c r="S238" s="901"/>
      <c r="T238" s="925" t="s">
        <v>91</v>
      </c>
      <c r="U238" s="705"/>
      <c r="V238" s="905"/>
      <c r="W238" s="901"/>
      <c r="X238" s="925" t="s">
        <v>92</v>
      </c>
      <c r="Y238" s="705"/>
      <c r="Z238" s="905"/>
      <c r="AA238" s="901"/>
      <c r="AB238" s="925" t="s">
        <v>93</v>
      </c>
      <c r="AC238" s="705"/>
      <c r="AD238" s="705"/>
      <c r="AE238" s="928" t="s">
        <v>94</v>
      </c>
      <c r="AF238" s="705"/>
      <c r="AG238" s="705"/>
      <c r="AH238" s="705"/>
      <c r="AI238" s="706"/>
    </row>
    <row r="239" spans="1:35" ht="24" customHeight="1">
      <c r="B239" s="116"/>
      <c r="C239" s="110"/>
      <c r="D239" s="111"/>
      <c r="E239" s="101"/>
      <c r="F239" s="109"/>
      <c r="G239" s="110"/>
      <c r="H239" s="111"/>
      <c r="I239" s="101"/>
      <c r="J239" s="109"/>
      <c r="K239" s="110"/>
      <c r="L239" s="111"/>
      <c r="M239" s="101"/>
      <c r="N239" s="109"/>
      <c r="O239" s="110"/>
      <c r="P239" s="111"/>
      <c r="Q239" s="101"/>
      <c r="R239" s="109"/>
      <c r="S239" s="110"/>
      <c r="T239" s="111"/>
      <c r="U239" s="101"/>
      <c r="V239" s="109"/>
      <c r="W239" s="110"/>
      <c r="X239" s="111"/>
      <c r="Y239" s="101"/>
      <c r="Z239" s="109"/>
      <c r="AA239" s="110"/>
      <c r="AB239" s="111"/>
      <c r="AC239" s="101"/>
      <c r="AD239" s="101"/>
      <c r="AE239" s="112"/>
      <c r="AF239" s="101"/>
      <c r="AG239" s="8"/>
      <c r="AH239" s="8"/>
      <c r="AI239" s="105"/>
    </row>
    <row r="240" spans="1:35" ht="24" customHeight="1">
      <c r="A240" s="87"/>
      <c r="B240" s="3482">
        <v>3701</v>
      </c>
      <c r="C240" s="3454" t="s">
        <v>286</v>
      </c>
      <c r="D240" s="3452"/>
      <c r="E240" s="101"/>
      <c r="F240" s="109"/>
      <c r="G240" s="3454" t="s">
        <v>286</v>
      </c>
      <c r="H240" s="111"/>
      <c r="I240" s="101"/>
      <c r="J240" s="109"/>
      <c r="K240" s="3454" t="s">
        <v>286</v>
      </c>
      <c r="L240" s="111"/>
      <c r="M240" s="101"/>
      <c r="N240" s="109"/>
      <c r="O240" s="3454" t="s">
        <v>286</v>
      </c>
      <c r="P240" s="111"/>
      <c r="Q240" s="101"/>
      <c r="R240" s="109"/>
      <c r="S240" s="110" t="s">
        <v>287</v>
      </c>
      <c r="T240" s="111"/>
      <c r="U240" s="101"/>
      <c r="V240" s="109"/>
      <c r="W240" s="110"/>
      <c r="X240" s="111"/>
      <c r="Y240" s="101"/>
      <c r="Z240" s="109"/>
      <c r="AA240" s="110"/>
      <c r="AB240" s="111"/>
      <c r="AC240" s="101"/>
      <c r="AD240" s="101"/>
      <c r="AE240" s="112"/>
      <c r="AF240" s="101"/>
      <c r="AG240" s="8"/>
      <c r="AH240" s="8"/>
      <c r="AI240" s="105"/>
    </row>
    <row r="241" spans="1:35" ht="24" customHeight="1">
      <c r="B241" s="3482"/>
      <c r="C241" s="3454"/>
      <c r="D241" s="3452"/>
      <c r="E241" s="101"/>
      <c r="F241" s="109"/>
      <c r="G241" s="3454"/>
      <c r="H241" s="111"/>
      <c r="I241" s="101"/>
      <c r="J241" s="109"/>
      <c r="K241" s="3454"/>
      <c r="L241" s="111"/>
      <c r="M241" s="101"/>
      <c r="N241" s="109"/>
      <c r="O241" s="3454"/>
      <c r="P241" s="111"/>
      <c r="Q241" s="101"/>
      <c r="R241" s="109"/>
      <c r="S241" s="3454"/>
      <c r="T241" s="111"/>
      <c r="U241" s="101"/>
      <c r="V241" s="109"/>
      <c r="W241" s="110"/>
      <c r="X241" s="111"/>
      <c r="Y241" s="101"/>
      <c r="Z241" s="109"/>
      <c r="AA241" s="110"/>
      <c r="AB241" s="111"/>
      <c r="AC241" s="101"/>
      <c r="AD241" s="101"/>
      <c r="AE241" s="112"/>
      <c r="AF241" s="101"/>
      <c r="AG241" s="8"/>
      <c r="AH241" s="8"/>
      <c r="AI241" s="105"/>
    </row>
    <row r="242" spans="1:35" ht="24" customHeight="1">
      <c r="B242" s="3482">
        <v>3702</v>
      </c>
      <c r="C242" s="3454" t="s">
        <v>312</v>
      </c>
      <c r="D242" s="3452"/>
      <c r="E242" s="101"/>
      <c r="F242" s="109"/>
      <c r="G242" s="3454" t="s">
        <v>312</v>
      </c>
      <c r="H242" s="3452"/>
      <c r="I242" s="101"/>
      <c r="J242" s="109"/>
      <c r="K242" s="3454" t="s">
        <v>312</v>
      </c>
      <c r="L242" s="3452"/>
      <c r="M242" s="101"/>
      <c r="N242" s="109"/>
      <c r="O242" s="3454" t="s">
        <v>312</v>
      </c>
      <c r="P242" s="3452"/>
      <c r="Q242" s="101"/>
      <c r="R242" s="109"/>
      <c r="S242" s="3454" t="s">
        <v>313</v>
      </c>
      <c r="T242" s="3452"/>
      <c r="U242" s="101"/>
      <c r="V242" s="109"/>
      <c r="W242" s="110"/>
      <c r="X242" s="111"/>
      <c r="Y242" s="101"/>
      <c r="Z242" s="109"/>
      <c r="AA242" s="110"/>
      <c r="AB242" s="111"/>
      <c r="AC242" s="101"/>
      <c r="AD242" s="101"/>
      <c r="AE242" s="112"/>
      <c r="AF242" s="101"/>
      <c r="AG242" s="8"/>
      <c r="AH242" s="8"/>
      <c r="AI242" s="105"/>
    </row>
    <row r="243" spans="1:35" ht="24" customHeight="1">
      <c r="B243" s="3482"/>
      <c r="C243" s="3436"/>
      <c r="D243" s="3452"/>
      <c r="E243" s="101"/>
      <c r="F243" s="109"/>
      <c r="G243" s="111"/>
      <c r="H243" s="111"/>
      <c r="I243" s="101"/>
      <c r="J243" s="109"/>
      <c r="K243" s="111"/>
      <c r="L243" s="111"/>
      <c r="M243" s="101"/>
      <c r="N243" s="109"/>
      <c r="O243" s="111"/>
      <c r="P243" s="111"/>
      <c r="Q243" s="101"/>
      <c r="R243" s="109"/>
      <c r="S243" s="111"/>
      <c r="T243" s="111"/>
      <c r="U243" s="101"/>
      <c r="V243" s="109"/>
      <c r="W243" s="110"/>
      <c r="X243" s="111"/>
      <c r="Y243" s="101"/>
      <c r="Z243" s="109"/>
      <c r="AA243" s="110"/>
      <c r="AB243" s="111"/>
      <c r="AC243" s="101"/>
      <c r="AD243" s="101"/>
      <c r="AE243" s="112"/>
      <c r="AF243" s="101"/>
      <c r="AG243" s="8"/>
      <c r="AH243" s="8"/>
      <c r="AI243" s="105"/>
    </row>
    <row r="244" spans="1:35" ht="24" customHeight="1">
      <c r="B244" s="3482" t="s">
        <v>159</v>
      </c>
      <c r="C244" s="3436" t="s">
        <v>314</v>
      </c>
      <c r="D244" s="3452"/>
      <c r="E244" s="101"/>
      <c r="F244" s="109"/>
      <c r="G244" s="3436" t="s">
        <v>314</v>
      </c>
      <c r="H244" s="3452"/>
      <c r="I244" s="101"/>
      <c r="J244" s="109"/>
      <c r="K244" s="3436" t="s">
        <v>314</v>
      </c>
      <c r="L244" s="3452"/>
      <c r="M244" s="101"/>
      <c r="N244" s="109"/>
      <c r="O244" s="3436" t="s">
        <v>314</v>
      </c>
      <c r="P244" s="3452"/>
      <c r="Q244" s="101"/>
      <c r="R244" s="109"/>
      <c r="S244" s="111" t="s">
        <v>315</v>
      </c>
      <c r="T244" s="111"/>
      <c r="U244" s="101"/>
      <c r="V244" s="109"/>
      <c r="W244" s="110"/>
      <c r="X244" s="111"/>
      <c r="Y244" s="101"/>
      <c r="Z244" s="109"/>
      <c r="AA244" s="110"/>
      <c r="AB244" s="111"/>
      <c r="AC244" s="101"/>
      <c r="AD244" s="101"/>
      <c r="AE244" s="112"/>
      <c r="AF244" s="101"/>
      <c r="AG244" s="8"/>
      <c r="AH244" s="8"/>
      <c r="AI244" s="105"/>
    </row>
    <row r="245" spans="1:35" ht="24" customHeight="1">
      <c r="B245" s="3482" t="s">
        <v>163</v>
      </c>
      <c r="C245" s="3436" t="s">
        <v>316</v>
      </c>
      <c r="D245" s="3452"/>
      <c r="E245" s="101"/>
      <c r="F245" s="109"/>
      <c r="G245" s="3436" t="s">
        <v>316</v>
      </c>
      <c r="H245" s="3452"/>
      <c r="I245" s="101"/>
      <c r="J245" s="109"/>
      <c r="K245" s="3436" t="s">
        <v>316</v>
      </c>
      <c r="L245" s="3452"/>
      <c r="M245" s="101"/>
      <c r="N245" s="109"/>
      <c r="O245" s="3436" t="s">
        <v>316</v>
      </c>
      <c r="P245" s="3452"/>
      <c r="Q245" s="101"/>
      <c r="R245" s="109"/>
      <c r="S245" s="111" t="s">
        <v>317</v>
      </c>
      <c r="T245" s="111"/>
      <c r="U245" s="101"/>
      <c r="V245" s="109"/>
      <c r="W245" s="110"/>
      <c r="X245" s="111"/>
      <c r="Y245" s="101"/>
      <c r="Z245" s="109"/>
      <c r="AA245" s="110"/>
      <c r="AB245" s="111"/>
      <c r="AC245" s="101"/>
      <c r="AD245" s="101"/>
      <c r="AE245" s="112"/>
      <c r="AF245" s="101"/>
      <c r="AG245" s="8"/>
      <c r="AH245" s="8"/>
      <c r="AI245" s="105"/>
    </row>
    <row r="246" spans="1:35" ht="24" customHeight="1" thickBot="1">
      <c r="B246" s="3483" t="s">
        <v>171</v>
      </c>
      <c r="C246" s="3447" t="s">
        <v>318</v>
      </c>
      <c r="D246" s="3484"/>
      <c r="E246" s="3485"/>
      <c r="F246" s="3486"/>
      <c r="G246" s="3447" t="s">
        <v>318</v>
      </c>
      <c r="H246" s="3484"/>
      <c r="I246" s="3485"/>
      <c r="J246" s="3486"/>
      <c r="K246" s="3447" t="s">
        <v>318</v>
      </c>
      <c r="L246" s="3484"/>
      <c r="M246" s="3485"/>
      <c r="N246" s="3486"/>
      <c r="O246" s="3447" t="s">
        <v>318</v>
      </c>
      <c r="P246" s="3484"/>
      <c r="Q246" s="3485"/>
      <c r="R246" s="3486"/>
      <c r="S246" s="3487" t="s">
        <v>319</v>
      </c>
      <c r="T246" s="3487"/>
      <c r="U246" s="3485"/>
      <c r="V246" s="3486"/>
      <c r="W246" s="3488"/>
      <c r="X246" s="3487"/>
      <c r="Y246" s="3489"/>
      <c r="Z246" s="3490"/>
      <c r="AA246" s="3491"/>
      <c r="AB246" s="3487"/>
      <c r="AC246" s="3489"/>
      <c r="AD246" s="3489"/>
      <c r="AE246" s="3492"/>
      <c r="AF246" s="3489"/>
      <c r="AG246" s="3485"/>
      <c r="AH246" s="3485"/>
      <c r="AI246" s="3493"/>
    </row>
    <row r="247" spans="1:35" ht="24" customHeight="1">
      <c r="B247" s="42"/>
      <c r="C247" s="37"/>
      <c r="D247" s="113"/>
      <c r="G247" s="37"/>
      <c r="H247" s="113"/>
      <c r="K247" s="37"/>
      <c r="L247" s="113"/>
      <c r="O247" s="37"/>
      <c r="P247" s="113"/>
      <c r="S247" s="37"/>
      <c r="T247" s="37"/>
      <c r="X247" s="37"/>
      <c r="AB247" s="37"/>
      <c r="AE247" s="37"/>
    </row>
    <row r="248" spans="1:35" ht="24" customHeight="1">
      <c r="A248" s="117" t="s">
        <v>320</v>
      </c>
    </row>
    <row r="249" spans="1:35" ht="24" customHeight="1" thickBot="1">
      <c r="A249" s="3494"/>
      <c r="B249" s="3495" t="s">
        <v>29</v>
      </c>
      <c r="C249" s="3410">
        <v>1</v>
      </c>
      <c r="D249" s="3411">
        <v>2</v>
      </c>
      <c r="E249" s="3411">
        <v>3</v>
      </c>
      <c r="F249" s="3411">
        <v>4</v>
      </c>
      <c r="G249" s="3411">
        <v>5</v>
      </c>
      <c r="H249" s="3411">
        <v>6</v>
      </c>
      <c r="I249" s="3410">
        <v>7</v>
      </c>
      <c r="J249" s="3410">
        <v>8</v>
      </c>
      <c r="K249" s="3411">
        <v>9</v>
      </c>
      <c r="L249" s="3411">
        <v>10</v>
      </c>
      <c r="M249" s="3411">
        <v>11</v>
      </c>
      <c r="N249" s="3411">
        <v>12</v>
      </c>
      <c r="O249" s="3411">
        <v>13</v>
      </c>
      <c r="P249" s="3410">
        <v>14</v>
      </c>
      <c r="Q249" s="3410">
        <v>15</v>
      </c>
      <c r="R249" s="3411">
        <v>16</v>
      </c>
      <c r="S249" s="3411">
        <v>17</v>
      </c>
      <c r="T249" s="3411">
        <v>18</v>
      </c>
      <c r="U249" s="3411">
        <v>19</v>
      </c>
      <c r="V249" s="3411">
        <v>20</v>
      </c>
      <c r="W249" s="3410">
        <v>21</v>
      </c>
      <c r="X249" s="3410">
        <v>22</v>
      </c>
      <c r="Y249" s="3411">
        <v>23</v>
      </c>
      <c r="Z249" s="3410">
        <v>24</v>
      </c>
      <c r="AA249" s="3410">
        <v>25</v>
      </c>
      <c r="AB249" s="3410">
        <v>26</v>
      </c>
      <c r="AC249" s="3411">
        <v>27</v>
      </c>
      <c r="AD249" s="3410">
        <v>28</v>
      </c>
      <c r="AE249" s="3410">
        <v>29</v>
      </c>
      <c r="AF249" s="3411">
        <v>30</v>
      </c>
      <c r="AG249" s="3412">
        <v>31</v>
      </c>
      <c r="AH249" s="23"/>
      <c r="AI249" s="24"/>
    </row>
    <row r="250" spans="1:35" ht="24" customHeight="1">
      <c r="A250" s="3496">
        <v>3701</v>
      </c>
      <c r="B250" s="2941"/>
      <c r="C250" s="2990"/>
      <c r="D250" s="2990" t="s">
        <v>31</v>
      </c>
      <c r="E250" s="2990" t="s">
        <v>31</v>
      </c>
      <c r="F250" s="2990" t="s">
        <v>31</v>
      </c>
      <c r="G250" s="3462" t="s">
        <v>31</v>
      </c>
      <c r="H250" s="2990" t="s">
        <v>31</v>
      </c>
      <c r="I250" s="2990"/>
      <c r="J250" s="2990"/>
      <c r="K250" s="2846" t="s">
        <v>31</v>
      </c>
      <c r="L250" s="2846" t="s">
        <v>31</v>
      </c>
      <c r="M250" s="2846" t="s">
        <v>31</v>
      </c>
      <c r="N250" s="2846" t="s">
        <v>31</v>
      </c>
      <c r="O250" s="2846" t="s">
        <v>31</v>
      </c>
      <c r="P250" s="2846"/>
      <c r="Q250" s="2846"/>
      <c r="R250" s="2846" t="s">
        <v>31</v>
      </c>
      <c r="S250" s="2846" t="s">
        <v>31</v>
      </c>
      <c r="T250" s="2846" t="s">
        <v>31</v>
      </c>
      <c r="U250" s="2846" t="s">
        <v>31</v>
      </c>
      <c r="V250" s="2846" t="s">
        <v>31</v>
      </c>
      <c r="W250" s="2990"/>
      <c r="X250" s="2990"/>
      <c r="Y250" s="2990" t="s">
        <v>31</v>
      </c>
      <c r="Z250" s="2990"/>
      <c r="AA250" s="2990"/>
      <c r="AB250" s="2990"/>
      <c r="AC250" s="2840" t="s">
        <v>31</v>
      </c>
      <c r="AD250" s="3497"/>
      <c r="AE250" s="3497"/>
      <c r="AF250" s="3497" t="s">
        <v>31</v>
      </c>
      <c r="AG250" s="3498"/>
      <c r="AH250" s="34"/>
      <c r="AI250" s="25"/>
    </row>
    <row r="251" spans="1:35" ht="24" customHeight="1">
      <c r="A251" s="3496">
        <v>3702</v>
      </c>
      <c r="B251" s="2941" t="s">
        <v>321</v>
      </c>
      <c r="C251" s="2990"/>
      <c r="D251" s="2990" t="s">
        <v>31</v>
      </c>
      <c r="E251" s="2990" t="s">
        <v>31</v>
      </c>
      <c r="F251" s="2990" t="s">
        <v>31</v>
      </c>
      <c r="G251" s="2990" t="s">
        <v>31</v>
      </c>
      <c r="H251" s="2990" t="s">
        <v>31</v>
      </c>
      <c r="I251" s="2990"/>
      <c r="J251" s="2990"/>
      <c r="K251" s="2990" t="s">
        <v>31</v>
      </c>
      <c r="L251" s="2990" t="s">
        <v>31</v>
      </c>
      <c r="M251" s="2990" t="s">
        <v>31</v>
      </c>
      <c r="N251" s="2990" t="s">
        <v>31</v>
      </c>
      <c r="O251" s="2990" t="s">
        <v>31</v>
      </c>
      <c r="P251" s="2990"/>
      <c r="Q251" s="2990"/>
      <c r="R251" s="2990" t="s">
        <v>31</v>
      </c>
      <c r="S251" s="2990" t="s">
        <v>31</v>
      </c>
      <c r="T251" s="2990" t="s">
        <v>31</v>
      </c>
      <c r="U251" s="2990" t="s">
        <v>31</v>
      </c>
      <c r="V251" s="2990" t="s">
        <v>31</v>
      </c>
      <c r="W251" s="2990"/>
      <c r="X251" s="2990"/>
      <c r="Y251" s="2990" t="s">
        <v>31</v>
      </c>
      <c r="Z251" s="2990"/>
      <c r="AA251" s="2990"/>
      <c r="AB251" s="2990"/>
      <c r="AC251" s="3499" t="s">
        <v>31</v>
      </c>
      <c r="AD251" s="2990"/>
      <c r="AE251" s="2990"/>
      <c r="AF251" s="3499" t="s">
        <v>31</v>
      </c>
      <c r="AG251" s="3498"/>
      <c r="AH251" s="34"/>
      <c r="AI251" s="25"/>
    </row>
    <row r="252" spans="1:35" ht="24" customHeight="1">
      <c r="A252" s="3496"/>
      <c r="B252" s="2941"/>
      <c r="C252" s="2990"/>
      <c r="D252" s="2990"/>
      <c r="E252" s="2990"/>
      <c r="F252" s="2990"/>
      <c r="G252" s="2990"/>
      <c r="H252" s="2990"/>
      <c r="I252" s="2990"/>
      <c r="J252" s="2990"/>
      <c r="K252" s="2990"/>
      <c r="L252" s="2990"/>
      <c r="M252" s="3500"/>
      <c r="N252" s="2990"/>
      <c r="O252" s="2990"/>
      <c r="P252" s="2990"/>
      <c r="Q252" s="2990"/>
      <c r="R252" s="2990"/>
      <c r="S252" s="2990"/>
      <c r="T252" s="2990"/>
      <c r="U252" s="2990"/>
      <c r="V252" s="2990"/>
      <c r="W252" s="2990"/>
      <c r="X252" s="2990"/>
      <c r="Y252" s="2990"/>
      <c r="Z252" s="2990"/>
      <c r="AA252" s="2990"/>
      <c r="AB252" s="2990"/>
      <c r="AC252" s="2990"/>
      <c r="AD252" s="2990"/>
      <c r="AE252" s="2990"/>
      <c r="AF252" s="2990"/>
      <c r="AG252" s="3498"/>
      <c r="AH252" s="34"/>
      <c r="AI252" s="25"/>
    </row>
    <row r="253" spans="1:35" ht="24" customHeight="1">
      <c r="A253" s="3501"/>
      <c r="B253" s="118"/>
      <c r="C253" s="2840"/>
      <c r="D253" s="2840"/>
      <c r="E253" s="2840"/>
      <c r="F253" s="2840"/>
      <c r="G253" s="2840"/>
      <c r="H253" s="2840"/>
      <c r="I253" s="2840"/>
      <c r="J253" s="2840"/>
      <c r="K253" s="2840"/>
      <c r="L253" s="2840"/>
      <c r="M253" s="2840"/>
      <c r="N253" s="2840"/>
      <c r="O253" s="2840"/>
      <c r="P253" s="2840"/>
      <c r="Q253" s="2840"/>
      <c r="R253" s="2840"/>
      <c r="S253" s="2840"/>
      <c r="T253" s="2840"/>
      <c r="U253" s="2840"/>
      <c r="V253" s="2840"/>
      <c r="W253" s="2840"/>
      <c r="X253" s="2840"/>
      <c r="Y253" s="2840"/>
      <c r="Z253" s="2840"/>
      <c r="AA253" s="2840"/>
      <c r="AB253" s="2840"/>
      <c r="AC253" s="2840"/>
      <c r="AD253" s="2840"/>
      <c r="AE253" s="2840"/>
      <c r="AF253" s="2840"/>
      <c r="AG253" s="3502"/>
      <c r="AH253" s="34"/>
      <c r="AI253" s="25"/>
    </row>
    <row r="254" spans="1:35" ht="24" customHeight="1">
      <c r="A254" s="3503"/>
      <c r="B254" s="2949" t="s">
        <v>322</v>
      </c>
      <c r="C254" s="3504"/>
      <c r="D254" s="3504"/>
      <c r="E254" s="3504"/>
      <c r="F254" s="3504"/>
      <c r="G254" s="3504"/>
      <c r="H254" s="3504"/>
      <c r="I254" s="3504"/>
      <c r="J254" s="3504"/>
      <c r="K254" s="3504"/>
      <c r="L254" s="3504"/>
      <c r="M254" s="3504"/>
      <c r="N254" s="3504"/>
      <c r="O254" s="3504"/>
      <c r="P254" s="3504"/>
      <c r="Q254" s="3504"/>
      <c r="R254" s="3504"/>
      <c r="S254" s="3504"/>
      <c r="T254" s="3504"/>
      <c r="U254" s="3504"/>
      <c r="V254" s="3504"/>
      <c r="W254" s="3504"/>
      <c r="X254" s="3504"/>
      <c r="Y254" s="3504"/>
      <c r="Z254" s="3504"/>
      <c r="AA254" s="3504"/>
      <c r="AB254" s="3504"/>
      <c r="AC254" s="3504"/>
      <c r="AD254" s="3504"/>
      <c r="AE254" s="3504"/>
      <c r="AF254" s="3504"/>
      <c r="AG254" s="3505"/>
      <c r="AH254" s="119"/>
      <c r="AI254" s="26"/>
    </row>
    <row r="255" spans="1:35" ht="24" customHeight="1">
      <c r="A255" s="3496">
        <v>3702</v>
      </c>
      <c r="B255" s="3439" t="s">
        <v>323</v>
      </c>
      <c r="C255" s="2990"/>
      <c r="D255" s="2990" t="s">
        <v>152</v>
      </c>
      <c r="E255" s="2990" t="s">
        <v>152</v>
      </c>
      <c r="F255" s="2990" t="s">
        <v>152</v>
      </c>
      <c r="G255" s="2990" t="s">
        <v>152</v>
      </c>
      <c r="H255" s="2990" t="s">
        <v>152</v>
      </c>
      <c r="I255" s="2990"/>
      <c r="J255" s="2990"/>
      <c r="K255" s="2990" t="s">
        <v>152</v>
      </c>
      <c r="L255" s="3506" t="s">
        <v>152</v>
      </c>
      <c r="M255" s="3506" t="s">
        <v>324</v>
      </c>
      <c r="N255" s="2990" t="s">
        <v>152</v>
      </c>
      <c r="O255" s="2990" t="s">
        <v>152</v>
      </c>
      <c r="P255" s="2990"/>
      <c r="Q255" s="2990"/>
      <c r="R255" s="2990" t="s">
        <v>152</v>
      </c>
      <c r="S255" s="2990" t="s">
        <v>152</v>
      </c>
      <c r="T255" s="2990" t="s">
        <v>152</v>
      </c>
      <c r="U255" s="2990" t="s">
        <v>152</v>
      </c>
      <c r="V255" s="2990" t="s">
        <v>152</v>
      </c>
      <c r="W255" s="2990"/>
      <c r="X255" s="2990"/>
      <c r="Y255" s="2990" t="s">
        <v>152</v>
      </c>
      <c r="Z255" s="2990"/>
      <c r="AA255" s="2990"/>
      <c r="AB255" s="2990"/>
      <c r="AC255" s="3507" t="s">
        <v>152</v>
      </c>
      <c r="AD255" s="2990"/>
      <c r="AE255" s="2990"/>
      <c r="AF255" s="3507" t="s">
        <v>152</v>
      </c>
      <c r="AG255" s="3498"/>
      <c r="AH255" s="34"/>
      <c r="AI255" s="25"/>
    </row>
    <row r="256" spans="1:35" ht="24" customHeight="1">
      <c r="A256" s="3496"/>
      <c r="B256" s="3432" t="s">
        <v>325</v>
      </c>
      <c r="C256" s="2990"/>
      <c r="D256" s="2990" t="s">
        <v>326</v>
      </c>
      <c r="E256" s="2990" t="s">
        <v>326</v>
      </c>
      <c r="F256" s="2990" t="s">
        <v>326</v>
      </c>
      <c r="G256" s="2990" t="s">
        <v>326</v>
      </c>
      <c r="H256" s="2990" t="s">
        <v>326</v>
      </c>
      <c r="I256" s="2990"/>
      <c r="J256" s="2990"/>
      <c r="K256" s="2990" t="s">
        <v>326</v>
      </c>
      <c r="L256" s="2990" t="s">
        <v>326</v>
      </c>
      <c r="M256" s="2990" t="s">
        <v>326</v>
      </c>
      <c r="N256" s="2990" t="s">
        <v>326</v>
      </c>
      <c r="O256" s="2990" t="s">
        <v>326</v>
      </c>
      <c r="P256" s="2990"/>
      <c r="Q256" s="2990"/>
      <c r="R256" s="2990" t="s">
        <v>326</v>
      </c>
      <c r="S256" s="2990" t="s">
        <v>326</v>
      </c>
      <c r="T256" s="2990" t="s">
        <v>326</v>
      </c>
      <c r="U256" s="2990" t="s">
        <v>326</v>
      </c>
      <c r="V256" s="2990" t="s">
        <v>326</v>
      </c>
      <c r="W256" s="2990"/>
      <c r="X256" s="2990"/>
      <c r="Y256" s="2990" t="s">
        <v>326</v>
      </c>
      <c r="Z256" s="2990"/>
      <c r="AA256" s="2990"/>
      <c r="AB256" s="2990"/>
      <c r="AC256" s="3508" t="s">
        <v>326</v>
      </c>
      <c r="AD256" s="2990"/>
      <c r="AE256" s="2990"/>
      <c r="AF256" s="3508" t="s">
        <v>326</v>
      </c>
      <c r="AG256" s="3498"/>
      <c r="AH256" s="34"/>
      <c r="AI256" s="25"/>
    </row>
    <row r="257" spans="1:35" ht="24" customHeight="1" thickBot="1">
      <c r="A257" s="3509"/>
      <c r="B257" s="3443" t="s">
        <v>327</v>
      </c>
      <c r="C257" s="3510"/>
      <c r="D257" s="3510" t="s">
        <v>328</v>
      </c>
      <c r="E257" s="3510" t="s">
        <v>328</v>
      </c>
      <c r="F257" s="3510" t="s">
        <v>328</v>
      </c>
      <c r="G257" s="3510" t="s">
        <v>328</v>
      </c>
      <c r="H257" s="3510" t="s">
        <v>328</v>
      </c>
      <c r="I257" s="3510"/>
      <c r="J257" s="3510"/>
      <c r="K257" s="3510" t="s">
        <v>328</v>
      </c>
      <c r="L257" s="3510" t="s">
        <v>328</v>
      </c>
      <c r="M257" s="3510" t="s">
        <v>328</v>
      </c>
      <c r="N257" s="3510" t="s">
        <v>328</v>
      </c>
      <c r="O257" s="3510" t="s">
        <v>328</v>
      </c>
      <c r="P257" s="3510"/>
      <c r="Q257" s="3510"/>
      <c r="R257" s="3511" t="s">
        <v>328</v>
      </c>
      <c r="S257" s="3510" t="s">
        <v>328</v>
      </c>
      <c r="T257" s="3510" t="s">
        <v>328</v>
      </c>
      <c r="U257" s="3510" t="s">
        <v>328</v>
      </c>
      <c r="V257" s="3510" t="s">
        <v>328</v>
      </c>
      <c r="W257" s="3510"/>
      <c r="X257" s="3510"/>
      <c r="Y257" s="3510" t="s">
        <v>328</v>
      </c>
      <c r="Z257" s="3510"/>
      <c r="AA257" s="3510"/>
      <c r="AB257" s="3510"/>
      <c r="AC257" s="3511" t="s">
        <v>328</v>
      </c>
      <c r="AD257" s="3512"/>
      <c r="AE257" s="3510"/>
      <c r="AF257" s="3511" t="s">
        <v>328</v>
      </c>
      <c r="AG257" s="3513"/>
      <c r="AH257" s="34"/>
      <c r="AI257" s="25"/>
    </row>
    <row r="258" spans="1:35" ht="24" customHeight="1"/>
    <row r="259" spans="1:35" ht="24" customHeight="1"/>
    <row r="260" spans="1:35" ht="24" customHeight="1" thickBot="1">
      <c r="A260" s="14" t="s">
        <v>329</v>
      </c>
    </row>
    <row r="261" spans="1:35" ht="24" customHeight="1">
      <c r="B261" s="3481" t="s">
        <v>281</v>
      </c>
      <c r="C261" s="901"/>
      <c r="D261" s="925" t="s">
        <v>87</v>
      </c>
      <c r="E261" s="705"/>
      <c r="F261" s="905"/>
      <c r="G261" s="901"/>
      <c r="H261" s="925" t="s">
        <v>88</v>
      </c>
      <c r="I261" s="705"/>
      <c r="J261" s="905"/>
      <c r="K261" s="901"/>
      <c r="L261" s="925" t="s">
        <v>89</v>
      </c>
      <c r="M261" s="705"/>
      <c r="N261" s="905"/>
      <c r="O261" s="901"/>
      <c r="P261" s="925" t="s">
        <v>90</v>
      </c>
      <c r="Q261" s="705"/>
      <c r="R261" s="905"/>
      <c r="S261" s="901"/>
      <c r="T261" s="925" t="s">
        <v>91</v>
      </c>
      <c r="U261" s="705"/>
      <c r="V261" s="905"/>
      <c r="W261" s="901"/>
      <c r="X261" s="925" t="s">
        <v>92</v>
      </c>
      <c r="Y261" s="705"/>
      <c r="Z261" s="905"/>
      <c r="AA261" s="901"/>
      <c r="AB261" s="925" t="s">
        <v>93</v>
      </c>
      <c r="AC261" s="705"/>
      <c r="AD261" s="705"/>
      <c r="AE261" s="928" t="s">
        <v>94</v>
      </c>
      <c r="AF261" s="705"/>
      <c r="AG261" s="705"/>
      <c r="AH261" s="705"/>
      <c r="AI261" s="706"/>
    </row>
    <row r="262" spans="1:35" ht="24" customHeight="1">
      <c r="B262" s="116">
        <v>8500</v>
      </c>
      <c r="C262" s="3454" t="s">
        <v>330</v>
      </c>
      <c r="D262" s="111"/>
      <c r="E262" s="8"/>
      <c r="F262" s="120"/>
      <c r="G262" s="3454" t="s">
        <v>330</v>
      </c>
      <c r="H262" s="111"/>
      <c r="I262" s="8"/>
      <c r="J262" s="120"/>
      <c r="K262" s="3454" t="s">
        <v>330</v>
      </c>
      <c r="L262" s="111"/>
      <c r="M262" s="8"/>
      <c r="N262" s="120"/>
      <c r="O262" s="3454" t="s">
        <v>330</v>
      </c>
      <c r="P262" s="111"/>
      <c r="Q262" s="8"/>
      <c r="R262" s="120"/>
      <c r="S262" s="3454" t="s">
        <v>331</v>
      </c>
      <c r="T262" s="111"/>
      <c r="U262" s="8"/>
      <c r="V262" s="120"/>
      <c r="W262" s="121"/>
      <c r="X262" s="111"/>
      <c r="Y262" s="8"/>
      <c r="Z262" s="120"/>
      <c r="AA262" s="121"/>
      <c r="AB262" s="111"/>
      <c r="AC262" s="8"/>
      <c r="AD262" s="8"/>
      <c r="AE262" s="112"/>
      <c r="AF262" s="8"/>
      <c r="AG262" s="8"/>
      <c r="AH262" s="8"/>
      <c r="AI262" s="105"/>
    </row>
    <row r="263" spans="1:35" ht="24" customHeight="1" thickBot="1">
      <c r="A263" s="87"/>
      <c r="B263" s="3514"/>
      <c r="C263" s="3515"/>
      <c r="D263" s="3516"/>
      <c r="E263" s="3485"/>
      <c r="F263" s="3486"/>
      <c r="G263" s="3515"/>
      <c r="H263" s="3487"/>
      <c r="I263" s="3485"/>
      <c r="J263" s="3486"/>
      <c r="K263" s="3515"/>
      <c r="L263" s="3487"/>
      <c r="M263" s="3485"/>
      <c r="N263" s="3486"/>
      <c r="O263" s="3515"/>
      <c r="P263" s="3487"/>
      <c r="Q263" s="3485"/>
      <c r="R263" s="3486"/>
      <c r="S263" s="3515"/>
      <c r="T263" s="3487"/>
      <c r="U263" s="3485"/>
      <c r="V263" s="3486"/>
      <c r="W263" s="3488"/>
      <c r="X263" s="3487"/>
      <c r="Y263" s="3485"/>
      <c r="Z263" s="3486"/>
      <c r="AA263" s="3488"/>
      <c r="AB263" s="3487"/>
      <c r="AC263" s="3485"/>
      <c r="AD263" s="3485"/>
      <c r="AE263" s="3492"/>
      <c r="AF263" s="3485"/>
      <c r="AG263" s="3485"/>
      <c r="AH263" s="3485"/>
      <c r="AI263" s="3493"/>
    </row>
    <row r="264" spans="1:35" ht="24" customHeight="1">
      <c r="A264" s="122" t="s">
        <v>332</v>
      </c>
    </row>
    <row r="265" spans="1:35" ht="24" customHeight="1" thickBot="1">
      <c r="A265" s="3517"/>
      <c r="B265" s="3495" t="s">
        <v>29</v>
      </c>
      <c r="C265" s="3410">
        <v>1</v>
      </c>
      <c r="D265" s="3411">
        <v>2</v>
      </c>
      <c r="E265" s="3411">
        <v>3</v>
      </c>
      <c r="F265" s="3411">
        <v>4</v>
      </c>
      <c r="G265" s="3411">
        <v>5</v>
      </c>
      <c r="H265" s="3411">
        <v>6</v>
      </c>
      <c r="I265" s="3410">
        <v>7</v>
      </c>
      <c r="J265" s="3410">
        <v>8</v>
      </c>
      <c r="K265" s="3411">
        <v>9</v>
      </c>
      <c r="L265" s="3411">
        <v>10</v>
      </c>
      <c r="M265" s="3411">
        <v>11</v>
      </c>
      <c r="N265" s="3411">
        <v>12</v>
      </c>
      <c r="O265" s="3411">
        <v>13</v>
      </c>
      <c r="P265" s="3410">
        <v>14</v>
      </c>
      <c r="Q265" s="3410">
        <v>15</v>
      </c>
      <c r="R265" s="3411">
        <v>16</v>
      </c>
      <c r="S265" s="3411">
        <v>17</v>
      </c>
      <c r="T265" s="3411">
        <v>18</v>
      </c>
      <c r="U265" s="3411">
        <v>19</v>
      </c>
      <c r="V265" s="3411">
        <v>20</v>
      </c>
      <c r="W265" s="3410">
        <v>21</v>
      </c>
      <c r="X265" s="3410">
        <v>22</v>
      </c>
      <c r="Y265" s="3411">
        <v>23</v>
      </c>
      <c r="Z265" s="3410">
        <v>24</v>
      </c>
      <c r="AA265" s="3410">
        <v>25</v>
      </c>
      <c r="AB265" s="3410">
        <v>26</v>
      </c>
      <c r="AC265" s="3411">
        <v>27</v>
      </c>
      <c r="AD265" s="3410">
        <v>28</v>
      </c>
      <c r="AE265" s="3410">
        <v>29</v>
      </c>
      <c r="AF265" s="3411">
        <v>30</v>
      </c>
      <c r="AG265" s="3412">
        <v>31</v>
      </c>
      <c r="AH265" s="23"/>
      <c r="AI265" s="24"/>
    </row>
    <row r="266" spans="1:35" ht="24" customHeight="1">
      <c r="A266" s="121">
        <v>8500</v>
      </c>
      <c r="B266" s="123" t="s">
        <v>333</v>
      </c>
      <c r="C266" s="1839"/>
      <c r="D266" s="2480" t="s">
        <v>31</v>
      </c>
      <c r="E266" s="1839" t="s">
        <v>31</v>
      </c>
      <c r="F266" s="1839" t="s">
        <v>31</v>
      </c>
      <c r="G266" s="1839" t="s">
        <v>31</v>
      </c>
      <c r="H266" s="3459" t="s">
        <v>31</v>
      </c>
      <c r="I266" s="1839"/>
      <c r="J266" s="1839"/>
      <c r="K266" s="1839" t="s">
        <v>31</v>
      </c>
      <c r="L266" s="1839" t="s">
        <v>31</v>
      </c>
      <c r="M266" s="1839" t="s">
        <v>31</v>
      </c>
      <c r="N266" s="1839" t="s">
        <v>31</v>
      </c>
      <c r="O266" s="1839" t="s">
        <v>31</v>
      </c>
      <c r="P266" s="1839"/>
      <c r="Q266" s="1839"/>
      <c r="R266" s="1839" t="s">
        <v>31</v>
      </c>
      <c r="S266" s="1839" t="s">
        <v>31</v>
      </c>
      <c r="T266" s="1839" t="s">
        <v>31</v>
      </c>
      <c r="U266" s="1839" t="s">
        <v>31</v>
      </c>
      <c r="V266" s="1839" t="s">
        <v>31</v>
      </c>
      <c r="W266" s="1839"/>
      <c r="X266" s="1839"/>
      <c r="Y266" s="3459" t="s">
        <v>31</v>
      </c>
      <c r="Z266" s="1839"/>
      <c r="AA266" s="1839"/>
      <c r="AB266" s="1839"/>
      <c r="AC266" s="3459" t="s">
        <v>31</v>
      </c>
      <c r="AD266" s="1839"/>
      <c r="AE266" s="1839"/>
      <c r="AF266" s="3459" t="s">
        <v>31</v>
      </c>
      <c r="AG266" s="3256"/>
      <c r="AH266" s="124"/>
      <c r="AI266" s="125"/>
    </row>
    <row r="267" spans="1:35" ht="24" customHeight="1">
      <c r="A267" s="3015"/>
      <c r="B267" s="3518" t="s">
        <v>334</v>
      </c>
      <c r="C267" s="3256"/>
      <c r="D267" s="3256" t="s">
        <v>31</v>
      </c>
      <c r="E267" s="3256" t="s">
        <v>31</v>
      </c>
      <c r="F267" s="3256" t="s">
        <v>31</v>
      </c>
      <c r="G267" s="3256" t="s">
        <v>31</v>
      </c>
      <c r="H267" s="3256" t="s">
        <v>31</v>
      </c>
      <c r="I267" s="3256"/>
      <c r="J267" s="3256"/>
      <c r="K267" s="3256" t="s">
        <v>31</v>
      </c>
      <c r="L267" s="3256" t="s">
        <v>31</v>
      </c>
      <c r="M267" s="3256" t="s">
        <v>31</v>
      </c>
      <c r="N267" s="3256" t="s">
        <v>31</v>
      </c>
      <c r="O267" s="3256" t="s">
        <v>31</v>
      </c>
      <c r="P267" s="3256"/>
      <c r="Q267" s="3256"/>
      <c r="R267" s="3256" t="s">
        <v>31</v>
      </c>
      <c r="S267" s="3256" t="s">
        <v>31</v>
      </c>
      <c r="T267" s="3256" t="s">
        <v>31</v>
      </c>
      <c r="U267" s="3256" t="s">
        <v>31</v>
      </c>
      <c r="V267" s="3256" t="s">
        <v>31</v>
      </c>
      <c r="W267" s="3256"/>
      <c r="X267" s="3256"/>
      <c r="Y267" s="3256" t="s">
        <v>31</v>
      </c>
      <c r="Z267" s="3256"/>
      <c r="AA267" s="3256"/>
      <c r="AB267" s="3256"/>
      <c r="AC267" s="3519" t="s">
        <v>31</v>
      </c>
      <c r="AD267" s="3256"/>
      <c r="AE267" s="3256"/>
      <c r="AF267" s="3519" t="s">
        <v>31</v>
      </c>
      <c r="AG267" s="3256"/>
      <c r="AH267" s="124"/>
      <c r="AI267" s="125"/>
    </row>
    <row r="268" spans="1:35" ht="24" customHeight="1">
      <c r="A268" s="3520"/>
      <c r="B268" s="3518" t="s">
        <v>335</v>
      </c>
      <c r="C268" s="3256"/>
      <c r="D268" s="3215" t="s">
        <v>31</v>
      </c>
      <c r="E268" s="3215" t="s">
        <v>31</v>
      </c>
      <c r="F268" s="3215" t="s">
        <v>31</v>
      </c>
      <c r="G268" s="3215" t="s">
        <v>31</v>
      </c>
      <c r="H268" s="3215" t="s">
        <v>31</v>
      </c>
      <c r="I268" s="3215"/>
      <c r="J268" s="3215"/>
      <c r="K268" s="3215" t="s">
        <v>31</v>
      </c>
      <c r="L268" s="3215" t="s">
        <v>31</v>
      </c>
      <c r="M268" s="3215" t="s">
        <v>31</v>
      </c>
      <c r="N268" s="3215" t="s">
        <v>31</v>
      </c>
      <c r="O268" s="3215" t="s">
        <v>31</v>
      </c>
      <c r="P268" s="3215"/>
      <c r="Q268" s="3215"/>
      <c r="R268" s="3215" t="s">
        <v>31</v>
      </c>
      <c r="S268" s="3215" t="s">
        <v>31</v>
      </c>
      <c r="T268" s="3215" t="s">
        <v>31</v>
      </c>
      <c r="U268" s="3215" t="s">
        <v>31</v>
      </c>
      <c r="V268" s="3215" t="s">
        <v>31</v>
      </c>
      <c r="W268" s="3378"/>
      <c r="X268" s="3378"/>
      <c r="Y268" s="3378" t="s">
        <v>31</v>
      </c>
      <c r="Z268" s="3378"/>
      <c r="AA268" s="3378"/>
      <c r="AB268" s="3378"/>
      <c r="AC268" s="3378" t="s">
        <v>31</v>
      </c>
      <c r="AD268" s="3378"/>
      <c r="AE268" s="3378"/>
      <c r="AF268" s="3378" t="s">
        <v>31</v>
      </c>
      <c r="AG268" s="3378"/>
      <c r="AH268" s="124"/>
      <c r="AI268" s="125"/>
    </row>
    <row r="269" spans="1:35" ht="24" customHeight="1">
      <c r="A269" s="29"/>
      <c r="B269" s="3277" t="s">
        <v>446</v>
      </c>
      <c r="C269" s="3256"/>
      <c r="D269" s="3521" t="s">
        <v>31</v>
      </c>
      <c r="E269" s="3521" t="s">
        <v>31</v>
      </c>
      <c r="F269" s="3215" t="s">
        <v>31</v>
      </c>
      <c r="G269" s="3215" t="s">
        <v>31</v>
      </c>
      <c r="H269" s="3215" t="s">
        <v>304</v>
      </c>
      <c r="I269" s="3256"/>
      <c r="J269" s="3256"/>
      <c r="K269" s="3256" t="s">
        <v>31</v>
      </c>
      <c r="L269" s="3256" t="s">
        <v>31</v>
      </c>
      <c r="M269" s="3256" t="s">
        <v>31</v>
      </c>
      <c r="N269" s="3256" t="s">
        <v>31</v>
      </c>
      <c r="O269" s="3256" t="s">
        <v>31</v>
      </c>
      <c r="P269" s="3256"/>
      <c r="Q269" s="3256"/>
      <c r="R269" s="3256" t="s">
        <v>31</v>
      </c>
      <c r="S269" s="3256" t="s">
        <v>31</v>
      </c>
      <c r="T269" s="3256" t="s">
        <v>31</v>
      </c>
      <c r="U269" s="3256" t="s">
        <v>31</v>
      </c>
      <c r="V269" s="3256" t="s">
        <v>31</v>
      </c>
      <c r="W269" s="3256"/>
      <c r="X269" s="3256"/>
      <c r="Y269" s="3256" t="s">
        <v>31</v>
      </c>
      <c r="Z269" s="3256"/>
      <c r="AA269" s="3256"/>
      <c r="AB269" s="3256"/>
      <c r="AC269" s="3256" t="s">
        <v>31</v>
      </c>
      <c r="AD269" s="3256"/>
      <c r="AE269" s="3256"/>
      <c r="AF269" s="3256" t="s">
        <v>31</v>
      </c>
      <c r="AG269" s="3256"/>
      <c r="AH269" s="124"/>
      <c r="AI269" s="125"/>
    </row>
    <row r="270" spans="1:35" ht="24" customHeight="1">
      <c r="A270" s="3522"/>
      <c r="B270" s="3523"/>
      <c r="C270" s="2990"/>
      <c r="D270" s="2990"/>
      <c r="E270" s="2990"/>
      <c r="F270" s="2990"/>
      <c r="G270" s="2990"/>
      <c r="H270" s="2990"/>
      <c r="I270" s="2990"/>
      <c r="J270" s="2990"/>
      <c r="K270" s="2990"/>
      <c r="L270" s="2990"/>
      <c r="M270" s="2990"/>
      <c r="N270" s="2840"/>
      <c r="O270" s="2840"/>
      <c r="P270" s="2990"/>
      <c r="Q270" s="2990"/>
      <c r="R270" s="2990"/>
      <c r="S270" s="2990"/>
      <c r="T270" s="2990"/>
      <c r="U270" s="2990"/>
      <c r="V270" s="2990"/>
      <c r="W270" s="2990"/>
      <c r="X270" s="2990"/>
      <c r="Y270" s="2990"/>
      <c r="Z270" s="2990"/>
      <c r="AA270" s="2990"/>
      <c r="AB270" s="2840"/>
      <c r="AC270" s="2840"/>
      <c r="AD270" s="2990"/>
      <c r="AE270" s="2990"/>
      <c r="AF270" s="2990"/>
      <c r="AG270" s="2990"/>
      <c r="AH270" s="126"/>
      <c r="AI270" s="127"/>
    </row>
    <row r="271" spans="1:35" ht="24" customHeight="1">
      <c r="A271" s="3524"/>
      <c r="B271" s="3525"/>
      <c r="C271" s="2990"/>
      <c r="D271" s="2990"/>
      <c r="E271" s="2990"/>
      <c r="F271" s="2990"/>
      <c r="G271" s="2990"/>
      <c r="H271" s="2990"/>
      <c r="I271" s="2990"/>
      <c r="J271" s="2990"/>
      <c r="K271" s="2990"/>
      <c r="L271" s="2990"/>
      <c r="M271" s="2990"/>
      <c r="N271" s="2840"/>
      <c r="O271" s="2840"/>
      <c r="P271" s="2990"/>
      <c r="Q271" s="2990"/>
      <c r="R271" s="2990"/>
      <c r="S271" s="2990"/>
      <c r="T271" s="2990"/>
      <c r="U271" s="2990"/>
      <c r="V271" s="2990"/>
      <c r="W271" s="2990"/>
      <c r="X271" s="2990"/>
      <c r="Y271" s="2990"/>
      <c r="Z271" s="2990"/>
      <c r="AA271" s="2990"/>
      <c r="AB271" s="2840"/>
      <c r="AC271" s="2840"/>
      <c r="AD271" s="2990"/>
      <c r="AE271" s="2990"/>
      <c r="AF271" s="2990"/>
      <c r="AG271" s="2990"/>
      <c r="AH271" s="126"/>
      <c r="AI271" s="127"/>
    </row>
    <row r="272" spans="1:35" ht="24" customHeight="1" thickBot="1">
      <c r="A272" s="416"/>
      <c r="B272" s="413"/>
      <c r="C272" s="3526"/>
      <c r="D272" s="3527"/>
      <c r="E272" s="3527"/>
      <c r="F272" s="3527"/>
      <c r="G272" s="3527"/>
      <c r="H272" s="3527"/>
      <c r="I272" s="3527"/>
      <c r="J272" s="3527"/>
      <c r="K272" s="3527"/>
      <c r="L272" s="3527"/>
      <c r="M272" s="3527"/>
      <c r="N272" s="3528"/>
      <c r="O272" s="3528"/>
      <c r="P272" s="3527"/>
      <c r="Q272" s="3527"/>
      <c r="R272" s="3527"/>
      <c r="S272" s="3527"/>
      <c r="T272" s="3527"/>
      <c r="U272" s="3527"/>
      <c r="V272" s="3527"/>
      <c r="W272" s="3527"/>
      <c r="X272" s="3527"/>
      <c r="Y272" s="3527"/>
      <c r="Z272" s="3527"/>
      <c r="AA272" s="3527"/>
      <c r="AB272" s="3528"/>
      <c r="AC272" s="3528"/>
      <c r="AD272" s="3527"/>
      <c r="AE272" s="3527"/>
      <c r="AF272" s="3527"/>
      <c r="AG272" s="3529"/>
      <c r="AH272" s="126"/>
      <c r="AI272" s="127"/>
    </row>
    <row r="273" spans="1:35" ht="24" customHeight="1"/>
    <row r="274" spans="1:35" ht="24" customHeight="1" thickBot="1">
      <c r="A274" s="14" t="s">
        <v>337</v>
      </c>
    </row>
    <row r="275" spans="1:35" ht="24" customHeight="1">
      <c r="A275" s="1"/>
      <c r="B275" s="3481" t="s">
        <v>281</v>
      </c>
      <c r="C275" s="901"/>
      <c r="D275" s="925" t="s">
        <v>87</v>
      </c>
      <c r="E275" s="705"/>
      <c r="F275" s="905"/>
      <c r="G275" s="901"/>
      <c r="H275" s="925" t="s">
        <v>88</v>
      </c>
      <c r="I275" s="705"/>
      <c r="J275" s="905"/>
      <c r="K275" s="901"/>
      <c r="L275" s="925" t="s">
        <v>89</v>
      </c>
      <c r="M275" s="705"/>
      <c r="N275" s="905"/>
      <c r="O275" s="901"/>
      <c r="P275" s="925" t="s">
        <v>90</v>
      </c>
      <c r="Q275" s="705"/>
      <c r="R275" s="905"/>
      <c r="S275" s="901"/>
      <c r="T275" s="925" t="s">
        <v>91</v>
      </c>
      <c r="U275" s="705"/>
      <c r="V275" s="905"/>
      <c r="W275" s="901"/>
      <c r="X275" s="925" t="s">
        <v>92</v>
      </c>
      <c r="Y275" s="705"/>
      <c r="Z275" s="905"/>
      <c r="AA275" s="901"/>
      <c r="AB275" s="925" t="s">
        <v>93</v>
      </c>
      <c r="AC275" s="705"/>
      <c r="AD275" s="705"/>
      <c r="AE275" s="928" t="s">
        <v>94</v>
      </c>
      <c r="AF275" s="705"/>
      <c r="AG275" s="705"/>
      <c r="AH275" s="705"/>
      <c r="AI275" s="706"/>
    </row>
    <row r="276" spans="1:35" ht="24" customHeight="1">
      <c r="A276" s="1"/>
      <c r="B276" s="116"/>
      <c r="C276" s="121"/>
      <c r="D276" s="111"/>
      <c r="E276" s="8"/>
      <c r="F276" s="120"/>
      <c r="G276" s="121"/>
      <c r="H276" s="111"/>
      <c r="I276" s="8"/>
      <c r="J276" s="120"/>
      <c r="K276" s="121"/>
      <c r="L276" s="111"/>
      <c r="M276" s="8"/>
      <c r="N276" s="120"/>
      <c r="O276" s="121"/>
      <c r="P276" s="111"/>
      <c r="Q276" s="8"/>
      <c r="R276" s="120"/>
      <c r="S276" s="121"/>
      <c r="T276" s="111"/>
      <c r="U276" s="8"/>
      <c r="V276" s="120"/>
      <c r="W276" s="121"/>
      <c r="X276" s="111"/>
      <c r="Y276" s="8"/>
      <c r="Z276" s="120"/>
      <c r="AA276" s="121"/>
      <c r="AB276" s="111"/>
      <c r="AC276" s="8"/>
      <c r="AD276" s="8"/>
      <c r="AE276" s="112"/>
      <c r="AF276" s="8"/>
      <c r="AG276" s="8"/>
      <c r="AH276" s="8"/>
      <c r="AI276" s="105"/>
    </row>
    <row r="277" spans="1:35" ht="24" customHeight="1">
      <c r="A277" s="87"/>
      <c r="B277" s="3482"/>
      <c r="C277" s="3454"/>
      <c r="D277" s="2906"/>
      <c r="E277" s="2906"/>
      <c r="F277" s="3451"/>
      <c r="G277" s="3454"/>
      <c r="H277" s="2906"/>
      <c r="I277" s="2906"/>
      <c r="J277" s="3451"/>
      <c r="K277" s="3454"/>
      <c r="L277" s="2906"/>
      <c r="M277" s="2906"/>
      <c r="N277" s="3451"/>
      <c r="O277" s="3454"/>
      <c r="P277" s="2906"/>
      <c r="Q277" s="2906"/>
      <c r="R277" s="3451"/>
      <c r="S277" s="3454"/>
      <c r="T277" s="2906"/>
      <c r="U277" s="2906"/>
      <c r="V277" s="3451"/>
      <c r="W277" s="3454"/>
      <c r="X277" s="2906"/>
      <c r="Y277" s="2906"/>
      <c r="Z277" s="3451"/>
      <c r="AA277" s="3436"/>
      <c r="AB277" s="2906"/>
      <c r="AC277" s="2906"/>
      <c r="AD277" s="3452"/>
      <c r="AE277" s="3530"/>
      <c r="AF277" s="2906"/>
      <c r="AG277" s="2906"/>
      <c r="AH277" s="3452"/>
      <c r="AI277" s="3437"/>
    </row>
    <row r="278" spans="1:35" ht="24" customHeight="1" thickBot="1">
      <c r="A278" s="1"/>
      <c r="B278" s="3349"/>
      <c r="C278" s="3447"/>
      <c r="D278" s="3268"/>
      <c r="E278" s="3268"/>
      <c r="F278" s="3373"/>
      <c r="G278" s="3447"/>
      <c r="H278" s="3268"/>
      <c r="I278" s="3268"/>
      <c r="J278" s="3373"/>
      <c r="K278" s="3447"/>
      <c r="L278" s="3268"/>
      <c r="M278" s="3268"/>
      <c r="N278" s="3373"/>
      <c r="O278" s="3447"/>
      <c r="P278" s="3268"/>
      <c r="Q278" s="3268"/>
      <c r="R278" s="3373"/>
      <c r="S278" s="3447"/>
      <c r="T278" s="3268"/>
      <c r="U278" s="3268"/>
      <c r="V278" s="3373"/>
      <c r="W278" s="3371"/>
      <c r="X278" s="3268"/>
      <c r="Y278" s="3268"/>
      <c r="Z278" s="3373"/>
      <c r="AA278" s="3371"/>
      <c r="AB278" s="3268"/>
      <c r="AC278" s="3268"/>
      <c r="AD278" s="3357"/>
      <c r="AE278" s="3371"/>
      <c r="AF278" s="3268"/>
      <c r="AG278" s="3268"/>
      <c r="AH278" s="3357"/>
      <c r="AI278" s="3449"/>
    </row>
    <row r="279" spans="1:35" ht="24" customHeight="1">
      <c r="A279" s="1"/>
      <c r="B279" s="113"/>
      <c r="C279" s="37"/>
      <c r="F279" s="22"/>
      <c r="G279" s="37"/>
      <c r="J279" s="22"/>
      <c r="K279" s="37"/>
      <c r="N279" s="22"/>
      <c r="O279" s="37"/>
      <c r="R279" s="22"/>
      <c r="S279" s="37"/>
      <c r="V279" s="22"/>
      <c r="W279" s="22"/>
      <c r="Z279" s="22"/>
      <c r="AA279" s="22"/>
      <c r="AD279" s="22"/>
      <c r="AE279" s="22"/>
      <c r="AH279" s="22"/>
    </row>
    <row r="280" spans="1:35" ht="24" customHeight="1">
      <c r="A280" s="14" t="s">
        <v>338</v>
      </c>
      <c r="B280" s="113"/>
      <c r="C280" s="37"/>
      <c r="F280" s="22"/>
      <c r="G280" s="37"/>
      <c r="J280" s="22"/>
      <c r="K280" s="37"/>
      <c r="N280" s="22"/>
      <c r="O280" s="37"/>
      <c r="R280" s="22"/>
      <c r="S280" s="37"/>
      <c r="V280" s="22"/>
      <c r="W280" s="22"/>
      <c r="Z280" s="22"/>
      <c r="AA280" s="22"/>
      <c r="AD280" s="22"/>
      <c r="AE280" s="22"/>
      <c r="AH280" s="22"/>
    </row>
    <row r="281" spans="1:35" ht="24" customHeight="1" thickBot="1">
      <c r="A281" s="3494" t="s">
        <v>28</v>
      </c>
      <c r="B281" s="3495" t="s">
        <v>29</v>
      </c>
      <c r="C281" s="3410">
        <v>1</v>
      </c>
      <c r="D281" s="3411">
        <v>2</v>
      </c>
      <c r="E281" s="3411">
        <v>3</v>
      </c>
      <c r="F281" s="3411">
        <v>4</v>
      </c>
      <c r="G281" s="3411">
        <v>5</v>
      </c>
      <c r="H281" s="3411">
        <v>6</v>
      </c>
      <c r="I281" s="3410">
        <v>7</v>
      </c>
      <c r="J281" s="3410">
        <v>8</v>
      </c>
      <c r="K281" s="3411">
        <v>9</v>
      </c>
      <c r="L281" s="3411">
        <v>10</v>
      </c>
      <c r="M281" s="3411">
        <v>11</v>
      </c>
      <c r="N281" s="3411">
        <v>12</v>
      </c>
      <c r="O281" s="3411">
        <v>13</v>
      </c>
      <c r="P281" s="3410">
        <v>14</v>
      </c>
      <c r="Q281" s="3410">
        <v>15</v>
      </c>
      <c r="R281" s="3411">
        <v>16</v>
      </c>
      <c r="S281" s="3411">
        <v>17</v>
      </c>
      <c r="T281" s="3411">
        <v>18</v>
      </c>
      <c r="U281" s="3411">
        <v>19</v>
      </c>
      <c r="V281" s="3411">
        <v>20</v>
      </c>
      <c r="W281" s="3410">
        <v>21</v>
      </c>
      <c r="X281" s="3410">
        <v>22</v>
      </c>
      <c r="Y281" s="3411">
        <v>23</v>
      </c>
      <c r="Z281" s="3410">
        <v>24</v>
      </c>
      <c r="AA281" s="3410">
        <v>25</v>
      </c>
      <c r="AB281" s="3410">
        <v>26</v>
      </c>
      <c r="AC281" s="3411">
        <v>27</v>
      </c>
      <c r="AD281" s="3410">
        <v>28</v>
      </c>
      <c r="AE281" s="3410">
        <v>29</v>
      </c>
      <c r="AF281" s="3411">
        <v>30</v>
      </c>
      <c r="AG281" s="3412">
        <v>31</v>
      </c>
      <c r="AH281" s="128"/>
      <c r="AI281" s="24"/>
    </row>
    <row r="282" spans="1:35" ht="24" customHeight="1">
      <c r="A282" s="129"/>
      <c r="B282" s="130" t="s">
        <v>339</v>
      </c>
      <c r="C282" s="1839"/>
      <c r="D282" s="2480" t="s">
        <v>31</v>
      </c>
      <c r="E282" s="1839" t="s">
        <v>31</v>
      </c>
      <c r="F282" s="1839" t="s">
        <v>31</v>
      </c>
      <c r="G282" s="1839" t="s">
        <v>31</v>
      </c>
      <c r="H282" s="1839" t="s">
        <v>31</v>
      </c>
      <c r="I282" s="1839"/>
      <c r="J282" s="1839"/>
      <c r="K282" s="1839" t="s">
        <v>31</v>
      </c>
      <c r="L282" s="1839" t="s">
        <v>31</v>
      </c>
      <c r="M282" s="1839" t="s">
        <v>31</v>
      </c>
      <c r="N282" s="1839" t="s">
        <v>31</v>
      </c>
      <c r="O282" s="1839" t="s">
        <v>31</v>
      </c>
      <c r="P282" s="1839"/>
      <c r="Q282" s="1839"/>
      <c r="R282" s="3531" t="s">
        <v>31</v>
      </c>
      <c r="S282" s="3531" t="s">
        <v>31</v>
      </c>
      <c r="T282" s="3531" t="s">
        <v>31</v>
      </c>
      <c r="U282" s="3531" t="s">
        <v>304</v>
      </c>
      <c r="V282" s="3532" t="s">
        <v>31</v>
      </c>
      <c r="W282" s="1839"/>
      <c r="X282" s="1839"/>
      <c r="Y282" s="1839" t="s">
        <v>31</v>
      </c>
      <c r="Z282" s="1839"/>
      <c r="AA282" s="1839"/>
      <c r="AB282" s="1839"/>
      <c r="AC282" s="1839" t="s">
        <v>31</v>
      </c>
      <c r="AD282" s="1839"/>
      <c r="AE282" s="1839"/>
      <c r="AF282" s="1839" t="s">
        <v>31</v>
      </c>
      <c r="AG282" s="3256"/>
      <c r="AH282" s="131"/>
      <c r="AI282" s="125"/>
    </row>
    <row r="283" spans="1:35" ht="24" customHeight="1">
      <c r="A283" s="3533"/>
      <c r="B283" s="3534" t="s">
        <v>340</v>
      </c>
      <c r="C283" s="3256"/>
      <c r="D283" s="3256" t="s">
        <v>31</v>
      </c>
      <c r="E283" s="3256" t="s">
        <v>31</v>
      </c>
      <c r="F283" s="3256" t="s">
        <v>31</v>
      </c>
      <c r="G283" s="3256" t="s">
        <v>31</v>
      </c>
      <c r="H283" s="3256" t="s">
        <v>31</v>
      </c>
      <c r="I283" s="3256"/>
      <c r="J283" s="3256"/>
      <c r="K283" s="3256" t="s">
        <v>31</v>
      </c>
      <c r="L283" s="3256" t="s">
        <v>31</v>
      </c>
      <c r="M283" s="3256" t="s">
        <v>31</v>
      </c>
      <c r="N283" s="3256" t="s">
        <v>31</v>
      </c>
      <c r="O283" s="3256" t="s">
        <v>31</v>
      </c>
      <c r="P283" s="3256"/>
      <c r="Q283" s="3256"/>
      <c r="R283" s="3256" t="s">
        <v>31</v>
      </c>
      <c r="S283" s="3423" t="s">
        <v>31</v>
      </c>
      <c r="T283" s="3256" t="s">
        <v>31</v>
      </c>
      <c r="U283" s="3256" t="s">
        <v>31</v>
      </c>
      <c r="V283" s="3256" t="s">
        <v>31</v>
      </c>
      <c r="W283" s="3256"/>
      <c r="X283" s="3256"/>
      <c r="Y283" s="3519" t="s">
        <v>31</v>
      </c>
      <c r="Z283" s="3256"/>
      <c r="AA283" s="3256"/>
      <c r="AB283" s="3256"/>
      <c r="AC283" s="3519" t="s">
        <v>31</v>
      </c>
      <c r="AD283" s="3256"/>
      <c r="AE283" s="3256"/>
      <c r="AF283" s="3256" t="s">
        <v>31</v>
      </c>
      <c r="AG283" s="3256"/>
      <c r="AH283" s="131"/>
      <c r="AI283" s="125"/>
    </row>
    <row r="284" spans="1:35" ht="24" customHeight="1">
      <c r="A284" s="3496"/>
      <c r="B284" s="3534" t="s">
        <v>341</v>
      </c>
      <c r="C284" s="3256"/>
      <c r="D284" s="3256" t="s">
        <v>31</v>
      </c>
      <c r="E284" s="3256" t="s">
        <v>31</v>
      </c>
      <c r="F284" s="3256" t="s">
        <v>31</v>
      </c>
      <c r="G284" s="3256" t="s">
        <v>31</v>
      </c>
      <c r="H284" s="3256" t="s">
        <v>31</v>
      </c>
      <c r="I284" s="3256"/>
      <c r="J284" s="3256"/>
      <c r="K284" s="3256" t="s">
        <v>31</v>
      </c>
      <c r="L284" s="3256" t="s">
        <v>31</v>
      </c>
      <c r="M284" s="3256" t="s">
        <v>31</v>
      </c>
      <c r="N284" s="3256" t="s">
        <v>31</v>
      </c>
      <c r="O284" s="3256" t="s">
        <v>31</v>
      </c>
      <c r="P284" s="3256"/>
      <c r="Q284" s="3256"/>
      <c r="R284" s="3256" t="s">
        <v>31</v>
      </c>
      <c r="S284" s="3256" t="s">
        <v>31</v>
      </c>
      <c r="T284" s="3256" t="s">
        <v>31</v>
      </c>
      <c r="U284" s="3256" t="s">
        <v>31</v>
      </c>
      <c r="V284" s="3256" t="s">
        <v>31</v>
      </c>
      <c r="W284" s="3256"/>
      <c r="X284" s="3256"/>
      <c r="Y284" s="3256" t="s">
        <v>31</v>
      </c>
      <c r="Z284" s="3256"/>
      <c r="AA284" s="3256"/>
      <c r="AB284" s="3256"/>
      <c r="AC284" s="3256" t="s">
        <v>31</v>
      </c>
      <c r="AD284" s="3256"/>
      <c r="AE284" s="3256"/>
      <c r="AF284" s="3256" t="s">
        <v>31</v>
      </c>
      <c r="AG284" s="3256"/>
      <c r="AH284" s="131"/>
      <c r="AI284" s="125"/>
    </row>
    <row r="285" spans="1:35" ht="24" customHeight="1">
      <c r="A285" s="3496"/>
      <c r="B285" s="3534" t="s">
        <v>342</v>
      </c>
      <c r="C285" s="3256"/>
      <c r="D285" s="3427" t="s">
        <v>31</v>
      </c>
      <c r="E285" s="3256" t="s">
        <v>31</v>
      </c>
      <c r="F285" s="3256" t="s">
        <v>31</v>
      </c>
      <c r="G285" s="3256" t="s">
        <v>31</v>
      </c>
      <c r="H285" s="3256" t="s">
        <v>31</v>
      </c>
      <c r="I285" s="3256"/>
      <c r="J285" s="3256"/>
      <c r="K285" s="3256" t="s">
        <v>31</v>
      </c>
      <c r="L285" s="3256" t="s">
        <v>31</v>
      </c>
      <c r="M285" s="3256" t="s">
        <v>31</v>
      </c>
      <c r="N285" s="3256" t="s">
        <v>31</v>
      </c>
      <c r="O285" s="3256" t="s">
        <v>31</v>
      </c>
      <c r="P285" s="3256"/>
      <c r="Q285" s="3256"/>
      <c r="R285" s="3256" t="s">
        <v>31</v>
      </c>
      <c r="S285" s="3256" t="s">
        <v>31</v>
      </c>
      <c r="T285" s="3256" t="s">
        <v>31</v>
      </c>
      <c r="U285" s="3256" t="s">
        <v>31</v>
      </c>
      <c r="V285" s="3256" t="s">
        <v>31</v>
      </c>
      <c r="W285" s="3256"/>
      <c r="X285" s="3256"/>
      <c r="Y285" s="3427" t="s">
        <v>31</v>
      </c>
      <c r="Z285" s="3256"/>
      <c r="AA285" s="3256"/>
      <c r="AB285" s="3256"/>
      <c r="AC285" s="3423" t="s">
        <v>31</v>
      </c>
      <c r="AD285" s="3256"/>
      <c r="AE285" s="3256"/>
      <c r="AF285" s="3256" t="s">
        <v>31</v>
      </c>
      <c r="AG285" s="3256"/>
      <c r="AH285" s="131"/>
      <c r="AI285" s="125"/>
    </row>
    <row r="286" spans="1:35" ht="24" customHeight="1">
      <c r="A286" s="3496"/>
      <c r="B286" s="3534" t="s">
        <v>343</v>
      </c>
      <c r="C286" s="3256"/>
      <c r="D286" s="3462" t="s">
        <v>31</v>
      </c>
      <c r="E286" s="3256" t="s">
        <v>31</v>
      </c>
      <c r="F286" s="3256" t="s">
        <v>31</v>
      </c>
      <c r="G286" s="3256" t="s">
        <v>31</v>
      </c>
      <c r="H286" s="3256" t="s">
        <v>31</v>
      </c>
      <c r="I286" s="3256"/>
      <c r="J286" s="3256"/>
      <c r="K286" s="3256" t="s">
        <v>31</v>
      </c>
      <c r="L286" s="3256" t="s">
        <v>31</v>
      </c>
      <c r="M286" s="3256" t="s">
        <v>31</v>
      </c>
      <c r="N286" s="3256" t="s">
        <v>31</v>
      </c>
      <c r="O286" s="3256" t="s">
        <v>31</v>
      </c>
      <c r="P286" s="3256"/>
      <c r="Q286" s="3256"/>
      <c r="R286" s="3256" t="s">
        <v>31</v>
      </c>
      <c r="S286" s="3256" t="s">
        <v>31</v>
      </c>
      <c r="T286" s="3256" t="s">
        <v>31</v>
      </c>
      <c r="U286" s="3256" t="s">
        <v>31</v>
      </c>
      <c r="V286" s="3519" t="s">
        <v>31</v>
      </c>
      <c r="W286" s="3521"/>
      <c r="X286" s="3521"/>
      <c r="Y286" s="3519" t="s">
        <v>31</v>
      </c>
      <c r="Z286" s="3521"/>
      <c r="AA286" s="3521"/>
      <c r="AB286" s="3521"/>
      <c r="AC286" s="3535" t="s">
        <v>31</v>
      </c>
      <c r="AD286" s="3521"/>
      <c r="AE286" s="3521"/>
      <c r="AF286" s="3519" t="s">
        <v>31</v>
      </c>
      <c r="AG286" s="3536"/>
      <c r="AH286" s="131"/>
      <c r="AI286" s="125"/>
    </row>
    <row r="287" spans="1:35" ht="24" customHeight="1">
      <c r="A287" s="3496"/>
      <c r="B287" s="3534" t="s">
        <v>344</v>
      </c>
      <c r="C287" s="3256"/>
      <c r="D287" s="3244" t="s">
        <v>31</v>
      </c>
      <c r="E287" s="3244" t="s">
        <v>31</v>
      </c>
      <c r="F287" s="3244" t="s">
        <v>31</v>
      </c>
      <c r="G287" s="3244" t="s">
        <v>31</v>
      </c>
      <c r="H287" s="3244" t="s">
        <v>31</v>
      </c>
      <c r="I287" s="3256"/>
      <c r="J287" s="3256"/>
      <c r="K287" s="3256" t="s">
        <v>31</v>
      </c>
      <c r="L287" s="3256" t="s">
        <v>31</v>
      </c>
      <c r="M287" s="3256" t="s">
        <v>31</v>
      </c>
      <c r="N287" s="3256" t="s">
        <v>31</v>
      </c>
      <c r="O287" s="3256" t="s">
        <v>31</v>
      </c>
      <c r="P287" s="3256"/>
      <c r="Q287" s="3256"/>
      <c r="R287" s="3256" t="s">
        <v>31</v>
      </c>
      <c r="S287" s="3256" t="s">
        <v>31</v>
      </c>
      <c r="T287" s="3256" t="s">
        <v>31</v>
      </c>
      <c r="U287" s="3256" t="s">
        <v>31</v>
      </c>
      <c r="V287" s="3256" t="s">
        <v>31</v>
      </c>
      <c r="W287" s="3256"/>
      <c r="X287" s="3256"/>
      <c r="Y287" s="3519" t="s">
        <v>31</v>
      </c>
      <c r="Z287" s="3256"/>
      <c r="AA287" s="3256"/>
      <c r="AB287" s="3256"/>
      <c r="AC287" s="3519" t="s">
        <v>31</v>
      </c>
      <c r="AD287" s="3256"/>
      <c r="AE287" s="3256"/>
      <c r="AF287" s="3256" t="s">
        <v>31</v>
      </c>
      <c r="AG287" s="2990"/>
      <c r="AH287" s="131"/>
      <c r="AI287" s="125"/>
    </row>
    <row r="288" spans="1:35" ht="24" customHeight="1">
      <c r="A288" s="3496"/>
      <c r="B288" s="3534" t="s">
        <v>345</v>
      </c>
      <c r="C288" s="3256"/>
      <c r="D288" s="3423" t="s">
        <v>31</v>
      </c>
      <c r="E288" s="3423" t="s">
        <v>31</v>
      </c>
      <c r="F288" s="3256" t="s">
        <v>31</v>
      </c>
      <c r="G288" s="3256" t="s">
        <v>31</v>
      </c>
      <c r="H288" s="3256" t="s">
        <v>31</v>
      </c>
      <c r="I288" s="3256"/>
      <c r="J288" s="3256"/>
      <c r="K288" s="3256" t="s">
        <v>31</v>
      </c>
      <c r="L288" s="3256" t="s">
        <v>31</v>
      </c>
      <c r="M288" s="3256" t="s">
        <v>31</v>
      </c>
      <c r="N288" s="3256" t="s">
        <v>31</v>
      </c>
      <c r="O288" s="3256" t="s">
        <v>31</v>
      </c>
      <c r="P288" s="3256"/>
      <c r="Q288" s="3256"/>
      <c r="R288" s="3256" t="s">
        <v>31</v>
      </c>
      <c r="S288" s="3256" t="s">
        <v>31</v>
      </c>
      <c r="T288" s="3256" t="s">
        <v>31</v>
      </c>
      <c r="U288" s="3256" t="s">
        <v>31</v>
      </c>
      <c r="V288" s="3256" t="s">
        <v>31</v>
      </c>
      <c r="W288" s="3256"/>
      <c r="X288" s="3256"/>
      <c r="Y288" s="3519" t="s">
        <v>31</v>
      </c>
      <c r="Z288" s="3256"/>
      <c r="AA288" s="3256"/>
      <c r="AB288" s="3256"/>
      <c r="AC288" s="3519" t="s">
        <v>31</v>
      </c>
      <c r="AD288" s="3256"/>
      <c r="AE288" s="3256"/>
      <c r="AF288" s="3256" t="s">
        <v>31</v>
      </c>
      <c r="AG288" s="2990"/>
      <c r="AH288" s="131"/>
      <c r="AI288" s="125"/>
    </row>
    <row r="289" spans="1:35" ht="24" customHeight="1">
      <c r="A289" s="3496"/>
      <c r="B289" s="3534" t="s">
        <v>346</v>
      </c>
      <c r="C289" s="3256"/>
      <c r="D289" s="3462" t="s">
        <v>31</v>
      </c>
      <c r="E289" s="3256" t="s">
        <v>31</v>
      </c>
      <c r="F289" s="3256" t="s">
        <v>31</v>
      </c>
      <c r="G289" s="3256" t="s">
        <v>31</v>
      </c>
      <c r="H289" s="3256" t="s">
        <v>31</v>
      </c>
      <c r="I289" s="3256"/>
      <c r="J289" s="3256"/>
      <c r="K289" s="3256" t="s">
        <v>31</v>
      </c>
      <c r="L289" s="3256" t="s">
        <v>31</v>
      </c>
      <c r="M289" s="3256" t="s">
        <v>31</v>
      </c>
      <c r="N289" s="3256" t="s">
        <v>31</v>
      </c>
      <c r="O289" s="3256" t="s">
        <v>31</v>
      </c>
      <c r="P289" s="3256"/>
      <c r="Q289" s="3256"/>
      <c r="R289" s="3256" t="s">
        <v>31</v>
      </c>
      <c r="S289" s="3256" t="s">
        <v>31</v>
      </c>
      <c r="T289" s="3256" t="s">
        <v>31</v>
      </c>
      <c r="U289" s="3256" t="s">
        <v>31</v>
      </c>
      <c r="V289" s="3256" t="s">
        <v>31</v>
      </c>
      <c r="W289" s="3256"/>
      <c r="X289" s="3256"/>
      <c r="Y289" s="3423" t="s">
        <v>31</v>
      </c>
      <c r="Z289" s="3256"/>
      <c r="AA289" s="3256"/>
      <c r="AB289" s="3256"/>
      <c r="AC289" s="3423" t="s">
        <v>31</v>
      </c>
      <c r="AD289" s="3256"/>
      <c r="AE289" s="3256"/>
      <c r="AF289" s="3256" t="s">
        <v>31</v>
      </c>
      <c r="AG289" s="2990"/>
      <c r="AH289" s="131"/>
      <c r="AI289" s="125"/>
    </row>
    <row r="290" spans="1:35" ht="24" customHeight="1">
      <c r="A290" s="3496"/>
      <c r="B290" s="3518"/>
      <c r="C290" s="3316"/>
      <c r="D290" s="3316" t="s">
        <v>31</v>
      </c>
      <c r="E290" s="3256" t="s">
        <v>31</v>
      </c>
      <c r="F290" s="3256" t="s">
        <v>31</v>
      </c>
      <c r="G290" s="3256" t="s">
        <v>31</v>
      </c>
      <c r="H290" s="3256" t="s">
        <v>31</v>
      </c>
      <c r="I290" s="3256"/>
      <c r="J290" s="3256"/>
      <c r="K290" s="3256" t="s">
        <v>31</v>
      </c>
      <c r="L290" s="3256" t="s">
        <v>31</v>
      </c>
      <c r="M290" s="3256" t="s">
        <v>31</v>
      </c>
      <c r="N290" s="3256" t="s">
        <v>31</v>
      </c>
      <c r="O290" s="3256" t="s">
        <v>31</v>
      </c>
      <c r="P290" s="3256"/>
      <c r="Q290" s="3256"/>
      <c r="R290" s="3256" t="s">
        <v>31</v>
      </c>
      <c r="S290" s="3256" t="s">
        <v>31</v>
      </c>
      <c r="T290" s="3256" t="s">
        <v>31</v>
      </c>
      <c r="U290" s="3256" t="s">
        <v>31</v>
      </c>
      <c r="V290" s="3256" t="s">
        <v>31</v>
      </c>
      <c r="W290" s="3256"/>
      <c r="X290" s="3256"/>
      <c r="Y290" s="3256" t="s">
        <v>31</v>
      </c>
      <c r="Z290" s="3256"/>
      <c r="AA290" s="3256"/>
      <c r="AB290" s="3256"/>
      <c r="AC290" s="3256" t="s">
        <v>31</v>
      </c>
      <c r="AD290" s="3256"/>
      <c r="AE290" s="3256"/>
      <c r="AF290" s="3256" t="s">
        <v>31</v>
      </c>
      <c r="AG290" s="2990"/>
      <c r="AH290" s="131"/>
      <c r="AI290" s="125"/>
    </row>
    <row r="291" spans="1:35" ht="24" customHeight="1">
      <c r="A291" s="3496"/>
      <c r="B291" s="3537" t="s">
        <v>348</v>
      </c>
      <c r="C291" s="3256"/>
      <c r="D291" s="3244" t="s">
        <v>31</v>
      </c>
      <c r="E291" s="3244" t="s">
        <v>31</v>
      </c>
      <c r="F291" s="3244" t="s">
        <v>31</v>
      </c>
      <c r="G291" s="3244" t="s">
        <v>31</v>
      </c>
      <c r="H291" s="3244" t="s">
        <v>31</v>
      </c>
      <c r="I291" s="3256"/>
      <c r="J291" s="3256"/>
      <c r="K291" s="3256" t="s">
        <v>31</v>
      </c>
      <c r="L291" s="3256" t="s">
        <v>31</v>
      </c>
      <c r="M291" s="3256" t="s">
        <v>31</v>
      </c>
      <c r="N291" s="3256" t="s">
        <v>31</v>
      </c>
      <c r="O291" s="3256" t="s">
        <v>31</v>
      </c>
      <c r="P291" s="3256"/>
      <c r="Q291" s="3256"/>
      <c r="R291" s="3256" t="s">
        <v>31</v>
      </c>
      <c r="S291" s="3256" t="s">
        <v>31</v>
      </c>
      <c r="T291" s="3256" t="s">
        <v>31</v>
      </c>
      <c r="U291" s="3256" t="s">
        <v>31</v>
      </c>
      <c r="V291" s="3256" t="s">
        <v>31</v>
      </c>
      <c r="W291" s="3256"/>
      <c r="X291" s="3256"/>
      <c r="Y291" s="3427" t="s">
        <v>31</v>
      </c>
      <c r="Z291" s="3256"/>
      <c r="AA291" s="3256"/>
      <c r="AB291" s="3256"/>
      <c r="AC291" s="3423" t="s">
        <v>31</v>
      </c>
      <c r="AD291" s="3256"/>
      <c r="AE291" s="3256"/>
      <c r="AF291" s="3256" t="s">
        <v>31</v>
      </c>
      <c r="AG291" s="2990"/>
      <c r="AH291" s="131"/>
      <c r="AI291" s="125"/>
    </row>
    <row r="292" spans="1:35" ht="24" customHeight="1">
      <c r="A292" s="3496"/>
      <c r="B292" s="3418" t="s">
        <v>349</v>
      </c>
      <c r="C292" s="3256"/>
      <c r="D292" s="3462" t="s">
        <v>31</v>
      </c>
      <c r="E292" s="3256" t="s">
        <v>31</v>
      </c>
      <c r="F292" s="3256" t="s">
        <v>31</v>
      </c>
      <c r="G292" s="3256" t="s">
        <v>31</v>
      </c>
      <c r="H292" s="3256" t="s">
        <v>31</v>
      </c>
      <c r="I292" s="3256"/>
      <c r="J292" s="3256"/>
      <c r="K292" s="3256" t="s">
        <v>31</v>
      </c>
      <c r="L292" s="3256" t="s">
        <v>31</v>
      </c>
      <c r="M292" s="3256" t="s">
        <v>31</v>
      </c>
      <c r="N292" s="3256" t="s">
        <v>31</v>
      </c>
      <c r="O292" s="3256" t="s">
        <v>31</v>
      </c>
      <c r="P292" s="3256"/>
      <c r="Q292" s="3256"/>
      <c r="R292" s="3256" t="s">
        <v>31</v>
      </c>
      <c r="S292" s="3256" t="s">
        <v>31</v>
      </c>
      <c r="T292" s="3256" t="s">
        <v>31</v>
      </c>
      <c r="U292" s="3256" t="s">
        <v>31</v>
      </c>
      <c r="V292" s="3256" t="s">
        <v>31</v>
      </c>
      <c r="W292" s="3256"/>
      <c r="X292" s="3256"/>
      <c r="Y292" s="3256" t="s">
        <v>31</v>
      </c>
      <c r="Z292" s="3256"/>
      <c r="AA292" s="3256"/>
      <c r="AB292" s="3256"/>
      <c r="AC292" s="3256" t="s">
        <v>31</v>
      </c>
      <c r="AD292" s="3256"/>
      <c r="AE292" s="3256"/>
      <c r="AF292" s="3256" t="s">
        <v>31</v>
      </c>
      <c r="AG292" s="2990"/>
      <c r="AH292" s="131"/>
      <c r="AI292" s="125"/>
    </row>
    <row r="293" spans="1:35" ht="24" customHeight="1">
      <c r="A293" s="3496"/>
      <c r="B293" s="3537"/>
      <c r="C293" s="3256"/>
      <c r="D293" s="3462"/>
      <c r="E293" s="3256"/>
      <c r="F293" s="3256"/>
      <c r="G293" s="3256"/>
      <c r="H293" s="3256"/>
      <c r="I293" s="3256"/>
      <c r="J293" s="3256"/>
      <c r="K293" s="3256"/>
      <c r="L293" s="3256"/>
      <c r="M293" s="3256"/>
      <c r="N293" s="3256"/>
      <c r="O293" s="3256"/>
      <c r="P293" s="3256"/>
      <c r="Q293" s="3256"/>
      <c r="R293" s="3256"/>
      <c r="S293" s="3256"/>
      <c r="T293" s="3256"/>
      <c r="U293" s="3256"/>
      <c r="V293" s="3256"/>
      <c r="W293" s="3256"/>
      <c r="X293" s="3256"/>
      <c r="Y293" s="3256"/>
      <c r="Z293" s="3256"/>
      <c r="AA293" s="3256"/>
      <c r="AB293" s="3256"/>
      <c r="AC293" s="3256"/>
      <c r="AD293" s="3256"/>
      <c r="AE293" s="3256"/>
      <c r="AF293" s="3256"/>
      <c r="AG293" s="2990"/>
      <c r="AH293" s="131"/>
      <c r="AI293" s="125"/>
    </row>
    <row r="294" spans="1:35" ht="24" customHeight="1">
      <c r="A294" s="3008"/>
      <c r="B294" s="3537"/>
      <c r="C294" s="2990"/>
      <c r="D294" s="2990"/>
      <c r="E294" s="2990"/>
      <c r="F294" s="2990"/>
      <c r="G294" s="2990"/>
      <c r="H294" s="2990"/>
      <c r="I294" s="2990"/>
      <c r="J294" s="2990"/>
      <c r="K294" s="2990"/>
      <c r="L294" s="2990"/>
      <c r="M294" s="2990"/>
      <c r="N294" s="2840"/>
      <c r="O294" s="2840"/>
      <c r="P294" s="2990"/>
      <c r="Q294" s="2990"/>
      <c r="R294" s="2990"/>
      <c r="S294" s="2990"/>
      <c r="T294" s="2990"/>
      <c r="U294" s="2990"/>
      <c r="V294" s="2990"/>
      <c r="W294" s="2990"/>
      <c r="X294" s="2990"/>
      <c r="Y294" s="2990"/>
      <c r="Z294" s="2990"/>
      <c r="AA294" s="2990"/>
      <c r="AB294" s="2840"/>
      <c r="AC294" s="2840"/>
      <c r="AD294" s="2990"/>
      <c r="AE294" s="2990"/>
      <c r="AF294" s="2990"/>
      <c r="AG294" s="2990"/>
      <c r="AH294" s="131"/>
      <c r="AI294" s="127"/>
    </row>
    <row r="295" spans="1:35" ht="24" customHeight="1" thickBot="1">
      <c r="A295" s="414"/>
      <c r="B295" s="415"/>
      <c r="C295" s="3526"/>
      <c r="D295" s="3527"/>
      <c r="E295" s="3527"/>
      <c r="F295" s="3527"/>
      <c r="G295" s="3527"/>
      <c r="H295" s="3527"/>
      <c r="I295" s="3527"/>
      <c r="J295" s="3527"/>
      <c r="K295" s="3527"/>
      <c r="L295" s="3527"/>
      <c r="M295" s="3527"/>
      <c r="N295" s="3528"/>
      <c r="O295" s="3528"/>
      <c r="P295" s="3527"/>
      <c r="Q295" s="3527"/>
      <c r="R295" s="3527"/>
      <c r="S295" s="3527"/>
      <c r="T295" s="3527"/>
      <c r="U295" s="3527"/>
      <c r="V295" s="3527"/>
      <c r="W295" s="3527"/>
      <c r="X295" s="3527"/>
      <c r="Y295" s="3527"/>
      <c r="Z295" s="3527"/>
      <c r="AA295" s="3527"/>
      <c r="AB295" s="3528"/>
      <c r="AC295" s="3528"/>
      <c r="AD295" s="3527"/>
      <c r="AE295" s="3527"/>
      <c r="AF295" s="3527"/>
      <c r="AG295" s="3527"/>
      <c r="AH295" s="131"/>
      <c r="AI295" s="127"/>
    </row>
    <row r="296" spans="1:35" ht="24" customHeight="1"/>
  </sheetData>
  <sheetProtection algorithmName="SHA-512" hashValue="5gQ5OTYOOQx/HFqkUBE/AkNJTjlnclmanZS7v6rlEjdztQgFjIENpgxZReeDXm7/Fpx0mwH3XvCc5XkUklonSQ==" saltValue="bV/Q/IWbps5A+0UJmnJiWg==" spinCount="100000" sheet="1" objects="1" scenarios="1"/>
  <protectedRanges>
    <protectedRange sqref="B221" name="Område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19:B120" name="Område1_3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22:B123" name="Område1_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</protectedRanges>
  <mergeCells count="1">
    <mergeCell ref="T31:Z31"/>
  </mergeCells>
  <pageMargins left="0.7" right="0.7" top="0.75" bottom="0.75" header="0.3" footer="0.3"/>
  <pageSetup paperSize="9" scale="10" orientation="landscape" r:id="rId1"/>
  <ignoredErrors>
    <ignoredError sqref="X101" numberStoredAsText="1"/>
  </ignoredErrors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F5313-AEC1-4B7A-939D-2DB5904A39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2171C-4ADF-4DB4-8A52-FC754ECB1A8C}">
  <sheetPr codeName="Ark3">
    <pageSetUpPr fitToPage="1"/>
  </sheetPr>
  <dimension ref="A1:AI292"/>
  <sheetViews>
    <sheetView topLeftCell="A240" zoomScale="70" zoomScaleNormal="70" workbookViewId="0">
      <selection activeCell="A244" sqref="A244:AH269"/>
    </sheetView>
  </sheetViews>
  <sheetFormatPr defaultRowHeight="15"/>
  <cols>
    <col min="2" max="2" width="27.28515625" customWidth="1"/>
    <col min="3" max="35" width="5.28515625" customWidth="1"/>
  </cols>
  <sheetData>
    <row r="1" spans="1:35" ht="18" customHeight="1">
      <c r="A1" t="s">
        <v>0</v>
      </c>
      <c r="B1" s="1" t="s">
        <v>1</v>
      </c>
    </row>
    <row r="2" spans="1:35" ht="18" customHeight="1">
      <c r="B2" s="3538" t="s">
        <v>2</v>
      </c>
      <c r="C2" s="3539" t="s">
        <v>3</v>
      </c>
      <c r="D2" s="3540"/>
      <c r="E2" s="3541" t="s">
        <v>4</v>
      </c>
      <c r="F2" s="3542"/>
      <c r="G2" s="3543"/>
      <c r="H2" s="3543"/>
      <c r="I2" s="3543"/>
      <c r="J2" s="3543"/>
      <c r="K2" s="3544"/>
      <c r="L2" s="3545" t="s">
        <v>5</v>
      </c>
      <c r="M2" s="3546"/>
      <c r="N2" s="3547"/>
      <c r="O2" s="3548" t="s">
        <v>6</v>
      </c>
      <c r="P2" s="3549"/>
      <c r="Q2" s="3550"/>
      <c r="R2" s="3551"/>
      <c r="S2" s="3552" t="s">
        <v>7</v>
      </c>
      <c r="T2" s="3553"/>
      <c r="U2" s="3554"/>
      <c r="V2" s="3553"/>
      <c r="W2" s="3555" t="s">
        <v>8</v>
      </c>
      <c r="X2" s="3556"/>
      <c r="Y2" s="3557"/>
      <c r="Z2" s="2" t="s">
        <v>9</v>
      </c>
      <c r="AA2" s="3558"/>
      <c r="AB2" s="3559"/>
      <c r="AC2" s="3560"/>
      <c r="AD2" s="3561" t="s">
        <v>10</v>
      </c>
      <c r="AE2" s="3562"/>
      <c r="AF2" s="3562"/>
      <c r="AG2" s="3563"/>
    </row>
    <row r="3" spans="1:35" ht="18" customHeight="1">
      <c r="A3" s="1"/>
      <c r="B3" s="3564" t="s">
        <v>11</v>
      </c>
      <c r="C3" s="3565" t="s">
        <v>12</v>
      </c>
      <c r="D3" s="3566"/>
      <c r="E3" s="3"/>
      <c r="F3" s="4"/>
      <c r="G3" s="4"/>
      <c r="H3" s="5" t="s">
        <v>13</v>
      </c>
      <c r="I3" s="6"/>
      <c r="J3" s="6"/>
      <c r="K3" s="7"/>
      <c r="L3" s="3567" t="s">
        <v>14</v>
      </c>
      <c r="M3" s="3568"/>
      <c r="N3" s="3569"/>
      <c r="O3" s="6"/>
      <c r="P3" s="6"/>
      <c r="Q3" s="6"/>
      <c r="R3" s="6"/>
      <c r="S3" s="8"/>
      <c r="T3" s="9" t="s">
        <v>15</v>
      </c>
      <c r="U3" s="10"/>
      <c r="V3" s="11"/>
      <c r="W3" s="12"/>
      <c r="X3" s="13"/>
      <c r="Y3" s="5" t="s">
        <v>16</v>
      </c>
      <c r="Z3" s="3568"/>
      <c r="AA3" s="3568"/>
      <c r="AB3" s="3570"/>
      <c r="AC3" s="3571"/>
      <c r="AD3" s="3572" t="s">
        <v>17</v>
      </c>
      <c r="AE3" s="3573"/>
      <c r="AF3" s="3573"/>
      <c r="AG3" s="3574"/>
    </row>
    <row r="4" spans="1:35" ht="18" customHeight="1">
      <c r="A4" s="14" t="s">
        <v>18</v>
      </c>
      <c r="B4" s="15"/>
      <c r="C4" s="16"/>
      <c r="D4" s="17"/>
      <c r="E4" s="17"/>
      <c r="F4" s="17"/>
      <c r="G4" s="17"/>
      <c r="H4" s="16"/>
      <c r="I4" s="17"/>
      <c r="J4" s="17"/>
      <c r="K4" s="18"/>
      <c r="L4" s="17"/>
      <c r="M4" s="18"/>
      <c r="N4" s="18"/>
      <c r="O4" s="17"/>
      <c r="P4" s="17"/>
      <c r="Q4" s="17"/>
      <c r="R4" s="17"/>
      <c r="T4" s="18"/>
      <c r="U4" s="16"/>
      <c r="W4" s="17"/>
      <c r="X4" s="17"/>
      <c r="Y4" s="16"/>
      <c r="Z4" s="17"/>
      <c r="AB4" s="17"/>
      <c r="AC4" s="17"/>
      <c r="AD4" s="17"/>
      <c r="AE4" s="17"/>
      <c r="AF4" s="17"/>
      <c r="AG4" s="17"/>
    </row>
    <row r="5" spans="1:35" ht="18" customHeight="1">
      <c r="A5" s="14" t="s">
        <v>19</v>
      </c>
      <c r="B5" s="1"/>
    </row>
    <row r="6" spans="1:35" ht="18" customHeight="1">
      <c r="A6" s="3575" t="s">
        <v>20</v>
      </c>
      <c r="B6" s="3568"/>
      <c r="C6" s="3576"/>
      <c r="D6" s="3575" t="s">
        <v>21</v>
      </c>
      <c r="E6" s="3568"/>
      <c r="F6" s="3568"/>
      <c r="G6" s="3568"/>
      <c r="H6" s="3437"/>
      <c r="I6" s="3568"/>
      <c r="J6" s="3568"/>
      <c r="K6" s="3568"/>
      <c r="L6" s="3577" t="s">
        <v>22</v>
      </c>
      <c r="M6" s="3568"/>
      <c r="N6" s="3568"/>
      <c r="O6" s="3568"/>
      <c r="P6" s="3568"/>
      <c r="Q6" s="3568"/>
      <c r="R6" s="3568"/>
      <c r="S6" s="3576"/>
      <c r="T6" s="3578"/>
      <c r="U6" s="3568"/>
      <c r="V6" s="3568"/>
      <c r="W6" s="3568"/>
      <c r="X6" s="3568"/>
      <c r="Y6" s="3568"/>
      <c r="Z6" s="3568"/>
      <c r="AA6" s="3576"/>
      <c r="AB6" s="3579"/>
      <c r="AC6" s="3580"/>
      <c r="AD6" s="3580"/>
      <c r="AE6" s="3580"/>
      <c r="AF6" s="3580"/>
      <c r="AG6" s="3581"/>
    </row>
    <row r="7" spans="1:35" ht="18" customHeight="1">
      <c r="A7" s="3575" t="s">
        <v>23</v>
      </c>
      <c r="B7" s="3568"/>
      <c r="C7" s="3568"/>
      <c r="D7" s="3568"/>
      <c r="E7" s="3568"/>
      <c r="F7" s="3568"/>
      <c r="G7" s="3568"/>
      <c r="H7" s="3568"/>
      <c r="I7" s="3568"/>
      <c r="J7" s="3568"/>
      <c r="K7" s="3576"/>
      <c r="L7" s="19" t="s">
        <v>24</v>
      </c>
      <c r="M7" s="8"/>
      <c r="N7" s="8"/>
      <c r="O7" s="8"/>
      <c r="P7" s="8"/>
      <c r="Q7" s="8"/>
      <c r="R7" s="8"/>
      <c r="S7" s="8"/>
      <c r="T7" s="8"/>
      <c r="U7" s="3568"/>
      <c r="V7" s="3568"/>
      <c r="W7" s="3568"/>
      <c r="X7" s="3568"/>
      <c r="Y7" s="3568"/>
      <c r="Z7" s="3568"/>
      <c r="AA7" s="3568"/>
      <c r="AB7" s="3582"/>
      <c r="AC7" s="3568"/>
      <c r="AD7" s="3568"/>
      <c r="AE7" s="3568"/>
      <c r="AF7" s="3568"/>
      <c r="AG7" s="3576"/>
    </row>
    <row r="8" spans="1:35" ht="18" customHeight="1">
      <c r="A8" s="14" t="s">
        <v>25</v>
      </c>
      <c r="L8" s="20"/>
      <c r="AB8" s="1"/>
    </row>
    <row r="9" spans="1:35" ht="18" customHeight="1">
      <c r="A9" s="14" t="s">
        <v>26</v>
      </c>
      <c r="L9" s="20"/>
      <c r="AB9" s="1"/>
    </row>
    <row r="10" spans="1:35" ht="18" customHeight="1">
      <c r="B10" s="21" t="s">
        <v>27</v>
      </c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</row>
    <row r="11" spans="1:35" ht="18" customHeight="1" thickBot="1">
      <c r="A11" s="3583" t="s">
        <v>28</v>
      </c>
      <c r="B11" s="3584" t="s">
        <v>29</v>
      </c>
      <c r="C11" s="3411">
        <v>1</v>
      </c>
      <c r="D11" s="3411">
        <v>2</v>
      </c>
      <c r="E11" s="3411">
        <v>3</v>
      </c>
      <c r="F11" s="3411">
        <v>4</v>
      </c>
      <c r="G11" s="3411">
        <v>5</v>
      </c>
      <c r="H11" s="3410">
        <v>6</v>
      </c>
      <c r="I11" s="3410">
        <v>7</v>
      </c>
      <c r="J11" s="3411">
        <v>8</v>
      </c>
      <c r="K11" s="3411">
        <v>9</v>
      </c>
      <c r="L11" s="3411">
        <v>10</v>
      </c>
      <c r="M11" s="3411">
        <v>11</v>
      </c>
      <c r="N11" s="3411">
        <v>12</v>
      </c>
      <c r="O11" s="3410">
        <v>13</v>
      </c>
      <c r="P11" s="3410">
        <v>14</v>
      </c>
      <c r="Q11" s="3411">
        <v>15</v>
      </c>
      <c r="R11" s="3411">
        <v>16</v>
      </c>
      <c r="S11" s="3411">
        <v>17</v>
      </c>
      <c r="T11" s="3411">
        <v>18</v>
      </c>
      <c r="U11" s="3411">
        <v>19</v>
      </c>
      <c r="V11" s="3410">
        <v>20</v>
      </c>
      <c r="W11" s="3410">
        <v>21</v>
      </c>
      <c r="X11" s="3411">
        <v>22</v>
      </c>
      <c r="Y11" s="3411">
        <v>23</v>
      </c>
      <c r="Z11" s="3411">
        <v>24</v>
      </c>
      <c r="AA11" s="3411">
        <v>25</v>
      </c>
      <c r="AB11" s="3411">
        <v>26</v>
      </c>
      <c r="AC11" s="3410">
        <v>27</v>
      </c>
      <c r="AD11" s="3410">
        <v>28</v>
      </c>
      <c r="AE11" s="3411">
        <v>29</v>
      </c>
      <c r="AF11" s="3411">
        <v>30</v>
      </c>
      <c r="AG11" s="3585">
        <v>31</v>
      </c>
      <c r="AH11" s="23"/>
      <c r="AI11" s="24"/>
    </row>
    <row r="12" spans="1:35" ht="18" customHeight="1">
      <c r="A12" s="3586">
        <v>8500</v>
      </c>
      <c r="B12" s="3587" t="s">
        <v>30</v>
      </c>
      <c r="C12" s="3588" t="s">
        <v>31</v>
      </c>
      <c r="D12" s="3588" t="s">
        <v>31</v>
      </c>
      <c r="E12" s="3588" t="s">
        <v>31</v>
      </c>
      <c r="F12" s="3588" t="s">
        <v>31</v>
      </c>
      <c r="G12" s="3588" t="s">
        <v>31</v>
      </c>
      <c r="H12" s="3588"/>
      <c r="I12" s="3588"/>
      <c r="J12" s="3588" t="s">
        <v>31</v>
      </c>
      <c r="K12" s="3588" t="s">
        <v>31</v>
      </c>
      <c r="L12" s="3588" t="s">
        <v>31</v>
      </c>
      <c r="M12" s="3588" t="s">
        <v>31</v>
      </c>
      <c r="N12" s="3588" t="s">
        <v>31</v>
      </c>
      <c r="O12" s="3588"/>
      <c r="P12" s="3588"/>
      <c r="Q12" s="3588" t="s">
        <v>31</v>
      </c>
      <c r="R12" s="3588" t="s">
        <v>31</v>
      </c>
      <c r="S12" s="3588" t="s">
        <v>31</v>
      </c>
      <c r="T12" s="3588" t="s">
        <v>31</v>
      </c>
      <c r="U12" s="3588" t="s">
        <v>31</v>
      </c>
      <c r="V12" s="3588"/>
      <c r="W12" s="3588"/>
      <c r="X12" s="3589" t="s">
        <v>31</v>
      </c>
      <c r="Y12" s="3589" t="s">
        <v>31</v>
      </c>
      <c r="Z12" s="3589" t="s">
        <v>31</v>
      </c>
      <c r="AA12" s="3589" t="s">
        <v>31</v>
      </c>
      <c r="AB12" s="3589" t="s">
        <v>31</v>
      </c>
      <c r="AC12" s="3590"/>
      <c r="AD12" s="3590"/>
      <c r="AE12" s="3590" t="s">
        <v>31</v>
      </c>
      <c r="AF12" s="3590">
        <v>1</v>
      </c>
      <c r="AG12" s="3591">
        <v>1</v>
      </c>
      <c r="AH12" s="25"/>
      <c r="AI12" s="25"/>
    </row>
    <row r="13" spans="1:35" ht="18" customHeight="1">
      <c r="A13" s="3592" t="s">
        <v>32</v>
      </c>
      <c r="B13" s="3593"/>
      <c r="C13" s="3593"/>
      <c r="D13" s="3593"/>
      <c r="E13" s="3593"/>
      <c r="F13" s="3593"/>
      <c r="G13" s="3593"/>
      <c r="H13" s="3593"/>
      <c r="I13" s="3593"/>
      <c r="J13" s="3593"/>
      <c r="K13" s="3593"/>
      <c r="L13" s="3593"/>
      <c r="M13" s="3593"/>
      <c r="N13" s="3593"/>
      <c r="O13" s="3593"/>
      <c r="P13" s="3593"/>
      <c r="Q13" s="3593"/>
      <c r="R13" s="3593"/>
      <c r="S13" s="3593"/>
      <c r="T13" s="3593"/>
      <c r="U13" s="3593"/>
      <c r="V13" s="3593"/>
      <c r="W13" s="3593"/>
      <c r="X13" s="3593"/>
      <c r="Y13" s="3593"/>
      <c r="Z13" s="3593"/>
      <c r="AA13" s="3593"/>
      <c r="AB13" s="3593"/>
      <c r="AC13" s="3593"/>
      <c r="AD13" s="3593"/>
      <c r="AE13" s="3593"/>
      <c r="AF13" s="3593"/>
      <c r="AG13" s="3594"/>
      <c r="AH13" s="26"/>
      <c r="AI13" s="26"/>
    </row>
    <row r="14" spans="1:35" ht="18" customHeight="1">
      <c r="A14" s="27">
        <v>8546</v>
      </c>
      <c r="B14" s="3595" t="s">
        <v>33</v>
      </c>
      <c r="C14" s="3596">
        <v>2</v>
      </c>
      <c r="D14" s="3597">
        <v>2</v>
      </c>
      <c r="E14" s="3598">
        <v>2</v>
      </c>
      <c r="F14" s="3599">
        <v>2</v>
      </c>
      <c r="G14" s="3598">
        <v>2</v>
      </c>
      <c r="H14" s="3598" t="s">
        <v>34</v>
      </c>
      <c r="I14" s="3598" t="s">
        <v>34</v>
      </c>
      <c r="J14" s="3598" t="s">
        <v>35</v>
      </c>
      <c r="K14" s="3596" t="s">
        <v>35</v>
      </c>
      <c r="L14" s="3598" t="s">
        <v>35</v>
      </c>
      <c r="M14" s="3598" t="s">
        <v>35</v>
      </c>
      <c r="N14" s="3598" t="s">
        <v>35</v>
      </c>
      <c r="O14" s="3598"/>
      <c r="P14" s="3598"/>
      <c r="Q14" s="3598">
        <v>4</v>
      </c>
      <c r="R14" s="3598">
        <v>4</v>
      </c>
      <c r="S14" s="3599">
        <v>4</v>
      </c>
      <c r="T14" s="3599">
        <v>4</v>
      </c>
      <c r="U14" s="3598">
        <v>4</v>
      </c>
      <c r="V14" s="3598" t="s">
        <v>36</v>
      </c>
      <c r="W14" s="3598" t="s">
        <v>36</v>
      </c>
      <c r="X14" s="3598" t="s">
        <v>35</v>
      </c>
      <c r="Y14" s="3598" t="s">
        <v>35</v>
      </c>
      <c r="Z14" s="3598" t="s">
        <v>35</v>
      </c>
      <c r="AA14" s="3598" t="s">
        <v>35</v>
      </c>
      <c r="AB14" s="3598" t="s">
        <v>35</v>
      </c>
      <c r="AC14" s="3598"/>
      <c r="AD14" s="3597"/>
      <c r="AE14" s="3600">
        <v>1</v>
      </c>
      <c r="AF14" s="3600">
        <v>1</v>
      </c>
      <c r="AG14" s="3601">
        <v>1</v>
      </c>
      <c r="AH14" s="25"/>
      <c r="AI14" s="25"/>
    </row>
    <row r="15" spans="1:35" ht="18" customHeight="1">
      <c r="A15" s="3602">
        <v>8546</v>
      </c>
      <c r="B15" s="3595" t="s">
        <v>350</v>
      </c>
      <c r="C15" s="3603">
        <v>1</v>
      </c>
      <c r="D15" s="3603">
        <v>1</v>
      </c>
      <c r="E15" s="3603">
        <v>1</v>
      </c>
      <c r="F15" s="3603">
        <v>1</v>
      </c>
      <c r="G15" s="3603">
        <v>1</v>
      </c>
      <c r="H15" s="3597"/>
      <c r="I15" s="3598"/>
      <c r="J15" s="3600">
        <v>2</v>
      </c>
      <c r="K15" s="3600">
        <v>2</v>
      </c>
      <c r="L15" s="3600">
        <v>2</v>
      </c>
      <c r="M15" s="3600">
        <v>2</v>
      </c>
      <c r="N15" s="3600">
        <v>2</v>
      </c>
      <c r="O15" s="3600" t="s">
        <v>34</v>
      </c>
      <c r="P15" s="3600" t="s">
        <v>34</v>
      </c>
      <c r="Q15" s="3600" t="s">
        <v>35</v>
      </c>
      <c r="R15" s="3600" t="s">
        <v>35</v>
      </c>
      <c r="S15" s="3600" t="s">
        <v>35</v>
      </c>
      <c r="T15" s="3600" t="s">
        <v>35</v>
      </c>
      <c r="U15" s="3600" t="s">
        <v>35</v>
      </c>
      <c r="V15" s="3600"/>
      <c r="W15" s="3600"/>
      <c r="X15" s="3600">
        <v>4</v>
      </c>
      <c r="Y15" s="3600">
        <v>4</v>
      </c>
      <c r="Z15" s="3600">
        <v>4</v>
      </c>
      <c r="AA15" s="3600">
        <v>4</v>
      </c>
      <c r="AB15" s="3600">
        <v>4</v>
      </c>
      <c r="AC15" s="3600" t="s">
        <v>36</v>
      </c>
      <c r="AD15" s="3600" t="s">
        <v>36</v>
      </c>
      <c r="AE15" s="3598" t="s">
        <v>35</v>
      </c>
      <c r="AF15" s="3598" t="s">
        <v>35</v>
      </c>
      <c r="AG15" s="3604" t="s">
        <v>35</v>
      </c>
      <c r="AH15" s="25"/>
      <c r="AI15" s="25"/>
    </row>
    <row r="16" spans="1:35" ht="18" customHeight="1">
      <c r="A16" s="3602">
        <v>8546</v>
      </c>
      <c r="B16" s="3595" t="s">
        <v>38</v>
      </c>
      <c r="C16" s="3598">
        <v>4</v>
      </c>
      <c r="D16" s="3598">
        <v>4</v>
      </c>
      <c r="E16" s="3598">
        <v>4</v>
      </c>
      <c r="F16" s="3598">
        <v>4</v>
      </c>
      <c r="G16" s="3598">
        <v>4</v>
      </c>
      <c r="H16" s="3598" t="s">
        <v>36</v>
      </c>
      <c r="I16" s="3598" t="s">
        <v>36</v>
      </c>
      <c r="J16" s="3598" t="s">
        <v>35</v>
      </c>
      <c r="K16" s="3598" t="s">
        <v>35</v>
      </c>
      <c r="L16" s="3598" t="s">
        <v>35</v>
      </c>
      <c r="M16" s="3598" t="s">
        <v>35</v>
      </c>
      <c r="N16" s="3597" t="s">
        <v>35</v>
      </c>
      <c r="O16" s="3597"/>
      <c r="P16" s="3597"/>
      <c r="Q16" s="3597">
        <v>1</v>
      </c>
      <c r="R16" s="3597">
        <v>1</v>
      </c>
      <c r="S16" s="3605">
        <v>1</v>
      </c>
      <c r="T16" s="3605">
        <v>1</v>
      </c>
      <c r="U16" s="3605" t="s">
        <v>398</v>
      </c>
      <c r="V16" s="3598"/>
      <c r="W16" s="3596"/>
      <c r="X16" s="3598">
        <v>2</v>
      </c>
      <c r="Y16" s="3597">
        <v>2</v>
      </c>
      <c r="Z16" s="3597">
        <v>2</v>
      </c>
      <c r="AA16" s="3597">
        <v>2</v>
      </c>
      <c r="AB16" s="3597">
        <v>2</v>
      </c>
      <c r="AC16" s="3597" t="s">
        <v>34</v>
      </c>
      <c r="AD16" s="3598" t="s">
        <v>34</v>
      </c>
      <c r="AE16" s="3598" t="s">
        <v>35</v>
      </c>
      <c r="AF16" s="3598" t="s">
        <v>35</v>
      </c>
      <c r="AG16" s="3604" t="s">
        <v>35</v>
      </c>
      <c r="AH16" s="25"/>
      <c r="AI16" s="25"/>
    </row>
    <row r="17" spans="1:35" ht="18" customHeight="1">
      <c r="A17" s="3602">
        <v>8546</v>
      </c>
      <c r="B17" s="3606" t="s">
        <v>39</v>
      </c>
      <c r="C17" s="3598" t="s">
        <v>35</v>
      </c>
      <c r="D17" s="3596" t="s">
        <v>35</v>
      </c>
      <c r="E17" s="3607" t="s">
        <v>35</v>
      </c>
      <c r="F17" s="3597" t="s">
        <v>35</v>
      </c>
      <c r="G17" s="3608">
        <v>89</v>
      </c>
      <c r="H17" s="3598"/>
      <c r="I17" s="3598"/>
      <c r="J17" s="3598">
        <v>4</v>
      </c>
      <c r="K17" s="3598">
        <v>4</v>
      </c>
      <c r="L17" s="3598">
        <v>4</v>
      </c>
      <c r="M17" s="3598">
        <v>4</v>
      </c>
      <c r="N17" s="3598">
        <v>4</v>
      </c>
      <c r="O17" s="3598" t="s">
        <v>36</v>
      </c>
      <c r="P17" s="3598" t="s">
        <v>36</v>
      </c>
      <c r="Q17" s="3598" t="s">
        <v>35</v>
      </c>
      <c r="R17" s="3598" t="s">
        <v>35</v>
      </c>
      <c r="S17" s="3598" t="s">
        <v>35</v>
      </c>
      <c r="T17" s="3598" t="s">
        <v>35</v>
      </c>
      <c r="U17" s="3598" t="s">
        <v>35</v>
      </c>
      <c r="V17" s="3598"/>
      <c r="W17" s="3598"/>
      <c r="X17" s="3596">
        <v>1</v>
      </c>
      <c r="Y17" s="3598">
        <v>1</v>
      </c>
      <c r="Z17" s="3598">
        <v>1</v>
      </c>
      <c r="AA17" s="3598">
        <v>1</v>
      </c>
      <c r="AB17" s="3598">
        <v>1</v>
      </c>
      <c r="AC17" s="3598"/>
      <c r="AD17" s="3598"/>
      <c r="AE17">
        <v>2</v>
      </c>
      <c r="AF17" s="3598">
        <v>2</v>
      </c>
      <c r="AG17" s="3604">
        <v>2</v>
      </c>
      <c r="AH17" s="25"/>
      <c r="AI17" s="25"/>
    </row>
    <row r="18" spans="1:35" ht="18" customHeight="1">
      <c r="A18" s="3602">
        <v>8546</v>
      </c>
      <c r="B18" s="3595" t="s">
        <v>40</v>
      </c>
      <c r="C18" s="3598" t="s">
        <v>35</v>
      </c>
      <c r="D18" s="3596" t="s">
        <v>35</v>
      </c>
      <c r="E18" s="3598" t="s">
        <v>35</v>
      </c>
      <c r="F18" s="3598" t="s">
        <v>35</v>
      </c>
      <c r="G18" s="3598" t="s">
        <v>35</v>
      </c>
      <c r="H18" s="3598"/>
      <c r="I18" s="3598"/>
      <c r="J18" s="3600">
        <v>1</v>
      </c>
      <c r="K18" s="3600">
        <v>1</v>
      </c>
      <c r="L18" s="3600">
        <v>1</v>
      </c>
      <c r="M18" s="3600">
        <v>1</v>
      </c>
      <c r="N18" s="3600">
        <v>1</v>
      </c>
      <c r="O18" s="3600"/>
      <c r="P18" s="3600"/>
      <c r="Q18" s="3600">
        <v>2</v>
      </c>
      <c r="R18" s="3600">
        <v>2</v>
      </c>
      <c r="S18" s="3600">
        <v>2</v>
      </c>
      <c r="T18" s="3600">
        <v>2</v>
      </c>
      <c r="U18" s="3600">
        <v>2</v>
      </c>
      <c r="V18" s="3600" t="s">
        <v>34</v>
      </c>
      <c r="W18" s="3600" t="s">
        <v>34</v>
      </c>
      <c r="X18" s="3600" t="s">
        <v>35</v>
      </c>
      <c r="Y18" s="3600" t="s">
        <v>35</v>
      </c>
      <c r="Z18" s="3600" t="s">
        <v>35</v>
      </c>
      <c r="AA18" s="3600" t="s">
        <v>35</v>
      </c>
      <c r="AB18" s="3600" t="s">
        <v>35</v>
      </c>
      <c r="AC18" s="3600"/>
      <c r="AD18" s="3600"/>
      <c r="AE18" s="3598">
        <v>4</v>
      </c>
      <c r="AF18" s="3598">
        <v>4</v>
      </c>
      <c r="AG18" s="3604">
        <v>4</v>
      </c>
      <c r="AH18" s="25"/>
      <c r="AI18" s="25"/>
    </row>
    <row r="19" spans="1:35" ht="18" customHeight="1" thickBot="1">
      <c r="A19" s="3609" t="s">
        <v>41</v>
      </c>
      <c r="B19" s="3610"/>
      <c r="C19" s="3611"/>
      <c r="D19" s="3611"/>
      <c r="E19" s="3611"/>
      <c r="F19" s="3611"/>
      <c r="G19" s="3611"/>
      <c r="H19" s="3611"/>
      <c r="I19" s="3611"/>
      <c r="J19" s="3611"/>
      <c r="K19" s="3611"/>
      <c r="L19" s="3611"/>
      <c r="M19" s="3611"/>
      <c r="N19" s="3611"/>
      <c r="O19" s="3611"/>
      <c r="P19" s="3611"/>
      <c r="Q19" s="3611"/>
      <c r="R19" s="3611"/>
      <c r="S19" s="3611"/>
      <c r="T19" s="3611"/>
      <c r="U19" s="3611"/>
      <c r="V19" s="3611"/>
      <c r="W19" s="3611"/>
      <c r="X19" s="3611"/>
      <c r="Y19" s="3611"/>
      <c r="Z19" s="3611"/>
      <c r="AA19" s="3611"/>
      <c r="AB19" s="3611"/>
      <c r="AC19" s="3611"/>
      <c r="AD19" s="3611"/>
      <c r="AE19" s="3611"/>
      <c r="AF19" s="3611"/>
      <c r="AG19" s="3612"/>
      <c r="AH19" s="26"/>
      <c r="AI19" s="26"/>
    </row>
    <row r="20" spans="1:35" ht="18" customHeight="1">
      <c r="A20" s="3613">
        <v>8500</v>
      </c>
      <c r="B20" s="3614" t="s">
        <v>37</v>
      </c>
      <c r="C20" s="3615" t="s">
        <v>31</v>
      </c>
      <c r="D20" s="3615" t="s">
        <v>31</v>
      </c>
      <c r="E20" s="3615" t="s">
        <v>31</v>
      </c>
      <c r="F20" s="3615" t="s">
        <v>31</v>
      </c>
      <c r="G20" s="3615" t="s">
        <v>31</v>
      </c>
      <c r="H20" s="3615"/>
      <c r="I20" s="3615"/>
      <c r="J20" s="3596">
        <v>2</v>
      </c>
      <c r="K20" s="3597">
        <v>2</v>
      </c>
      <c r="L20" s="3598">
        <v>2</v>
      </c>
      <c r="M20" s="3599">
        <v>2</v>
      </c>
      <c r="N20" s="3598">
        <v>2</v>
      </c>
      <c r="O20" s="3598" t="s">
        <v>34</v>
      </c>
      <c r="P20" s="3598" t="s">
        <v>34</v>
      </c>
      <c r="Q20" s="3598" t="s">
        <v>35</v>
      </c>
      <c r="R20" s="3596" t="s">
        <v>35</v>
      </c>
      <c r="S20" s="3598" t="s">
        <v>35</v>
      </c>
      <c r="T20" s="3598" t="s">
        <v>35</v>
      </c>
      <c r="U20" s="3598" t="s">
        <v>35</v>
      </c>
      <c r="V20" s="3598"/>
      <c r="W20" s="3598"/>
      <c r="X20" s="3598">
        <v>4</v>
      </c>
      <c r="Y20" s="3598">
        <v>4</v>
      </c>
      <c r="Z20" s="3599">
        <v>4</v>
      </c>
      <c r="AA20" s="3599">
        <v>4</v>
      </c>
      <c r="AB20" s="3598">
        <v>4</v>
      </c>
      <c r="AC20" s="3598" t="s">
        <v>36</v>
      </c>
      <c r="AD20" s="3598" t="s">
        <v>36</v>
      </c>
      <c r="AE20" s="3616" t="s">
        <v>35</v>
      </c>
      <c r="AF20" s="3616" t="s">
        <v>35</v>
      </c>
      <c r="AG20" s="3617" t="s">
        <v>35</v>
      </c>
      <c r="AH20" s="25"/>
      <c r="AI20" s="25"/>
    </row>
    <row r="21" spans="1:35" ht="18" customHeight="1">
      <c r="A21" s="3618">
        <v>8500</v>
      </c>
      <c r="B21" s="3619" t="s">
        <v>42</v>
      </c>
      <c r="C21" s="3428" t="s">
        <v>31</v>
      </c>
      <c r="D21" s="3428" t="s">
        <v>31</v>
      </c>
      <c r="E21" s="3428" t="s">
        <v>251</v>
      </c>
      <c r="F21" s="3429" t="s">
        <v>31</v>
      </c>
      <c r="G21" s="3620" t="s">
        <v>31</v>
      </c>
      <c r="H21" s="3621"/>
      <c r="I21" s="3621"/>
      <c r="J21" s="3428" t="s">
        <v>31</v>
      </c>
      <c r="K21" s="3428">
        <v>69</v>
      </c>
      <c r="L21" s="3430" t="s">
        <v>31</v>
      </c>
      <c r="M21" s="3428" t="s">
        <v>31</v>
      </c>
      <c r="N21" s="3429" t="s">
        <v>31</v>
      </c>
      <c r="O21" s="3428"/>
      <c r="P21" s="3428"/>
      <c r="Q21" s="3428" t="s">
        <v>136</v>
      </c>
      <c r="R21" s="3428" t="s">
        <v>136</v>
      </c>
      <c r="S21" s="3428" t="s">
        <v>31</v>
      </c>
      <c r="T21" s="3428" t="s">
        <v>31</v>
      </c>
      <c r="U21" s="3428" t="s">
        <v>136</v>
      </c>
      <c r="V21" s="3421"/>
      <c r="W21" s="3428"/>
      <c r="X21" s="3428" t="s">
        <v>31</v>
      </c>
      <c r="Y21" s="3622" t="s">
        <v>31</v>
      </c>
      <c r="Z21" s="3470" t="s">
        <v>31</v>
      </c>
      <c r="AA21" s="3622" t="s">
        <v>31</v>
      </c>
      <c r="AB21" s="3623" t="s">
        <v>31</v>
      </c>
      <c r="AC21" s="3428"/>
      <c r="AD21" s="3428"/>
      <c r="AE21" s="3428">
        <v>1</v>
      </c>
      <c r="AF21" s="3621" t="s">
        <v>250</v>
      </c>
      <c r="AG21" s="3624" t="s">
        <v>250</v>
      </c>
      <c r="AH21" s="25"/>
      <c r="AI21" s="25"/>
    </row>
    <row r="22" spans="1:35" ht="18" customHeight="1">
      <c r="A22" s="3618">
        <v>8500</v>
      </c>
      <c r="B22" s="3625" t="s">
        <v>43</v>
      </c>
      <c r="C22" s="3428">
        <v>1</v>
      </c>
      <c r="D22" s="3428">
        <v>1</v>
      </c>
      <c r="E22" s="3428">
        <v>1</v>
      </c>
      <c r="F22" s="3621">
        <v>1</v>
      </c>
      <c r="G22" s="3428">
        <v>1</v>
      </c>
      <c r="H22" s="3428"/>
      <c r="I22" s="3428"/>
      <c r="J22" s="3597">
        <v>1</v>
      </c>
      <c r="K22" s="3597">
        <v>1</v>
      </c>
      <c r="L22" s="3598" t="s">
        <v>121</v>
      </c>
      <c r="M22" s="3598">
        <v>1</v>
      </c>
      <c r="N22" s="3598">
        <v>1</v>
      </c>
      <c r="O22" s="3598"/>
      <c r="P22" s="3596"/>
      <c r="Q22" s="3428">
        <v>2</v>
      </c>
      <c r="R22" s="3597">
        <v>2</v>
      </c>
      <c r="S22" s="3597">
        <v>2</v>
      </c>
      <c r="T22" s="3597">
        <v>2</v>
      </c>
      <c r="U22" s="3597">
        <v>2</v>
      </c>
      <c r="V22" s="3597" t="s">
        <v>34</v>
      </c>
      <c r="W22" s="3598" t="s">
        <v>34</v>
      </c>
      <c r="X22" s="3626" t="s">
        <v>35</v>
      </c>
      <c r="Y22" s="3626" t="s">
        <v>35</v>
      </c>
      <c r="Z22" s="3626" t="s">
        <v>35</v>
      </c>
      <c r="AA22" s="3626" t="s">
        <v>35</v>
      </c>
      <c r="AB22" s="3428" t="s">
        <v>35</v>
      </c>
      <c r="AC22" s="3428"/>
      <c r="AD22" s="3621"/>
      <c r="AE22" s="3423" t="s">
        <v>31</v>
      </c>
      <c r="AF22" s="3423" t="s">
        <v>31</v>
      </c>
      <c r="AG22" s="3627" t="s">
        <v>31</v>
      </c>
      <c r="AH22" s="25"/>
      <c r="AI22" s="25"/>
    </row>
    <row r="23" spans="1:35" ht="18" customHeight="1">
      <c r="A23" s="3618"/>
      <c r="B23" s="3628" t="s">
        <v>353</v>
      </c>
      <c r="C23" s="3423" t="s">
        <v>31</v>
      </c>
      <c r="D23" s="3423" t="s">
        <v>31</v>
      </c>
      <c r="E23" s="3423" t="s">
        <v>31</v>
      </c>
      <c r="F23" s="3423" t="s">
        <v>31</v>
      </c>
      <c r="G23" s="3423" t="s">
        <v>31</v>
      </c>
      <c r="H23" s="3423"/>
      <c r="I23" s="3423"/>
      <c r="J23" s="3423" t="s">
        <v>31</v>
      </c>
      <c r="K23" s="3423" t="s">
        <v>31</v>
      </c>
      <c r="L23" s="3423" t="s">
        <v>31</v>
      </c>
      <c r="M23" s="3423" t="s">
        <v>31</v>
      </c>
      <c r="N23" s="3423" t="s">
        <v>31</v>
      </c>
      <c r="O23" s="3423"/>
      <c r="P23" s="3423"/>
      <c r="Q23" s="3423" t="s">
        <v>31</v>
      </c>
      <c r="R23" s="3423" t="s">
        <v>31</v>
      </c>
      <c r="S23" s="3423" t="s">
        <v>31</v>
      </c>
      <c r="T23" s="3423" t="s">
        <v>31</v>
      </c>
      <c r="U23" s="3423" t="s">
        <v>31</v>
      </c>
      <c r="V23" s="3423"/>
      <c r="W23" s="3423"/>
      <c r="X23" s="3423" t="s">
        <v>31</v>
      </c>
      <c r="Y23" s="3423" t="s">
        <v>31</v>
      </c>
      <c r="Z23" s="3423" t="s">
        <v>31</v>
      </c>
      <c r="AA23" s="3423" t="s">
        <v>31</v>
      </c>
      <c r="AB23" s="3423" t="s">
        <v>31</v>
      </c>
      <c r="AC23" s="3423"/>
      <c r="AD23" s="3423"/>
      <c r="AE23" s="3423" t="s">
        <v>31</v>
      </c>
      <c r="AF23" s="3423" t="s">
        <v>31</v>
      </c>
      <c r="AG23" s="3627" t="s">
        <v>31</v>
      </c>
    </row>
    <row r="24" spans="1:35" ht="18" customHeight="1" thickBot="1">
      <c r="A24" s="416"/>
      <c r="B24" s="417"/>
      <c r="C24" s="418"/>
      <c r="D24" s="418"/>
      <c r="E24" s="418"/>
      <c r="F24" s="418"/>
      <c r="G24" s="418" t="s">
        <v>0</v>
      </c>
      <c r="H24" s="418"/>
      <c r="I24" s="418"/>
      <c r="J24" s="418"/>
      <c r="K24" s="418"/>
      <c r="L24" s="418" t="s">
        <v>0</v>
      </c>
      <c r="M24" s="418"/>
      <c r="N24" s="418" t="s">
        <v>0</v>
      </c>
      <c r="O24" s="418" t="s">
        <v>0</v>
      </c>
      <c r="P24" s="418"/>
      <c r="Q24" s="418"/>
      <c r="R24" s="418"/>
      <c r="S24" s="418"/>
      <c r="T24" s="418"/>
      <c r="U24" s="418" t="s">
        <v>0</v>
      </c>
      <c r="V24" s="418"/>
      <c r="W24" s="418"/>
      <c r="X24" s="418"/>
      <c r="Y24" s="418"/>
      <c r="Z24" s="418"/>
      <c r="AA24" s="418"/>
      <c r="AB24" s="418"/>
      <c r="AC24" s="418"/>
      <c r="AD24" s="418"/>
      <c r="AE24" s="418"/>
      <c r="AF24" s="418"/>
      <c r="AG24" s="28"/>
    </row>
    <row r="25" spans="1:35" ht="18" customHeight="1">
      <c r="A25" s="29"/>
      <c r="B25" s="3629" t="s">
        <v>397</v>
      </c>
      <c r="C25" s="3265" t="s">
        <v>0</v>
      </c>
      <c r="H25" t="s">
        <v>0</v>
      </c>
      <c r="J25" t="s">
        <v>0</v>
      </c>
      <c r="K25" t="s">
        <v>0</v>
      </c>
      <c r="Q25" t="s">
        <v>0</v>
      </c>
      <c r="R25" t="s">
        <v>0</v>
      </c>
      <c r="S25" t="s">
        <v>0</v>
      </c>
      <c r="T25" t="s">
        <v>0</v>
      </c>
      <c r="U25" t="s">
        <v>0</v>
      </c>
      <c r="V25" t="s">
        <v>0</v>
      </c>
      <c r="X25" s="3622" t="s">
        <v>0</v>
      </c>
      <c r="Y25" s="3622" t="s">
        <v>0</v>
      </c>
      <c r="Z25" s="3622" t="s">
        <v>0</v>
      </c>
      <c r="AA25" s="3622" t="s">
        <v>0</v>
      </c>
      <c r="AB25" s="3622" t="s">
        <v>0</v>
      </c>
      <c r="AC25" s="3622" t="s">
        <v>0</v>
      </c>
      <c r="AD25" s="3622" t="s">
        <v>0</v>
      </c>
      <c r="AE25" s="3622" t="s">
        <v>0</v>
      </c>
      <c r="AF25" s="3622" t="s">
        <v>0</v>
      </c>
      <c r="AG25" s="3622" t="s">
        <v>0</v>
      </c>
    </row>
    <row r="26" spans="1:35" ht="18" customHeight="1">
      <c r="A26" s="29"/>
      <c r="B26" s="3629" t="s">
        <v>397</v>
      </c>
      <c r="H26" t="s">
        <v>0</v>
      </c>
      <c r="I26" t="s">
        <v>0</v>
      </c>
      <c r="L26" t="s">
        <v>0</v>
      </c>
      <c r="O26" t="s">
        <v>0</v>
      </c>
      <c r="Q26" t="s">
        <v>0</v>
      </c>
      <c r="R26" t="s">
        <v>0</v>
      </c>
      <c r="S26" t="s">
        <v>0</v>
      </c>
      <c r="T26" t="s">
        <v>0</v>
      </c>
      <c r="U26" t="s">
        <v>0</v>
      </c>
      <c r="AF26" t="s">
        <v>0</v>
      </c>
      <c r="AG26" t="s">
        <v>0</v>
      </c>
    </row>
    <row r="27" spans="1:35" ht="18" customHeight="1">
      <c r="A27" s="29"/>
      <c r="B27" s="3629" t="s">
        <v>397</v>
      </c>
      <c r="J27" t="s">
        <v>0</v>
      </c>
      <c r="K27" t="s">
        <v>0</v>
      </c>
      <c r="L27" t="s">
        <v>0</v>
      </c>
      <c r="M27" t="s">
        <v>0</v>
      </c>
    </row>
    <row r="28" spans="1:35" ht="18" customHeight="1">
      <c r="A28" s="29"/>
      <c r="AE28" t="s">
        <v>0</v>
      </c>
      <c r="AF28" t="s">
        <v>0</v>
      </c>
      <c r="AG28" t="s">
        <v>0</v>
      </c>
    </row>
    <row r="29" spans="1:35" ht="18" customHeight="1">
      <c r="A29" s="29"/>
    </row>
    <row r="30" spans="1:35" ht="18" customHeight="1" thickBot="1">
      <c r="A30" s="14" t="s">
        <v>49</v>
      </c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</row>
    <row r="31" spans="1:35" ht="18" customHeight="1">
      <c r="A31" s="3630" t="s">
        <v>50</v>
      </c>
      <c r="B31" s="3631"/>
      <c r="C31" s="3631"/>
      <c r="D31" s="3632" t="s">
        <v>51</v>
      </c>
      <c r="E31" s="3633"/>
      <c r="F31" s="3633"/>
      <c r="G31" s="3633"/>
      <c r="H31" s="3633"/>
      <c r="I31" s="3633"/>
      <c r="J31" s="3633"/>
      <c r="K31" s="3633"/>
      <c r="L31" s="3633"/>
      <c r="M31" s="3634" t="s">
        <v>52</v>
      </c>
      <c r="N31" s="3633"/>
      <c r="O31" s="3633"/>
      <c r="P31" s="3633"/>
      <c r="Q31" s="3633"/>
      <c r="R31" s="3633"/>
      <c r="S31" s="3635"/>
      <c r="T31" s="3636" t="s">
        <v>53</v>
      </c>
      <c r="U31" s="3637"/>
      <c r="V31" s="3637"/>
      <c r="W31" s="3637"/>
      <c r="X31" s="3637"/>
      <c r="Y31" s="3637"/>
      <c r="Z31" s="3638"/>
      <c r="AA31" s="3639" t="s">
        <v>54</v>
      </c>
      <c r="AB31" s="3640"/>
      <c r="AC31" s="3640"/>
      <c r="AD31" s="3640"/>
      <c r="AE31" s="3640"/>
      <c r="AF31" s="3640"/>
      <c r="AG31" s="3641"/>
    </row>
    <row r="32" spans="1:35" ht="18" customHeight="1">
      <c r="A32" s="3642" t="s">
        <v>55</v>
      </c>
      <c r="B32" s="3580"/>
      <c r="C32" s="3580"/>
      <c r="D32" s="3643" t="s">
        <v>56</v>
      </c>
      <c r="E32" s="3644"/>
      <c r="F32" s="3568"/>
      <c r="G32" s="3568"/>
      <c r="H32" s="3568"/>
      <c r="I32" s="3568"/>
      <c r="J32" s="3568"/>
      <c r="K32" s="3568"/>
      <c r="L32" s="3576"/>
      <c r="M32" s="3645" t="s">
        <v>57</v>
      </c>
      <c r="N32" s="3580"/>
      <c r="O32" s="3646"/>
      <c r="P32" s="3580"/>
      <c r="Q32" s="3580"/>
      <c r="R32" s="3580"/>
      <c r="S32" s="3647"/>
      <c r="T32" s="3643" t="s">
        <v>58</v>
      </c>
      <c r="U32" s="3568"/>
      <c r="V32" s="3644"/>
      <c r="W32" s="3568"/>
      <c r="X32" s="3568"/>
      <c r="Y32" s="3568"/>
      <c r="Z32" s="3576"/>
      <c r="AA32" s="31" t="s">
        <v>59</v>
      </c>
      <c r="AD32" s="20"/>
      <c r="AG32" s="32"/>
    </row>
    <row r="33" spans="1:35" ht="18" customHeight="1">
      <c r="A33" s="3648" t="s">
        <v>60</v>
      </c>
      <c r="B33" s="3568"/>
      <c r="C33" s="3568"/>
      <c r="D33" s="3649"/>
      <c r="E33" s="3568"/>
      <c r="F33" s="3568"/>
      <c r="G33" s="3576"/>
      <c r="H33" s="3582" t="s">
        <v>61</v>
      </c>
      <c r="I33" s="3568"/>
      <c r="J33" s="3568"/>
      <c r="K33" s="3568"/>
      <c r="L33" s="3568"/>
      <c r="M33" s="3434"/>
      <c r="N33" s="3568"/>
      <c r="O33" s="3568"/>
      <c r="P33" s="3568"/>
      <c r="Q33" s="3568"/>
      <c r="R33" s="3568"/>
      <c r="S33" s="3568"/>
      <c r="T33" s="3649"/>
      <c r="U33" s="14" t="s">
        <v>62</v>
      </c>
      <c r="AA33" s="3646"/>
      <c r="AB33" s="3580"/>
      <c r="AC33" s="3580"/>
      <c r="AD33" s="3580"/>
      <c r="AE33" s="3580"/>
      <c r="AF33" s="3580"/>
      <c r="AG33" s="3650"/>
    </row>
    <row r="34" spans="1:35" ht="18" customHeight="1" thickBot="1">
      <c r="A34" s="3651" t="s">
        <v>63</v>
      </c>
      <c r="B34" s="3652"/>
      <c r="C34" s="3652"/>
      <c r="D34" s="3653"/>
      <c r="E34" s="3652"/>
      <c r="F34" s="3652"/>
      <c r="G34" s="3654"/>
      <c r="H34" s="3655" t="s">
        <v>64</v>
      </c>
      <c r="I34" s="3654"/>
      <c r="J34" s="3652"/>
      <c r="K34" s="3652"/>
      <c r="L34" s="3652"/>
      <c r="M34" s="3656"/>
      <c r="N34" s="3652"/>
      <c r="O34" s="3652"/>
      <c r="P34" s="3652"/>
      <c r="Q34" s="3657"/>
      <c r="R34" s="3657"/>
      <c r="S34" s="3657"/>
      <c r="T34" s="3653"/>
      <c r="U34" s="3658" t="s">
        <v>65</v>
      </c>
      <c r="V34" s="3652"/>
      <c r="W34" s="3652"/>
      <c r="X34" s="3652"/>
      <c r="Y34" s="3652"/>
      <c r="Z34" s="3652"/>
      <c r="AA34" s="3652"/>
      <c r="AB34" s="3652"/>
      <c r="AC34" s="3652"/>
      <c r="AD34" s="3652"/>
      <c r="AE34" s="3652"/>
      <c r="AF34" s="3652"/>
      <c r="AG34" s="3659"/>
    </row>
    <row r="35" spans="1:35" ht="18" customHeight="1">
      <c r="B35" s="33" t="s">
        <v>27</v>
      </c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"/>
    </row>
    <row r="36" spans="1:35" ht="18" customHeight="1" thickBot="1">
      <c r="A36" s="3660" t="s">
        <v>28</v>
      </c>
      <c r="B36" s="3661" t="s">
        <v>29</v>
      </c>
      <c r="C36" s="3411">
        <v>1</v>
      </c>
      <c r="D36" s="3411">
        <v>2</v>
      </c>
      <c r="E36" s="3411">
        <v>3</v>
      </c>
      <c r="F36" s="3411">
        <v>4</v>
      </c>
      <c r="G36" s="3411">
        <v>5</v>
      </c>
      <c r="H36" s="3410">
        <v>6</v>
      </c>
      <c r="I36" s="3410">
        <v>7</v>
      </c>
      <c r="J36" s="3411">
        <v>8</v>
      </c>
      <c r="K36" s="3411">
        <v>9</v>
      </c>
      <c r="L36" s="3411">
        <v>10</v>
      </c>
      <c r="M36" s="3411">
        <v>11</v>
      </c>
      <c r="N36" s="3411">
        <v>12</v>
      </c>
      <c r="O36" s="3410">
        <v>13</v>
      </c>
      <c r="P36" s="3410">
        <v>14</v>
      </c>
      <c r="Q36" s="3411">
        <v>15</v>
      </c>
      <c r="R36" s="3411">
        <v>16</v>
      </c>
      <c r="S36" s="3411">
        <v>17</v>
      </c>
      <c r="T36" s="3411">
        <v>18</v>
      </c>
      <c r="U36" s="3411">
        <v>19</v>
      </c>
      <c r="V36" s="3410">
        <v>20</v>
      </c>
      <c r="W36" s="3410">
        <v>21</v>
      </c>
      <c r="X36" s="3411">
        <v>22</v>
      </c>
      <c r="Y36" s="3411">
        <v>23</v>
      </c>
      <c r="Z36" s="3411">
        <v>24</v>
      </c>
      <c r="AA36" s="3411">
        <v>25</v>
      </c>
      <c r="AB36" s="3411">
        <v>26</v>
      </c>
      <c r="AC36" s="3410">
        <v>27</v>
      </c>
      <c r="AD36" s="3410">
        <v>28</v>
      </c>
      <c r="AE36" s="3411">
        <v>29</v>
      </c>
      <c r="AF36" s="3411">
        <v>30</v>
      </c>
      <c r="AG36" s="3585">
        <v>31</v>
      </c>
      <c r="AH36" s="23"/>
      <c r="AI36" s="24"/>
    </row>
    <row r="37" spans="1:35" ht="18" customHeight="1">
      <c r="A37" s="3662">
        <v>1</v>
      </c>
      <c r="B37" s="3663" t="s">
        <v>66</v>
      </c>
      <c r="C37" s="3664">
        <v>6</v>
      </c>
      <c r="D37" s="3590">
        <v>6</v>
      </c>
      <c r="E37" s="3664">
        <v>6</v>
      </c>
      <c r="F37" s="3664">
        <v>6</v>
      </c>
      <c r="G37" s="3664">
        <v>6</v>
      </c>
      <c r="H37" s="3664"/>
      <c r="I37" s="3664"/>
      <c r="J37" s="3588" t="s">
        <v>35</v>
      </c>
      <c r="K37" s="3588" t="s">
        <v>35</v>
      </c>
      <c r="L37" s="3588" t="s">
        <v>35</v>
      </c>
      <c r="M37" s="3588" t="s">
        <v>35</v>
      </c>
      <c r="N37" s="3588" t="s">
        <v>35</v>
      </c>
      <c r="O37" s="3588"/>
      <c r="P37" s="3588"/>
      <c r="Q37" s="3588">
        <v>5</v>
      </c>
      <c r="R37" s="3588">
        <v>5</v>
      </c>
      <c r="S37" s="3588">
        <v>5</v>
      </c>
      <c r="T37" s="3588">
        <v>5</v>
      </c>
      <c r="U37" s="3588">
        <v>5</v>
      </c>
      <c r="V37" s="3588"/>
      <c r="W37" s="3588"/>
      <c r="X37" s="3588">
        <v>10</v>
      </c>
      <c r="Y37" s="3588">
        <v>10</v>
      </c>
      <c r="Z37" s="3588">
        <v>10</v>
      </c>
      <c r="AA37" s="3588">
        <v>10</v>
      </c>
      <c r="AB37" s="3588">
        <v>10</v>
      </c>
      <c r="AC37" s="3588" t="s">
        <v>72</v>
      </c>
      <c r="AD37" s="3588" t="s">
        <v>72</v>
      </c>
      <c r="AE37" s="3664" t="s">
        <v>35</v>
      </c>
      <c r="AF37" s="3664" t="s">
        <v>35</v>
      </c>
      <c r="AG37" s="3665" t="s">
        <v>35</v>
      </c>
      <c r="AH37" s="34"/>
      <c r="AI37" s="25"/>
    </row>
    <row r="38" spans="1:35" ht="18" customHeight="1">
      <c r="A38" s="3666">
        <v>6</v>
      </c>
      <c r="B38" s="3418" t="s">
        <v>355</v>
      </c>
      <c r="C38" s="3667">
        <v>7</v>
      </c>
      <c r="D38" s="3667">
        <v>7</v>
      </c>
      <c r="E38" s="3600">
        <v>7</v>
      </c>
      <c r="F38" s="3667">
        <v>7</v>
      </c>
      <c r="G38" s="3667">
        <v>7</v>
      </c>
      <c r="H38" s="3667"/>
      <c r="I38" s="3667"/>
      <c r="J38" s="3667">
        <v>4</v>
      </c>
      <c r="K38" s="3667">
        <v>4</v>
      </c>
      <c r="L38" s="3667">
        <v>4</v>
      </c>
      <c r="M38" s="3667">
        <v>4</v>
      </c>
      <c r="N38" s="3667">
        <v>4</v>
      </c>
      <c r="O38" s="3667"/>
      <c r="P38" s="3667"/>
      <c r="Q38" s="3667">
        <v>3</v>
      </c>
      <c r="R38" s="3667">
        <v>3</v>
      </c>
      <c r="S38" s="3667">
        <v>3</v>
      </c>
      <c r="T38" s="3667">
        <v>3</v>
      </c>
      <c r="U38" s="3667">
        <v>3</v>
      </c>
      <c r="V38" s="3667"/>
      <c r="W38" s="3667"/>
      <c r="X38" s="3667">
        <v>11</v>
      </c>
      <c r="Y38" s="3667">
        <v>11</v>
      </c>
      <c r="Z38" s="3667">
        <v>11</v>
      </c>
      <c r="AA38" s="3667">
        <v>11</v>
      </c>
      <c r="AB38" s="3667">
        <v>11</v>
      </c>
      <c r="AC38" s="3667" t="s">
        <v>68</v>
      </c>
      <c r="AD38" s="3600" t="s">
        <v>68</v>
      </c>
      <c r="AE38" s="3600" t="s">
        <v>35</v>
      </c>
      <c r="AF38" s="3600" t="s">
        <v>35</v>
      </c>
      <c r="AG38" s="3601" t="s">
        <v>35</v>
      </c>
      <c r="AH38" s="34"/>
      <c r="AI38" s="25"/>
    </row>
    <row r="39" spans="1:35" ht="18" customHeight="1" thickBot="1">
      <c r="A39" s="3668">
        <v>11</v>
      </c>
      <c r="B39" s="3669" t="s">
        <v>71</v>
      </c>
      <c r="C39" s="3411">
        <v>8</v>
      </c>
      <c r="D39" s="3510">
        <v>8</v>
      </c>
      <c r="E39" s="3510">
        <v>8</v>
      </c>
      <c r="F39" s="3510">
        <v>8</v>
      </c>
      <c r="G39" s="3670">
        <v>8</v>
      </c>
      <c r="H39" s="3670"/>
      <c r="I39" s="3670"/>
      <c r="J39" s="3670" t="s">
        <v>35</v>
      </c>
      <c r="K39" s="3670" t="s">
        <v>35</v>
      </c>
      <c r="L39" s="3671" t="s">
        <v>351</v>
      </c>
      <c r="M39" s="3672" t="s">
        <v>35</v>
      </c>
      <c r="N39" s="3672" t="s">
        <v>35</v>
      </c>
      <c r="O39" s="3411"/>
      <c r="P39" s="3510"/>
      <c r="Q39" s="3411">
        <v>1</v>
      </c>
      <c r="R39" s="3411">
        <v>1</v>
      </c>
      <c r="S39" s="3510">
        <v>1</v>
      </c>
      <c r="T39" s="3510">
        <v>1</v>
      </c>
      <c r="U39" s="3510">
        <v>1</v>
      </c>
      <c r="V39" s="3510"/>
      <c r="W39" s="3510"/>
      <c r="X39" s="3411">
        <v>9</v>
      </c>
      <c r="Y39" s="3510">
        <v>9</v>
      </c>
      <c r="Z39" s="3510">
        <v>9</v>
      </c>
      <c r="AA39" s="3510">
        <v>9</v>
      </c>
      <c r="AB39" s="3673">
        <v>9</v>
      </c>
      <c r="AC39" s="3673" t="s">
        <v>70</v>
      </c>
      <c r="AD39" s="3673" t="s">
        <v>72</v>
      </c>
      <c r="AE39" s="3672" t="s">
        <v>35</v>
      </c>
      <c r="AF39" s="3672" t="s">
        <v>35</v>
      </c>
      <c r="AG39" s="3674" t="s">
        <v>35</v>
      </c>
      <c r="AH39" s="34"/>
      <c r="AI39" s="25"/>
    </row>
    <row r="40" spans="1:35" ht="18" customHeight="1">
      <c r="A40" s="3662">
        <v>2</v>
      </c>
      <c r="B40" s="35" t="s">
        <v>73</v>
      </c>
      <c r="C40" s="3590" t="s">
        <v>35</v>
      </c>
      <c r="D40" s="3590" t="s">
        <v>35</v>
      </c>
      <c r="E40" s="3590" t="s">
        <v>35</v>
      </c>
      <c r="F40" s="3590" t="s">
        <v>35</v>
      </c>
      <c r="G40" s="3590" t="s">
        <v>35</v>
      </c>
      <c r="H40" s="3664"/>
      <c r="I40" s="3664"/>
      <c r="J40" s="3590">
        <v>5</v>
      </c>
      <c r="K40" s="3590">
        <v>5</v>
      </c>
      <c r="L40" s="3664">
        <v>5</v>
      </c>
      <c r="M40" s="3664">
        <v>5</v>
      </c>
      <c r="N40" s="3664">
        <v>5</v>
      </c>
      <c r="O40" s="3675"/>
      <c r="P40" s="3664"/>
      <c r="Q40" s="3675">
        <v>10</v>
      </c>
      <c r="R40" s="3675">
        <v>10</v>
      </c>
      <c r="S40" s="3590">
        <v>10</v>
      </c>
      <c r="T40" s="3590">
        <v>10</v>
      </c>
      <c r="U40" s="3675">
        <v>10</v>
      </c>
      <c r="V40" s="3675" t="s">
        <v>72</v>
      </c>
      <c r="W40" s="3675" t="s">
        <v>72</v>
      </c>
      <c r="X40" s="3664" t="s">
        <v>35</v>
      </c>
      <c r="Y40" s="3664" t="s">
        <v>35</v>
      </c>
      <c r="Z40" s="3664" t="s">
        <v>35</v>
      </c>
      <c r="AA40" s="3664" t="s">
        <v>35</v>
      </c>
      <c r="AB40" s="3664" t="s">
        <v>35</v>
      </c>
      <c r="AC40" s="3588" t="s">
        <v>67</v>
      </c>
      <c r="AD40" s="3588" t="s">
        <v>67</v>
      </c>
      <c r="AE40" s="3588">
        <v>7</v>
      </c>
      <c r="AF40" s="3588">
        <v>7</v>
      </c>
      <c r="AG40" s="3676">
        <v>7</v>
      </c>
      <c r="AH40" s="34"/>
      <c r="AI40" s="25"/>
    </row>
    <row r="41" spans="1:35" ht="18" customHeight="1">
      <c r="A41" s="3666">
        <v>7</v>
      </c>
      <c r="B41" s="3606" t="s">
        <v>74</v>
      </c>
      <c r="C41" s="3677">
        <v>4</v>
      </c>
      <c r="D41" s="3677">
        <v>4</v>
      </c>
      <c r="E41" s="3677">
        <v>4</v>
      </c>
      <c r="F41" s="3677">
        <v>4</v>
      </c>
      <c r="G41" s="3677">
        <v>4</v>
      </c>
      <c r="H41" s="3677"/>
      <c r="I41" s="3677"/>
      <c r="J41" s="3600">
        <v>3</v>
      </c>
      <c r="K41" s="3600">
        <v>3</v>
      </c>
      <c r="L41" s="3600">
        <v>3</v>
      </c>
      <c r="M41" s="3600">
        <v>3</v>
      </c>
      <c r="N41" s="3600">
        <v>3</v>
      </c>
      <c r="O41" s="3600"/>
      <c r="P41" s="3600"/>
      <c r="Q41" s="3600">
        <v>11</v>
      </c>
      <c r="R41" s="3600">
        <v>11</v>
      </c>
      <c r="S41" s="3600">
        <v>11</v>
      </c>
      <c r="T41" s="3600">
        <v>11</v>
      </c>
      <c r="U41" s="3600">
        <v>11</v>
      </c>
      <c r="V41" s="3600" t="s">
        <v>68</v>
      </c>
      <c r="W41" s="3600" t="s">
        <v>68</v>
      </c>
      <c r="X41" s="3600" t="s">
        <v>35</v>
      </c>
      <c r="Y41" s="3600" t="s">
        <v>35</v>
      </c>
      <c r="Z41" s="3600" t="s">
        <v>35</v>
      </c>
      <c r="AA41" s="3600" t="s">
        <v>35</v>
      </c>
      <c r="AB41" s="3600" t="s">
        <v>35</v>
      </c>
      <c r="AC41" s="3600" t="s">
        <v>69</v>
      </c>
      <c r="AD41" s="3600" t="s">
        <v>69</v>
      </c>
      <c r="AE41" s="3677">
        <v>8</v>
      </c>
      <c r="AF41" s="3677">
        <v>8</v>
      </c>
      <c r="AG41" s="3678">
        <v>8</v>
      </c>
      <c r="AH41" s="34"/>
      <c r="AI41" s="25"/>
    </row>
    <row r="42" spans="1:35" ht="18" customHeight="1" thickBot="1">
      <c r="A42" s="3668">
        <v>12</v>
      </c>
      <c r="B42" s="3679" t="s">
        <v>76</v>
      </c>
      <c r="C42" s="3510" t="s">
        <v>35</v>
      </c>
      <c r="D42" s="3673" t="s">
        <v>35</v>
      </c>
      <c r="E42" s="3510" t="s">
        <v>35</v>
      </c>
      <c r="F42" s="3510" t="s">
        <v>35</v>
      </c>
      <c r="G42" s="3510" t="s">
        <v>35</v>
      </c>
      <c r="H42" s="3510"/>
      <c r="I42" s="3510"/>
      <c r="J42" s="3510">
        <v>1</v>
      </c>
      <c r="K42" s="3411">
        <v>1</v>
      </c>
      <c r="L42" s="3510">
        <v>1</v>
      </c>
      <c r="M42" s="3510">
        <v>1</v>
      </c>
      <c r="N42" s="3510">
        <v>1</v>
      </c>
      <c r="O42" s="3510"/>
      <c r="P42" s="3510"/>
      <c r="Q42" s="3411">
        <v>9</v>
      </c>
      <c r="R42" s="3510">
        <v>9</v>
      </c>
      <c r="S42" s="3510">
        <v>9</v>
      </c>
      <c r="T42" s="3510">
        <v>9</v>
      </c>
      <c r="U42" s="3673">
        <v>9</v>
      </c>
      <c r="V42" s="3673" t="s">
        <v>70</v>
      </c>
      <c r="W42" s="3673" t="s">
        <v>72</v>
      </c>
      <c r="X42" s="3510" t="s">
        <v>35</v>
      </c>
      <c r="Y42" s="3510" t="s">
        <v>35</v>
      </c>
      <c r="Z42" s="3510" t="s">
        <v>35</v>
      </c>
      <c r="AA42" s="3510" t="s">
        <v>35</v>
      </c>
      <c r="AB42" s="3510" t="s">
        <v>35</v>
      </c>
      <c r="AC42" s="3411" t="s">
        <v>75</v>
      </c>
      <c r="AD42" s="3411" t="s">
        <v>69</v>
      </c>
      <c r="AE42" s="3411">
        <v>6</v>
      </c>
      <c r="AF42" s="3411">
        <v>6</v>
      </c>
      <c r="AG42" s="3585">
        <v>6</v>
      </c>
      <c r="AH42" s="34"/>
      <c r="AI42" s="25"/>
    </row>
    <row r="43" spans="1:35" ht="18" customHeight="1">
      <c r="A43" s="3662">
        <v>3</v>
      </c>
      <c r="B43" s="3680" t="s">
        <v>77</v>
      </c>
      <c r="C43" s="3588">
        <v>5</v>
      </c>
      <c r="D43" s="3588">
        <v>5</v>
      </c>
      <c r="E43" s="3588">
        <v>5</v>
      </c>
      <c r="F43" s="3589">
        <v>5</v>
      </c>
      <c r="G43" s="3589">
        <v>5</v>
      </c>
      <c r="H43" s="3664"/>
      <c r="I43" s="3664"/>
      <c r="J43" s="3675">
        <v>10</v>
      </c>
      <c r="K43" s="3675">
        <v>10</v>
      </c>
      <c r="L43" s="3675">
        <v>10</v>
      </c>
      <c r="M43" s="3675">
        <v>10</v>
      </c>
      <c r="N43" s="3675">
        <v>10</v>
      </c>
      <c r="O43" s="3675" t="s">
        <v>72</v>
      </c>
      <c r="P43" s="3675" t="s">
        <v>72</v>
      </c>
      <c r="Q43" s="3664" t="s">
        <v>35</v>
      </c>
      <c r="R43" s="3664" t="s">
        <v>35</v>
      </c>
      <c r="S43" s="3664" t="s">
        <v>35</v>
      </c>
      <c r="T43" s="3664" t="s">
        <v>35</v>
      </c>
      <c r="U43" s="3664" t="s">
        <v>35</v>
      </c>
      <c r="V43" s="3675" t="s">
        <v>67</v>
      </c>
      <c r="W43" s="3675" t="s">
        <v>67</v>
      </c>
      <c r="X43" s="3590">
        <v>7</v>
      </c>
      <c r="Y43" s="3664">
        <v>7</v>
      </c>
      <c r="Z43" s="3664">
        <v>7</v>
      </c>
      <c r="AA43" s="3664">
        <v>7</v>
      </c>
      <c r="AB43" s="3664">
        <v>7</v>
      </c>
      <c r="AC43" s="3681"/>
      <c r="AD43" s="3664"/>
      <c r="AE43" s="3664">
        <v>4</v>
      </c>
      <c r="AF43" s="3664">
        <v>4</v>
      </c>
      <c r="AG43" s="3665">
        <v>4</v>
      </c>
      <c r="AH43" s="34"/>
      <c r="AI43" s="25"/>
    </row>
    <row r="44" spans="1:35" ht="18" customHeight="1">
      <c r="A44" s="3666">
        <v>8</v>
      </c>
      <c r="B44" s="3606" t="s">
        <v>358</v>
      </c>
      <c r="C44" s="3597">
        <v>3</v>
      </c>
      <c r="D44" s="3597">
        <v>3</v>
      </c>
      <c r="E44" s="3682" t="s">
        <v>437</v>
      </c>
      <c r="F44" s="3597">
        <v>3</v>
      </c>
      <c r="G44" s="3597">
        <v>3</v>
      </c>
      <c r="H44" s="3683" t="s">
        <v>69</v>
      </c>
      <c r="I44" s="3677"/>
      <c r="J44" s="3684">
        <v>11</v>
      </c>
      <c r="K44" s="3667">
        <v>11</v>
      </c>
      <c r="L44" s="3667">
        <v>11</v>
      </c>
      <c r="M44" s="3667">
        <v>11</v>
      </c>
      <c r="N44" s="3597">
        <v>11</v>
      </c>
      <c r="O44" s="3677" t="s">
        <v>68</v>
      </c>
      <c r="P44" s="3677" t="s">
        <v>68</v>
      </c>
      <c r="Q44" s="3677" t="s">
        <v>35</v>
      </c>
      <c r="R44" s="3677" t="s">
        <v>35</v>
      </c>
      <c r="S44" s="3677" t="s">
        <v>35</v>
      </c>
      <c r="T44" s="3677" t="s">
        <v>35</v>
      </c>
      <c r="U44" s="3677" t="s">
        <v>35</v>
      </c>
      <c r="V44" s="3677" t="s">
        <v>69</v>
      </c>
      <c r="W44" s="3677" t="s">
        <v>69</v>
      </c>
      <c r="X44" s="3684">
        <v>8</v>
      </c>
      <c r="Y44" s="3677">
        <v>8</v>
      </c>
      <c r="Z44" s="3677">
        <v>8</v>
      </c>
      <c r="AA44" s="3677">
        <v>8</v>
      </c>
      <c r="AB44" s="3677">
        <v>8</v>
      </c>
      <c r="AC44" s="3677"/>
      <c r="AD44" s="3677"/>
      <c r="AE44" s="3677" t="s">
        <v>35</v>
      </c>
      <c r="AF44" s="3677" t="s">
        <v>35</v>
      </c>
      <c r="AG44" s="3678" t="s">
        <v>35</v>
      </c>
      <c r="AH44" s="34"/>
      <c r="AI44" s="25"/>
    </row>
    <row r="45" spans="1:35" ht="18" customHeight="1" thickBot="1">
      <c r="A45" s="3668">
        <v>13</v>
      </c>
      <c r="B45" s="3669" t="s">
        <v>79</v>
      </c>
      <c r="C45" s="3672">
        <v>1</v>
      </c>
      <c r="D45" s="3685">
        <v>1</v>
      </c>
      <c r="E45" s="3685">
        <v>1</v>
      </c>
      <c r="F45" s="3685">
        <v>1</v>
      </c>
      <c r="G45" s="3685">
        <v>1</v>
      </c>
      <c r="H45" s="3510"/>
      <c r="I45" s="3510"/>
      <c r="J45" s="3411">
        <v>9</v>
      </c>
      <c r="K45" s="3510">
        <v>9</v>
      </c>
      <c r="L45" s="3673">
        <v>9</v>
      </c>
      <c r="M45" s="3510">
        <v>9</v>
      </c>
      <c r="N45" s="3673">
        <v>9</v>
      </c>
      <c r="O45" s="3673" t="s">
        <v>70</v>
      </c>
      <c r="P45" s="3673" t="s">
        <v>72</v>
      </c>
      <c r="Q45" s="3510" t="s">
        <v>35</v>
      </c>
      <c r="R45" s="3510" t="s">
        <v>35</v>
      </c>
      <c r="S45" s="3510" t="s">
        <v>35</v>
      </c>
      <c r="T45" s="3510" t="s">
        <v>35</v>
      </c>
      <c r="U45" s="3510" t="s">
        <v>35</v>
      </c>
      <c r="V45" s="3510" t="s">
        <v>75</v>
      </c>
      <c r="W45" s="3510" t="s">
        <v>69</v>
      </c>
      <c r="X45" s="3510">
        <v>6</v>
      </c>
      <c r="Y45" s="3411">
        <v>6</v>
      </c>
      <c r="Z45" s="3510">
        <v>6</v>
      </c>
      <c r="AA45" s="3510">
        <v>6</v>
      </c>
      <c r="AB45" s="3510">
        <v>6</v>
      </c>
      <c r="AC45" s="3510"/>
      <c r="AD45" s="3510"/>
      <c r="AE45" s="3411" t="s">
        <v>35</v>
      </c>
      <c r="AF45" s="3510" t="s">
        <v>35</v>
      </c>
      <c r="AG45" s="3686" t="s">
        <v>35</v>
      </c>
      <c r="AH45" s="34"/>
      <c r="AI45" s="25"/>
    </row>
    <row r="46" spans="1:35" ht="18" customHeight="1">
      <c r="A46" s="3662">
        <v>4</v>
      </c>
      <c r="B46" s="3663" t="s">
        <v>80</v>
      </c>
      <c r="C46" s="3675">
        <v>10</v>
      </c>
      <c r="D46" s="3675">
        <v>10</v>
      </c>
      <c r="E46" s="3664">
        <v>10</v>
      </c>
      <c r="F46" s="3664">
        <v>10</v>
      </c>
      <c r="G46" s="3675">
        <v>10</v>
      </c>
      <c r="H46" s="3675" t="s">
        <v>72</v>
      </c>
      <c r="I46" s="3675" t="s">
        <v>72</v>
      </c>
      <c r="J46" s="3664" t="s">
        <v>35</v>
      </c>
      <c r="K46" s="3664" t="s">
        <v>35</v>
      </c>
      <c r="L46" s="3675" t="s">
        <v>35</v>
      </c>
      <c r="M46" s="3675" t="s">
        <v>35</v>
      </c>
      <c r="N46" s="3664" t="s">
        <v>35</v>
      </c>
      <c r="O46" s="3675" t="s">
        <v>67</v>
      </c>
      <c r="P46" s="3675" t="s">
        <v>67</v>
      </c>
      <c r="Q46" s="3590" t="s">
        <v>115</v>
      </c>
      <c r="R46" s="3590" t="s">
        <v>115</v>
      </c>
      <c r="S46" s="3590" t="s">
        <v>115</v>
      </c>
      <c r="T46" s="3590" t="s">
        <v>115</v>
      </c>
      <c r="U46" s="3590" t="s">
        <v>115</v>
      </c>
      <c r="V46" s="3687" t="s">
        <v>115</v>
      </c>
      <c r="W46" s="3664"/>
      <c r="X46" s="3664">
        <v>4</v>
      </c>
      <c r="Y46" s="3590">
        <v>4</v>
      </c>
      <c r="Z46" s="3664">
        <v>4</v>
      </c>
      <c r="AA46" s="3664">
        <v>4</v>
      </c>
      <c r="AB46" s="3664">
        <v>4</v>
      </c>
      <c r="AC46" s="3664"/>
      <c r="AD46" s="3664"/>
      <c r="AE46" s="3588">
        <v>3</v>
      </c>
      <c r="AF46" s="3588">
        <v>3</v>
      </c>
      <c r="AG46" s="3676">
        <v>3</v>
      </c>
      <c r="AH46" s="34"/>
      <c r="AI46" s="25"/>
    </row>
    <row r="47" spans="1:35" ht="18" customHeight="1">
      <c r="A47" s="3666">
        <v>9</v>
      </c>
      <c r="B47" s="3606" t="s">
        <v>81</v>
      </c>
      <c r="C47" s="3600">
        <v>11</v>
      </c>
      <c r="D47" s="3600">
        <v>11</v>
      </c>
      <c r="E47" s="3600">
        <v>11</v>
      </c>
      <c r="F47" s="3600">
        <v>11</v>
      </c>
      <c r="G47" s="3600">
        <v>11</v>
      </c>
      <c r="H47" s="3600" t="s">
        <v>68</v>
      </c>
      <c r="I47" s="3600" t="s">
        <v>68</v>
      </c>
      <c r="J47" s="3677" t="s">
        <v>35</v>
      </c>
      <c r="K47" s="3677" t="s">
        <v>35</v>
      </c>
      <c r="L47" s="3677" t="s">
        <v>35</v>
      </c>
      <c r="M47" s="3677" t="s">
        <v>35</v>
      </c>
      <c r="N47" s="3677" t="s">
        <v>35</v>
      </c>
      <c r="O47" s="3677" t="s">
        <v>69</v>
      </c>
      <c r="P47" s="3677" t="s">
        <v>69</v>
      </c>
      <c r="Q47" s="3684">
        <v>8</v>
      </c>
      <c r="R47" s="3677">
        <v>8</v>
      </c>
      <c r="S47" s="3677">
        <v>8</v>
      </c>
      <c r="T47" s="3677">
        <v>8</v>
      </c>
      <c r="U47" s="3677">
        <v>8</v>
      </c>
      <c r="V47" s="3677"/>
      <c r="W47" s="3677"/>
      <c r="X47" s="3677" t="s">
        <v>35</v>
      </c>
      <c r="Y47" s="3677" t="s">
        <v>35</v>
      </c>
      <c r="Z47" s="3677" t="s">
        <v>35</v>
      </c>
      <c r="AA47" s="3677" t="s">
        <v>35</v>
      </c>
      <c r="AB47" s="3677" t="s">
        <v>35</v>
      </c>
      <c r="AC47" s="3677"/>
      <c r="AD47" s="3677"/>
      <c r="AE47" s="3677">
        <v>1</v>
      </c>
      <c r="AF47" s="3677">
        <v>1</v>
      </c>
      <c r="AG47" s="3678">
        <v>1</v>
      </c>
      <c r="AH47" s="34"/>
      <c r="AI47" s="25"/>
    </row>
    <row r="48" spans="1:35" ht="18" customHeight="1" thickBot="1">
      <c r="A48" s="3668">
        <v>14</v>
      </c>
      <c r="B48" s="3669" t="s">
        <v>82</v>
      </c>
      <c r="C48" s="3411">
        <v>9</v>
      </c>
      <c r="D48" s="3411">
        <v>9</v>
      </c>
      <c r="E48" s="3411">
        <v>9</v>
      </c>
      <c r="F48" s="3411">
        <v>9</v>
      </c>
      <c r="G48" s="3411">
        <v>9</v>
      </c>
      <c r="H48" s="3673" t="s">
        <v>70</v>
      </c>
      <c r="I48" s="3673" t="s">
        <v>72</v>
      </c>
      <c r="J48" s="3688" t="s">
        <v>35</v>
      </c>
      <c r="K48" s="3688" t="s">
        <v>35</v>
      </c>
      <c r="L48" s="3688" t="s">
        <v>35</v>
      </c>
      <c r="M48" s="3688" t="s">
        <v>35</v>
      </c>
      <c r="N48" s="3688" t="s">
        <v>35</v>
      </c>
      <c r="O48" s="3688" t="s">
        <v>75</v>
      </c>
      <c r="P48" s="3688" t="s">
        <v>69</v>
      </c>
      <c r="Q48" s="3688">
        <v>6</v>
      </c>
      <c r="R48" s="3688">
        <v>6</v>
      </c>
      <c r="S48" s="3688">
        <v>6</v>
      </c>
      <c r="T48" s="3688">
        <v>6</v>
      </c>
      <c r="U48" s="3688">
        <v>6</v>
      </c>
      <c r="V48" s="3688"/>
      <c r="W48" s="3688"/>
      <c r="X48" s="3688" t="s">
        <v>35</v>
      </c>
      <c r="Y48" s="3688" t="s">
        <v>35</v>
      </c>
      <c r="Z48" s="3688" t="s">
        <v>35</v>
      </c>
      <c r="AA48" s="3688" t="s">
        <v>35</v>
      </c>
      <c r="AB48" s="3688" t="s">
        <v>35</v>
      </c>
      <c r="AC48" s="3688"/>
      <c r="AD48" s="3688"/>
      <c r="AE48" s="3510">
        <v>5</v>
      </c>
      <c r="AF48" s="3411">
        <v>5</v>
      </c>
      <c r="AG48" s="3585">
        <v>5</v>
      </c>
      <c r="AH48" s="34"/>
      <c r="AI48" s="25"/>
    </row>
    <row r="49" spans="1:35" ht="18" customHeight="1">
      <c r="A49" s="3662">
        <v>5</v>
      </c>
      <c r="B49" s="3606" t="s">
        <v>83</v>
      </c>
      <c r="C49" s="3689" t="s">
        <v>35</v>
      </c>
      <c r="D49" s="3689" t="s">
        <v>351</v>
      </c>
      <c r="E49" s="3664" t="s">
        <v>35</v>
      </c>
      <c r="F49" s="3664" t="s">
        <v>35</v>
      </c>
      <c r="G49" s="3664" t="s">
        <v>35</v>
      </c>
      <c r="H49" s="3675" t="s">
        <v>67</v>
      </c>
      <c r="I49" s="3675" t="s">
        <v>67</v>
      </c>
      <c r="J49" s="3590">
        <v>7</v>
      </c>
      <c r="K49" s="3664">
        <v>7</v>
      </c>
      <c r="L49" s="3664">
        <v>7</v>
      </c>
      <c r="M49" s="3664">
        <v>7</v>
      </c>
      <c r="N49" s="3664">
        <v>7</v>
      </c>
      <c r="O49" s="3590"/>
      <c r="P49" s="3664"/>
      <c r="Q49" s="3664">
        <v>4</v>
      </c>
      <c r="R49" s="3590">
        <v>4</v>
      </c>
      <c r="S49" s="3664">
        <v>4</v>
      </c>
      <c r="T49" s="3664">
        <v>4</v>
      </c>
      <c r="U49" s="3675">
        <v>4</v>
      </c>
      <c r="V49" s="3675"/>
      <c r="W49" s="3675"/>
      <c r="X49" s="3675">
        <v>3</v>
      </c>
      <c r="Y49" s="3675">
        <v>3</v>
      </c>
      <c r="Z49" s="3675">
        <v>3</v>
      </c>
      <c r="AA49" s="3675">
        <v>3</v>
      </c>
      <c r="AB49" s="3675">
        <v>3</v>
      </c>
      <c r="AC49" s="3675"/>
      <c r="AD49" s="3664"/>
      <c r="AE49" s="3675">
        <v>11</v>
      </c>
      <c r="AF49" s="3675">
        <v>11</v>
      </c>
      <c r="AG49" s="3675">
        <v>11</v>
      </c>
      <c r="AH49" s="34"/>
      <c r="AI49" s="25"/>
    </row>
    <row r="50" spans="1:35" ht="18" customHeight="1">
      <c r="A50" s="3666">
        <v>10</v>
      </c>
      <c r="B50" s="3606" t="s">
        <v>84</v>
      </c>
      <c r="C50" s="3600" t="s">
        <v>35</v>
      </c>
      <c r="D50" s="3600" t="s">
        <v>35</v>
      </c>
      <c r="E50" s="3600" t="s">
        <v>35</v>
      </c>
      <c r="F50" s="3600" t="s">
        <v>35</v>
      </c>
      <c r="G50" s="3600" t="s">
        <v>35</v>
      </c>
      <c r="H50" s="3600" t="s">
        <v>69</v>
      </c>
      <c r="I50" s="3600" t="s">
        <v>69</v>
      </c>
      <c r="J50" s="3667">
        <v>8</v>
      </c>
      <c r="K50" s="3667">
        <v>8</v>
      </c>
      <c r="L50" s="3667">
        <v>8</v>
      </c>
      <c r="M50" s="3667">
        <v>8</v>
      </c>
      <c r="N50" s="3667">
        <v>8</v>
      </c>
      <c r="O50" s="3667"/>
      <c r="P50" s="3667"/>
      <c r="Q50" s="3667" t="s">
        <v>35</v>
      </c>
      <c r="R50" s="3667" t="s">
        <v>35</v>
      </c>
      <c r="S50" s="3667" t="s">
        <v>35</v>
      </c>
      <c r="T50" s="3667" t="s">
        <v>35</v>
      </c>
      <c r="U50" s="3667" t="s">
        <v>35</v>
      </c>
      <c r="V50" s="3667"/>
      <c r="W50" s="3597"/>
      <c r="X50" s="3677">
        <v>1</v>
      </c>
      <c r="Y50" s="3684">
        <v>1</v>
      </c>
      <c r="Z50" s="3677">
        <v>1</v>
      </c>
      <c r="AA50" s="3677">
        <v>1</v>
      </c>
      <c r="AB50" s="3677">
        <v>1</v>
      </c>
      <c r="AC50" s="3677"/>
      <c r="AD50" s="3677"/>
      <c r="AE50" s="3677">
        <v>9</v>
      </c>
      <c r="AF50" s="3677">
        <v>9</v>
      </c>
      <c r="AG50" s="3678">
        <v>9</v>
      </c>
      <c r="AH50" s="34"/>
      <c r="AI50" s="25"/>
    </row>
    <row r="51" spans="1:35" ht="18" customHeight="1" thickBot="1">
      <c r="A51" s="3668">
        <v>15</v>
      </c>
      <c r="B51" s="3669" t="s">
        <v>85</v>
      </c>
      <c r="C51" s="3510" t="s">
        <v>35</v>
      </c>
      <c r="D51" s="3510" t="s">
        <v>35</v>
      </c>
      <c r="E51" s="3510" t="s">
        <v>35</v>
      </c>
      <c r="F51" s="3510" t="s">
        <v>35</v>
      </c>
      <c r="G51" s="3510" t="s">
        <v>35</v>
      </c>
      <c r="H51" s="3411" t="s">
        <v>75</v>
      </c>
      <c r="I51" s="3411" t="s">
        <v>69</v>
      </c>
      <c r="J51" s="3510">
        <v>6</v>
      </c>
      <c r="K51" s="3411">
        <v>6</v>
      </c>
      <c r="L51" s="3510">
        <v>6</v>
      </c>
      <c r="M51" s="3510">
        <v>6</v>
      </c>
      <c r="N51" s="3510">
        <v>6</v>
      </c>
      <c r="O51" s="3510"/>
      <c r="P51" s="3510"/>
      <c r="Q51" s="3411" t="s">
        <v>35</v>
      </c>
      <c r="R51" s="3510" t="s">
        <v>35</v>
      </c>
      <c r="S51" s="3510" t="s">
        <v>35</v>
      </c>
      <c r="T51" s="3510" t="s">
        <v>35</v>
      </c>
      <c r="U51" s="3510" t="s">
        <v>35</v>
      </c>
      <c r="V51" s="3510"/>
      <c r="W51" s="3510"/>
      <c r="X51" s="3510">
        <v>5</v>
      </c>
      <c r="Y51" s="3411">
        <v>5</v>
      </c>
      <c r="Z51" s="3510">
        <v>5</v>
      </c>
      <c r="AA51" s="3510">
        <v>5</v>
      </c>
      <c r="AB51" s="3510">
        <v>5</v>
      </c>
      <c r="AC51" s="3510"/>
      <c r="AD51" s="3510"/>
      <c r="AE51" s="3411">
        <v>10</v>
      </c>
      <c r="AF51" s="3673">
        <v>10</v>
      </c>
      <c r="AG51" s="3690">
        <v>10</v>
      </c>
      <c r="AH51" s="34"/>
      <c r="AI51" s="25"/>
    </row>
    <row r="52" spans="1:35" ht="18" customHeight="1">
      <c r="A52" s="29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"/>
    </row>
    <row r="53" spans="1:35" ht="18" customHeight="1">
      <c r="A53" s="36"/>
      <c r="B53" s="37" t="s">
        <v>86</v>
      </c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1"/>
    </row>
    <row r="54" spans="1:35" ht="18" customHeight="1">
      <c r="A54" s="3691" t="s">
        <v>28</v>
      </c>
      <c r="B54" s="3691"/>
      <c r="C54" s="3692"/>
      <c r="D54" s="3691" t="s">
        <v>87</v>
      </c>
      <c r="E54" s="3693"/>
      <c r="F54" s="3692"/>
      <c r="G54" s="3691" t="s">
        <v>88</v>
      </c>
      <c r="H54" s="3693"/>
      <c r="I54" s="3692"/>
      <c r="J54" s="3691" t="s">
        <v>89</v>
      </c>
      <c r="K54" s="3693"/>
      <c r="L54" s="3692"/>
      <c r="M54" s="3691" t="s">
        <v>90</v>
      </c>
      <c r="N54" s="3693"/>
      <c r="O54" s="3692"/>
      <c r="P54" s="3691" t="s">
        <v>91</v>
      </c>
      <c r="Q54" s="3693"/>
      <c r="R54" s="3694"/>
      <c r="S54" s="3695" t="s">
        <v>92</v>
      </c>
      <c r="T54" s="3693"/>
      <c r="U54" s="3692"/>
      <c r="V54" s="3691" t="s">
        <v>93</v>
      </c>
      <c r="W54" s="3693"/>
      <c r="X54" s="3696" t="s">
        <v>94</v>
      </c>
      <c r="Y54" s="3693"/>
      <c r="Z54" s="3693"/>
      <c r="AA54" s="3697"/>
      <c r="AB54" s="3570"/>
      <c r="AC54" s="3570"/>
      <c r="AD54" s="3570"/>
      <c r="AE54" s="3570"/>
      <c r="AF54" s="3570"/>
      <c r="AG54" s="3571"/>
      <c r="AH54" s="1"/>
    </row>
    <row r="55" spans="1:35" ht="18" customHeight="1">
      <c r="A55" s="3698">
        <v>8517</v>
      </c>
      <c r="B55" s="3602" t="s">
        <v>95</v>
      </c>
      <c r="C55" s="3699" t="s">
        <v>96</v>
      </c>
      <c r="D55" s="3700"/>
      <c r="E55" s="3569"/>
      <c r="F55" s="3699" t="s">
        <v>96</v>
      </c>
      <c r="G55" s="3700"/>
      <c r="H55" s="3569"/>
      <c r="I55" s="3699" t="s">
        <v>96</v>
      </c>
      <c r="J55" s="3700"/>
      <c r="K55" s="3569"/>
      <c r="L55" s="3699" t="s">
        <v>96</v>
      </c>
      <c r="M55" s="3700"/>
      <c r="N55" s="3569"/>
      <c r="O55" s="3699" t="s">
        <v>97</v>
      </c>
      <c r="P55" s="3700"/>
      <c r="Q55" s="3569"/>
      <c r="R55" s="3699" t="s">
        <v>96</v>
      </c>
      <c r="S55" s="3700"/>
      <c r="T55" s="3569"/>
      <c r="U55" s="3699" t="s">
        <v>96</v>
      </c>
      <c r="V55" s="3700"/>
      <c r="W55" s="3569"/>
      <c r="X55" s="3567"/>
      <c r="Y55" s="3570"/>
      <c r="Z55" s="3570"/>
      <c r="AA55" s="3570"/>
      <c r="AB55" s="3570"/>
      <c r="AC55" s="3570"/>
      <c r="AD55" s="3570"/>
      <c r="AE55" s="3570"/>
      <c r="AF55" s="3570"/>
      <c r="AG55" s="3571"/>
      <c r="AH55" s="1"/>
    </row>
    <row r="56" spans="1:35" ht="18" customHeight="1">
      <c r="B56" s="3701" t="s">
        <v>98</v>
      </c>
      <c r="C56" s="3702" t="s">
        <v>99</v>
      </c>
      <c r="D56" s="3703"/>
      <c r="E56" s="3704"/>
      <c r="F56" s="3702" t="s">
        <v>99</v>
      </c>
      <c r="G56" s="3705"/>
      <c r="H56" s="3704"/>
      <c r="I56" s="3699" t="s">
        <v>99</v>
      </c>
      <c r="J56" s="3700"/>
      <c r="K56" s="3706"/>
      <c r="L56" s="3699" t="s">
        <v>99</v>
      </c>
      <c r="M56" s="3700"/>
      <c r="N56" s="3706"/>
      <c r="O56" s="3699" t="s">
        <v>100</v>
      </c>
      <c r="P56" s="3700"/>
      <c r="Q56" s="3569"/>
      <c r="R56" s="3707" t="s">
        <v>0</v>
      </c>
      <c r="S56" s="3700"/>
      <c r="T56" s="3706"/>
      <c r="U56" s="3700" t="s">
        <v>0</v>
      </c>
      <c r="V56" s="3700"/>
      <c r="W56" s="3569"/>
      <c r="X56" s="1229" t="s">
        <v>0</v>
      </c>
      <c r="Y56" s="17"/>
      <c r="Z56" s="17"/>
      <c r="AA56" s="17"/>
      <c r="AB56" s="17"/>
      <c r="AC56" s="17"/>
      <c r="AD56" s="17"/>
      <c r="AE56" s="17"/>
      <c r="AF56" s="17"/>
      <c r="AG56" s="39"/>
      <c r="AH56" s="1"/>
    </row>
    <row r="57" spans="1:35" ht="18" customHeight="1">
      <c r="A57" s="3708"/>
      <c r="B57" s="3602" t="s">
        <v>101</v>
      </c>
      <c r="C57" s="3699" t="s">
        <v>102</v>
      </c>
      <c r="D57" s="3700"/>
      <c r="E57" s="3569"/>
      <c r="F57" s="3699" t="s">
        <v>102</v>
      </c>
      <c r="G57" s="3700"/>
      <c r="H57" s="3706"/>
      <c r="I57" s="3699" t="s">
        <v>102</v>
      </c>
      <c r="J57" s="3700"/>
      <c r="K57" s="3706"/>
      <c r="L57" s="3699" t="s">
        <v>102</v>
      </c>
      <c r="M57" s="3700"/>
      <c r="N57" s="3706"/>
      <c r="O57" s="3699" t="s">
        <v>103</v>
      </c>
      <c r="P57" s="3700"/>
      <c r="Q57" s="3569"/>
      <c r="R57" s="40"/>
      <c r="S57" s="41"/>
      <c r="T57" s="3706"/>
      <c r="U57" s="3700"/>
      <c r="V57" s="3700"/>
      <c r="W57" s="3569"/>
      <c r="X57" s="3567"/>
      <c r="Y57" s="3570"/>
      <c r="Z57" s="3570"/>
      <c r="AA57" s="3570"/>
      <c r="AB57" s="3570"/>
      <c r="AC57" s="3570"/>
      <c r="AD57" s="3570"/>
      <c r="AE57" s="3570"/>
      <c r="AF57" s="3570"/>
      <c r="AG57" s="3571"/>
      <c r="AH57" s="1"/>
    </row>
    <row r="58" spans="1:35" ht="18" customHeight="1">
      <c r="A58" s="3691"/>
      <c r="B58" s="3701" t="s">
        <v>104</v>
      </c>
      <c r="C58" s="3709" t="s">
        <v>105</v>
      </c>
      <c r="D58" s="3709"/>
      <c r="E58" s="3710"/>
      <c r="F58" s="3709" t="s">
        <v>105</v>
      </c>
      <c r="G58" s="3709"/>
      <c r="H58" s="3710"/>
      <c r="I58" s="3709" t="s">
        <v>105</v>
      </c>
      <c r="J58" s="3709"/>
      <c r="K58" s="3710"/>
      <c r="L58" s="3709" t="s">
        <v>105</v>
      </c>
      <c r="M58" s="3709"/>
      <c r="N58" s="3710"/>
      <c r="O58" s="3709" t="s">
        <v>105</v>
      </c>
      <c r="P58" s="3709"/>
      <c r="Q58" s="3710"/>
      <c r="R58" s="3709" t="s">
        <v>105</v>
      </c>
      <c r="S58" s="3709"/>
      <c r="T58" s="3710"/>
      <c r="U58" s="3709" t="s">
        <v>105</v>
      </c>
      <c r="V58" s="3709"/>
      <c r="W58" s="3710"/>
      <c r="X58" s="3567"/>
      <c r="Y58" s="3570"/>
      <c r="Z58" s="3570"/>
      <c r="AA58" s="3570"/>
      <c r="AB58" s="3570"/>
      <c r="AC58" s="3570"/>
      <c r="AD58" s="3570"/>
      <c r="AE58" s="3570"/>
      <c r="AF58" s="3570"/>
      <c r="AG58" s="3571"/>
      <c r="AH58" s="1"/>
    </row>
    <row r="59" spans="1:35" ht="18" customHeight="1">
      <c r="A59" s="42"/>
      <c r="B59" s="29"/>
      <c r="C59" s="22"/>
      <c r="D59" s="22"/>
      <c r="E59" s="18"/>
      <c r="F59" s="22"/>
      <c r="G59" s="22"/>
      <c r="H59" s="18"/>
      <c r="I59" s="22"/>
      <c r="J59" s="22"/>
      <c r="K59" s="18"/>
      <c r="L59" s="22"/>
      <c r="M59" s="22"/>
      <c r="N59" s="18"/>
      <c r="O59" s="22"/>
      <c r="P59" s="22"/>
      <c r="Q59" s="18"/>
      <c r="R59" s="22"/>
      <c r="S59" s="22"/>
      <c r="T59" s="18"/>
      <c r="U59" s="22"/>
      <c r="V59" s="22"/>
      <c r="W59" s="18"/>
      <c r="X59" s="18"/>
      <c r="Y59" s="17"/>
      <c r="Z59" s="17"/>
      <c r="AA59" s="17"/>
      <c r="AB59" s="17"/>
      <c r="AC59" s="17"/>
      <c r="AD59" s="17"/>
      <c r="AE59" s="17"/>
      <c r="AF59" s="17"/>
      <c r="AG59" s="17"/>
      <c r="AH59" s="1"/>
    </row>
    <row r="60" spans="1:35" ht="18" customHeight="1" thickBot="1">
      <c r="A60" s="3711"/>
      <c r="B60" s="3661" t="s">
        <v>29</v>
      </c>
      <c r="C60" s="3712">
        <v>1</v>
      </c>
      <c r="D60" s="3712">
        <v>2</v>
      </c>
      <c r="E60" s="3712">
        <v>3</v>
      </c>
      <c r="F60" s="3712">
        <v>4</v>
      </c>
      <c r="G60" s="3712">
        <v>5</v>
      </c>
      <c r="H60" s="3713">
        <v>6</v>
      </c>
      <c r="I60" s="3713">
        <v>7</v>
      </c>
      <c r="J60" s="3712">
        <v>8</v>
      </c>
      <c r="K60" s="3712">
        <v>9</v>
      </c>
      <c r="L60" s="3712">
        <v>10</v>
      </c>
      <c r="M60" s="3712">
        <v>11</v>
      </c>
      <c r="N60" s="3712">
        <v>12</v>
      </c>
      <c r="O60" s="3713">
        <v>13</v>
      </c>
      <c r="P60" s="3713">
        <v>14</v>
      </c>
      <c r="Q60" s="3712">
        <v>15</v>
      </c>
      <c r="R60" s="3712">
        <v>16</v>
      </c>
      <c r="S60" s="3712">
        <v>17</v>
      </c>
      <c r="T60" s="3712">
        <v>18</v>
      </c>
      <c r="U60" s="3712">
        <v>19</v>
      </c>
      <c r="V60" s="3713">
        <v>20</v>
      </c>
      <c r="W60" s="3713">
        <v>21</v>
      </c>
      <c r="X60" s="3712">
        <v>22</v>
      </c>
      <c r="Y60" s="3712">
        <v>23</v>
      </c>
      <c r="Z60" s="3712">
        <v>24</v>
      </c>
      <c r="AA60" s="3712">
        <v>25</v>
      </c>
      <c r="AB60" s="3712">
        <v>26</v>
      </c>
      <c r="AC60" s="3713">
        <v>27</v>
      </c>
      <c r="AD60" s="3713">
        <v>28</v>
      </c>
      <c r="AE60" s="3712">
        <v>29</v>
      </c>
      <c r="AF60" s="3712">
        <v>30</v>
      </c>
      <c r="AG60" s="3714">
        <v>31</v>
      </c>
      <c r="AH60" s="1"/>
    </row>
    <row r="61" spans="1:35" ht="18" customHeight="1">
      <c r="A61" s="3715"/>
      <c r="B61" s="3715" t="s">
        <v>177</v>
      </c>
      <c r="C61" s="3716" t="s">
        <v>136</v>
      </c>
      <c r="D61" s="3716" t="s">
        <v>136</v>
      </c>
      <c r="E61" s="3716" t="s">
        <v>136</v>
      </c>
      <c r="F61" s="3716" t="s">
        <v>136</v>
      </c>
      <c r="G61" s="3716" t="s">
        <v>136</v>
      </c>
      <c r="H61" s="3717"/>
      <c r="I61" s="3717"/>
      <c r="J61" s="3615" t="s">
        <v>31</v>
      </c>
      <c r="K61" s="3615" t="s">
        <v>31</v>
      </c>
      <c r="L61" s="3615" t="s">
        <v>31</v>
      </c>
      <c r="M61" s="3615" t="s">
        <v>31</v>
      </c>
      <c r="N61" s="3615" t="s">
        <v>31</v>
      </c>
      <c r="O61" s="3615"/>
      <c r="P61" s="3615"/>
      <c r="Q61" s="3615" t="s">
        <v>31</v>
      </c>
      <c r="R61" s="3615" t="s">
        <v>31</v>
      </c>
      <c r="S61" s="3615" t="s">
        <v>31</v>
      </c>
      <c r="T61" s="3615" t="s">
        <v>31</v>
      </c>
      <c r="U61" s="3615" t="s">
        <v>31</v>
      </c>
      <c r="V61" s="3615"/>
      <c r="W61" s="3615"/>
      <c r="X61" s="3615" t="s">
        <v>31</v>
      </c>
      <c r="Y61" s="3615" t="s">
        <v>31</v>
      </c>
      <c r="Z61" s="3615" t="s">
        <v>31</v>
      </c>
      <c r="AA61" s="3615" t="s">
        <v>31</v>
      </c>
      <c r="AB61" s="3615" t="s">
        <v>31</v>
      </c>
      <c r="AC61" s="3615"/>
      <c r="AD61" s="3615"/>
      <c r="AE61" s="3718" t="s">
        <v>136</v>
      </c>
      <c r="AF61" s="3718" t="s">
        <v>136</v>
      </c>
      <c r="AG61" s="3718" t="s">
        <v>136</v>
      </c>
      <c r="AH61" s="1"/>
    </row>
    <row r="62" spans="1:35" ht="18" customHeight="1">
      <c r="A62" s="3719"/>
      <c r="B62" s="3719" t="s">
        <v>106</v>
      </c>
      <c r="C62" s="3621">
        <v>26</v>
      </c>
      <c r="D62" s="3621">
        <v>26</v>
      </c>
      <c r="E62" s="3621">
        <v>26</v>
      </c>
      <c r="F62" s="3621">
        <v>26</v>
      </c>
      <c r="G62" s="3623">
        <v>26</v>
      </c>
      <c r="H62" s="3621">
        <v>26</v>
      </c>
      <c r="I62" s="3621">
        <v>26</v>
      </c>
      <c r="J62" s="3720" t="s">
        <v>35</v>
      </c>
      <c r="K62" s="3720" t="s">
        <v>35</v>
      </c>
      <c r="L62" s="3720" t="s">
        <v>35</v>
      </c>
      <c r="M62" s="3720" t="s">
        <v>459</v>
      </c>
      <c r="N62" s="3720" t="s">
        <v>459</v>
      </c>
      <c r="O62" s="3621">
        <v>22</v>
      </c>
      <c r="P62" s="3621"/>
      <c r="Q62" s="3621">
        <v>26</v>
      </c>
      <c r="R62" s="3621">
        <v>26</v>
      </c>
      <c r="S62" s="3621">
        <v>26</v>
      </c>
      <c r="T62" s="3621">
        <v>26</v>
      </c>
      <c r="U62" s="3621">
        <v>26</v>
      </c>
      <c r="V62" s="3721" t="s">
        <v>108</v>
      </c>
      <c r="W62" s="3621" t="s">
        <v>108</v>
      </c>
      <c r="X62" s="3621" t="s">
        <v>35</v>
      </c>
      <c r="Y62" s="3621" t="s">
        <v>35</v>
      </c>
      <c r="Z62" s="3621" t="s">
        <v>35</v>
      </c>
      <c r="AA62" s="3430" t="s">
        <v>35</v>
      </c>
      <c r="AB62" s="3722" t="s">
        <v>35</v>
      </c>
      <c r="AC62" s="3722"/>
      <c r="AD62" s="3723" t="s">
        <v>67</v>
      </c>
      <c r="AE62" s="3723">
        <v>26</v>
      </c>
      <c r="AF62" s="3723" t="s">
        <v>456</v>
      </c>
      <c r="AG62" s="3724">
        <v>26</v>
      </c>
      <c r="AH62" s="1"/>
    </row>
    <row r="63" spans="1:35" ht="18" customHeight="1">
      <c r="A63" s="3619"/>
      <c r="B63" s="3418" t="s">
        <v>111</v>
      </c>
      <c r="C63" s="3621" t="s">
        <v>35</v>
      </c>
      <c r="D63" s="3428" t="s">
        <v>35</v>
      </c>
      <c r="E63" s="3428" t="s">
        <v>35</v>
      </c>
      <c r="F63" s="3428">
        <v>89</v>
      </c>
      <c r="G63" s="3428" t="s">
        <v>121</v>
      </c>
      <c r="H63" s="3428"/>
      <c r="I63" s="3428"/>
      <c r="J63" s="3428" t="s">
        <v>136</v>
      </c>
      <c r="K63" s="3428" t="s">
        <v>136</v>
      </c>
      <c r="L63" s="3428" t="s">
        <v>136</v>
      </c>
      <c r="M63" s="3626" t="s">
        <v>136</v>
      </c>
      <c r="N63" s="3428" t="s">
        <v>136</v>
      </c>
      <c r="O63" s="3428"/>
      <c r="P63" s="3428"/>
      <c r="Q63" s="3626" t="s">
        <v>376</v>
      </c>
      <c r="R63" s="3725" t="s">
        <v>376</v>
      </c>
      <c r="S63" s="3721" t="s">
        <v>136</v>
      </c>
      <c r="T63" s="3721" t="s">
        <v>136</v>
      </c>
      <c r="U63" s="3720" t="s">
        <v>244</v>
      </c>
      <c r="V63" s="3423" t="s">
        <v>48</v>
      </c>
      <c r="W63" s="3423" t="s">
        <v>48</v>
      </c>
      <c r="X63" s="3621" t="s">
        <v>35</v>
      </c>
      <c r="Y63" s="3621" t="s">
        <v>35</v>
      </c>
      <c r="Z63" s="3621" t="s">
        <v>35</v>
      </c>
      <c r="AA63" s="3626" t="s">
        <v>237</v>
      </c>
      <c r="AB63" s="3428" t="s">
        <v>128</v>
      </c>
      <c r="AC63" s="3428" t="s">
        <v>67</v>
      </c>
      <c r="AD63" s="3428"/>
      <c r="AE63" s="3428">
        <v>21</v>
      </c>
      <c r="AF63" s="3428">
        <v>21</v>
      </c>
      <c r="AG63" s="3624">
        <v>21</v>
      </c>
      <c r="AH63" s="1"/>
    </row>
    <row r="64" spans="1:35" ht="18" customHeight="1">
      <c r="A64" s="3418"/>
      <c r="B64" s="3418" t="s">
        <v>377</v>
      </c>
      <c r="C64" s="3423" t="s">
        <v>120</v>
      </c>
      <c r="D64" s="3423" t="s">
        <v>120</v>
      </c>
      <c r="E64" s="3423" t="s">
        <v>120</v>
      </c>
      <c r="F64" s="3423" t="s">
        <v>120</v>
      </c>
      <c r="G64" s="3423" t="s">
        <v>120</v>
      </c>
      <c r="H64" s="3423"/>
      <c r="I64" s="3423"/>
      <c r="J64" s="3423">
        <v>22</v>
      </c>
      <c r="K64" s="3423">
        <v>22</v>
      </c>
      <c r="L64" s="3423">
        <v>22</v>
      </c>
      <c r="M64" s="3423">
        <v>22</v>
      </c>
      <c r="N64" s="3423">
        <v>22</v>
      </c>
      <c r="O64" s="3423">
        <v>22</v>
      </c>
      <c r="P64" s="3423">
        <v>22</v>
      </c>
      <c r="Q64" s="3622"/>
      <c r="R64" s="3622"/>
      <c r="S64" s="3622"/>
      <c r="T64" s="3622"/>
      <c r="U64" s="3622"/>
      <c r="V64" s="3622"/>
      <c r="W64" s="3421"/>
      <c r="X64" s="3622"/>
      <c r="Y64" s="3622"/>
      <c r="Z64" s="3622"/>
      <c r="AA64" s="3622"/>
      <c r="AB64" s="3622"/>
      <c r="AC64" s="3622"/>
      <c r="AD64" s="3622"/>
      <c r="AE64" s="3622"/>
      <c r="AF64" s="3622"/>
      <c r="AG64" s="3622"/>
      <c r="AH64" s="1"/>
    </row>
    <row r="65" spans="1:34" ht="18" customHeight="1">
      <c r="A65" s="3418"/>
      <c r="B65" s="3418" t="s">
        <v>113</v>
      </c>
      <c r="C65" s="3623" t="s">
        <v>110</v>
      </c>
      <c r="D65" s="3623">
        <v>69</v>
      </c>
      <c r="E65" s="3623">
        <v>69</v>
      </c>
      <c r="F65" s="3623">
        <v>69</v>
      </c>
      <c r="G65" s="3623">
        <v>69</v>
      </c>
      <c r="H65" s="3722"/>
      <c r="I65" s="3621"/>
      <c r="J65" s="3428">
        <v>25</v>
      </c>
      <c r="K65" s="3428">
        <v>25</v>
      </c>
      <c r="L65" s="3428">
        <v>25</v>
      </c>
      <c r="M65" s="3428">
        <v>25</v>
      </c>
      <c r="N65" s="3428">
        <v>25</v>
      </c>
      <c r="O65" s="3430" t="s">
        <v>0</v>
      </c>
      <c r="P65" s="3430" t="s">
        <v>0</v>
      </c>
      <c r="Q65" s="3423" t="s">
        <v>136</v>
      </c>
      <c r="R65" s="3423" t="s">
        <v>136</v>
      </c>
      <c r="S65" s="3423" t="s">
        <v>136</v>
      </c>
      <c r="T65" s="3423" t="s">
        <v>136</v>
      </c>
      <c r="U65" s="3423" t="s">
        <v>136</v>
      </c>
      <c r="V65" s="3423" t="s">
        <v>0</v>
      </c>
      <c r="W65" s="3423" t="s">
        <v>0</v>
      </c>
      <c r="X65" s="3430" t="s">
        <v>136</v>
      </c>
      <c r="Y65" s="3430" t="s">
        <v>136</v>
      </c>
      <c r="Z65" s="3430" t="s">
        <v>136</v>
      </c>
      <c r="AA65" s="3430" t="s">
        <v>136</v>
      </c>
      <c r="AB65" s="3430" t="s">
        <v>136</v>
      </c>
      <c r="AC65" s="3430" t="s">
        <v>0</v>
      </c>
      <c r="AD65" s="3430" t="s">
        <v>0</v>
      </c>
      <c r="AE65" s="3621" t="s">
        <v>128</v>
      </c>
      <c r="AF65" s="3621" t="s">
        <v>128</v>
      </c>
      <c r="AG65" s="3621" t="s">
        <v>128</v>
      </c>
      <c r="AH65" s="1"/>
    </row>
    <row r="66" spans="1:34" ht="18" customHeight="1">
      <c r="A66" s="3418"/>
      <c r="B66" s="3726" t="s">
        <v>379</v>
      </c>
      <c r="C66" s="3722" t="s">
        <v>127</v>
      </c>
      <c r="D66" s="3623" t="s">
        <v>127</v>
      </c>
      <c r="E66" s="3722" t="s">
        <v>127</v>
      </c>
      <c r="F66" s="3722" t="s">
        <v>127</v>
      </c>
      <c r="G66" s="3722" t="s">
        <v>127</v>
      </c>
      <c r="H66" s="3428"/>
      <c r="I66" s="3428"/>
      <c r="J66" s="3722">
        <v>79</v>
      </c>
      <c r="K66" s="3722">
        <v>79</v>
      </c>
      <c r="L66" s="3722">
        <v>79</v>
      </c>
      <c r="M66" s="3722">
        <v>79</v>
      </c>
      <c r="N66" s="3722">
        <v>79</v>
      </c>
      <c r="O66" s="3722"/>
      <c r="P66" s="3722"/>
      <c r="Q66" s="3722" t="s">
        <v>127</v>
      </c>
      <c r="R66" s="3722" t="s">
        <v>127</v>
      </c>
      <c r="S66" s="3722" t="s">
        <v>127</v>
      </c>
      <c r="T66" s="3722" t="s">
        <v>127</v>
      </c>
      <c r="U66" s="3722" t="s">
        <v>127</v>
      </c>
      <c r="V66" s="3722" t="s">
        <v>0</v>
      </c>
      <c r="W66" s="3621"/>
      <c r="X66" s="3621" t="s">
        <v>112</v>
      </c>
      <c r="Y66" s="3621" t="s">
        <v>112</v>
      </c>
      <c r="Z66" s="3621" t="s">
        <v>112</v>
      </c>
      <c r="AA66" s="3621" t="s">
        <v>112</v>
      </c>
      <c r="AB66" s="3621" t="s">
        <v>112</v>
      </c>
      <c r="AC66" s="3621" t="s">
        <v>45</v>
      </c>
      <c r="AD66" s="3621" t="s">
        <v>45</v>
      </c>
      <c r="AE66" s="3423" t="s">
        <v>31</v>
      </c>
      <c r="AF66" s="3423" t="s">
        <v>31</v>
      </c>
      <c r="AG66" s="3627" t="s">
        <v>31</v>
      </c>
      <c r="AH66" s="1"/>
    </row>
    <row r="67" spans="1:34" ht="18" customHeight="1">
      <c r="A67" s="3418"/>
      <c r="B67" s="3726" t="s">
        <v>116</v>
      </c>
      <c r="C67" s="3727" t="s">
        <v>244</v>
      </c>
      <c r="D67" s="3623">
        <v>5</v>
      </c>
      <c r="E67" s="3623">
        <v>5</v>
      </c>
      <c r="F67" s="3623">
        <v>5</v>
      </c>
      <c r="G67" s="3623">
        <v>5</v>
      </c>
      <c r="H67" s="3623"/>
      <c r="I67" s="3728" t="s">
        <v>68</v>
      </c>
      <c r="J67" s="3621">
        <v>26</v>
      </c>
      <c r="K67" s="3621">
        <v>26</v>
      </c>
      <c r="L67" s="3626">
        <v>26</v>
      </c>
      <c r="M67" s="3626">
        <v>26</v>
      </c>
      <c r="N67" s="3621">
        <v>26</v>
      </c>
      <c r="O67" s="3621">
        <v>26</v>
      </c>
      <c r="P67" s="3621">
        <v>26</v>
      </c>
      <c r="Q67" s="3621" t="s">
        <v>35</v>
      </c>
      <c r="R67" s="3621" t="s">
        <v>35</v>
      </c>
      <c r="S67" s="3626">
        <v>5</v>
      </c>
      <c r="T67" s="3621">
        <v>79</v>
      </c>
      <c r="U67" s="3621">
        <v>79</v>
      </c>
      <c r="V67" s="3621" t="s">
        <v>45</v>
      </c>
      <c r="W67" s="3621"/>
      <c r="X67" s="3621">
        <v>25</v>
      </c>
      <c r="Y67" s="3621">
        <v>25</v>
      </c>
      <c r="Z67" s="3428">
        <v>25</v>
      </c>
      <c r="AA67" s="3621">
        <v>25</v>
      </c>
      <c r="AB67" s="3428">
        <v>25</v>
      </c>
      <c r="AC67" s="3428"/>
      <c r="AD67" s="3428"/>
      <c r="AE67" s="3721" t="s">
        <v>237</v>
      </c>
      <c r="AF67" s="3721" t="s">
        <v>237</v>
      </c>
      <c r="AG67" s="3729" t="s">
        <v>237</v>
      </c>
      <c r="AH67" s="1"/>
    </row>
    <row r="68" spans="1:34" ht="18" customHeight="1">
      <c r="A68" s="3418"/>
      <c r="B68" s="3726" t="s">
        <v>122</v>
      </c>
      <c r="C68" s="3721" t="s">
        <v>120</v>
      </c>
      <c r="D68" s="3725" t="s">
        <v>110</v>
      </c>
      <c r="E68" s="3725" t="s">
        <v>110</v>
      </c>
      <c r="F68" s="3725" t="s">
        <v>110</v>
      </c>
      <c r="G68" s="3725" t="s">
        <v>110</v>
      </c>
      <c r="H68" s="3725" t="s">
        <v>108</v>
      </c>
      <c r="I68" s="3725" t="s">
        <v>108</v>
      </c>
      <c r="J68" s="3720" t="s">
        <v>35</v>
      </c>
      <c r="K68" s="3720" t="s">
        <v>35</v>
      </c>
      <c r="L68" s="3720" t="s">
        <v>35</v>
      </c>
      <c r="M68" s="3730">
        <v>69</v>
      </c>
      <c r="N68" s="3730">
        <v>69</v>
      </c>
      <c r="O68" s="3430"/>
      <c r="P68" s="3430"/>
      <c r="Q68" s="3621">
        <v>5</v>
      </c>
      <c r="R68" s="3621">
        <v>5</v>
      </c>
      <c r="S68" s="3415">
        <v>5</v>
      </c>
      <c r="T68" s="3415">
        <v>5</v>
      </c>
      <c r="U68" s="3477" t="s">
        <v>400</v>
      </c>
      <c r="V68" s="3430"/>
      <c r="W68" s="3720"/>
      <c r="X68" s="3430">
        <v>10</v>
      </c>
      <c r="Y68" s="3430">
        <v>10</v>
      </c>
      <c r="Z68" s="3621">
        <v>10</v>
      </c>
      <c r="AA68" s="3621">
        <v>10</v>
      </c>
      <c r="AB68" s="3430">
        <v>10</v>
      </c>
      <c r="AC68" s="3430" t="s">
        <v>72</v>
      </c>
      <c r="AD68" s="3430" t="s">
        <v>72</v>
      </c>
      <c r="AE68" s="3621" t="s">
        <v>35</v>
      </c>
      <c r="AF68" s="3621" t="s">
        <v>35</v>
      </c>
      <c r="AG68" s="3731" t="s">
        <v>35</v>
      </c>
      <c r="AH68" s="1"/>
    </row>
    <row r="69" spans="1:34" ht="18" customHeight="1">
      <c r="A69" s="3726"/>
      <c r="B69" s="3418" t="s">
        <v>381</v>
      </c>
      <c r="C69" s="3730" t="s">
        <v>35</v>
      </c>
      <c r="D69" s="3730" t="s">
        <v>35</v>
      </c>
      <c r="E69" s="3730" t="s">
        <v>35</v>
      </c>
      <c r="F69" s="3730" t="s">
        <v>35</v>
      </c>
      <c r="G69" s="3730" t="s">
        <v>35</v>
      </c>
      <c r="H69" s="3730" t="s">
        <v>45</v>
      </c>
      <c r="I69" s="3730" t="s">
        <v>45</v>
      </c>
      <c r="J69" s="3423" t="s">
        <v>31</v>
      </c>
      <c r="K69" s="3423" t="s">
        <v>31</v>
      </c>
      <c r="L69" s="3423" t="s">
        <v>31</v>
      </c>
      <c r="M69" s="3423" t="s">
        <v>31</v>
      </c>
      <c r="N69" s="3423" t="s">
        <v>31</v>
      </c>
      <c r="O69" s="3423"/>
      <c r="P69" s="3423"/>
      <c r="Q69" s="3423" t="s">
        <v>31</v>
      </c>
      <c r="R69" s="3423" t="s">
        <v>31</v>
      </c>
      <c r="S69" s="3423" t="s">
        <v>31</v>
      </c>
      <c r="T69" s="3423" t="s">
        <v>31</v>
      </c>
      <c r="U69" s="3423" t="s">
        <v>31</v>
      </c>
      <c r="V69" s="3423"/>
      <c r="W69" s="3423"/>
      <c r="X69" s="3423" t="s">
        <v>31</v>
      </c>
      <c r="Y69" s="3423" t="s">
        <v>31</v>
      </c>
      <c r="Z69" s="3423" t="s">
        <v>31</v>
      </c>
      <c r="AA69" s="3423" t="s">
        <v>31</v>
      </c>
      <c r="AB69" s="3423" t="s">
        <v>31</v>
      </c>
      <c r="AC69" s="3423"/>
      <c r="AD69" s="3423"/>
      <c r="AE69" s="3721" t="s">
        <v>48</v>
      </c>
      <c r="AF69" s="3721" t="s">
        <v>48</v>
      </c>
      <c r="AG69" s="3729" t="s">
        <v>35</v>
      </c>
      <c r="AH69" s="1"/>
    </row>
    <row r="70" spans="1:34" ht="18" customHeight="1">
      <c r="A70" s="3726"/>
      <c r="B70" s="3726" t="s">
        <v>382</v>
      </c>
      <c r="C70" s="3621">
        <v>11</v>
      </c>
      <c r="D70" s="3732">
        <v>11</v>
      </c>
      <c r="E70" s="3732">
        <v>11</v>
      </c>
      <c r="F70" s="3732">
        <v>11</v>
      </c>
      <c r="G70" s="3430">
        <v>11</v>
      </c>
      <c r="H70" s="3720" t="s">
        <v>68</v>
      </c>
      <c r="I70" s="3720" t="s">
        <v>68</v>
      </c>
      <c r="J70" s="3720" t="s">
        <v>35</v>
      </c>
      <c r="K70" s="3720" t="s">
        <v>35</v>
      </c>
      <c r="L70" s="3720" t="s">
        <v>35</v>
      </c>
      <c r="M70" s="3730" t="s">
        <v>47</v>
      </c>
      <c r="N70" s="3730" t="s">
        <v>47</v>
      </c>
      <c r="O70" s="3730" t="s">
        <v>0</v>
      </c>
      <c r="P70" s="3730" t="s">
        <v>0</v>
      </c>
      <c r="Q70" s="3730">
        <v>25</v>
      </c>
      <c r="R70" s="3730">
        <v>25</v>
      </c>
      <c r="S70" s="3730">
        <v>25</v>
      </c>
      <c r="T70" s="3730">
        <v>25</v>
      </c>
      <c r="U70" s="3730">
        <v>25</v>
      </c>
      <c r="V70" s="3730" t="s">
        <v>0</v>
      </c>
      <c r="W70" s="3730" t="s">
        <v>0</v>
      </c>
      <c r="X70" s="3423" t="s">
        <v>31</v>
      </c>
      <c r="Y70" s="3423" t="s">
        <v>31</v>
      </c>
      <c r="Z70" s="3423" t="s">
        <v>31</v>
      </c>
      <c r="AA70" s="3423" t="s">
        <v>31</v>
      </c>
      <c r="AB70" s="3423" t="s">
        <v>31</v>
      </c>
      <c r="AC70" s="3423"/>
      <c r="AD70" s="3423"/>
      <c r="AE70" s="3423" t="s">
        <v>31</v>
      </c>
      <c r="AF70" s="3423" t="s">
        <v>31</v>
      </c>
      <c r="AG70" s="3627" t="s">
        <v>31</v>
      </c>
      <c r="AH70" s="1"/>
    </row>
    <row r="71" spans="1:34" ht="18" customHeight="1">
      <c r="A71" s="3726"/>
      <c r="B71" s="3726" t="s">
        <v>380</v>
      </c>
      <c r="C71" s="3621">
        <v>25</v>
      </c>
      <c r="D71" s="3621">
        <v>25</v>
      </c>
      <c r="E71" s="3621">
        <v>25</v>
      </c>
      <c r="F71" s="3621">
        <v>25</v>
      </c>
      <c r="G71" s="3621">
        <v>25</v>
      </c>
      <c r="H71" s="3621"/>
      <c r="I71" s="3621"/>
      <c r="J71" s="3621">
        <v>69</v>
      </c>
      <c r="K71" s="3732">
        <v>22</v>
      </c>
      <c r="L71" s="3732">
        <v>22</v>
      </c>
      <c r="M71" s="3732" t="s">
        <v>35</v>
      </c>
      <c r="N71" s="3732" t="s">
        <v>35</v>
      </c>
      <c r="O71" s="3720" t="s">
        <v>75</v>
      </c>
      <c r="P71" s="3720" t="s">
        <v>69</v>
      </c>
      <c r="Q71" s="3720">
        <v>6</v>
      </c>
      <c r="R71" s="3621">
        <v>6</v>
      </c>
      <c r="S71" s="3720">
        <v>6</v>
      </c>
      <c r="T71" s="3720">
        <v>6</v>
      </c>
      <c r="U71" s="3720">
        <v>6</v>
      </c>
      <c r="V71" s="3720"/>
      <c r="W71" s="3720"/>
      <c r="X71" s="3622" t="s">
        <v>48</v>
      </c>
      <c r="Y71" s="3622" t="s">
        <v>48</v>
      </c>
      <c r="Z71" s="3622" t="s">
        <v>48</v>
      </c>
      <c r="AA71" s="3622" t="s">
        <v>48</v>
      </c>
      <c r="AB71" s="3622" t="s">
        <v>48</v>
      </c>
      <c r="AC71" s="3622" t="s">
        <v>45</v>
      </c>
      <c r="AD71" s="3622" t="s">
        <v>45</v>
      </c>
      <c r="AE71" s="3621" t="s">
        <v>35</v>
      </c>
      <c r="AF71" s="3621" t="s">
        <v>35</v>
      </c>
      <c r="AG71" s="3731" t="s">
        <v>35</v>
      </c>
      <c r="AH71" s="1"/>
    </row>
    <row r="72" spans="1:34" ht="18" customHeight="1">
      <c r="A72" s="3726"/>
      <c r="B72" s="3733" t="s">
        <v>403</v>
      </c>
      <c r="C72" s="3734">
        <v>25</v>
      </c>
      <c r="D72" s="3734">
        <v>25</v>
      </c>
      <c r="E72" s="3735">
        <v>25</v>
      </c>
      <c r="F72" s="3734">
        <v>25</v>
      </c>
      <c r="G72" s="3734">
        <v>25</v>
      </c>
      <c r="H72" s="3734">
        <v>26</v>
      </c>
      <c r="I72" s="3734">
        <v>26</v>
      </c>
      <c r="J72" s="3734" t="s">
        <v>35</v>
      </c>
      <c r="K72" s="3734" t="s">
        <v>35</v>
      </c>
      <c r="L72" s="3734" t="s">
        <v>35</v>
      </c>
      <c r="M72" s="3734" t="s">
        <v>35</v>
      </c>
      <c r="N72" s="3734" t="s">
        <v>35</v>
      </c>
      <c r="O72" s="3734"/>
      <c r="P72" s="3734"/>
      <c r="Q72" s="3623">
        <v>25</v>
      </c>
      <c r="R72" s="3623">
        <v>25</v>
      </c>
      <c r="S72" s="3623">
        <v>25</v>
      </c>
      <c r="T72" s="3623">
        <v>25</v>
      </c>
      <c r="U72" s="3623">
        <v>25</v>
      </c>
      <c r="V72" s="3623">
        <v>26</v>
      </c>
      <c r="W72" s="3623">
        <v>26</v>
      </c>
      <c r="X72" s="3623" t="s">
        <v>35</v>
      </c>
      <c r="Y72" s="3623" t="s">
        <v>35</v>
      </c>
      <c r="Z72" s="3623" t="s">
        <v>35</v>
      </c>
      <c r="AA72" s="3735">
        <v>26</v>
      </c>
      <c r="AB72" s="3735">
        <v>26</v>
      </c>
      <c r="AC72" s="3623">
        <v>26</v>
      </c>
      <c r="AD72" s="3623">
        <v>26</v>
      </c>
      <c r="AE72" s="3735" t="s">
        <v>110</v>
      </c>
      <c r="AF72" s="3735" t="s">
        <v>110</v>
      </c>
      <c r="AG72" s="3736" t="s">
        <v>110</v>
      </c>
      <c r="AH72" s="3737" t="s">
        <v>0</v>
      </c>
    </row>
    <row r="73" spans="1:34" ht="18" customHeight="1" thickBot="1">
      <c r="A73" s="3726"/>
      <c r="B73" s="3733" t="s">
        <v>402</v>
      </c>
      <c r="C73" s="3621">
        <v>69</v>
      </c>
      <c r="D73" s="3621">
        <v>1</v>
      </c>
      <c r="E73" s="3621">
        <v>1</v>
      </c>
      <c r="F73" s="3621">
        <v>1</v>
      </c>
      <c r="G73" s="3621">
        <v>1</v>
      </c>
      <c r="H73" s="3621"/>
      <c r="I73" s="3621"/>
      <c r="J73" s="3621">
        <v>3</v>
      </c>
      <c r="K73" s="3621">
        <v>3</v>
      </c>
      <c r="L73" s="3621">
        <v>3</v>
      </c>
      <c r="M73" s="3621">
        <v>3</v>
      </c>
      <c r="N73" s="3621">
        <v>3</v>
      </c>
      <c r="O73" s="3621"/>
      <c r="P73" s="3621"/>
      <c r="Q73" s="3722">
        <v>89</v>
      </c>
      <c r="R73" s="3722">
        <v>89</v>
      </c>
      <c r="S73" s="3462">
        <v>89</v>
      </c>
      <c r="T73" s="3462">
        <v>89</v>
      </c>
      <c r="U73" s="3722">
        <v>89</v>
      </c>
      <c r="V73" s="3722">
        <v>89</v>
      </c>
      <c r="W73" s="3621"/>
      <c r="X73" s="3428" t="s">
        <v>47</v>
      </c>
      <c r="Y73" s="3428" t="s">
        <v>47</v>
      </c>
      <c r="Z73" s="3428" t="s">
        <v>47</v>
      </c>
      <c r="AA73" s="3428" t="s">
        <v>47</v>
      </c>
      <c r="AB73" s="3622" t="s">
        <v>452</v>
      </c>
      <c r="AC73" s="3622" t="s">
        <v>0</v>
      </c>
      <c r="AD73" s="3622" t="s">
        <v>0</v>
      </c>
      <c r="AE73" s="3621">
        <v>69</v>
      </c>
      <c r="AF73" s="3621">
        <v>69</v>
      </c>
      <c r="AG73" s="3738" t="s">
        <v>408</v>
      </c>
      <c r="AH73" s="274"/>
    </row>
    <row r="74" spans="1:34" ht="18" customHeight="1">
      <c r="A74" s="3726"/>
      <c r="B74" s="3739" t="s">
        <v>385</v>
      </c>
      <c r="C74" s="3740" t="s">
        <v>35</v>
      </c>
      <c r="D74" s="3741" t="s">
        <v>110</v>
      </c>
      <c r="E74" s="3740">
        <v>7</v>
      </c>
      <c r="F74" s="3741" t="s">
        <v>110</v>
      </c>
      <c r="G74" s="3717">
        <v>8</v>
      </c>
      <c r="H74" s="3718">
        <v>89</v>
      </c>
      <c r="I74" s="3742" t="s">
        <v>69</v>
      </c>
      <c r="J74" s="3717" t="s">
        <v>127</v>
      </c>
      <c r="K74" s="3717" t="s">
        <v>127</v>
      </c>
      <c r="L74" s="3741" t="s">
        <v>110</v>
      </c>
      <c r="M74" s="3741" t="s">
        <v>110</v>
      </c>
      <c r="N74" s="3741" t="s">
        <v>110</v>
      </c>
      <c r="O74" s="3718"/>
      <c r="P74" s="3718"/>
      <c r="Q74" s="3743" t="s">
        <v>110</v>
      </c>
      <c r="R74" s="3743" t="s">
        <v>110</v>
      </c>
      <c r="S74" s="3743" t="s">
        <v>110</v>
      </c>
      <c r="T74" s="3743" t="s">
        <v>110</v>
      </c>
      <c r="U74" s="3744" t="s">
        <v>110</v>
      </c>
      <c r="V74" s="3744" t="s">
        <v>0</v>
      </c>
      <c r="W74" s="3744" t="s">
        <v>0</v>
      </c>
      <c r="X74" s="3717" t="s">
        <v>127</v>
      </c>
      <c r="Y74" s="3717" t="s">
        <v>127</v>
      </c>
      <c r="Z74" s="3717" t="s">
        <v>127</v>
      </c>
      <c r="AA74" s="3717" t="s">
        <v>127</v>
      </c>
      <c r="AB74" s="3717" t="s">
        <v>127</v>
      </c>
      <c r="AC74" s="3744" t="s">
        <v>0</v>
      </c>
      <c r="AD74" s="3744" t="s">
        <v>0</v>
      </c>
      <c r="AE74" s="3717" t="s">
        <v>127</v>
      </c>
      <c r="AF74" s="3717" t="s">
        <v>127</v>
      </c>
      <c r="AG74" s="3717" t="s">
        <v>127</v>
      </c>
      <c r="AH74" s="274"/>
    </row>
    <row r="75" spans="1:34" ht="18" customHeight="1" thickBot="1">
      <c r="A75" s="402"/>
      <c r="B75" s="438"/>
      <c r="C75" s="418"/>
      <c r="D75" s="418"/>
      <c r="E75" s="418"/>
      <c r="F75" s="418"/>
      <c r="G75" s="418"/>
      <c r="H75" s="418"/>
      <c r="I75" s="418"/>
      <c r="J75" s="418"/>
      <c r="K75" s="418"/>
      <c r="L75" s="418"/>
      <c r="M75" s="418"/>
      <c r="N75" s="418"/>
      <c r="O75" s="418"/>
      <c r="P75" s="418"/>
      <c r="Q75" s="439"/>
      <c r="R75" s="439"/>
      <c r="S75" s="424"/>
      <c r="T75" s="424"/>
      <c r="U75" s="439"/>
      <c r="V75" s="439"/>
      <c r="W75" s="418"/>
      <c r="X75" s="440"/>
      <c r="Y75" s="440"/>
      <c r="Z75" s="440"/>
      <c r="AA75" s="440"/>
      <c r="AB75" s="440" t="s">
        <v>0</v>
      </c>
      <c r="AC75" s="440"/>
      <c r="AD75" s="440"/>
      <c r="AE75" s="418"/>
      <c r="AF75" s="418"/>
      <c r="AG75" s="90"/>
      <c r="AH75" s="274"/>
    </row>
    <row r="76" spans="1:34" ht="18" customHeight="1" thickBot="1">
      <c r="B76" s="3745" t="s">
        <v>464</v>
      </c>
      <c r="AH76" s="1"/>
    </row>
    <row r="77" spans="1:34" ht="18" customHeight="1">
      <c r="A77" s="3739"/>
      <c r="B77" s="3739" t="s">
        <v>405</v>
      </c>
      <c r="C77" s="3740" t="s">
        <v>0</v>
      </c>
      <c r="D77" s="3740" t="s">
        <v>0</v>
      </c>
      <c r="E77" s="3746" t="s">
        <v>0</v>
      </c>
      <c r="F77" s="3740" t="s">
        <v>0</v>
      </c>
      <c r="G77" s="3740" t="s">
        <v>0</v>
      </c>
      <c r="H77" s="3740" t="s">
        <v>0</v>
      </c>
      <c r="I77" s="3740" t="s">
        <v>0</v>
      </c>
      <c r="J77" s="3747" t="s">
        <v>118</v>
      </c>
      <c r="K77" s="3747">
        <v>79</v>
      </c>
      <c r="L77" s="3747">
        <v>79</v>
      </c>
      <c r="M77" s="3747">
        <v>26</v>
      </c>
      <c r="N77" s="3747">
        <v>26</v>
      </c>
      <c r="O77" s="3747">
        <v>26</v>
      </c>
      <c r="P77" s="3747">
        <v>26</v>
      </c>
      <c r="Q77" s="3740" t="s">
        <v>35</v>
      </c>
      <c r="R77" s="3740" t="s">
        <v>35</v>
      </c>
      <c r="S77" s="3746">
        <v>26</v>
      </c>
      <c r="T77" s="3746">
        <v>26</v>
      </c>
      <c r="U77" s="3740" t="s">
        <v>35</v>
      </c>
      <c r="V77" s="3747" t="s">
        <v>108</v>
      </c>
      <c r="W77" s="3747" t="s">
        <v>108</v>
      </c>
      <c r="X77" s="3747" t="s">
        <v>110</v>
      </c>
      <c r="Y77" s="3747" t="s">
        <v>110</v>
      </c>
      <c r="Z77" s="3747" t="s">
        <v>110</v>
      </c>
      <c r="AA77" s="3747" t="s">
        <v>110</v>
      </c>
      <c r="AB77" s="3747" t="s">
        <v>110</v>
      </c>
      <c r="AC77" s="3740" t="s">
        <v>0</v>
      </c>
      <c r="AD77" s="3740" t="s">
        <v>0</v>
      </c>
      <c r="AE77" s="3740" t="s">
        <v>35</v>
      </c>
      <c r="AF77" s="3740" t="s">
        <v>35</v>
      </c>
      <c r="AG77" s="3740" t="s">
        <v>35</v>
      </c>
      <c r="AH77" s="1"/>
    </row>
    <row r="78" spans="1:34" ht="18" customHeight="1">
      <c r="A78" s="3748"/>
      <c r="B78" s="3619" t="s">
        <v>389</v>
      </c>
      <c r="C78" s="3621">
        <v>11</v>
      </c>
      <c r="D78" s="3732">
        <v>11</v>
      </c>
      <c r="E78" s="3732">
        <v>11</v>
      </c>
      <c r="F78" s="3732">
        <v>11</v>
      </c>
      <c r="G78" s="3749">
        <v>11</v>
      </c>
      <c r="H78" s="3414" t="s">
        <v>68</v>
      </c>
      <c r="I78" s="3414" t="s">
        <v>68</v>
      </c>
      <c r="J78" s="3415" t="s">
        <v>35</v>
      </c>
      <c r="K78" s="3477" t="s">
        <v>351</v>
      </c>
      <c r="L78" s="3426" t="s">
        <v>35</v>
      </c>
      <c r="M78" s="3426" t="s">
        <v>35</v>
      </c>
      <c r="N78" s="3426" t="s">
        <v>35</v>
      </c>
      <c r="O78" s="3621"/>
      <c r="P78" s="3621"/>
      <c r="Q78" s="3621">
        <v>11</v>
      </c>
      <c r="R78" s="3732">
        <v>11</v>
      </c>
      <c r="S78" s="3732">
        <v>11</v>
      </c>
      <c r="T78" s="3732">
        <v>11</v>
      </c>
      <c r="U78" s="3430">
        <v>11</v>
      </c>
      <c r="V78" s="3720" t="s">
        <v>68</v>
      </c>
      <c r="W78" s="3720" t="s">
        <v>68</v>
      </c>
      <c r="X78" s="3720" t="s">
        <v>35</v>
      </c>
      <c r="Y78" s="3720" t="s">
        <v>35</v>
      </c>
      <c r="Z78" s="3720" t="s">
        <v>35</v>
      </c>
      <c r="AA78" s="3621"/>
      <c r="AB78" s="3621"/>
      <c r="AC78" s="3720" t="s">
        <v>69</v>
      </c>
      <c r="AD78" s="3720" t="s">
        <v>69</v>
      </c>
      <c r="AE78" s="3621">
        <v>7</v>
      </c>
      <c r="AF78" s="3621">
        <v>7</v>
      </c>
      <c r="AG78" s="3738" t="s">
        <v>465</v>
      </c>
      <c r="AH78" s="1"/>
    </row>
    <row r="79" spans="1:34" ht="18" customHeight="1">
      <c r="A79" s="3748"/>
      <c r="B79" s="3750" t="s">
        <v>386</v>
      </c>
      <c r="C79" s="3623" t="s">
        <v>35</v>
      </c>
      <c r="D79" s="3623" t="s">
        <v>35</v>
      </c>
      <c r="E79" s="3623" t="s">
        <v>35</v>
      </c>
      <c r="F79" s="3623" t="s">
        <v>35</v>
      </c>
      <c r="G79" s="3623" t="s">
        <v>35</v>
      </c>
      <c r="H79" s="3623"/>
      <c r="I79" s="3623"/>
      <c r="J79" s="3623">
        <v>21</v>
      </c>
      <c r="K79" s="3623">
        <v>21</v>
      </c>
      <c r="L79" s="3623">
        <v>21</v>
      </c>
      <c r="M79" s="3623">
        <v>21</v>
      </c>
      <c r="N79" s="3623">
        <v>21</v>
      </c>
      <c r="O79" s="3623">
        <v>21</v>
      </c>
      <c r="P79" s="3623">
        <v>21</v>
      </c>
      <c r="Q79" s="3621" t="s">
        <v>35</v>
      </c>
      <c r="R79" s="3621" t="s">
        <v>35</v>
      </c>
      <c r="S79" s="3621" t="s">
        <v>35</v>
      </c>
      <c r="T79" s="3621" t="s">
        <v>35</v>
      </c>
      <c r="U79" s="3720" t="s">
        <v>35</v>
      </c>
      <c r="V79" s="3720"/>
      <c r="W79" s="3720"/>
      <c r="X79" s="3720">
        <v>22</v>
      </c>
      <c r="Y79" s="3621">
        <v>22</v>
      </c>
      <c r="Z79" s="3621">
        <v>22</v>
      </c>
      <c r="AA79" s="3621">
        <v>22</v>
      </c>
      <c r="AB79" s="3621">
        <v>22</v>
      </c>
      <c r="AC79" s="3621">
        <v>22</v>
      </c>
      <c r="AD79" s="3621">
        <v>22</v>
      </c>
      <c r="AE79" s="3720" t="s">
        <v>35</v>
      </c>
      <c r="AF79" s="3720" t="s">
        <v>35</v>
      </c>
      <c r="AG79" s="3738" t="s">
        <v>35</v>
      </c>
      <c r="AH79" s="1"/>
    </row>
    <row r="80" spans="1:34" ht="18" customHeight="1" thickBot="1">
      <c r="A80" s="414"/>
      <c r="B80" s="402" t="s">
        <v>415</v>
      </c>
      <c r="C80" s="441" t="s">
        <v>31</v>
      </c>
      <c r="D80" s="441" t="s">
        <v>304</v>
      </c>
      <c r="E80" s="442">
        <v>99</v>
      </c>
      <c r="F80" s="403">
        <v>99</v>
      </c>
      <c r="G80" s="443">
        <v>89</v>
      </c>
      <c r="H80" s="418"/>
      <c r="I80" s="418"/>
      <c r="J80" s="403">
        <v>7</v>
      </c>
      <c r="K80" s="403">
        <v>7</v>
      </c>
      <c r="L80" s="403">
        <v>7</v>
      </c>
      <c r="M80" s="403">
        <v>7</v>
      </c>
      <c r="N80" s="403">
        <v>7</v>
      </c>
      <c r="O80" s="418"/>
      <c r="P80" s="418"/>
      <c r="Q80" s="423">
        <v>7</v>
      </c>
      <c r="R80" s="423">
        <v>7</v>
      </c>
      <c r="S80" s="423">
        <v>7</v>
      </c>
      <c r="T80" s="423">
        <v>7</v>
      </c>
      <c r="U80" s="423">
        <v>7</v>
      </c>
      <c r="V80" s="439"/>
      <c r="W80" s="418"/>
      <c r="X80" s="403" t="s">
        <v>466</v>
      </c>
      <c r="Y80" s="403" t="s">
        <v>466</v>
      </c>
      <c r="Z80" s="403" t="s">
        <v>466</v>
      </c>
      <c r="AA80" s="403" t="s">
        <v>466</v>
      </c>
      <c r="AB80" s="403" t="s">
        <v>466</v>
      </c>
      <c r="AC80" s="403" t="s">
        <v>68</v>
      </c>
      <c r="AD80" s="403" t="s">
        <v>68</v>
      </c>
      <c r="AE80" s="430" t="s">
        <v>35</v>
      </c>
      <c r="AF80" s="430" t="s">
        <v>35</v>
      </c>
      <c r="AG80" s="275" t="s">
        <v>35</v>
      </c>
      <c r="AH80" s="1"/>
    </row>
    <row r="81" spans="1:35" ht="18" customHeight="1" thickBot="1">
      <c r="A81" s="3751" t="s">
        <v>147</v>
      </c>
      <c r="B81" s="3752"/>
      <c r="C81" s="3753"/>
      <c r="D81" s="3753"/>
      <c r="E81" s="3753"/>
      <c r="F81" s="3753"/>
      <c r="G81" s="3753"/>
      <c r="H81" s="3752"/>
      <c r="I81" s="3752"/>
      <c r="J81" s="3753"/>
      <c r="K81" s="3753"/>
      <c r="L81" s="3753"/>
      <c r="M81" s="3753"/>
      <c r="N81" s="3753"/>
      <c r="O81" s="3752"/>
      <c r="P81" s="3752"/>
      <c r="Q81" s="3752"/>
      <c r="R81" s="3754"/>
      <c r="S81" s="3754"/>
      <c r="T81" s="3754"/>
      <c r="U81" s="3755"/>
      <c r="V81" s="3752"/>
      <c r="W81" s="3752"/>
      <c r="X81" s="3752"/>
      <c r="Y81" s="3752"/>
      <c r="Z81" s="3752"/>
      <c r="AA81" s="3752"/>
      <c r="AB81" s="3752"/>
      <c r="AC81" s="3752"/>
      <c r="AD81" s="3752"/>
      <c r="AE81" s="3752"/>
      <c r="AF81" s="3756"/>
      <c r="AH81" s="1"/>
    </row>
    <row r="82" spans="1:35" ht="18" customHeight="1" thickBot="1">
      <c r="A82" s="52" t="s">
        <v>148</v>
      </c>
      <c r="C82" s="132" t="s">
        <v>118</v>
      </c>
      <c r="D82" s="132" t="s">
        <v>118</v>
      </c>
      <c r="E82" s="132" t="s">
        <v>118</v>
      </c>
      <c r="F82" s="132" t="s">
        <v>118</v>
      </c>
      <c r="G82" s="132" t="s">
        <v>118</v>
      </c>
      <c r="H82" s="132" t="s">
        <v>0</v>
      </c>
      <c r="I82" s="132" t="s">
        <v>0</v>
      </c>
      <c r="J82" s="132" t="s">
        <v>118</v>
      </c>
      <c r="K82" s="132" t="s">
        <v>118</v>
      </c>
      <c r="L82" s="132" t="s">
        <v>118</v>
      </c>
      <c r="M82" s="145" t="s">
        <v>118</v>
      </c>
      <c r="N82" s="145" t="s">
        <v>118</v>
      </c>
      <c r="O82" s="132"/>
      <c r="P82" s="132"/>
      <c r="Q82" s="132">
        <v>69</v>
      </c>
      <c r="R82" s="132">
        <v>69</v>
      </c>
      <c r="S82" s="132" t="s">
        <v>35</v>
      </c>
      <c r="T82" s="132">
        <v>69</v>
      </c>
      <c r="U82" s="132">
        <v>69</v>
      </c>
      <c r="V82" s="132"/>
      <c r="W82" s="132"/>
      <c r="X82" s="132">
        <v>79</v>
      </c>
      <c r="Y82" s="132">
        <v>79</v>
      </c>
      <c r="Z82" s="132">
        <v>79</v>
      </c>
      <c r="AA82" s="132">
        <v>79</v>
      </c>
      <c r="AB82" s="132">
        <v>79</v>
      </c>
      <c r="AC82" s="132"/>
      <c r="AD82" s="132"/>
      <c r="AE82" s="276">
        <v>3</v>
      </c>
      <c r="AF82" s="276">
        <v>3</v>
      </c>
      <c r="AG82" s="277">
        <v>3</v>
      </c>
      <c r="AH82" s="1"/>
    </row>
    <row r="83" spans="1:35" ht="18" customHeight="1">
      <c r="A83" s="37" t="s">
        <v>149</v>
      </c>
      <c r="AH83" s="1"/>
    </row>
    <row r="84" spans="1:35" ht="18" customHeight="1" thickBot="1">
      <c r="A84" s="3711"/>
      <c r="B84" s="3661" t="s">
        <v>29</v>
      </c>
      <c r="C84" s="3411">
        <v>1</v>
      </c>
      <c r="D84" s="3411">
        <v>2</v>
      </c>
      <c r="E84" s="3411">
        <v>3</v>
      </c>
      <c r="F84" s="3411">
        <v>4</v>
      </c>
      <c r="G84" s="3411">
        <v>5</v>
      </c>
      <c r="H84" s="3410">
        <v>6</v>
      </c>
      <c r="I84" s="3410">
        <v>7</v>
      </c>
      <c r="J84" s="3411">
        <v>8</v>
      </c>
      <c r="K84" s="3411">
        <v>9</v>
      </c>
      <c r="L84" s="3411">
        <v>10</v>
      </c>
      <c r="M84" s="3411">
        <v>11</v>
      </c>
      <c r="N84" s="3411">
        <v>12</v>
      </c>
      <c r="O84" s="3410">
        <v>13</v>
      </c>
      <c r="P84" s="3410">
        <v>14</v>
      </c>
      <c r="Q84" s="3411">
        <v>15</v>
      </c>
      <c r="R84" s="3411">
        <v>16</v>
      </c>
      <c r="S84" s="3411">
        <v>17</v>
      </c>
      <c r="T84" s="3411">
        <v>18</v>
      </c>
      <c r="U84" s="3411">
        <v>19</v>
      </c>
      <c r="V84" s="3410">
        <v>20</v>
      </c>
      <c r="W84" s="3410">
        <v>21</v>
      </c>
      <c r="X84" s="3411">
        <v>22</v>
      </c>
      <c r="Y84" s="3411">
        <v>23</v>
      </c>
      <c r="Z84" s="3411">
        <v>24</v>
      </c>
      <c r="AA84" s="3411">
        <v>25</v>
      </c>
      <c r="AB84" s="3411">
        <v>26</v>
      </c>
      <c r="AC84" s="3410">
        <v>27</v>
      </c>
      <c r="AD84" s="3410">
        <v>28</v>
      </c>
      <c r="AE84" s="3411">
        <v>29</v>
      </c>
      <c r="AF84" s="3411">
        <v>30</v>
      </c>
      <c r="AG84" s="3585">
        <v>31</v>
      </c>
      <c r="AH84" s="1"/>
    </row>
    <row r="85" spans="1:35" ht="18" customHeight="1" thickBot="1">
      <c r="A85" s="3757"/>
      <c r="B85" s="3758" t="s">
        <v>150</v>
      </c>
      <c r="C85" s="3590"/>
      <c r="D85" s="3681"/>
      <c r="E85" s="3590"/>
      <c r="F85" s="3590"/>
      <c r="G85" s="3590"/>
      <c r="H85" s="3590"/>
      <c r="I85" s="3590"/>
      <c r="J85" s="3590"/>
      <c r="K85" s="3590"/>
      <c r="L85" s="3590"/>
      <c r="M85" s="3590"/>
      <c r="N85" s="3590"/>
      <c r="O85" s="3590"/>
      <c r="P85" s="3590"/>
      <c r="Q85" s="3590"/>
      <c r="R85" s="3590"/>
      <c r="S85" s="3590"/>
      <c r="T85" s="3590"/>
      <c r="U85" s="3590"/>
      <c r="V85" s="3590"/>
      <c r="W85" s="3590"/>
      <c r="X85" s="3590"/>
      <c r="Y85" s="3590"/>
      <c r="Z85" s="3590"/>
      <c r="AA85" s="3590"/>
      <c r="AB85" s="3590"/>
      <c r="AC85" s="3590"/>
      <c r="AD85" s="3590"/>
      <c r="AE85" s="3590"/>
      <c r="AF85" s="3590"/>
      <c r="AG85" s="3591"/>
      <c r="AH85" s="1"/>
    </row>
    <row r="86" spans="1:35" ht="18" customHeight="1">
      <c r="A86" s="3759">
        <v>1</v>
      </c>
      <c r="B86" s="3760"/>
      <c r="C86" s="3761"/>
      <c r="D86" s="3761"/>
      <c r="E86" s="3681"/>
      <c r="F86" s="3681"/>
      <c r="G86" s="3761"/>
      <c r="H86" s="3761"/>
      <c r="I86" s="3761"/>
      <c r="J86" s="3761"/>
      <c r="K86" s="3761"/>
      <c r="L86" s="3681"/>
      <c r="M86" s="3681"/>
      <c r="N86" s="3761"/>
      <c r="O86" s="3761"/>
      <c r="P86" s="3761"/>
      <c r="Q86" s="3761"/>
      <c r="R86" s="3761"/>
      <c r="S86" s="3761"/>
      <c r="T86" s="3761"/>
      <c r="U86" s="3761"/>
      <c r="V86" s="3761"/>
      <c r="W86" s="3761"/>
      <c r="X86" s="3761"/>
      <c r="Y86" s="3761"/>
      <c r="Z86" s="3761"/>
      <c r="AA86" s="3761"/>
      <c r="AB86" s="3761"/>
      <c r="AC86" s="3761"/>
      <c r="AD86" s="3761"/>
      <c r="AE86" s="3761"/>
      <c r="AF86" s="3761"/>
      <c r="AG86" s="3762"/>
      <c r="AH86" s="1"/>
    </row>
    <row r="87" spans="1:35" ht="18" customHeight="1">
      <c r="A87" s="3759">
        <v>2</v>
      </c>
      <c r="B87" s="3763"/>
      <c r="C87" s="3684"/>
      <c r="D87" s="3684"/>
      <c r="E87" s="3684"/>
      <c r="F87" s="3684"/>
      <c r="G87" s="3684"/>
      <c r="H87" s="3684"/>
      <c r="I87" s="3684"/>
      <c r="J87" s="3684"/>
      <c r="K87" s="3684"/>
      <c r="L87" s="3684"/>
      <c r="M87" s="3684"/>
      <c r="N87" s="3684"/>
      <c r="O87" s="3684"/>
      <c r="P87" s="3684"/>
      <c r="Q87" s="3684"/>
      <c r="R87" s="3764"/>
      <c r="S87" s="3764"/>
      <c r="T87" s="3764"/>
      <c r="U87" s="3764"/>
      <c r="V87" s="3764"/>
      <c r="W87" s="3684"/>
      <c r="X87" s="3684"/>
      <c r="Y87" s="3764"/>
      <c r="Z87" s="3764"/>
      <c r="AA87" s="3764"/>
      <c r="AB87" s="3764"/>
      <c r="AC87" s="3764"/>
      <c r="AD87" s="3684"/>
      <c r="AE87" s="3684"/>
      <c r="AF87" s="3764"/>
      <c r="AG87" s="3765"/>
      <c r="AH87" s="1"/>
    </row>
    <row r="88" spans="1:35" ht="18" customHeight="1">
      <c r="A88" s="3759">
        <v>3</v>
      </c>
      <c r="B88" s="3766"/>
      <c r="C88" s="3684"/>
      <c r="D88" s="3684"/>
      <c r="E88" s="3684"/>
      <c r="F88" s="3684"/>
      <c r="G88" s="3684"/>
      <c r="H88" s="3684"/>
      <c r="I88" s="3684"/>
      <c r="J88" s="3684"/>
      <c r="K88" s="3684"/>
      <c r="L88" s="3684"/>
      <c r="M88" s="3684"/>
      <c r="N88" s="3684"/>
      <c r="O88" s="3684"/>
      <c r="P88" s="3684"/>
      <c r="Q88" s="3684"/>
      <c r="R88" s="3684"/>
      <c r="S88" s="3684"/>
      <c r="T88" s="3684"/>
      <c r="U88" s="3684"/>
      <c r="V88" s="3684"/>
      <c r="W88" s="3684"/>
      <c r="X88" s="3684"/>
      <c r="Y88" s="3684"/>
      <c r="Z88" s="3684"/>
      <c r="AA88" s="3684"/>
      <c r="AB88" s="3684"/>
      <c r="AC88" s="3684"/>
      <c r="AD88" s="3684"/>
      <c r="AE88" s="3684"/>
      <c r="AF88" s="3684"/>
      <c r="AG88" s="3767"/>
      <c r="AH88" s="1"/>
    </row>
    <row r="89" spans="1:35" ht="18" customHeight="1" thickBot="1">
      <c r="A89" s="3759" t="s">
        <v>467</v>
      </c>
      <c r="B89" s="3669"/>
      <c r="C89" s="3411"/>
      <c r="D89" s="3411"/>
      <c r="E89" s="3411"/>
      <c r="F89" s="3411"/>
      <c r="G89" s="3411"/>
      <c r="H89" s="3411"/>
      <c r="I89" s="3411"/>
      <c r="J89" s="3411"/>
      <c r="K89" s="3411"/>
      <c r="L89" s="3411"/>
      <c r="M89" s="3411"/>
      <c r="N89" s="3411"/>
      <c r="O89" s="3411"/>
      <c r="P89" s="3411"/>
      <c r="Q89" s="3411"/>
      <c r="R89" s="3768"/>
      <c r="S89" s="3768"/>
      <c r="T89" s="3768"/>
      <c r="U89" s="3411"/>
      <c r="V89" s="3411"/>
      <c r="W89" s="3411"/>
      <c r="X89" s="3411"/>
      <c r="Y89" s="3411"/>
      <c r="Z89" s="3411"/>
      <c r="AA89" s="3411"/>
      <c r="AB89" s="3411"/>
      <c r="AC89" s="3411"/>
      <c r="AD89" s="3411"/>
      <c r="AE89" s="3411"/>
      <c r="AF89" s="3411"/>
      <c r="AG89" s="3585"/>
      <c r="AH89" s="58"/>
      <c r="AI89" s="58"/>
    </row>
    <row r="90" spans="1:35" ht="18" customHeight="1" thickBot="1">
      <c r="A90" s="60"/>
      <c r="B90" s="3769" t="s">
        <v>155</v>
      </c>
      <c r="C90" s="3770"/>
      <c r="D90" s="3771" t="s">
        <v>87</v>
      </c>
      <c r="E90" s="3772"/>
      <c r="F90" s="3773"/>
      <c r="G90" s="3770"/>
      <c r="H90" s="3771" t="s">
        <v>88</v>
      </c>
      <c r="I90" s="3772"/>
      <c r="J90" s="3773"/>
      <c r="K90" s="3770"/>
      <c r="L90" s="3771" t="s">
        <v>89</v>
      </c>
      <c r="M90" s="3772"/>
      <c r="N90" s="3773"/>
      <c r="O90" s="3770"/>
      <c r="P90" s="3771" t="s">
        <v>90</v>
      </c>
      <c r="Q90" s="3772"/>
      <c r="R90" s="3773"/>
      <c r="S90" s="3770"/>
      <c r="T90" s="3771" t="s">
        <v>91</v>
      </c>
      <c r="U90" s="3772"/>
      <c r="V90" s="3773"/>
      <c r="W90" s="3770"/>
      <c r="X90" s="3771" t="s">
        <v>92</v>
      </c>
      <c r="Y90" s="3772"/>
      <c r="Z90" s="3773"/>
      <c r="AA90" s="3770"/>
      <c r="AB90" s="3771" t="s">
        <v>93</v>
      </c>
      <c r="AC90" s="3772"/>
      <c r="AD90" s="3772"/>
      <c r="AE90" s="3774" t="s">
        <v>158</v>
      </c>
      <c r="AF90" s="3772"/>
      <c r="AG90" s="3772"/>
      <c r="AH90" s="3772"/>
      <c r="AI90" s="3775"/>
    </row>
    <row r="91" spans="1:35" ht="18" customHeight="1">
      <c r="A91" s="60"/>
      <c r="B91" s="3776" t="s">
        <v>159</v>
      </c>
      <c r="C91" s="3777" t="s">
        <v>160</v>
      </c>
      <c r="D91" s="3772"/>
      <c r="E91" s="3778"/>
      <c r="F91" s="3779"/>
      <c r="G91" s="3777" t="s">
        <v>160</v>
      </c>
      <c r="H91" s="3778"/>
      <c r="I91" s="3778"/>
      <c r="J91" s="3779"/>
      <c r="K91" s="3780" t="s">
        <v>160</v>
      </c>
      <c r="L91" s="3772"/>
      <c r="M91" s="3772"/>
      <c r="N91" s="3781"/>
      <c r="O91" s="3780" t="s">
        <v>161</v>
      </c>
      <c r="P91" s="3772"/>
      <c r="Q91" s="3778"/>
      <c r="R91" s="3779"/>
      <c r="S91" s="3777" t="s">
        <v>162</v>
      </c>
      <c r="T91" s="3778"/>
      <c r="U91" s="3778"/>
      <c r="V91" s="3782"/>
      <c r="W91" s="3783"/>
      <c r="X91" s="3784"/>
      <c r="Y91" s="3784"/>
      <c r="Z91" s="3785"/>
      <c r="AA91" s="3782"/>
      <c r="AB91" s="3778"/>
      <c r="AC91" s="3778"/>
      <c r="AD91" s="3782"/>
      <c r="AE91" s="3786">
        <v>37</v>
      </c>
      <c r="AF91" s="3772"/>
      <c r="AG91" s="3778"/>
      <c r="AH91" s="3782"/>
      <c r="AI91" s="3787"/>
    </row>
    <row r="92" spans="1:35" ht="18" customHeight="1">
      <c r="A92" s="60"/>
      <c r="B92" s="3788" t="s">
        <v>163</v>
      </c>
      <c r="C92" s="3789" t="s">
        <v>156</v>
      </c>
      <c r="D92" s="3790"/>
      <c r="E92" s="3790"/>
      <c r="F92" s="3791"/>
      <c r="G92" s="3789" t="s">
        <v>164</v>
      </c>
      <c r="H92" s="3790"/>
      <c r="I92" s="3790"/>
      <c r="J92" s="3791"/>
      <c r="K92" s="3789" t="s">
        <v>165</v>
      </c>
      <c r="L92" s="3792" t="s">
        <v>166</v>
      </c>
      <c r="M92" s="3790"/>
      <c r="N92" s="3791"/>
      <c r="O92" s="3789" t="s">
        <v>165</v>
      </c>
      <c r="P92" s="3792" t="s">
        <v>166</v>
      </c>
      <c r="Q92" s="3790"/>
      <c r="R92" s="3791"/>
      <c r="S92" s="3789" t="s">
        <v>156</v>
      </c>
      <c r="T92" s="3792"/>
      <c r="U92" s="3790"/>
      <c r="V92" s="3791"/>
      <c r="W92" s="61" t="s">
        <v>108</v>
      </c>
      <c r="X92" s="278" t="s">
        <v>157</v>
      </c>
      <c r="Y92" s="63"/>
      <c r="Z92" s="63"/>
      <c r="AA92" s="3789" t="s">
        <v>108</v>
      </c>
      <c r="AB92" s="3793" t="s">
        <v>157</v>
      </c>
      <c r="AC92" s="3789"/>
      <c r="AD92" s="3789"/>
      <c r="AE92" s="3794">
        <v>68</v>
      </c>
      <c r="AF92" s="3790"/>
      <c r="AG92" s="3795"/>
      <c r="AH92" s="3796"/>
      <c r="AI92" s="3797"/>
    </row>
    <row r="93" spans="1:35" ht="18" customHeight="1">
      <c r="A93" s="60"/>
      <c r="B93" s="3788" t="s">
        <v>171</v>
      </c>
      <c r="C93" s="3798" t="s">
        <v>172</v>
      </c>
      <c r="D93" s="3790"/>
      <c r="E93" s="3790"/>
      <c r="F93" s="3791"/>
      <c r="G93" s="3790" t="s">
        <v>172</v>
      </c>
      <c r="H93" s="3790"/>
      <c r="I93" s="3790"/>
      <c r="J93" s="3791"/>
      <c r="K93" s="3790" t="s">
        <v>172</v>
      </c>
      <c r="L93" s="3790"/>
      <c r="M93" s="3790"/>
      <c r="N93" s="3791"/>
      <c r="O93" s="3790" t="s">
        <v>172</v>
      </c>
      <c r="P93" s="3790"/>
      <c r="Q93" s="3790"/>
      <c r="R93" s="3791"/>
      <c r="S93" s="3790" t="s">
        <v>172</v>
      </c>
      <c r="T93" s="3790"/>
      <c r="U93" s="3790"/>
      <c r="V93" s="3791"/>
      <c r="W93" s="3789"/>
      <c r="X93" s="3790"/>
      <c r="Y93" s="3790"/>
      <c r="Z93" s="3791"/>
      <c r="AA93" s="3789"/>
      <c r="AB93" s="3790"/>
      <c r="AC93" s="3790"/>
      <c r="AD93" s="3792"/>
      <c r="AE93" s="3794">
        <v>0</v>
      </c>
      <c r="AF93" s="3795"/>
      <c r="AG93" s="3790"/>
      <c r="AH93" s="3792"/>
      <c r="AI93" s="3799"/>
    </row>
    <row r="94" spans="1:35" ht="18" customHeight="1" thickBot="1">
      <c r="A94" s="60"/>
      <c r="B94" s="3800" t="s">
        <v>173</v>
      </c>
      <c r="C94" s="3801" t="s">
        <v>160</v>
      </c>
      <c r="D94" s="3329"/>
      <c r="E94" s="3802"/>
      <c r="F94" s="3803"/>
      <c r="G94" s="3801" t="s">
        <v>160</v>
      </c>
      <c r="H94" s="3329"/>
      <c r="I94" s="3802"/>
      <c r="J94" s="3803"/>
      <c r="K94" s="3801" t="s">
        <v>160</v>
      </c>
      <c r="L94" s="3329"/>
      <c r="M94" s="3802"/>
      <c r="N94" s="3803"/>
      <c r="O94" s="3801" t="s">
        <v>161</v>
      </c>
      <c r="P94" s="3802"/>
      <c r="Q94" s="3802"/>
      <c r="R94" s="3803"/>
      <c r="S94" s="3801" t="s">
        <v>162</v>
      </c>
      <c r="T94" s="3802"/>
      <c r="U94" s="3802"/>
      <c r="V94" s="3804"/>
      <c r="W94" s="3805"/>
      <c r="X94" s="3802"/>
      <c r="Y94" s="3802"/>
      <c r="Z94" s="3806"/>
      <c r="AA94" s="3804"/>
      <c r="AB94" s="3802"/>
      <c r="AC94" s="3802"/>
      <c r="AD94" s="3804"/>
      <c r="AE94" s="3807">
        <v>37</v>
      </c>
      <c r="AF94" s="3802"/>
      <c r="AG94" s="3802"/>
      <c r="AH94" s="3804"/>
      <c r="AI94" s="3808"/>
    </row>
    <row r="95" spans="1:35" ht="18" customHeight="1">
      <c r="A95" s="66"/>
      <c r="B95" s="60"/>
      <c r="C95" s="58"/>
      <c r="D95" s="63"/>
      <c r="E95" s="58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D95" s="58"/>
      <c r="AE95" s="58"/>
      <c r="AF95" s="58"/>
      <c r="AG95" s="58"/>
      <c r="AH95" s="58"/>
      <c r="AI95" s="58"/>
    </row>
    <row r="96" spans="1:35" ht="18" customHeight="1" thickBot="1">
      <c r="A96" s="3809"/>
      <c r="B96" s="3810" t="s">
        <v>29</v>
      </c>
      <c r="C96" s="3411">
        <v>1</v>
      </c>
      <c r="D96" s="3411">
        <v>2</v>
      </c>
      <c r="E96" s="3411">
        <v>3</v>
      </c>
      <c r="F96" s="3411">
        <v>4</v>
      </c>
      <c r="G96" s="3411">
        <v>5</v>
      </c>
      <c r="H96" s="3410">
        <v>6</v>
      </c>
      <c r="I96" s="3410">
        <v>7</v>
      </c>
      <c r="J96" s="3411">
        <v>8</v>
      </c>
      <c r="K96" s="3411">
        <v>9</v>
      </c>
      <c r="L96" s="3411">
        <v>10</v>
      </c>
      <c r="M96" s="3411">
        <v>11</v>
      </c>
      <c r="N96" s="3411">
        <v>12</v>
      </c>
      <c r="O96" s="3410">
        <v>13</v>
      </c>
      <c r="P96" s="3410">
        <v>14</v>
      </c>
      <c r="Q96" s="3411">
        <v>15</v>
      </c>
      <c r="R96" s="3411">
        <v>16</v>
      </c>
      <c r="S96" s="3411">
        <v>17</v>
      </c>
      <c r="T96" s="3411">
        <v>18</v>
      </c>
      <c r="U96" s="3411">
        <v>19</v>
      </c>
      <c r="V96" s="3410">
        <v>20</v>
      </c>
      <c r="W96" s="3410">
        <v>21</v>
      </c>
      <c r="X96" s="3411">
        <v>22</v>
      </c>
      <c r="Y96" s="3411">
        <v>23</v>
      </c>
      <c r="Z96" s="3411">
        <v>24</v>
      </c>
      <c r="AA96" s="3411">
        <v>25</v>
      </c>
      <c r="AB96" s="3411">
        <v>26</v>
      </c>
      <c r="AC96" s="3410">
        <v>27</v>
      </c>
      <c r="AD96" s="3410">
        <v>28</v>
      </c>
      <c r="AE96" s="3411">
        <v>29</v>
      </c>
      <c r="AF96" s="3411">
        <v>30</v>
      </c>
      <c r="AG96" s="3585">
        <v>31</v>
      </c>
      <c r="AH96" s="67"/>
      <c r="AI96" s="68"/>
    </row>
    <row r="97" spans="1:35" ht="18" customHeight="1">
      <c r="A97" s="3811">
        <v>1</v>
      </c>
      <c r="B97" s="3663" t="s">
        <v>46</v>
      </c>
      <c r="C97" s="3812" t="s">
        <v>35</v>
      </c>
      <c r="D97" s="3812" t="s">
        <v>35</v>
      </c>
      <c r="E97" s="3813" t="s">
        <v>35</v>
      </c>
      <c r="F97" s="3813" t="s">
        <v>35</v>
      </c>
      <c r="G97" s="3813" t="s">
        <v>35</v>
      </c>
      <c r="H97" s="3813"/>
      <c r="I97" s="3813"/>
      <c r="J97" s="3814" t="s">
        <v>121</v>
      </c>
      <c r="K97" s="3814" t="s">
        <v>121</v>
      </c>
      <c r="L97" s="3814" t="s">
        <v>452</v>
      </c>
      <c r="M97" s="3814" t="s">
        <v>121</v>
      </c>
      <c r="N97" s="3814" t="s">
        <v>121</v>
      </c>
      <c r="O97" s="3813"/>
      <c r="P97" s="3815"/>
      <c r="Q97" s="3814" t="s">
        <v>121</v>
      </c>
      <c r="R97" s="3814" t="s">
        <v>121</v>
      </c>
      <c r="S97" s="3814" t="s">
        <v>121</v>
      </c>
      <c r="T97" s="3814" t="s">
        <v>121</v>
      </c>
      <c r="U97" s="3814" t="s">
        <v>121</v>
      </c>
      <c r="V97" s="3813"/>
      <c r="W97" s="3813"/>
      <c r="X97" s="3816" t="s">
        <v>110</v>
      </c>
      <c r="Y97" s="3816" t="s">
        <v>110</v>
      </c>
      <c r="Z97" s="3816" t="s">
        <v>110</v>
      </c>
      <c r="AA97" s="3816" t="s">
        <v>110</v>
      </c>
      <c r="AB97" s="3813" t="s">
        <v>110</v>
      </c>
      <c r="AC97" s="3813" t="s">
        <v>108</v>
      </c>
      <c r="AD97" s="3813" t="s">
        <v>108</v>
      </c>
      <c r="AE97" s="3813" t="s">
        <v>35</v>
      </c>
      <c r="AF97" s="3813" t="s">
        <v>35</v>
      </c>
      <c r="AG97" s="3817" t="s">
        <v>244</v>
      </c>
      <c r="AH97" s="69"/>
      <c r="AI97" s="70"/>
    </row>
    <row r="98" spans="1:35" ht="18" customHeight="1">
      <c r="A98" s="3818">
        <v>2</v>
      </c>
      <c r="B98" s="3692"/>
      <c r="C98" s="3819" t="s">
        <v>110</v>
      </c>
      <c r="D98" s="3819" t="s">
        <v>110</v>
      </c>
      <c r="E98" s="3819" t="s">
        <v>110</v>
      </c>
      <c r="F98" s="3819" t="s">
        <v>110</v>
      </c>
      <c r="G98" s="3819" t="s">
        <v>110</v>
      </c>
      <c r="H98" s="3819" t="s">
        <v>108</v>
      </c>
      <c r="I98" s="3819" t="s">
        <v>108</v>
      </c>
      <c r="J98" s="3820" t="s">
        <v>35</v>
      </c>
      <c r="K98" s="3821" t="s">
        <v>35</v>
      </c>
      <c r="L98" s="3820" t="s">
        <v>35</v>
      </c>
      <c r="M98" s="3820" t="s">
        <v>35</v>
      </c>
      <c r="N98" s="3820" t="s">
        <v>35</v>
      </c>
      <c r="O98" s="3820"/>
      <c r="P98" s="3819"/>
      <c r="Q98" s="3820" t="s">
        <v>176</v>
      </c>
      <c r="R98" s="3820" t="s">
        <v>176</v>
      </c>
      <c r="S98" s="3820" t="s">
        <v>176</v>
      </c>
      <c r="T98" s="3820" t="s">
        <v>176</v>
      </c>
      <c r="U98" s="3822" t="s">
        <v>176</v>
      </c>
      <c r="V98" s="3820"/>
      <c r="W98" s="3823"/>
      <c r="X98" s="3820" t="s">
        <v>176</v>
      </c>
      <c r="Y98" s="3820" t="s">
        <v>176</v>
      </c>
      <c r="Z98" s="3820" t="s">
        <v>176</v>
      </c>
      <c r="AA98" s="3820" t="s">
        <v>176</v>
      </c>
      <c r="AB98" s="3820" t="s">
        <v>176</v>
      </c>
      <c r="AC98" s="3820"/>
      <c r="AD98" s="3820"/>
      <c r="AE98" s="3819" t="s">
        <v>110</v>
      </c>
      <c r="AF98" s="3819" t="s">
        <v>110</v>
      </c>
      <c r="AG98" s="3824" t="s">
        <v>110</v>
      </c>
      <c r="AH98" s="69"/>
      <c r="AI98" s="70"/>
    </row>
    <row r="99" spans="1:35" ht="18" customHeight="1">
      <c r="A99" s="3818">
        <v>3</v>
      </c>
      <c r="B99" s="3825" t="s">
        <v>178</v>
      </c>
      <c r="C99" s="3607">
        <v>89</v>
      </c>
      <c r="D99" s="3607">
        <v>89</v>
      </c>
      <c r="E99" s="3607">
        <v>89</v>
      </c>
      <c r="F99" s="3826" t="s">
        <v>176</v>
      </c>
      <c r="G99" s="3607" t="s">
        <v>201</v>
      </c>
      <c r="H99" s="3607"/>
      <c r="I99" s="3607"/>
      <c r="J99" s="3819" t="s">
        <v>110</v>
      </c>
      <c r="K99" s="3819" t="s">
        <v>110</v>
      </c>
      <c r="L99" s="3605" t="s">
        <v>110</v>
      </c>
      <c r="M99" s="3605" t="s">
        <v>110</v>
      </c>
      <c r="N99" s="3506" t="s">
        <v>110</v>
      </c>
      <c r="O99" s="3677" t="s">
        <v>108</v>
      </c>
      <c r="P99" s="3677" t="s">
        <v>108</v>
      </c>
      <c r="Q99" s="3683" t="s">
        <v>438</v>
      </c>
      <c r="R99" s="3677" t="s">
        <v>35</v>
      </c>
      <c r="S99" s="3822" t="s">
        <v>35</v>
      </c>
      <c r="T99" s="3820" t="s">
        <v>35</v>
      </c>
      <c r="U99" s="3677" t="s">
        <v>35</v>
      </c>
      <c r="V99" s="3677"/>
      <c r="W99" s="3677"/>
      <c r="X99" s="3677" t="s">
        <v>121</v>
      </c>
      <c r="Y99" s="3677" t="s">
        <v>121</v>
      </c>
      <c r="Z99" s="3827" t="s">
        <v>121</v>
      </c>
      <c r="AA99" s="3827" t="s">
        <v>121</v>
      </c>
      <c r="AB99" s="3827" t="s">
        <v>121</v>
      </c>
      <c r="AC99" s="3822"/>
      <c r="AD99" s="3823"/>
      <c r="AE99" s="3820" t="s">
        <v>244</v>
      </c>
      <c r="AF99" s="3820" t="s">
        <v>244</v>
      </c>
      <c r="AG99" s="3828" t="s">
        <v>244</v>
      </c>
      <c r="AH99" s="69"/>
      <c r="AI99" s="70"/>
    </row>
    <row r="100" spans="1:35" ht="18" customHeight="1" thickBot="1">
      <c r="A100" s="3829">
        <v>4</v>
      </c>
      <c r="B100" s="3830" t="s">
        <v>360</v>
      </c>
      <c r="C100" s="3622" t="s">
        <v>123</v>
      </c>
      <c r="D100" s="3622" t="s">
        <v>123</v>
      </c>
      <c r="E100" s="3622" t="s">
        <v>123</v>
      </c>
      <c r="F100" s="3622" t="s">
        <v>123</v>
      </c>
      <c r="G100" s="3622" t="s">
        <v>123</v>
      </c>
      <c r="H100" s="3672"/>
      <c r="I100" s="3672"/>
      <c r="J100" s="3688" t="s">
        <v>176</v>
      </c>
      <c r="K100" s="3688" t="s">
        <v>176</v>
      </c>
      <c r="L100" s="3688" t="s">
        <v>176</v>
      </c>
      <c r="M100" s="3688" t="s">
        <v>176</v>
      </c>
      <c r="N100" s="3688" t="s">
        <v>176</v>
      </c>
      <c r="O100" s="3688" t="s">
        <v>0</v>
      </c>
      <c r="P100" s="3688" t="s">
        <v>0</v>
      </c>
      <c r="Q100" s="3688" t="s">
        <v>110</v>
      </c>
      <c r="R100" s="3688" t="s">
        <v>110</v>
      </c>
      <c r="S100" s="3688" t="s">
        <v>110</v>
      </c>
      <c r="T100" s="3688" t="s">
        <v>110</v>
      </c>
      <c r="U100" s="3688" t="s">
        <v>110</v>
      </c>
      <c r="V100" s="3688" t="s">
        <v>108</v>
      </c>
      <c r="W100" s="3688" t="s">
        <v>108</v>
      </c>
      <c r="X100" s="3688" t="s">
        <v>35</v>
      </c>
      <c r="Y100" s="3688" t="s">
        <v>35</v>
      </c>
      <c r="Z100" s="3688" t="s">
        <v>35</v>
      </c>
      <c r="AA100" s="3688" t="s">
        <v>35</v>
      </c>
      <c r="AB100" s="3688" t="s">
        <v>35</v>
      </c>
      <c r="AC100" s="3831"/>
      <c r="AD100" s="3831"/>
      <c r="AE100" s="3831" t="s">
        <v>250</v>
      </c>
      <c r="AF100" s="3831" t="s">
        <v>250</v>
      </c>
      <c r="AG100" s="3832" t="s">
        <v>250</v>
      </c>
      <c r="AH100" s="69"/>
      <c r="AI100" s="70"/>
    </row>
    <row r="101" spans="1:35" ht="18" customHeight="1" thickBot="1">
      <c r="A101" s="71"/>
      <c r="B101" s="72"/>
      <c r="C101" s="73"/>
      <c r="D101" s="73"/>
      <c r="E101" s="73"/>
      <c r="F101" s="73"/>
      <c r="G101" s="73"/>
      <c r="H101" s="73"/>
      <c r="I101" s="73"/>
      <c r="J101" s="73"/>
      <c r="K101" s="73"/>
      <c r="L101" s="73"/>
      <c r="M101" s="73"/>
      <c r="N101" s="73"/>
      <c r="O101" s="73"/>
      <c r="P101" s="73"/>
      <c r="Q101" s="73"/>
      <c r="R101" s="73"/>
      <c r="S101" s="73"/>
      <c r="T101" s="73"/>
      <c r="U101" s="73"/>
      <c r="V101" s="73"/>
      <c r="W101" s="73"/>
      <c r="X101" s="73"/>
      <c r="Y101" s="73"/>
      <c r="Z101" s="73"/>
      <c r="AA101" s="73"/>
      <c r="AB101" s="73"/>
      <c r="AC101" s="73"/>
      <c r="AD101" s="73"/>
      <c r="AE101" s="73"/>
      <c r="AF101" s="73"/>
      <c r="AG101" s="74"/>
      <c r="AH101" s="75"/>
      <c r="AI101" s="70"/>
    </row>
    <row r="102" spans="1:35" ht="18" customHeight="1">
      <c r="A102" s="17"/>
      <c r="B102" s="3833" t="s">
        <v>179</v>
      </c>
      <c r="C102" s="3834"/>
      <c r="D102" s="3835" t="s">
        <v>87</v>
      </c>
      <c r="E102" s="3836"/>
      <c r="F102" s="3834"/>
      <c r="G102" s="3837" t="s">
        <v>88</v>
      </c>
      <c r="H102" s="3838"/>
      <c r="I102" s="3839"/>
      <c r="J102" s="3837" t="s">
        <v>89</v>
      </c>
      <c r="K102" s="3840"/>
      <c r="L102" s="3839"/>
      <c r="M102" s="3841" t="s">
        <v>90</v>
      </c>
      <c r="N102" s="3840"/>
      <c r="O102" s="3839"/>
      <c r="P102" s="3837" t="s">
        <v>91</v>
      </c>
      <c r="Q102" s="3842"/>
      <c r="R102" s="3839"/>
      <c r="S102" s="3837" t="s">
        <v>92</v>
      </c>
      <c r="T102" s="3843"/>
      <c r="U102" s="3839"/>
      <c r="V102" s="3837" t="s">
        <v>93</v>
      </c>
      <c r="W102" s="3842"/>
      <c r="X102" s="3844" t="s">
        <v>158</v>
      </c>
      <c r="Y102" s="3845"/>
      <c r="Z102" s="3845"/>
      <c r="AA102" s="3846"/>
      <c r="AB102" s="3847" t="s">
        <v>94</v>
      </c>
      <c r="AC102" s="3848"/>
      <c r="AD102" s="3848"/>
      <c r="AE102" s="3849"/>
      <c r="AF102" s="3849"/>
      <c r="AG102" s="3850"/>
      <c r="AH102" s="75"/>
      <c r="AI102" s="70"/>
    </row>
    <row r="103" spans="1:35" ht="18" customHeight="1">
      <c r="A103" s="17"/>
      <c r="B103" s="3851" t="s">
        <v>180</v>
      </c>
      <c r="C103" s="3852" t="s">
        <v>181</v>
      </c>
      <c r="D103" s="3570"/>
      <c r="E103" s="3571"/>
      <c r="F103" s="3852" t="s">
        <v>181</v>
      </c>
      <c r="G103" s="3570"/>
      <c r="H103" s="3571"/>
      <c r="I103" s="3852" t="s">
        <v>181</v>
      </c>
      <c r="J103" s="3570"/>
      <c r="K103" s="3571"/>
      <c r="L103" s="3852" t="s">
        <v>181</v>
      </c>
      <c r="M103" s="3570"/>
      <c r="N103" s="3571"/>
      <c r="O103" s="3852" t="s">
        <v>182</v>
      </c>
      <c r="P103" s="3570"/>
      <c r="Q103" s="3571"/>
      <c r="R103" s="3852"/>
      <c r="S103" s="3570"/>
      <c r="T103" s="3571"/>
      <c r="U103" s="3852"/>
      <c r="V103" s="3570"/>
      <c r="W103" s="3571"/>
      <c r="X103" s="3852"/>
      <c r="Y103" s="3853"/>
      <c r="Z103" s="3853"/>
      <c r="AA103" s="3853"/>
      <c r="AB103" s="3567"/>
      <c r="AC103" s="3853"/>
      <c r="AD103" s="3853"/>
      <c r="AE103" s="3853"/>
      <c r="AF103" s="3853"/>
      <c r="AG103" s="3854"/>
      <c r="AH103" s="75"/>
      <c r="AI103" s="70"/>
    </row>
    <row r="104" spans="1:35" ht="18" customHeight="1">
      <c r="A104" s="17"/>
      <c r="B104" s="16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75"/>
      <c r="AI104" s="70"/>
    </row>
    <row r="105" spans="1:35" ht="18" customHeight="1" thickBot="1">
      <c r="A105" s="3711" t="s">
        <v>28</v>
      </c>
      <c r="B105" s="3661" t="s">
        <v>29</v>
      </c>
      <c r="C105" s="3411">
        <v>1</v>
      </c>
      <c r="D105" s="3411">
        <v>2</v>
      </c>
      <c r="E105" s="3411">
        <v>3</v>
      </c>
      <c r="F105" s="3411">
        <v>4</v>
      </c>
      <c r="G105" s="3411">
        <v>5</v>
      </c>
      <c r="H105" s="3410">
        <v>6</v>
      </c>
      <c r="I105" s="3410">
        <v>7</v>
      </c>
      <c r="J105" s="3411">
        <v>8</v>
      </c>
      <c r="K105" s="3411">
        <v>9</v>
      </c>
      <c r="L105" s="3411">
        <v>10</v>
      </c>
      <c r="M105" s="3411">
        <v>11</v>
      </c>
      <c r="N105" s="3411">
        <v>12</v>
      </c>
      <c r="O105" s="3410">
        <v>13</v>
      </c>
      <c r="P105" s="3410">
        <v>14</v>
      </c>
      <c r="Q105" s="3411">
        <v>15</v>
      </c>
      <c r="R105" s="3411">
        <v>16</v>
      </c>
      <c r="S105" s="3411">
        <v>17</v>
      </c>
      <c r="T105" s="3411">
        <v>18</v>
      </c>
      <c r="U105" s="3411">
        <v>19</v>
      </c>
      <c r="V105" s="3410">
        <v>20</v>
      </c>
      <c r="W105" s="3410">
        <v>21</v>
      </c>
      <c r="X105" s="3411">
        <v>22</v>
      </c>
      <c r="Y105" s="3411">
        <v>23</v>
      </c>
      <c r="Z105" s="3411">
        <v>24</v>
      </c>
      <c r="AA105" s="3411">
        <v>25</v>
      </c>
      <c r="AB105" s="3411">
        <v>26</v>
      </c>
      <c r="AC105" s="3410">
        <v>27</v>
      </c>
      <c r="AD105" s="3410">
        <v>28</v>
      </c>
      <c r="AE105" s="3411">
        <v>29</v>
      </c>
      <c r="AF105" s="3411">
        <v>30</v>
      </c>
      <c r="AG105" s="3585">
        <v>31</v>
      </c>
      <c r="AH105" s="75"/>
      <c r="AI105" s="70"/>
    </row>
    <row r="106" spans="1:35" ht="18" customHeight="1">
      <c r="A106" s="3855">
        <v>8520</v>
      </c>
      <c r="B106" s="3856" t="s">
        <v>183</v>
      </c>
      <c r="C106" s="3588" t="s">
        <v>118</v>
      </c>
      <c r="D106" s="3588" t="s">
        <v>118</v>
      </c>
      <c r="E106" s="3588" t="s">
        <v>118</v>
      </c>
      <c r="F106" s="3588" t="s">
        <v>118</v>
      </c>
      <c r="G106" s="3588" t="s">
        <v>118</v>
      </c>
      <c r="H106" s="3588"/>
      <c r="I106" s="3588"/>
      <c r="J106" s="3588" t="s">
        <v>118</v>
      </c>
      <c r="K106" s="3588" t="s">
        <v>118</v>
      </c>
      <c r="L106" s="3588" t="s">
        <v>118</v>
      </c>
      <c r="M106" s="3588" t="s">
        <v>118</v>
      </c>
      <c r="N106" s="3588" t="s">
        <v>118</v>
      </c>
      <c r="O106" s="3588"/>
      <c r="P106" s="3588"/>
      <c r="Q106" s="3590" t="s">
        <v>118</v>
      </c>
      <c r="R106" s="3590" t="s">
        <v>118</v>
      </c>
      <c r="S106" s="3590" t="s">
        <v>118</v>
      </c>
      <c r="T106" s="3590" t="s">
        <v>118</v>
      </c>
      <c r="U106" s="3590" t="s">
        <v>118</v>
      </c>
      <c r="V106" s="3590"/>
      <c r="W106" s="3590"/>
      <c r="X106" s="3590" t="s">
        <v>118</v>
      </c>
      <c r="Y106" s="3590" t="s">
        <v>118</v>
      </c>
      <c r="Z106" s="3590" t="s">
        <v>118</v>
      </c>
      <c r="AA106" s="3590" t="s">
        <v>118</v>
      </c>
      <c r="AB106" s="3590" t="s">
        <v>118</v>
      </c>
      <c r="AC106" s="3590"/>
      <c r="AD106" s="3590"/>
      <c r="AE106" s="3590" t="s">
        <v>118</v>
      </c>
      <c r="AF106" s="3590" t="s">
        <v>118</v>
      </c>
      <c r="AG106" s="3590" t="s">
        <v>118</v>
      </c>
      <c r="AH106" s="75"/>
      <c r="AI106" s="70"/>
    </row>
    <row r="107" spans="1:35" ht="18" customHeight="1">
      <c r="AH107" s="76"/>
      <c r="AI107" s="76"/>
    </row>
    <row r="108" spans="1:35" ht="18" customHeight="1" thickBot="1">
      <c r="A108" s="77" t="s">
        <v>185</v>
      </c>
      <c r="B108" s="78"/>
      <c r="C108" s="78"/>
      <c r="D108" s="79"/>
      <c r="E108" s="79"/>
      <c r="F108" s="79"/>
      <c r="G108" s="80"/>
      <c r="H108" s="79"/>
      <c r="I108" s="79"/>
      <c r="J108" s="79"/>
      <c r="K108" s="79"/>
      <c r="L108" s="79"/>
      <c r="M108" s="79"/>
      <c r="N108" s="79"/>
      <c r="O108" s="79"/>
      <c r="P108" s="79"/>
      <c r="Q108" s="79"/>
      <c r="R108" s="79"/>
      <c r="S108" s="79"/>
      <c r="T108" s="79"/>
      <c r="U108" s="79"/>
      <c r="V108" s="79"/>
      <c r="W108" s="79"/>
      <c r="X108" s="79"/>
      <c r="Y108" s="79"/>
      <c r="Z108" s="79"/>
      <c r="AA108" s="79"/>
      <c r="AB108" s="79"/>
      <c r="AC108" s="79"/>
      <c r="AD108" s="79"/>
      <c r="AE108" s="79"/>
      <c r="AF108" s="79"/>
      <c r="AG108" s="79"/>
      <c r="AH108" s="78"/>
      <c r="AI108" s="78"/>
    </row>
    <row r="109" spans="1:35" ht="18" customHeight="1">
      <c r="A109" s="77"/>
      <c r="B109" s="3833" t="s">
        <v>186</v>
      </c>
      <c r="C109" s="3857"/>
      <c r="D109" s="3858" t="s">
        <v>87</v>
      </c>
      <c r="E109" s="3859"/>
      <c r="F109" s="3860"/>
      <c r="G109" s="3857"/>
      <c r="H109" s="3858" t="s">
        <v>88</v>
      </c>
      <c r="I109" s="3859"/>
      <c r="J109" s="3860"/>
      <c r="K109" s="3857"/>
      <c r="L109" s="3858" t="s">
        <v>89</v>
      </c>
      <c r="M109" s="3859"/>
      <c r="N109" s="3860"/>
      <c r="O109" s="3857"/>
      <c r="P109" s="3858" t="s">
        <v>90</v>
      </c>
      <c r="Q109" s="3859"/>
      <c r="R109" s="3860"/>
      <c r="S109" s="3857"/>
      <c r="T109" s="3858" t="s">
        <v>91</v>
      </c>
      <c r="U109" s="3859"/>
      <c r="V109" s="3860"/>
      <c r="W109" s="3857"/>
      <c r="X109" s="3858" t="s">
        <v>92</v>
      </c>
      <c r="Y109" s="3859"/>
      <c r="Z109" s="3860"/>
      <c r="AA109" s="3857"/>
      <c r="AB109" s="3858" t="s">
        <v>93</v>
      </c>
      <c r="AC109" s="3859"/>
      <c r="AD109" s="3859"/>
      <c r="AE109" s="3861" t="s">
        <v>94</v>
      </c>
      <c r="AF109" s="3859"/>
      <c r="AG109" s="3859"/>
      <c r="AH109" s="3859"/>
      <c r="AI109" s="3862"/>
    </row>
    <row r="110" spans="1:35" ht="18" customHeight="1">
      <c r="A110" s="77"/>
      <c r="B110" s="3863" t="s">
        <v>159</v>
      </c>
      <c r="C110" s="3436">
        <v>69</v>
      </c>
      <c r="D110" s="3864" t="s">
        <v>187</v>
      </c>
      <c r="E110" s="3864"/>
      <c r="F110" s="3865"/>
      <c r="G110" s="3436">
        <v>69</v>
      </c>
      <c r="H110" s="3864" t="s">
        <v>187</v>
      </c>
      <c r="I110" s="3864"/>
      <c r="J110" s="3865"/>
      <c r="K110" s="3436">
        <v>69</v>
      </c>
      <c r="L110" s="3864" t="s">
        <v>187</v>
      </c>
      <c r="M110" s="3864"/>
      <c r="N110" s="3865"/>
      <c r="O110" s="3436">
        <v>69</v>
      </c>
      <c r="P110" s="3864" t="s">
        <v>187</v>
      </c>
      <c r="Q110" s="3864"/>
      <c r="R110" s="3865"/>
      <c r="S110" s="3436">
        <v>69</v>
      </c>
      <c r="T110" s="3864" t="s">
        <v>187</v>
      </c>
      <c r="U110" s="3864"/>
      <c r="V110" s="3865"/>
      <c r="W110" s="3436"/>
      <c r="X110" s="3866"/>
      <c r="Y110" s="3866"/>
      <c r="Z110" s="3867"/>
      <c r="AA110" s="3436"/>
      <c r="AB110" s="3864"/>
      <c r="AC110" s="3864"/>
      <c r="AD110" s="3700"/>
      <c r="AE110" s="3868">
        <v>35</v>
      </c>
      <c r="AF110" s="3864"/>
      <c r="AG110" s="3864"/>
      <c r="AH110" s="3700"/>
      <c r="AI110" s="3869"/>
    </row>
    <row r="111" spans="1:35" ht="18" customHeight="1">
      <c r="A111" s="77"/>
      <c r="B111" s="3863" t="s">
        <v>163</v>
      </c>
      <c r="C111" s="3436">
        <v>79</v>
      </c>
      <c r="D111" s="3864" t="s">
        <v>188</v>
      </c>
      <c r="E111" s="3864"/>
      <c r="F111" s="3865"/>
      <c r="G111" s="3436">
        <v>79</v>
      </c>
      <c r="H111" s="3864" t="s">
        <v>188</v>
      </c>
      <c r="I111" s="3864"/>
      <c r="J111" s="3865"/>
      <c r="K111" s="3436">
        <v>79</v>
      </c>
      <c r="L111" s="3864" t="s">
        <v>188</v>
      </c>
      <c r="M111" s="3864"/>
      <c r="N111" s="3865"/>
      <c r="O111" s="3436">
        <v>79</v>
      </c>
      <c r="P111" s="3864" t="s">
        <v>188</v>
      </c>
      <c r="Q111" s="3864"/>
      <c r="R111" s="3865"/>
      <c r="S111" s="3436">
        <v>79</v>
      </c>
      <c r="T111" s="3864" t="s">
        <v>188</v>
      </c>
      <c r="U111" s="3864"/>
      <c r="V111" s="3865"/>
      <c r="W111" s="3436"/>
      <c r="X111" s="3864"/>
      <c r="Y111" s="3864"/>
      <c r="Z111" s="3865"/>
      <c r="AA111" s="3864"/>
      <c r="AB111" s="3864"/>
      <c r="AC111" s="3864"/>
      <c r="AD111" s="3700"/>
      <c r="AE111" s="3868">
        <v>40</v>
      </c>
      <c r="AF111" s="3864"/>
      <c r="AG111" s="3864"/>
      <c r="AH111" s="3700"/>
      <c r="AI111" s="3869"/>
    </row>
    <row r="112" spans="1:35" ht="18" customHeight="1">
      <c r="A112" s="77"/>
      <c r="B112" s="3863" t="s">
        <v>171</v>
      </c>
      <c r="C112" s="3436">
        <v>89</v>
      </c>
      <c r="D112" s="3864" t="s">
        <v>189</v>
      </c>
      <c r="E112" s="3864"/>
      <c r="F112" s="3865"/>
      <c r="G112" s="3436">
        <v>89</v>
      </c>
      <c r="H112" s="3864" t="s">
        <v>189</v>
      </c>
      <c r="I112" s="3864"/>
      <c r="J112" s="3865"/>
      <c r="K112" s="3436">
        <v>89</v>
      </c>
      <c r="L112" s="3864" t="s">
        <v>189</v>
      </c>
      <c r="M112" s="3864"/>
      <c r="N112" s="3865"/>
      <c r="O112" s="3436">
        <v>89</v>
      </c>
      <c r="P112" s="3864" t="s">
        <v>189</v>
      </c>
      <c r="Q112" s="3864"/>
      <c r="R112" s="3865"/>
      <c r="S112" s="3436">
        <v>89</v>
      </c>
      <c r="T112" s="3864" t="s">
        <v>190</v>
      </c>
      <c r="U112" s="3864"/>
      <c r="V112" s="3865"/>
      <c r="W112" s="3870"/>
      <c r="X112" s="3871" t="s">
        <v>191</v>
      </c>
      <c r="Y112" s="3871"/>
      <c r="Z112" s="3872"/>
      <c r="AA112" s="3870"/>
      <c r="AB112" s="3871"/>
      <c r="AC112" s="3871"/>
      <c r="AD112" s="3703"/>
      <c r="AE112" s="3868">
        <v>44</v>
      </c>
      <c r="AF112" s="3864"/>
      <c r="AG112" s="3864"/>
      <c r="AH112" s="3700"/>
      <c r="AI112" s="3869"/>
    </row>
    <row r="113" spans="1:35" ht="18" customHeight="1">
      <c r="A113" s="77"/>
      <c r="B113" s="81" t="s">
        <v>173</v>
      </c>
      <c r="C113" s="3870">
        <v>99</v>
      </c>
      <c r="D113" s="3871" t="s">
        <v>192</v>
      </c>
      <c r="E113" s="3871"/>
      <c r="F113" s="3872"/>
      <c r="G113" s="3870">
        <v>99</v>
      </c>
      <c r="H113" s="3871" t="s">
        <v>192</v>
      </c>
      <c r="I113" s="3871"/>
      <c r="J113" s="3872"/>
      <c r="K113" s="3870">
        <v>99</v>
      </c>
      <c r="L113" s="3871" t="s">
        <v>192</v>
      </c>
      <c r="M113" s="3871"/>
      <c r="N113" s="3872"/>
      <c r="O113" s="3870">
        <v>99</v>
      </c>
      <c r="P113" s="3871" t="s">
        <v>192</v>
      </c>
      <c r="Q113" s="3871"/>
      <c r="R113" s="3872"/>
      <c r="S113" s="3870">
        <v>99</v>
      </c>
      <c r="T113" s="3871" t="s">
        <v>172</v>
      </c>
      <c r="U113" s="3871"/>
      <c r="V113" s="3703"/>
      <c r="W113" s="3702"/>
      <c r="X113" s="3703"/>
      <c r="Y113" s="3871"/>
      <c r="Z113" s="3872"/>
      <c r="AA113" s="3702"/>
      <c r="AB113" s="3703"/>
      <c r="AC113" s="3871"/>
      <c r="AD113" s="3872"/>
      <c r="AE113" s="3873">
        <v>28</v>
      </c>
      <c r="AF113" s="3871"/>
      <c r="AG113" s="3871"/>
      <c r="AH113" s="3703"/>
      <c r="AI113" s="3874"/>
    </row>
    <row r="114" spans="1:35" ht="18" customHeight="1" thickBot="1">
      <c r="A114" s="77"/>
      <c r="B114" s="3875" t="s">
        <v>193</v>
      </c>
      <c r="C114" s="3876" t="s">
        <v>47</v>
      </c>
      <c r="D114" s="3877" t="s">
        <v>194</v>
      </c>
      <c r="E114" s="3878"/>
      <c r="F114" s="3654"/>
      <c r="G114" s="3876" t="s">
        <v>47</v>
      </c>
      <c r="H114" s="3877" t="s">
        <v>194</v>
      </c>
      <c r="I114" s="3652"/>
      <c r="J114" s="3878"/>
      <c r="K114" s="3876" t="s">
        <v>47</v>
      </c>
      <c r="L114" s="3877" t="s">
        <v>194</v>
      </c>
      <c r="M114" s="3878"/>
      <c r="N114" s="3879"/>
      <c r="O114" s="3876" t="s">
        <v>47</v>
      </c>
      <c r="P114" s="3877" t="s">
        <v>194</v>
      </c>
      <c r="Q114" s="3878"/>
      <c r="R114" s="3877"/>
      <c r="S114" s="3876" t="s">
        <v>47</v>
      </c>
      <c r="T114" s="3656" t="s">
        <v>195</v>
      </c>
      <c r="U114" s="3877"/>
      <c r="V114" s="3879"/>
      <c r="W114" s="3878"/>
      <c r="X114" s="3877"/>
      <c r="Y114" s="3877"/>
      <c r="Z114" s="3877"/>
      <c r="AA114" s="3880"/>
      <c r="AB114" s="3881"/>
      <c r="AC114" s="3877"/>
      <c r="AD114" s="3882"/>
      <c r="AE114" s="3877"/>
      <c r="AF114" s="3877"/>
      <c r="AG114" s="3877"/>
      <c r="AH114" s="3883"/>
      <c r="AI114" s="3884"/>
    </row>
    <row r="115" spans="1:35" ht="18" customHeight="1">
      <c r="A115" s="82"/>
      <c r="B115" s="77"/>
      <c r="C115" s="79"/>
      <c r="D115" s="79"/>
      <c r="E115" s="79"/>
      <c r="F115" s="79"/>
      <c r="G115" s="79"/>
      <c r="H115" s="79"/>
      <c r="I115" s="79"/>
      <c r="J115" s="79"/>
      <c r="K115" s="79"/>
      <c r="L115" s="79"/>
      <c r="M115" s="79"/>
      <c r="N115" s="79"/>
      <c r="O115" s="79"/>
      <c r="P115" s="79"/>
      <c r="Q115" s="79"/>
      <c r="R115" s="79"/>
      <c r="S115" s="79"/>
      <c r="T115" s="79"/>
      <c r="U115" s="79"/>
      <c r="V115" s="79"/>
      <c r="W115" s="79"/>
      <c r="X115" s="79"/>
      <c r="Y115" s="79"/>
      <c r="Z115" s="79"/>
      <c r="AA115" s="79"/>
      <c r="AB115" s="79"/>
      <c r="AC115" s="79"/>
      <c r="AD115" s="79"/>
      <c r="AE115" s="79"/>
      <c r="AF115" s="79"/>
      <c r="AG115" s="79"/>
      <c r="AH115" s="78"/>
      <c r="AI115" s="78"/>
    </row>
    <row r="116" spans="1:35" ht="18" customHeight="1" thickBot="1">
      <c r="A116" s="3711"/>
      <c r="B116" s="3661" t="s">
        <v>29</v>
      </c>
      <c r="C116" s="3411">
        <v>1</v>
      </c>
      <c r="D116" s="3411">
        <v>2</v>
      </c>
      <c r="E116" s="3411">
        <v>3</v>
      </c>
      <c r="F116" s="3411">
        <v>4</v>
      </c>
      <c r="G116" s="3411">
        <v>5</v>
      </c>
      <c r="H116" s="3410">
        <v>6</v>
      </c>
      <c r="I116" s="3410">
        <v>7</v>
      </c>
      <c r="J116" s="3411">
        <v>8</v>
      </c>
      <c r="K116" s="3411">
        <v>9</v>
      </c>
      <c r="L116" s="3411">
        <v>10</v>
      </c>
      <c r="M116" s="3411">
        <v>11</v>
      </c>
      <c r="N116" s="3411">
        <v>12</v>
      </c>
      <c r="O116" s="3410">
        <v>13</v>
      </c>
      <c r="P116" s="3410">
        <v>14</v>
      </c>
      <c r="Q116" s="3411">
        <v>15</v>
      </c>
      <c r="R116" s="3411">
        <v>16</v>
      </c>
      <c r="S116" s="3411">
        <v>17</v>
      </c>
      <c r="T116" s="3411">
        <v>18</v>
      </c>
      <c r="U116" s="3411">
        <v>19</v>
      </c>
      <c r="V116" s="3410">
        <v>20</v>
      </c>
      <c r="W116" s="3410">
        <v>21</v>
      </c>
      <c r="X116" s="3411">
        <v>22</v>
      </c>
      <c r="Y116" s="3411">
        <v>23</v>
      </c>
      <c r="Z116" s="3411">
        <v>24</v>
      </c>
      <c r="AA116" s="3411">
        <v>25</v>
      </c>
      <c r="AB116" s="3411">
        <v>26</v>
      </c>
      <c r="AC116" s="3410">
        <v>27</v>
      </c>
      <c r="AD116" s="3410">
        <v>28</v>
      </c>
      <c r="AE116" s="3411">
        <v>29</v>
      </c>
      <c r="AF116" s="3411">
        <v>30</v>
      </c>
      <c r="AG116" s="3585">
        <v>31</v>
      </c>
      <c r="AH116" s="23"/>
      <c r="AI116" s="24"/>
    </row>
    <row r="117" spans="1:35" ht="18" customHeight="1">
      <c r="A117" s="3885">
        <v>1</v>
      </c>
      <c r="B117" s="3760" t="s">
        <v>196</v>
      </c>
      <c r="C117" s="3664">
        <v>79</v>
      </c>
      <c r="D117" s="3664">
        <v>79</v>
      </c>
      <c r="E117" s="3664">
        <v>79</v>
      </c>
      <c r="F117" s="3590">
        <v>79</v>
      </c>
      <c r="G117" s="3675">
        <v>79</v>
      </c>
      <c r="H117" s="3664"/>
      <c r="I117" s="3675"/>
      <c r="J117" s="3664">
        <v>89</v>
      </c>
      <c r="K117" s="3664">
        <v>89</v>
      </c>
      <c r="L117" s="3675">
        <v>89</v>
      </c>
      <c r="M117" s="3590">
        <v>89</v>
      </c>
      <c r="N117" s="3664">
        <v>89</v>
      </c>
      <c r="O117" s="3664">
        <v>89</v>
      </c>
      <c r="P117" s="3664"/>
      <c r="Q117" s="3664">
        <v>99</v>
      </c>
      <c r="R117" s="3664">
        <v>99</v>
      </c>
      <c r="S117" s="3590">
        <v>99</v>
      </c>
      <c r="T117" s="3590">
        <v>99</v>
      </c>
      <c r="U117" s="3664" t="s">
        <v>35</v>
      </c>
      <c r="V117" s="3664"/>
      <c r="W117" s="3664"/>
      <c r="X117" s="3886" t="s">
        <v>47</v>
      </c>
      <c r="Y117" s="3886" t="s">
        <v>47</v>
      </c>
      <c r="Z117" s="3886" t="s">
        <v>47</v>
      </c>
      <c r="AA117" s="3886" t="s">
        <v>47</v>
      </c>
      <c r="AB117" s="3886" t="s">
        <v>47</v>
      </c>
      <c r="AC117" s="3886"/>
      <c r="AD117" s="3886"/>
      <c r="AE117" s="3588">
        <v>69</v>
      </c>
      <c r="AF117" s="3588">
        <v>69</v>
      </c>
      <c r="AG117" s="3676">
        <v>69</v>
      </c>
      <c r="AH117" s="83"/>
      <c r="AI117" s="76"/>
    </row>
    <row r="118" spans="1:35" ht="18" customHeight="1">
      <c r="A118" s="3887">
        <v>2</v>
      </c>
      <c r="B118" s="3763" t="s">
        <v>197</v>
      </c>
      <c r="C118" s="3600">
        <v>89</v>
      </c>
      <c r="D118" s="3600">
        <v>89</v>
      </c>
      <c r="E118" s="3600">
        <v>89</v>
      </c>
      <c r="F118" s="3600">
        <v>89</v>
      </c>
      <c r="G118" s="3600">
        <v>89</v>
      </c>
      <c r="H118" s="3600">
        <v>89</v>
      </c>
      <c r="I118" s="3600"/>
      <c r="J118" s="3888">
        <v>99</v>
      </c>
      <c r="K118" s="3888">
        <v>99</v>
      </c>
      <c r="L118" s="3888">
        <v>99</v>
      </c>
      <c r="M118" s="3888">
        <v>99</v>
      </c>
      <c r="N118" s="3888" t="s">
        <v>35</v>
      </c>
      <c r="O118" s="3888"/>
      <c r="P118" s="3888"/>
      <c r="Q118" s="3888" t="s">
        <v>47</v>
      </c>
      <c r="R118" s="3888" t="s">
        <v>47</v>
      </c>
      <c r="S118" s="3888" t="s">
        <v>47</v>
      </c>
      <c r="T118" s="3888" t="s">
        <v>47</v>
      </c>
      <c r="U118" s="3888" t="s">
        <v>47</v>
      </c>
      <c r="V118" s="3677"/>
      <c r="W118" s="3677"/>
      <c r="X118" s="3677">
        <v>69</v>
      </c>
      <c r="Y118" s="3677">
        <v>69</v>
      </c>
      <c r="Z118" s="3684">
        <v>69</v>
      </c>
      <c r="AA118" s="3684">
        <v>69</v>
      </c>
      <c r="AB118" s="3597">
        <v>69</v>
      </c>
      <c r="AC118" s="3677"/>
      <c r="AD118" s="3597"/>
      <c r="AE118" s="3597">
        <v>79</v>
      </c>
      <c r="AF118" s="3677">
        <v>79</v>
      </c>
      <c r="AG118" s="3889">
        <v>79</v>
      </c>
      <c r="AH118" s="84"/>
      <c r="AI118" s="85"/>
    </row>
    <row r="119" spans="1:35" ht="18" customHeight="1">
      <c r="A119" s="3887">
        <v>3</v>
      </c>
      <c r="B119" s="3763" t="s">
        <v>198</v>
      </c>
      <c r="C119" s="3677">
        <v>99</v>
      </c>
      <c r="D119" s="3677">
        <v>99</v>
      </c>
      <c r="E119" s="3677">
        <v>99</v>
      </c>
      <c r="F119" s="3677">
        <v>99</v>
      </c>
      <c r="G119" s="3677" t="s">
        <v>35</v>
      </c>
      <c r="H119" s="3677"/>
      <c r="I119" s="3677"/>
      <c r="J119" s="3600" t="s">
        <v>47</v>
      </c>
      <c r="K119" s="3600" t="s">
        <v>47</v>
      </c>
      <c r="L119" s="3600" t="s">
        <v>47</v>
      </c>
      <c r="M119" s="3600" t="s">
        <v>47</v>
      </c>
      <c r="N119" s="3600" t="s">
        <v>47</v>
      </c>
      <c r="O119" s="3600"/>
      <c r="P119" s="3600"/>
      <c r="Q119" s="3600">
        <v>69</v>
      </c>
      <c r="R119" s="3600">
        <v>69</v>
      </c>
      <c r="S119" s="3600">
        <v>69</v>
      </c>
      <c r="T119" s="3600">
        <v>69</v>
      </c>
      <c r="U119" s="3600">
        <v>69</v>
      </c>
      <c r="V119" s="3600"/>
      <c r="W119" s="3600"/>
      <c r="X119" s="3600">
        <v>79</v>
      </c>
      <c r="Y119" s="3600">
        <v>79</v>
      </c>
      <c r="Z119" s="3600">
        <v>79</v>
      </c>
      <c r="AA119" s="3600">
        <v>79</v>
      </c>
      <c r="AB119" s="3600">
        <v>79</v>
      </c>
      <c r="AC119" s="3600"/>
      <c r="AD119" s="3600"/>
      <c r="AE119" s="3677">
        <v>89</v>
      </c>
      <c r="AF119" s="3677">
        <v>89</v>
      </c>
      <c r="AG119" s="3678">
        <v>89</v>
      </c>
      <c r="AH119" s="83"/>
      <c r="AI119" s="76"/>
    </row>
    <row r="120" spans="1:35" ht="18" customHeight="1">
      <c r="A120" s="3887">
        <v>4</v>
      </c>
      <c r="B120" s="3763" t="s">
        <v>268</v>
      </c>
      <c r="C120" s="3764" t="s">
        <v>47</v>
      </c>
      <c r="D120" s="3764" t="s">
        <v>47</v>
      </c>
      <c r="E120" s="3764" t="s">
        <v>47</v>
      </c>
      <c r="F120" s="3684" t="s">
        <v>199</v>
      </c>
      <c r="G120" s="3677" t="s">
        <v>199</v>
      </c>
      <c r="H120" s="3677"/>
      <c r="I120" s="3677"/>
      <c r="J120" s="3677" t="s">
        <v>199</v>
      </c>
      <c r="K120" s="3677" t="s">
        <v>199</v>
      </c>
      <c r="L120" s="3677" t="s">
        <v>199</v>
      </c>
      <c r="M120" s="3677" t="s">
        <v>199</v>
      </c>
      <c r="N120" s="3677" t="s">
        <v>199</v>
      </c>
      <c r="O120" s="3764"/>
      <c r="P120" s="3764"/>
      <c r="Q120" s="3764" t="s">
        <v>47</v>
      </c>
      <c r="R120" s="3764" t="s">
        <v>47</v>
      </c>
      <c r="S120" s="3684" t="s">
        <v>47</v>
      </c>
      <c r="T120" s="3890" t="s">
        <v>47</v>
      </c>
      <c r="U120" s="3764" t="s">
        <v>47</v>
      </c>
      <c r="V120" s="3764"/>
      <c r="W120" s="3764"/>
      <c r="X120" s="3764">
        <v>89</v>
      </c>
      <c r="Y120" s="3764">
        <v>89</v>
      </c>
      <c r="Z120" s="3891">
        <v>89</v>
      </c>
      <c r="AA120" s="3891">
        <v>89</v>
      </c>
      <c r="AB120" s="3764">
        <v>89</v>
      </c>
      <c r="AC120" s="3764">
        <v>89</v>
      </c>
      <c r="AD120" s="3764"/>
      <c r="AE120" s="3764">
        <v>99</v>
      </c>
      <c r="AF120" s="3764">
        <v>99</v>
      </c>
      <c r="AG120" s="3892">
        <v>99</v>
      </c>
      <c r="AH120" s="83"/>
      <c r="AI120" s="76"/>
    </row>
    <row r="121" spans="1:35" ht="18" customHeight="1" thickBot="1">
      <c r="A121" s="3893">
        <v>5</v>
      </c>
      <c r="B121" s="3894" t="s">
        <v>361</v>
      </c>
      <c r="C121" s="3688">
        <v>69</v>
      </c>
      <c r="D121" s="3688">
        <v>69</v>
      </c>
      <c r="E121" s="3688">
        <v>69</v>
      </c>
      <c r="F121" s="3688">
        <v>69</v>
      </c>
      <c r="G121" s="3688">
        <v>69</v>
      </c>
      <c r="H121" s="3688"/>
      <c r="I121" s="3688"/>
      <c r="J121" s="3688">
        <v>79</v>
      </c>
      <c r="K121" s="3688">
        <v>79</v>
      </c>
      <c r="L121" s="3688">
        <v>79</v>
      </c>
      <c r="M121" s="3688">
        <v>79</v>
      </c>
      <c r="N121" s="3688">
        <v>79</v>
      </c>
      <c r="O121" s="3688"/>
      <c r="P121" s="3688"/>
      <c r="Q121" s="3688">
        <v>89</v>
      </c>
      <c r="R121" s="3688">
        <v>89</v>
      </c>
      <c r="S121" s="3688">
        <v>89</v>
      </c>
      <c r="T121" s="3688">
        <v>89</v>
      </c>
      <c r="U121" s="3688">
        <v>89</v>
      </c>
      <c r="V121" s="3688">
        <v>89</v>
      </c>
      <c r="W121" s="3895"/>
      <c r="X121" s="3895">
        <v>99</v>
      </c>
      <c r="Y121" s="3895">
        <v>99</v>
      </c>
      <c r="Z121" s="3896">
        <v>99</v>
      </c>
      <c r="AA121" s="3896">
        <v>99</v>
      </c>
      <c r="AB121" s="3895" t="s">
        <v>35</v>
      </c>
      <c r="AC121" s="3895"/>
      <c r="AD121" s="3895"/>
      <c r="AE121" s="3895" t="s">
        <v>47</v>
      </c>
      <c r="AF121" s="3895" t="s">
        <v>47</v>
      </c>
      <c r="AG121" s="3897" t="s">
        <v>47</v>
      </c>
      <c r="AH121" s="83"/>
      <c r="AI121" s="76"/>
    </row>
    <row r="122" spans="1:35" ht="18" customHeight="1">
      <c r="A122" s="36"/>
      <c r="B122" s="87"/>
      <c r="C122" s="38"/>
      <c r="D122" s="38"/>
      <c r="E122" s="38"/>
      <c r="F122" s="38"/>
      <c r="G122" s="38"/>
      <c r="H122" s="38"/>
      <c r="I122" s="38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76"/>
      <c r="AI122" s="76"/>
    </row>
    <row r="123" spans="1:35" ht="18" customHeight="1" thickBot="1">
      <c r="A123" s="77" t="s">
        <v>202</v>
      </c>
      <c r="B123" s="78"/>
      <c r="C123" s="78"/>
      <c r="D123" s="79"/>
      <c r="E123" s="79"/>
      <c r="F123" s="79"/>
      <c r="G123" s="80"/>
      <c r="H123" s="79"/>
      <c r="I123" s="79"/>
      <c r="J123" s="79"/>
      <c r="K123" s="79"/>
      <c r="L123" s="79"/>
      <c r="M123" s="79"/>
      <c r="N123" s="79"/>
      <c r="O123" s="79"/>
      <c r="P123" s="79"/>
      <c r="Q123" s="79"/>
      <c r="R123" s="79"/>
      <c r="S123" s="79"/>
      <c r="T123" s="79"/>
      <c r="U123" s="79"/>
      <c r="V123" s="79"/>
      <c r="W123" s="79"/>
      <c r="X123" s="79"/>
      <c r="Y123" s="79"/>
      <c r="Z123" s="79"/>
      <c r="AA123" s="79"/>
      <c r="AB123" s="79"/>
      <c r="AC123" s="79"/>
      <c r="AD123" s="79"/>
      <c r="AE123" s="79"/>
      <c r="AF123" s="79"/>
      <c r="AG123" s="79"/>
      <c r="AH123" s="78"/>
      <c r="AI123" s="78"/>
    </row>
    <row r="124" spans="1:35" ht="18" customHeight="1">
      <c r="A124" s="77"/>
      <c r="B124" s="3833" t="s">
        <v>186</v>
      </c>
      <c r="C124" s="3857"/>
      <c r="D124" s="3858" t="s">
        <v>87</v>
      </c>
      <c r="E124" s="3859"/>
      <c r="F124" s="3860"/>
      <c r="G124" s="3857"/>
      <c r="H124" s="3858" t="s">
        <v>88</v>
      </c>
      <c r="I124" s="3859"/>
      <c r="J124" s="3860"/>
      <c r="K124" s="3857"/>
      <c r="L124" s="3858" t="s">
        <v>89</v>
      </c>
      <c r="M124" s="3859"/>
      <c r="N124" s="3860"/>
      <c r="O124" s="3857"/>
      <c r="P124" s="3858" t="s">
        <v>90</v>
      </c>
      <c r="Q124" s="3859"/>
      <c r="R124" s="3860"/>
      <c r="S124" s="3857"/>
      <c r="T124" s="3858" t="s">
        <v>91</v>
      </c>
      <c r="U124" s="3859"/>
      <c r="V124" s="3860"/>
      <c r="W124" s="3857"/>
      <c r="X124" s="3858" t="s">
        <v>92</v>
      </c>
      <c r="Y124" s="3859"/>
      <c r="Z124" s="3860"/>
      <c r="AA124" s="3857"/>
      <c r="AB124" s="3858" t="s">
        <v>93</v>
      </c>
      <c r="AC124" s="3859"/>
      <c r="AD124" s="3859"/>
      <c r="AE124" s="3861" t="s">
        <v>94</v>
      </c>
      <c r="AF124" s="3859"/>
      <c r="AG124" s="3859"/>
      <c r="AH124" s="3859"/>
      <c r="AI124" s="3862"/>
    </row>
    <row r="125" spans="1:35" ht="18" customHeight="1">
      <c r="A125" s="77"/>
      <c r="B125" s="3863" t="s">
        <v>203</v>
      </c>
      <c r="C125" s="3699" t="s">
        <v>204</v>
      </c>
      <c r="D125" s="3864"/>
      <c r="E125" s="3864"/>
      <c r="F125" s="3865"/>
      <c r="G125" s="3699" t="s">
        <v>204</v>
      </c>
      <c r="H125" s="3864"/>
      <c r="I125" s="3864"/>
      <c r="J125" s="3865"/>
      <c r="K125" s="3699" t="s">
        <v>204</v>
      </c>
      <c r="L125" s="3864"/>
      <c r="M125" s="3864"/>
      <c r="N125" s="3865"/>
      <c r="O125" s="3699" t="s">
        <v>204</v>
      </c>
      <c r="P125" s="3864"/>
      <c r="Q125" s="3864"/>
      <c r="R125" s="3865"/>
      <c r="S125" s="3699" t="s">
        <v>204</v>
      </c>
      <c r="T125" s="3864"/>
      <c r="U125" s="3864"/>
      <c r="V125" s="3865"/>
      <c r="W125" s="3699" t="s">
        <v>205</v>
      </c>
      <c r="X125" s="3866"/>
      <c r="Y125" s="3866"/>
      <c r="Z125" s="3867"/>
      <c r="AA125" s="3699" t="s">
        <v>205</v>
      </c>
      <c r="AB125" s="3864"/>
      <c r="AC125" s="3864"/>
      <c r="AD125" s="3700"/>
      <c r="AE125" s="3868">
        <v>68</v>
      </c>
      <c r="AF125" s="88"/>
      <c r="AG125" s="88"/>
      <c r="AH125" s="88"/>
      <c r="AI125" s="89"/>
    </row>
    <row r="126" spans="1:35" ht="18" customHeight="1">
      <c r="A126" s="77"/>
      <c r="B126" s="3863" t="s">
        <v>163</v>
      </c>
      <c r="C126" s="3699" t="s">
        <v>172</v>
      </c>
      <c r="D126" s="3864"/>
      <c r="E126" s="3864"/>
      <c r="F126" s="3865"/>
      <c r="G126" s="3699" t="s">
        <v>172</v>
      </c>
      <c r="H126" s="3864"/>
      <c r="I126" s="3864"/>
      <c r="J126" s="3865"/>
      <c r="K126" s="3699" t="s">
        <v>172</v>
      </c>
      <c r="L126" s="3864"/>
      <c r="M126" s="3864"/>
      <c r="N126" s="3865"/>
      <c r="O126" s="3699" t="s">
        <v>172</v>
      </c>
      <c r="P126" s="3864"/>
      <c r="Q126" s="3864"/>
      <c r="R126" s="3865"/>
      <c r="S126" s="3699" t="s">
        <v>172</v>
      </c>
      <c r="T126" s="3864"/>
      <c r="U126" s="3864"/>
      <c r="V126" s="3865"/>
      <c r="W126" s="3699" t="s">
        <v>172</v>
      </c>
      <c r="X126" s="3864"/>
      <c r="Y126" s="3864"/>
      <c r="Z126" s="3865"/>
      <c r="AA126" s="3864" t="s">
        <v>172</v>
      </c>
      <c r="AB126" s="3864"/>
      <c r="AC126" s="3864"/>
      <c r="AD126" s="3700"/>
      <c r="AE126" s="3868">
        <v>0</v>
      </c>
      <c r="AF126" s="88"/>
      <c r="AG126" s="88"/>
      <c r="AH126" s="88"/>
      <c r="AI126" s="89"/>
    </row>
    <row r="127" spans="1:35" ht="18" customHeight="1">
      <c r="A127" s="77"/>
      <c r="B127" s="3863" t="s">
        <v>206</v>
      </c>
      <c r="C127" s="3699" t="s">
        <v>204</v>
      </c>
      <c r="D127" s="3864"/>
      <c r="E127" s="3864"/>
      <c r="F127" s="3865"/>
      <c r="G127" s="3699" t="s">
        <v>204</v>
      </c>
      <c r="H127" s="3864"/>
      <c r="I127" s="3864"/>
      <c r="J127" s="3865"/>
      <c r="K127" s="3699" t="s">
        <v>204</v>
      </c>
      <c r="L127" s="3864"/>
      <c r="M127" s="3864"/>
      <c r="N127" s="3865"/>
      <c r="O127" s="3699" t="s">
        <v>204</v>
      </c>
      <c r="P127" s="3864"/>
      <c r="Q127" s="3864"/>
      <c r="R127" s="3865"/>
      <c r="S127" s="3699" t="s">
        <v>204</v>
      </c>
      <c r="T127" s="3864"/>
      <c r="U127" s="3864"/>
      <c r="V127" s="3865"/>
      <c r="W127" s="3699" t="s">
        <v>205</v>
      </c>
      <c r="X127" s="3866"/>
      <c r="Y127" s="3866"/>
      <c r="Z127" s="3867"/>
      <c r="AA127" s="3699" t="s">
        <v>205</v>
      </c>
      <c r="AB127" s="3864"/>
      <c r="AC127" s="3864"/>
      <c r="AD127" s="3700"/>
      <c r="AE127" s="3868">
        <v>68</v>
      </c>
      <c r="AF127" s="3864"/>
      <c r="AG127" s="3864" t="s">
        <v>0</v>
      </c>
      <c r="AH127" s="3700"/>
      <c r="AI127" s="3869"/>
    </row>
    <row r="128" spans="1:35" ht="18" customHeight="1">
      <c r="A128" s="77"/>
      <c r="B128" s="3863" t="s">
        <v>173</v>
      </c>
      <c r="C128" s="3699" t="s">
        <v>172</v>
      </c>
      <c r="D128" s="3864"/>
      <c r="E128" s="3864"/>
      <c r="F128" s="3865"/>
      <c r="G128" s="3699" t="s">
        <v>172</v>
      </c>
      <c r="H128" s="3864"/>
      <c r="I128" s="3864"/>
      <c r="J128" s="3865"/>
      <c r="K128" s="3699" t="s">
        <v>172</v>
      </c>
      <c r="L128" s="3864"/>
      <c r="M128" s="3864"/>
      <c r="N128" s="3865"/>
      <c r="O128" s="3699" t="s">
        <v>172</v>
      </c>
      <c r="P128" s="3864"/>
      <c r="Q128" s="3864"/>
      <c r="R128" s="3865"/>
      <c r="S128" s="3699" t="s">
        <v>172</v>
      </c>
      <c r="T128" s="3864"/>
      <c r="U128" s="3864"/>
      <c r="V128" s="3865"/>
      <c r="W128" s="3699" t="s">
        <v>172</v>
      </c>
      <c r="X128" s="3864"/>
      <c r="Y128" s="3864"/>
      <c r="Z128" s="3865"/>
      <c r="AA128" s="3864" t="s">
        <v>172</v>
      </c>
      <c r="AB128" s="3864"/>
      <c r="AC128" s="3864"/>
      <c r="AD128" s="3700"/>
      <c r="AE128" s="3868">
        <v>0</v>
      </c>
      <c r="AF128" s="3864"/>
      <c r="AG128" s="3864"/>
      <c r="AH128" s="3700"/>
      <c r="AI128" s="3869"/>
    </row>
    <row r="129" spans="1:35" ht="18" customHeight="1">
      <c r="A129" s="77"/>
      <c r="B129" s="3863" t="s">
        <v>207</v>
      </c>
      <c r="C129" s="3699" t="s">
        <v>204</v>
      </c>
      <c r="D129" s="3864"/>
      <c r="E129" s="3864"/>
      <c r="F129" s="3865"/>
      <c r="G129" s="3699" t="s">
        <v>204</v>
      </c>
      <c r="H129" s="3864"/>
      <c r="I129" s="3864"/>
      <c r="J129" s="3865"/>
      <c r="K129" s="3699" t="s">
        <v>204</v>
      </c>
      <c r="L129" s="3864"/>
      <c r="M129" s="3864"/>
      <c r="N129" s="3865"/>
      <c r="O129" s="3699" t="s">
        <v>204</v>
      </c>
      <c r="P129" s="3864"/>
      <c r="Q129" s="3864"/>
      <c r="R129" s="3865"/>
      <c r="S129" s="3699" t="s">
        <v>204</v>
      </c>
      <c r="T129" s="3864"/>
      <c r="U129" s="3864"/>
      <c r="V129" s="3865"/>
      <c r="W129" s="3699" t="s">
        <v>208</v>
      </c>
      <c r="X129" s="3871"/>
      <c r="Y129" s="3871"/>
      <c r="Z129" s="3872"/>
      <c r="AA129" s="3699" t="s">
        <v>208</v>
      </c>
      <c r="AB129" s="3871"/>
      <c r="AC129" s="3871"/>
      <c r="AD129" s="3703"/>
      <c r="AE129" s="3868">
        <v>68</v>
      </c>
      <c r="AF129" s="3864"/>
      <c r="AG129" s="3864"/>
      <c r="AH129" s="3700"/>
      <c r="AI129" s="3869"/>
    </row>
    <row r="130" spans="1:35" ht="18" customHeight="1" thickBot="1">
      <c r="A130" s="77"/>
      <c r="B130" s="3863" t="s">
        <v>209</v>
      </c>
      <c r="C130" s="3898" t="s">
        <v>172</v>
      </c>
      <c r="D130" s="3899"/>
      <c r="E130" s="3899"/>
      <c r="F130" s="3900"/>
      <c r="G130" s="3898" t="s">
        <v>172</v>
      </c>
      <c r="H130" s="3899"/>
      <c r="I130" s="3899"/>
      <c r="J130" s="3900"/>
      <c r="K130" s="3898" t="s">
        <v>172</v>
      </c>
      <c r="L130" s="3899"/>
      <c r="M130" s="3899"/>
      <c r="N130" s="3900"/>
      <c r="O130" s="3898" t="s">
        <v>172</v>
      </c>
      <c r="P130" s="3899"/>
      <c r="Q130" s="3899"/>
      <c r="R130" s="3900"/>
      <c r="S130" s="3898" t="s">
        <v>172</v>
      </c>
      <c r="T130" s="3899"/>
      <c r="U130" s="3899"/>
      <c r="V130" s="3883"/>
      <c r="W130" s="3898" t="s">
        <v>172</v>
      </c>
      <c r="X130" s="3883"/>
      <c r="Y130" s="3899"/>
      <c r="Z130" s="3900"/>
      <c r="AA130" s="3898" t="s">
        <v>172</v>
      </c>
      <c r="AB130" s="3883"/>
      <c r="AC130" s="3899"/>
      <c r="AD130" s="3900"/>
      <c r="AE130" s="3901" t="s">
        <v>210</v>
      </c>
      <c r="AF130" s="3899"/>
      <c r="AG130" s="3899"/>
      <c r="AH130" s="3883"/>
      <c r="AI130" s="3884"/>
    </row>
    <row r="131" spans="1:35" ht="18" customHeight="1">
      <c r="A131" s="82"/>
      <c r="B131" s="77"/>
      <c r="C131" s="79"/>
      <c r="D131" s="79"/>
      <c r="E131" s="79"/>
      <c r="F131" s="79"/>
      <c r="G131" s="79"/>
      <c r="H131" s="79"/>
      <c r="I131" s="79"/>
      <c r="J131" s="79"/>
      <c r="K131" s="79"/>
      <c r="L131" s="79"/>
      <c r="M131" s="79"/>
      <c r="N131" s="79"/>
      <c r="O131" s="79"/>
      <c r="P131" s="79"/>
      <c r="Q131" s="79"/>
      <c r="R131" s="79"/>
      <c r="S131" s="79"/>
      <c r="T131" s="79"/>
      <c r="U131" s="79"/>
      <c r="V131" s="79"/>
      <c r="W131" s="79"/>
      <c r="X131" s="79"/>
      <c r="Y131" s="79"/>
      <c r="Z131" s="79"/>
      <c r="AA131" s="79"/>
      <c r="AB131" s="79"/>
      <c r="AC131" s="79"/>
      <c r="AD131" s="79"/>
      <c r="AE131" s="79"/>
      <c r="AF131" s="79"/>
      <c r="AG131" s="79"/>
      <c r="AH131" s="78"/>
      <c r="AI131" s="78"/>
    </row>
    <row r="132" spans="1:35" ht="18" customHeight="1" thickBot="1">
      <c r="A132" s="3711"/>
      <c r="B132" s="3661" t="s">
        <v>29</v>
      </c>
      <c r="C132" s="3411">
        <v>1</v>
      </c>
      <c r="D132" s="3411">
        <v>2</v>
      </c>
      <c r="E132" s="3411">
        <v>3</v>
      </c>
      <c r="F132" s="3411">
        <v>4</v>
      </c>
      <c r="G132" s="3411">
        <v>5</v>
      </c>
      <c r="H132" s="3410">
        <v>6</v>
      </c>
      <c r="I132" s="3410">
        <v>7</v>
      </c>
      <c r="J132" s="3411">
        <v>8</v>
      </c>
      <c r="K132" s="3411">
        <v>9</v>
      </c>
      <c r="L132" s="3411">
        <v>10</v>
      </c>
      <c r="M132" s="3411">
        <v>11</v>
      </c>
      <c r="N132" s="3411">
        <v>12</v>
      </c>
      <c r="O132" s="3410">
        <v>13</v>
      </c>
      <c r="P132" s="3410">
        <v>14</v>
      </c>
      <c r="Q132" s="3411">
        <v>15</v>
      </c>
      <c r="R132" s="3411">
        <v>16</v>
      </c>
      <c r="S132" s="3411">
        <v>17</v>
      </c>
      <c r="T132" s="3411">
        <v>18</v>
      </c>
      <c r="U132" s="3411">
        <v>19</v>
      </c>
      <c r="V132" s="3410">
        <v>20</v>
      </c>
      <c r="W132" s="3410">
        <v>21</v>
      </c>
      <c r="X132" s="3411">
        <v>22</v>
      </c>
      <c r="Y132" s="3411">
        <v>23</v>
      </c>
      <c r="Z132" s="3411">
        <v>24</v>
      </c>
      <c r="AA132" s="3411">
        <v>25</v>
      </c>
      <c r="AB132" s="3411">
        <v>26</v>
      </c>
      <c r="AC132" s="3410">
        <v>27</v>
      </c>
      <c r="AD132" s="3410">
        <v>28</v>
      </c>
      <c r="AE132" s="3411">
        <v>29</v>
      </c>
      <c r="AF132" s="3411">
        <v>30</v>
      </c>
      <c r="AG132" s="3585">
        <v>31</v>
      </c>
      <c r="AH132" s="23"/>
      <c r="AI132" s="24"/>
    </row>
    <row r="133" spans="1:35" ht="18" customHeight="1">
      <c r="A133" s="3902">
        <v>1</v>
      </c>
      <c r="B133" s="3614" t="s">
        <v>363</v>
      </c>
      <c r="C133" s="3615" t="s">
        <v>35</v>
      </c>
      <c r="D133" s="3615" t="s">
        <v>35</v>
      </c>
      <c r="E133" s="3615" t="s">
        <v>35</v>
      </c>
      <c r="F133" s="3615" t="s">
        <v>35</v>
      </c>
      <c r="G133" s="3615" t="s">
        <v>35</v>
      </c>
      <c r="H133" s="3615"/>
      <c r="I133" s="3615"/>
      <c r="J133" s="3615">
        <v>21</v>
      </c>
      <c r="K133" s="3615">
        <v>21</v>
      </c>
      <c r="L133" s="3615">
        <v>21</v>
      </c>
      <c r="M133" s="3615">
        <v>21</v>
      </c>
      <c r="N133" s="3615">
        <v>21</v>
      </c>
      <c r="O133" s="3615">
        <v>21</v>
      </c>
      <c r="P133" s="3615">
        <v>21</v>
      </c>
      <c r="Q133" s="3718" t="s">
        <v>35</v>
      </c>
      <c r="R133" s="3718" t="s">
        <v>35</v>
      </c>
      <c r="S133" s="3718" t="s">
        <v>35</v>
      </c>
      <c r="T133" s="3718" t="s">
        <v>35</v>
      </c>
      <c r="U133" s="3744" t="s">
        <v>35</v>
      </c>
      <c r="V133" s="3718"/>
      <c r="W133" s="3718"/>
      <c r="X133" s="3744">
        <v>22</v>
      </c>
      <c r="Y133" s="3718">
        <v>22</v>
      </c>
      <c r="Z133" s="3718">
        <v>22</v>
      </c>
      <c r="AA133" s="3718">
        <v>22</v>
      </c>
      <c r="AB133" s="3718">
        <v>22</v>
      </c>
      <c r="AC133" s="3718">
        <v>22</v>
      </c>
      <c r="AD133" s="3718">
        <v>22</v>
      </c>
      <c r="AE133" s="3718" t="s">
        <v>35</v>
      </c>
      <c r="AF133" s="3718" t="s">
        <v>35</v>
      </c>
      <c r="AG133" s="3617" t="s">
        <v>35</v>
      </c>
      <c r="AH133" s="76"/>
      <c r="AI133" s="76"/>
    </row>
    <row r="134" spans="1:35" ht="18" customHeight="1">
      <c r="A134" s="3903">
        <v>2</v>
      </c>
      <c r="B134" s="3619" t="s">
        <v>212</v>
      </c>
      <c r="C134" s="3621" t="s">
        <v>35</v>
      </c>
      <c r="D134" s="3621" t="s">
        <v>35</v>
      </c>
      <c r="E134" s="3621" t="s">
        <v>35</v>
      </c>
      <c r="F134" s="3621" t="s">
        <v>35</v>
      </c>
      <c r="G134" s="3720" t="s">
        <v>35</v>
      </c>
      <c r="H134" s="3621"/>
      <c r="I134" s="3621"/>
      <c r="J134" s="3423">
        <v>22</v>
      </c>
      <c r="K134" s="3423">
        <v>22</v>
      </c>
      <c r="L134" s="3423">
        <v>22</v>
      </c>
      <c r="M134" s="3423">
        <v>22</v>
      </c>
      <c r="N134" s="3423">
        <v>22</v>
      </c>
      <c r="O134" s="3423">
        <v>22</v>
      </c>
      <c r="P134" s="3423">
        <v>22</v>
      </c>
      <c r="Q134" s="3423" t="s">
        <v>35</v>
      </c>
      <c r="R134" s="3423" t="s">
        <v>35</v>
      </c>
      <c r="S134" s="3423" t="s">
        <v>35</v>
      </c>
      <c r="T134" s="3423" t="s">
        <v>35</v>
      </c>
      <c r="U134" s="3423" t="s">
        <v>35</v>
      </c>
      <c r="V134" s="3423"/>
      <c r="W134" s="3423"/>
      <c r="X134" s="3423">
        <v>23</v>
      </c>
      <c r="Y134" s="3423">
        <v>23</v>
      </c>
      <c r="Z134" s="3423">
        <v>23</v>
      </c>
      <c r="AA134" s="3423">
        <v>23</v>
      </c>
      <c r="AB134" s="3423">
        <v>23</v>
      </c>
      <c r="AC134" s="3423">
        <v>23</v>
      </c>
      <c r="AD134" s="3423">
        <v>23</v>
      </c>
      <c r="AE134" s="3621" t="s">
        <v>35</v>
      </c>
      <c r="AF134" s="3621" t="s">
        <v>35</v>
      </c>
      <c r="AG134" s="3624" t="s">
        <v>35</v>
      </c>
      <c r="AH134" s="76"/>
      <c r="AI134" s="76"/>
    </row>
    <row r="135" spans="1:35" ht="18" customHeight="1">
      <c r="A135" s="3903">
        <v>3</v>
      </c>
      <c r="B135" s="3619" t="s">
        <v>365</v>
      </c>
      <c r="C135" s="3621" t="s">
        <v>35</v>
      </c>
      <c r="D135" s="3621" t="s">
        <v>35</v>
      </c>
      <c r="E135" s="3430" t="s">
        <v>35</v>
      </c>
      <c r="F135" s="3430" t="s">
        <v>35</v>
      </c>
      <c r="G135" s="3720" t="s">
        <v>35</v>
      </c>
      <c r="H135" s="3621"/>
      <c r="I135" s="3621"/>
      <c r="J135" s="3720">
        <v>23</v>
      </c>
      <c r="K135" s="3621">
        <v>23</v>
      </c>
      <c r="L135" s="3621">
        <v>23</v>
      </c>
      <c r="M135" s="3621">
        <v>23</v>
      </c>
      <c r="N135" s="3621">
        <v>23</v>
      </c>
      <c r="O135" s="3621">
        <v>23</v>
      </c>
      <c r="P135" s="3621">
        <v>23</v>
      </c>
      <c r="Q135" s="3621" t="s">
        <v>35</v>
      </c>
      <c r="R135" s="3621" t="s">
        <v>35</v>
      </c>
      <c r="S135" s="3430" t="s">
        <v>35</v>
      </c>
      <c r="T135" s="3430" t="s">
        <v>35</v>
      </c>
      <c r="U135" s="3720" t="s">
        <v>35</v>
      </c>
      <c r="V135" s="3621"/>
      <c r="W135" s="3621"/>
      <c r="X135" s="3720">
        <v>21</v>
      </c>
      <c r="Y135" s="3621">
        <v>21</v>
      </c>
      <c r="Z135" s="3621">
        <v>21</v>
      </c>
      <c r="AA135" s="3621">
        <v>21</v>
      </c>
      <c r="AB135" s="3621">
        <v>21</v>
      </c>
      <c r="AC135" s="3621">
        <v>21</v>
      </c>
      <c r="AD135" s="3621">
        <v>21</v>
      </c>
      <c r="AE135" s="3621" t="s">
        <v>35</v>
      </c>
      <c r="AF135" s="3621" t="s">
        <v>35</v>
      </c>
      <c r="AG135" s="3624" t="s">
        <v>35</v>
      </c>
      <c r="AH135" s="76"/>
      <c r="AI135" s="76"/>
    </row>
    <row r="136" spans="1:35" ht="18" customHeight="1">
      <c r="A136" s="3903">
        <v>4</v>
      </c>
      <c r="B136" s="3619" t="s">
        <v>366</v>
      </c>
      <c r="C136" s="3720">
        <v>23</v>
      </c>
      <c r="D136" s="3621">
        <v>23</v>
      </c>
      <c r="E136" s="3621">
        <v>23</v>
      </c>
      <c r="F136" s="3621">
        <v>23</v>
      </c>
      <c r="G136" s="3621">
        <v>23</v>
      </c>
      <c r="H136" s="3621">
        <v>23</v>
      </c>
      <c r="I136" s="3621">
        <v>23</v>
      </c>
      <c r="J136" s="3621" t="s">
        <v>35</v>
      </c>
      <c r="K136" s="3621" t="s">
        <v>35</v>
      </c>
      <c r="L136" s="3621" t="s">
        <v>35</v>
      </c>
      <c r="M136" s="3904" t="s">
        <v>35</v>
      </c>
      <c r="N136" s="3720" t="s">
        <v>35</v>
      </c>
      <c r="O136" s="3621"/>
      <c r="P136" s="3621"/>
      <c r="Q136" s="3720">
        <v>21</v>
      </c>
      <c r="R136" s="3621">
        <v>21</v>
      </c>
      <c r="S136" s="3621">
        <v>21</v>
      </c>
      <c r="T136" s="3621">
        <v>21</v>
      </c>
      <c r="U136" s="3621">
        <v>21</v>
      </c>
      <c r="V136" s="3621">
        <v>21</v>
      </c>
      <c r="W136" s="3621">
        <v>21</v>
      </c>
      <c r="X136" s="3621" t="s">
        <v>35</v>
      </c>
      <c r="Y136" s="3621" t="s">
        <v>35</v>
      </c>
      <c r="Z136" s="3621" t="s">
        <v>35</v>
      </c>
      <c r="AA136" s="3621" t="s">
        <v>35</v>
      </c>
      <c r="AB136" s="3720" t="s">
        <v>35</v>
      </c>
      <c r="AC136" s="3621"/>
      <c r="AD136" s="3621"/>
      <c r="AE136" s="3423">
        <v>22</v>
      </c>
      <c r="AF136" s="3423">
        <v>22</v>
      </c>
      <c r="AG136" s="3627">
        <v>22</v>
      </c>
      <c r="AH136" s="76"/>
      <c r="AI136" s="76"/>
    </row>
    <row r="137" spans="1:35" ht="18" customHeight="1">
      <c r="A137" s="3903">
        <v>5</v>
      </c>
      <c r="B137" s="3726" t="s">
        <v>367</v>
      </c>
      <c r="C137" s="3720">
        <v>21</v>
      </c>
      <c r="D137" s="3621">
        <v>21</v>
      </c>
      <c r="E137" s="3621">
        <v>21</v>
      </c>
      <c r="F137" s="3621">
        <v>21</v>
      </c>
      <c r="G137" s="3621">
        <v>21</v>
      </c>
      <c r="H137" s="3621">
        <v>21</v>
      </c>
      <c r="I137" s="3621">
        <v>21</v>
      </c>
      <c r="J137" s="3621" t="s">
        <v>35</v>
      </c>
      <c r="K137" s="3621" t="s">
        <v>35</v>
      </c>
      <c r="L137" s="3621" t="s">
        <v>35</v>
      </c>
      <c r="M137" s="3621" t="s">
        <v>35</v>
      </c>
      <c r="N137" s="3720" t="s">
        <v>35</v>
      </c>
      <c r="O137" s="3621"/>
      <c r="P137" s="3621"/>
      <c r="Q137" s="3429">
        <v>22</v>
      </c>
      <c r="R137" s="3429">
        <v>22</v>
      </c>
      <c r="S137" s="3429">
        <v>22</v>
      </c>
      <c r="T137" s="3429">
        <v>22</v>
      </c>
      <c r="U137" s="3429">
        <v>22</v>
      </c>
      <c r="V137" s="3429">
        <v>22</v>
      </c>
      <c r="W137" s="3429">
        <v>22</v>
      </c>
      <c r="X137" s="3621" t="s">
        <v>35</v>
      </c>
      <c r="Y137" s="3626" t="s">
        <v>244</v>
      </c>
      <c r="Z137" s="3905" t="s">
        <v>35</v>
      </c>
      <c r="AA137" s="3906" t="s">
        <v>35</v>
      </c>
      <c r="AB137" s="3906" t="s">
        <v>35</v>
      </c>
      <c r="AC137" s="3430"/>
      <c r="AD137" s="3621"/>
      <c r="AE137" s="3623">
        <v>23</v>
      </c>
      <c r="AF137" s="3623">
        <v>23</v>
      </c>
      <c r="AG137" s="3724">
        <v>23</v>
      </c>
      <c r="AH137" s="76"/>
      <c r="AI137" s="76"/>
    </row>
    <row r="138" spans="1:35" ht="18" customHeight="1" thickBot="1">
      <c r="A138" s="405">
        <v>6</v>
      </c>
      <c r="B138" s="406" t="s">
        <v>217</v>
      </c>
      <c r="C138" s="408">
        <v>22</v>
      </c>
      <c r="D138" s="418">
        <v>22</v>
      </c>
      <c r="E138" s="418">
        <v>22</v>
      </c>
      <c r="F138" s="409">
        <v>22</v>
      </c>
      <c r="G138" s="409">
        <v>22</v>
      </c>
      <c r="H138" s="409">
        <v>22</v>
      </c>
      <c r="I138" s="409">
        <v>22</v>
      </c>
      <c r="J138" s="409" t="s">
        <v>35</v>
      </c>
      <c r="K138" s="409" t="s">
        <v>35</v>
      </c>
      <c r="L138" s="410" t="s">
        <v>35</v>
      </c>
      <c r="M138" s="410" t="s">
        <v>35</v>
      </c>
      <c r="N138" s="408" t="s">
        <v>35</v>
      </c>
      <c r="O138" s="418"/>
      <c r="P138" s="418"/>
      <c r="Q138" s="408">
        <v>23</v>
      </c>
      <c r="R138" s="418">
        <v>23</v>
      </c>
      <c r="S138" s="418">
        <v>23</v>
      </c>
      <c r="T138" s="418">
        <v>23</v>
      </c>
      <c r="U138" s="418">
        <v>23</v>
      </c>
      <c r="V138" s="418">
        <v>23</v>
      </c>
      <c r="W138" s="418">
        <v>23</v>
      </c>
      <c r="X138" s="418" t="s">
        <v>35</v>
      </c>
      <c r="Y138" s="418" t="s">
        <v>35</v>
      </c>
      <c r="Z138" s="410" t="s">
        <v>35</v>
      </c>
      <c r="AA138" s="410" t="s">
        <v>35</v>
      </c>
      <c r="AB138" s="408" t="s">
        <v>35</v>
      </c>
      <c r="AC138" s="418"/>
      <c r="AD138" s="418"/>
      <c r="AE138" s="426">
        <v>21</v>
      </c>
      <c r="AF138" s="426">
        <v>21</v>
      </c>
      <c r="AG138" s="279">
        <v>21</v>
      </c>
      <c r="AH138" s="76"/>
      <c r="AI138" s="76"/>
    </row>
    <row r="139" spans="1:35" ht="18" customHeight="1">
      <c r="A139" s="36"/>
      <c r="B139" s="87"/>
      <c r="C139" s="91"/>
      <c r="D139" s="91"/>
      <c r="E139" s="85"/>
      <c r="F139" s="91"/>
      <c r="G139" s="91"/>
      <c r="H139" s="91"/>
      <c r="I139" s="91"/>
      <c r="J139" s="91"/>
      <c r="K139" s="91"/>
      <c r="L139" s="91"/>
      <c r="M139" s="91"/>
      <c r="N139" s="91"/>
      <c r="O139" s="91"/>
      <c r="P139" s="85"/>
      <c r="Q139" s="91"/>
      <c r="R139" s="91"/>
      <c r="S139" s="85"/>
      <c r="T139" s="91"/>
      <c r="U139" s="91"/>
      <c r="V139" s="91"/>
      <c r="W139" s="91"/>
      <c r="X139" s="91"/>
      <c r="Y139" s="91"/>
      <c r="Z139" s="91"/>
      <c r="AA139" s="91"/>
      <c r="AB139" s="91"/>
      <c r="AC139" s="92"/>
      <c r="AD139" s="92"/>
      <c r="AE139" s="92"/>
      <c r="AF139" s="91"/>
      <c r="AG139" s="85"/>
      <c r="AH139" s="76"/>
      <c r="AI139" s="76"/>
    </row>
    <row r="140" spans="1:35" ht="18" customHeight="1" thickBot="1">
      <c r="A140" s="14" t="s">
        <v>218</v>
      </c>
      <c r="D140" s="17"/>
      <c r="E140" s="17"/>
      <c r="F140" s="17"/>
      <c r="G140" s="80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  <c r="AG140" s="17"/>
    </row>
    <row r="141" spans="1:35" ht="18" customHeight="1">
      <c r="A141" s="1"/>
      <c r="B141" s="3833" t="s">
        <v>186</v>
      </c>
      <c r="C141" s="3834"/>
      <c r="D141" s="3858" t="s">
        <v>87</v>
      </c>
      <c r="E141" s="3640"/>
      <c r="F141" s="3838"/>
      <c r="G141" s="3834"/>
      <c r="H141" s="3858" t="s">
        <v>88</v>
      </c>
      <c r="I141" s="3640"/>
      <c r="J141" s="3838"/>
      <c r="K141" s="3834"/>
      <c r="L141" s="3858" t="s">
        <v>89</v>
      </c>
      <c r="M141" s="3640"/>
      <c r="N141" s="3838"/>
      <c r="O141" s="3834"/>
      <c r="P141" s="3858" t="s">
        <v>90</v>
      </c>
      <c r="Q141" s="3640"/>
      <c r="R141" s="3838"/>
      <c r="S141" s="3834"/>
      <c r="T141" s="3858" t="s">
        <v>91</v>
      </c>
      <c r="U141" s="3640"/>
      <c r="V141" s="3838"/>
      <c r="W141" s="3834"/>
      <c r="X141" s="3858" t="s">
        <v>92</v>
      </c>
      <c r="Y141" s="3640"/>
      <c r="Z141" s="3838"/>
      <c r="AA141" s="3834"/>
      <c r="AB141" s="3858" t="s">
        <v>93</v>
      </c>
      <c r="AC141" s="3640"/>
      <c r="AD141" s="3640"/>
      <c r="AE141" s="3861" t="s">
        <v>94</v>
      </c>
      <c r="AF141" s="3640"/>
      <c r="AG141" s="3640"/>
      <c r="AH141" s="3640"/>
      <c r="AI141" s="3641"/>
    </row>
    <row r="142" spans="1:35" ht="18" customHeight="1">
      <c r="A142" s="1"/>
      <c r="B142" s="3863" t="s">
        <v>159</v>
      </c>
      <c r="C142" s="3699" t="s">
        <v>368</v>
      </c>
      <c r="D142" s="3568"/>
      <c r="E142" s="3568"/>
      <c r="F142" s="3865"/>
      <c r="G142" s="3699" t="s">
        <v>368</v>
      </c>
      <c r="H142" s="3568"/>
      <c r="I142" s="3568"/>
      <c r="J142" s="3865"/>
      <c r="K142" s="3699" t="s">
        <v>368</v>
      </c>
      <c r="L142" s="3568"/>
      <c r="M142" s="3568"/>
      <c r="N142" s="3865"/>
      <c r="O142" s="3699" t="s">
        <v>195</v>
      </c>
      <c r="P142" s="3568"/>
      <c r="Q142" s="3568"/>
      <c r="R142" s="3865"/>
      <c r="S142" s="3699" t="s">
        <v>172</v>
      </c>
      <c r="T142" s="3568"/>
      <c r="U142" s="3568"/>
      <c r="V142" s="3865"/>
      <c r="W142" s="3907"/>
      <c r="X142" s="3908"/>
      <c r="Y142" s="3908"/>
      <c r="Z142" s="3867"/>
      <c r="AA142" s="3436"/>
      <c r="AB142" s="3568"/>
      <c r="AC142" s="3568"/>
      <c r="AD142" s="3700"/>
      <c r="AE142" s="3868">
        <v>27</v>
      </c>
      <c r="AF142" s="3568"/>
      <c r="AG142" s="3568"/>
      <c r="AH142" s="3700"/>
      <c r="AI142" s="3437"/>
    </row>
    <row r="143" spans="1:35" ht="18" customHeight="1">
      <c r="A143" s="1"/>
      <c r="B143" s="3863" t="s">
        <v>163</v>
      </c>
      <c r="C143" s="3699" t="s">
        <v>188</v>
      </c>
      <c r="D143" s="3568"/>
      <c r="E143" s="3568"/>
      <c r="F143" s="3865"/>
      <c r="G143" s="3699" t="s">
        <v>188</v>
      </c>
      <c r="H143" s="3568"/>
      <c r="I143" s="3568"/>
      <c r="J143" s="3865"/>
      <c r="K143" s="3699" t="s">
        <v>188</v>
      </c>
      <c r="L143" s="3568"/>
      <c r="M143" s="3568"/>
      <c r="N143" s="3865"/>
      <c r="O143" s="3699" t="s">
        <v>188</v>
      </c>
      <c r="P143" s="3568"/>
      <c r="Q143" s="3568"/>
      <c r="R143" s="3865"/>
      <c r="S143" s="3699" t="s">
        <v>368</v>
      </c>
      <c r="T143" s="3568"/>
      <c r="U143" s="3568"/>
      <c r="V143" s="3865"/>
      <c r="W143" s="3699"/>
      <c r="X143" s="3568"/>
      <c r="Y143" s="3568"/>
      <c r="Z143" s="3865"/>
      <c r="AA143" s="3568"/>
      <c r="AB143" s="3568"/>
      <c r="AC143" s="3568"/>
      <c r="AD143" s="3700"/>
      <c r="AE143" s="3868">
        <v>39</v>
      </c>
      <c r="AF143" s="3568"/>
      <c r="AG143" s="3568"/>
      <c r="AH143" s="3700"/>
      <c r="AI143" s="3437"/>
    </row>
    <row r="144" spans="1:35" ht="18" customHeight="1">
      <c r="A144" s="1"/>
      <c r="B144" s="3863" t="s">
        <v>171</v>
      </c>
      <c r="C144" s="3699" t="s">
        <v>188</v>
      </c>
      <c r="D144" s="3568"/>
      <c r="E144" s="3568"/>
      <c r="F144" s="3865"/>
      <c r="G144" s="3699" t="s">
        <v>188</v>
      </c>
      <c r="H144" s="3568"/>
      <c r="I144" s="3568"/>
      <c r="J144" s="3865"/>
      <c r="K144" s="3699" t="s">
        <v>188</v>
      </c>
      <c r="L144" s="3568"/>
      <c r="M144" s="3568"/>
      <c r="N144" s="3865"/>
      <c r="O144" s="3699" t="s">
        <v>188</v>
      </c>
      <c r="P144" s="3568"/>
      <c r="Q144" s="3568"/>
      <c r="R144" s="3865"/>
      <c r="S144" s="3699" t="s">
        <v>188</v>
      </c>
      <c r="T144" s="3568"/>
      <c r="U144" s="3568"/>
      <c r="V144" s="3865"/>
      <c r="W144" s="3702" t="s">
        <v>221</v>
      </c>
      <c r="X144" s="3580"/>
      <c r="Y144" s="3580"/>
      <c r="Z144" s="3872"/>
      <c r="AA144" s="3870"/>
      <c r="AB144" s="3580"/>
      <c r="AC144" s="3580"/>
      <c r="AD144" s="3703"/>
      <c r="AE144" s="3868">
        <v>45</v>
      </c>
      <c r="AF144" s="3568"/>
      <c r="AG144" s="3568"/>
      <c r="AH144" s="3700"/>
      <c r="AI144" s="3437"/>
    </row>
    <row r="145" spans="1:35" ht="18" customHeight="1" thickBot="1">
      <c r="A145" s="1"/>
      <c r="B145" s="3382" t="s">
        <v>173</v>
      </c>
      <c r="C145" s="3898"/>
      <c r="D145" s="3652"/>
      <c r="E145" s="3652"/>
      <c r="F145" s="3900"/>
      <c r="G145" s="3898"/>
      <c r="H145" s="3652"/>
      <c r="I145" s="3652"/>
      <c r="J145" s="3900"/>
      <c r="K145" s="3898"/>
      <c r="L145" s="3652"/>
      <c r="M145" s="3652"/>
      <c r="N145" s="3900"/>
      <c r="O145" s="3898"/>
      <c r="P145" s="3652"/>
      <c r="Q145" s="3652"/>
      <c r="R145" s="3900"/>
      <c r="S145" s="3898"/>
      <c r="T145" s="3652"/>
      <c r="U145" s="3652"/>
      <c r="V145" s="3883"/>
      <c r="W145" s="3898"/>
      <c r="X145" s="3883"/>
      <c r="Y145" s="3652"/>
      <c r="Z145" s="3900"/>
      <c r="AA145" s="3898"/>
      <c r="AB145" s="3883"/>
      <c r="AC145" s="3652"/>
      <c r="AD145" s="3900"/>
      <c r="AE145" s="3909"/>
      <c r="AF145" s="3652"/>
      <c r="AG145" s="3652"/>
      <c r="AH145" s="3883"/>
      <c r="AI145" s="3659"/>
    </row>
    <row r="146" spans="1:35" ht="18" customHeight="1">
      <c r="A146" s="82"/>
      <c r="B146" s="1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  <c r="AG146" s="17"/>
    </row>
    <row r="147" spans="1:35" ht="18" customHeight="1" thickBot="1">
      <c r="A147" s="3711"/>
      <c r="B147" s="3661" t="s">
        <v>29</v>
      </c>
      <c r="C147" s="3411">
        <v>1</v>
      </c>
      <c r="D147" s="3411">
        <v>2</v>
      </c>
      <c r="E147" s="3411">
        <v>3</v>
      </c>
      <c r="F147" s="3411">
        <v>4</v>
      </c>
      <c r="G147" s="3411">
        <v>5</v>
      </c>
      <c r="H147" s="3410">
        <v>6</v>
      </c>
      <c r="I147" s="3410">
        <v>7</v>
      </c>
      <c r="J147" s="3411">
        <v>8</v>
      </c>
      <c r="K147" s="3411">
        <v>9</v>
      </c>
      <c r="L147" s="3411">
        <v>10</v>
      </c>
      <c r="M147" s="3411">
        <v>11</v>
      </c>
      <c r="N147" s="3411">
        <v>12</v>
      </c>
      <c r="O147" s="3410">
        <v>13</v>
      </c>
      <c r="P147" s="3410">
        <v>14</v>
      </c>
      <c r="Q147" s="3411">
        <v>15</v>
      </c>
      <c r="R147" s="3411">
        <v>16</v>
      </c>
      <c r="S147" s="3411">
        <v>17</v>
      </c>
      <c r="T147" s="3411">
        <v>18</v>
      </c>
      <c r="U147" s="3411">
        <v>19</v>
      </c>
      <c r="V147" s="3410">
        <v>20</v>
      </c>
      <c r="W147" s="3410">
        <v>21</v>
      </c>
      <c r="X147" s="3411">
        <v>22</v>
      </c>
      <c r="Y147" s="3411">
        <v>23</v>
      </c>
      <c r="Z147" s="3411">
        <v>24</v>
      </c>
      <c r="AA147" s="3411">
        <v>25</v>
      </c>
      <c r="AB147" s="3411">
        <v>26</v>
      </c>
      <c r="AC147" s="3410">
        <v>27</v>
      </c>
      <c r="AD147" s="3410">
        <v>28</v>
      </c>
      <c r="AE147" s="3411">
        <v>29</v>
      </c>
      <c r="AF147" s="3411">
        <v>30</v>
      </c>
      <c r="AG147" s="3585">
        <v>31</v>
      </c>
      <c r="AH147" s="23"/>
      <c r="AI147" s="24"/>
    </row>
    <row r="148" spans="1:35" ht="18" customHeight="1">
      <c r="A148" s="3885">
        <v>1</v>
      </c>
      <c r="B148" s="3910" t="s">
        <v>223</v>
      </c>
      <c r="C148" s="3911" t="s">
        <v>31</v>
      </c>
      <c r="D148" s="3911" t="s">
        <v>31</v>
      </c>
      <c r="E148" s="3911" t="s">
        <v>31</v>
      </c>
      <c r="F148" s="3589" t="s">
        <v>31</v>
      </c>
      <c r="G148" s="3589" t="s">
        <v>31</v>
      </c>
      <c r="H148" s="3911"/>
      <c r="I148" s="3911"/>
      <c r="J148" s="3911" t="s">
        <v>31</v>
      </c>
      <c r="K148" s="3911" t="s">
        <v>31</v>
      </c>
      <c r="L148" s="3911">
        <v>69</v>
      </c>
      <c r="M148" s="3911" t="s">
        <v>31</v>
      </c>
      <c r="N148" s="3911" t="s">
        <v>31</v>
      </c>
      <c r="O148" s="3911"/>
      <c r="P148" s="3911"/>
      <c r="Q148" s="3912" t="s">
        <v>31</v>
      </c>
      <c r="R148" s="3911">
        <v>79</v>
      </c>
      <c r="S148" s="3911">
        <v>79</v>
      </c>
      <c r="T148" s="3911" t="s">
        <v>31</v>
      </c>
      <c r="U148" s="3911" t="s">
        <v>31</v>
      </c>
      <c r="V148" s="3911"/>
      <c r="W148" s="3911"/>
      <c r="X148" s="3913" t="s">
        <v>31</v>
      </c>
      <c r="Y148" s="3913" t="s">
        <v>31</v>
      </c>
      <c r="Z148" s="3913" t="s">
        <v>31</v>
      </c>
      <c r="AA148" s="3913" t="s">
        <v>31</v>
      </c>
      <c r="AB148" s="3914" t="s">
        <v>304</v>
      </c>
      <c r="AC148" s="3911"/>
      <c r="AD148" s="3911"/>
      <c r="AE148" s="3911" t="s">
        <v>31</v>
      </c>
      <c r="AF148" s="3911" t="s">
        <v>31</v>
      </c>
      <c r="AG148" s="3915" t="s">
        <v>31</v>
      </c>
      <c r="AH148" s="34"/>
      <c r="AI148" s="25"/>
    </row>
    <row r="149" spans="1:35" ht="18" customHeight="1">
      <c r="A149" s="3887">
        <v>2</v>
      </c>
      <c r="B149" s="3916" t="s">
        <v>224</v>
      </c>
      <c r="C149" s="3600" t="s">
        <v>225</v>
      </c>
      <c r="D149" s="3600" t="s">
        <v>225</v>
      </c>
      <c r="E149" s="3600" t="s">
        <v>225</v>
      </c>
      <c r="F149" s="3600" t="s">
        <v>225</v>
      </c>
      <c r="G149" s="3600" t="s">
        <v>35</v>
      </c>
      <c r="H149" s="3600"/>
      <c r="I149" s="3600"/>
      <c r="J149" s="3600" t="s">
        <v>114</v>
      </c>
      <c r="K149" s="3600" t="s">
        <v>114</v>
      </c>
      <c r="L149" s="3600" t="s">
        <v>114</v>
      </c>
      <c r="M149" s="3600" t="s">
        <v>114</v>
      </c>
      <c r="N149" s="3600" t="s">
        <v>114</v>
      </c>
      <c r="O149" s="3600"/>
      <c r="P149" s="3600"/>
      <c r="Q149" s="3600" t="s">
        <v>115</v>
      </c>
      <c r="R149" s="3600" t="s">
        <v>115</v>
      </c>
      <c r="S149" s="3600" t="s">
        <v>115</v>
      </c>
      <c r="T149" s="3600" t="s">
        <v>115</v>
      </c>
      <c r="U149" s="3600" t="s">
        <v>115</v>
      </c>
      <c r="V149" s="3600" t="s">
        <v>115</v>
      </c>
      <c r="W149" s="3600"/>
      <c r="X149" s="3917" t="s">
        <v>225</v>
      </c>
      <c r="Y149" s="3918" t="s">
        <v>225</v>
      </c>
      <c r="Z149" s="3917" t="s">
        <v>225</v>
      </c>
      <c r="AA149" s="3917" t="s">
        <v>225</v>
      </c>
      <c r="AB149" s="3917" t="s">
        <v>35</v>
      </c>
      <c r="AC149" s="3917"/>
      <c r="AD149" s="3917"/>
      <c r="AE149" s="3917" t="s">
        <v>114</v>
      </c>
      <c r="AF149" s="3917" t="s">
        <v>114</v>
      </c>
      <c r="AG149" s="3919" t="s">
        <v>114</v>
      </c>
      <c r="AH149" s="34"/>
      <c r="AI149" s="25"/>
    </row>
    <row r="150" spans="1:35" ht="18" customHeight="1">
      <c r="A150" s="3887">
        <v>3</v>
      </c>
      <c r="B150" s="3916"/>
      <c r="C150" s="3917" t="s">
        <v>114</v>
      </c>
      <c r="D150" s="3917" t="s">
        <v>114</v>
      </c>
      <c r="E150" s="3917" t="s">
        <v>114</v>
      </c>
      <c r="F150" s="3917" t="s">
        <v>114</v>
      </c>
      <c r="G150" s="3917" t="s">
        <v>114</v>
      </c>
      <c r="H150" s="3917"/>
      <c r="I150" s="3917"/>
      <c r="J150" s="3917" t="s">
        <v>115</v>
      </c>
      <c r="K150" s="3917" t="s">
        <v>115</v>
      </c>
      <c r="L150" s="3917" t="s">
        <v>115</v>
      </c>
      <c r="M150" s="3917" t="s">
        <v>115</v>
      </c>
      <c r="N150" s="3917" t="s">
        <v>115</v>
      </c>
      <c r="O150" s="3917" t="s">
        <v>115</v>
      </c>
      <c r="P150" s="3917"/>
      <c r="Q150" s="3917" t="s">
        <v>225</v>
      </c>
      <c r="R150" s="3917" t="s">
        <v>225</v>
      </c>
      <c r="S150" s="3917" t="s">
        <v>225</v>
      </c>
      <c r="T150" s="3917" t="s">
        <v>225</v>
      </c>
      <c r="U150" s="3917" t="s">
        <v>35</v>
      </c>
      <c r="V150" s="3917"/>
      <c r="W150" s="3917"/>
      <c r="X150" s="3917" t="s">
        <v>114</v>
      </c>
      <c r="Y150" s="3917" t="s">
        <v>114</v>
      </c>
      <c r="Z150" s="3917" t="s">
        <v>114</v>
      </c>
      <c r="AA150" s="3917" t="s">
        <v>114</v>
      </c>
      <c r="AB150" s="3917" t="s">
        <v>114</v>
      </c>
      <c r="AC150" s="3917"/>
      <c r="AD150" s="3917"/>
      <c r="AE150" s="3917" t="s">
        <v>115</v>
      </c>
      <c r="AF150" s="3917" t="s">
        <v>115</v>
      </c>
      <c r="AG150" s="3919" t="s">
        <v>115</v>
      </c>
      <c r="AH150" s="34"/>
      <c r="AI150" s="25"/>
    </row>
    <row r="151" spans="1:35" ht="18" customHeight="1">
      <c r="A151" s="3887">
        <v>4</v>
      </c>
      <c r="B151" s="3920" t="s">
        <v>227</v>
      </c>
      <c r="C151" s="3684"/>
      <c r="D151" s="3921" t="s">
        <v>304</v>
      </c>
      <c r="E151" s="3692"/>
      <c r="F151" s="3692"/>
      <c r="G151" s="3922" t="s">
        <v>31</v>
      </c>
      <c r="H151" s="3684" t="s">
        <v>115</v>
      </c>
      <c r="I151" s="3917"/>
      <c r="J151" s="3917"/>
      <c r="K151" s="3917" t="s">
        <v>31</v>
      </c>
      <c r="L151" s="3917" t="s">
        <v>31</v>
      </c>
      <c r="M151" s="3917"/>
      <c r="N151" s="3917" t="s">
        <v>31</v>
      </c>
      <c r="O151" s="3917"/>
      <c r="P151" s="3917"/>
      <c r="Q151" s="3917"/>
      <c r="R151" s="3917" t="s">
        <v>31</v>
      </c>
      <c r="S151" s="3917" t="s">
        <v>31</v>
      </c>
      <c r="T151" s="3917"/>
      <c r="U151" s="3917" t="s">
        <v>31</v>
      </c>
      <c r="V151" s="3917"/>
      <c r="W151" s="3917"/>
      <c r="X151" s="3917"/>
      <c r="Y151" s="3917"/>
      <c r="Z151" s="3684" t="s">
        <v>31</v>
      </c>
      <c r="AA151" s="3917"/>
      <c r="AB151" s="3917" t="s">
        <v>31</v>
      </c>
      <c r="AC151" s="3684" t="s">
        <v>115</v>
      </c>
      <c r="AD151" s="3917"/>
      <c r="AE151" s="3917"/>
      <c r="AF151" s="3917" t="s">
        <v>31</v>
      </c>
      <c r="AG151" s="3919" t="s">
        <v>31</v>
      </c>
      <c r="AH151" s="34"/>
      <c r="AI151" s="25"/>
    </row>
    <row r="152" spans="1:35" ht="18" customHeight="1" thickBot="1">
      <c r="A152" s="3887">
        <v>5</v>
      </c>
      <c r="B152" s="3920" t="s">
        <v>228</v>
      </c>
      <c r="C152" s="3923" t="s">
        <v>31</v>
      </c>
      <c r="D152" s="3917"/>
      <c r="E152" s="3917"/>
      <c r="F152" s="280" t="s">
        <v>304</v>
      </c>
      <c r="G152" s="3692"/>
      <c r="H152" s="3692"/>
      <c r="I152" s="3692"/>
      <c r="J152" s="3692" t="s">
        <v>31</v>
      </c>
      <c r="K152" s="3692"/>
      <c r="L152" s="3692"/>
      <c r="M152" s="3692" t="s">
        <v>31</v>
      </c>
      <c r="N152" s="3692"/>
      <c r="O152" s="3917"/>
      <c r="P152" s="3917"/>
      <c r="Q152" s="3924" t="s">
        <v>31</v>
      </c>
      <c r="R152" s="3924"/>
      <c r="S152" s="3924"/>
      <c r="T152" s="3924" t="s">
        <v>31</v>
      </c>
      <c r="U152" s="3924"/>
      <c r="V152" s="3924"/>
      <c r="W152" s="3924"/>
      <c r="X152" s="3924" t="s">
        <v>31</v>
      </c>
      <c r="Y152" s="3924"/>
      <c r="Z152" s="3924"/>
      <c r="AA152" s="3924" t="s">
        <v>31</v>
      </c>
      <c r="AB152" s="3924"/>
      <c r="AC152" s="3924"/>
      <c r="AD152" s="3924"/>
      <c r="AE152" s="3917" t="s">
        <v>31</v>
      </c>
      <c r="AF152" s="3917"/>
      <c r="AG152" s="3919"/>
      <c r="AH152" s="34"/>
      <c r="AI152" s="25"/>
    </row>
    <row r="153" spans="1:35" ht="18" customHeight="1" thickBot="1">
      <c r="A153" s="3893">
        <v>6</v>
      </c>
      <c r="B153" s="3669" t="s">
        <v>229</v>
      </c>
      <c r="C153" s="3925" t="s">
        <v>31</v>
      </c>
      <c r="D153" s="3925" t="s">
        <v>31</v>
      </c>
      <c r="E153" s="3925" t="s">
        <v>31</v>
      </c>
      <c r="F153" s="3925" t="s">
        <v>31</v>
      </c>
      <c r="G153" s="3685" t="s">
        <v>31</v>
      </c>
      <c r="H153" s="3925"/>
      <c r="I153" s="3925"/>
      <c r="J153" s="3925" t="s">
        <v>31</v>
      </c>
      <c r="K153" s="3925" t="s">
        <v>31</v>
      </c>
      <c r="L153" s="3925" t="s">
        <v>31</v>
      </c>
      <c r="M153" s="3925" t="s">
        <v>31</v>
      </c>
      <c r="N153" s="3925" t="s">
        <v>31</v>
      </c>
      <c r="O153" s="3925"/>
      <c r="P153" s="3925"/>
      <c r="Q153" s="3688" t="s">
        <v>31</v>
      </c>
      <c r="R153" s="3688" t="s">
        <v>31</v>
      </c>
      <c r="S153" s="3688" t="s">
        <v>31</v>
      </c>
      <c r="T153" s="3688" t="s">
        <v>31</v>
      </c>
      <c r="U153" s="3688" t="s">
        <v>31</v>
      </c>
      <c r="V153" s="3688"/>
      <c r="W153" s="3688"/>
      <c r="X153" s="3688" t="s">
        <v>31</v>
      </c>
      <c r="Y153" s="3688" t="s">
        <v>31</v>
      </c>
      <c r="Z153" s="3688" t="s">
        <v>31</v>
      </c>
      <c r="AA153" s="3688" t="s">
        <v>31</v>
      </c>
      <c r="AB153" s="3688" t="s">
        <v>31</v>
      </c>
      <c r="AC153" s="3688"/>
      <c r="AD153" s="3688"/>
      <c r="AE153" s="3688" t="s">
        <v>31</v>
      </c>
      <c r="AF153" s="3688" t="s">
        <v>31</v>
      </c>
      <c r="AG153" s="3926" t="s">
        <v>31</v>
      </c>
      <c r="AH153" s="93"/>
      <c r="AI153" s="76"/>
    </row>
    <row r="154" spans="1:35" ht="18" customHeight="1">
      <c r="A154" s="36"/>
      <c r="B154" s="87"/>
      <c r="C154" s="133"/>
      <c r="D154" s="133"/>
      <c r="E154" s="133"/>
      <c r="F154" s="133"/>
      <c r="G154" s="133"/>
      <c r="H154" s="133"/>
      <c r="I154" s="133"/>
      <c r="J154" s="133"/>
      <c r="K154" s="133"/>
      <c r="L154" s="133"/>
      <c r="M154" s="133"/>
      <c r="N154" s="133"/>
      <c r="O154" s="133"/>
      <c r="P154" s="133"/>
      <c r="Q154" s="133"/>
      <c r="R154" s="133"/>
      <c r="S154" s="133"/>
      <c r="T154" s="133"/>
      <c r="U154" s="133"/>
      <c r="V154" s="133"/>
      <c r="W154" s="133"/>
      <c r="X154" s="133"/>
      <c r="Y154" s="133"/>
      <c r="Z154" s="133"/>
      <c r="AA154" s="133"/>
      <c r="AB154" s="133"/>
      <c r="AC154" s="133"/>
      <c r="AD154" s="78"/>
      <c r="AE154" s="78"/>
      <c r="AF154" s="78"/>
      <c r="AG154" s="78"/>
      <c r="AH154" s="76"/>
      <c r="AI154" s="76"/>
    </row>
    <row r="155" spans="1:35" ht="18" customHeight="1" thickBot="1">
      <c r="A155" s="94" t="s">
        <v>230</v>
      </c>
      <c r="B155" s="17"/>
      <c r="C155" s="38" t="s">
        <v>96</v>
      </c>
      <c r="D155" s="17"/>
      <c r="E155" s="17"/>
      <c r="F155" s="38" t="s">
        <v>96</v>
      </c>
      <c r="G155" s="17"/>
      <c r="H155" s="17"/>
      <c r="I155" s="38" t="s">
        <v>96</v>
      </c>
      <c r="J155" s="38"/>
      <c r="K155" s="17"/>
      <c r="L155" s="38" t="s">
        <v>96</v>
      </c>
      <c r="M155" s="17"/>
      <c r="N155" s="17"/>
      <c r="O155" s="38" t="s">
        <v>96</v>
      </c>
      <c r="P155" s="17"/>
      <c r="Q155" s="38"/>
      <c r="R155" s="38" t="s">
        <v>96</v>
      </c>
      <c r="S155" s="17"/>
      <c r="T155" s="17"/>
      <c r="U155" s="38" t="s">
        <v>96</v>
      </c>
      <c r="V155" s="17"/>
      <c r="W155" s="38"/>
      <c r="X155" s="38"/>
      <c r="Y155" s="17"/>
      <c r="Z155" s="17"/>
      <c r="AA155" s="17"/>
      <c r="AB155" s="17"/>
      <c r="AC155" s="17"/>
      <c r="AD155" s="17"/>
      <c r="AE155" s="38"/>
      <c r="AF155" s="17"/>
      <c r="AG155" s="17"/>
      <c r="AH155" s="76"/>
      <c r="AI155" s="76"/>
    </row>
    <row r="156" spans="1:35" ht="18" customHeight="1">
      <c r="A156" s="36"/>
      <c r="B156" s="3927" t="s">
        <v>231</v>
      </c>
      <c r="C156" s="3928"/>
      <c r="D156" s="3929" t="s">
        <v>87</v>
      </c>
      <c r="E156" s="3930"/>
      <c r="F156" s="3931"/>
      <c r="G156" s="3932"/>
      <c r="H156" s="3929" t="s">
        <v>88</v>
      </c>
      <c r="I156" s="3930"/>
      <c r="J156" s="3931"/>
      <c r="K156" s="3932"/>
      <c r="L156" s="3929" t="s">
        <v>89</v>
      </c>
      <c r="M156" s="3930"/>
      <c r="N156" s="3931"/>
      <c r="O156" s="3932"/>
      <c r="P156" s="3929" t="s">
        <v>90</v>
      </c>
      <c r="Q156" s="3930"/>
      <c r="R156" s="3931"/>
      <c r="S156" s="3932"/>
      <c r="T156" s="3929" t="s">
        <v>91</v>
      </c>
      <c r="U156" s="3930"/>
      <c r="V156" s="3931"/>
      <c r="W156" s="3932"/>
      <c r="X156" s="3929" t="s">
        <v>92</v>
      </c>
      <c r="Y156" s="3930"/>
      <c r="Z156" s="3931"/>
      <c r="AA156" s="3932"/>
      <c r="AB156" s="3929" t="s">
        <v>93</v>
      </c>
      <c r="AC156" s="3930"/>
      <c r="AD156" s="3930"/>
      <c r="AE156" s="3933" t="s">
        <v>94</v>
      </c>
      <c r="AF156" s="3930"/>
      <c r="AG156" s="3930"/>
      <c r="AH156" s="3930"/>
      <c r="AI156" s="3934"/>
    </row>
    <row r="157" spans="1:35" ht="18" customHeight="1">
      <c r="A157" s="36"/>
      <c r="B157" s="3935" t="s">
        <v>232</v>
      </c>
      <c r="C157" s="3936" t="s">
        <v>233</v>
      </c>
      <c r="D157" s="3176" t="s">
        <v>369</v>
      </c>
      <c r="E157" s="3177"/>
      <c r="F157" s="3178"/>
      <c r="G157" s="3936"/>
      <c r="H157" s="3176" t="s">
        <v>369</v>
      </c>
      <c r="I157" s="3177"/>
      <c r="J157" s="3178"/>
      <c r="K157" s="3936"/>
      <c r="L157" s="3176" t="s">
        <v>369</v>
      </c>
      <c r="M157" s="3177"/>
      <c r="N157" s="3178"/>
      <c r="O157" s="3936"/>
      <c r="P157" s="3176" t="s">
        <v>370</v>
      </c>
      <c r="Q157" s="3177"/>
      <c r="R157" s="3178"/>
      <c r="S157" s="3936"/>
      <c r="T157" s="3176" t="s">
        <v>236</v>
      </c>
      <c r="U157" s="3177"/>
      <c r="V157" s="3178"/>
      <c r="W157" s="3936"/>
      <c r="X157" s="3177"/>
      <c r="Y157" s="3177"/>
      <c r="Z157" s="3178"/>
      <c r="AA157" s="3936"/>
      <c r="AB157" s="3177"/>
      <c r="AC157" s="3177"/>
      <c r="AD157" s="3177"/>
      <c r="AE157" s="3936"/>
      <c r="AF157" s="3177"/>
      <c r="AG157" s="3177"/>
      <c r="AH157" s="3179"/>
      <c r="AI157" s="3937"/>
    </row>
    <row r="158" spans="1:35" ht="18" customHeight="1">
      <c r="A158" s="36"/>
      <c r="B158" s="3938" t="s">
        <v>371</v>
      </c>
      <c r="C158" s="3936" t="s">
        <v>237</v>
      </c>
      <c r="D158" s="3176" t="s">
        <v>369</v>
      </c>
      <c r="E158" s="3177"/>
      <c r="F158" s="3178"/>
      <c r="G158" s="3936"/>
      <c r="H158" s="3176" t="s">
        <v>369</v>
      </c>
      <c r="I158" s="3177"/>
      <c r="J158" s="3178"/>
      <c r="K158" s="3936"/>
      <c r="L158" s="3176" t="s">
        <v>369</v>
      </c>
      <c r="M158" s="3177"/>
      <c r="N158" s="3178"/>
      <c r="O158" s="3936"/>
      <c r="P158" s="3176" t="s">
        <v>370</v>
      </c>
      <c r="Q158" s="3177"/>
      <c r="R158" s="3178"/>
      <c r="S158" s="3936"/>
      <c r="T158" s="3176" t="s">
        <v>236</v>
      </c>
      <c r="U158" s="3177"/>
      <c r="V158" s="3178"/>
      <c r="W158" s="3936"/>
      <c r="X158" s="3177"/>
      <c r="Y158" s="3177"/>
      <c r="Z158" s="3178"/>
      <c r="AA158" s="3936"/>
      <c r="AB158" s="3177"/>
      <c r="AC158" s="3177"/>
      <c r="AD158" s="3177"/>
      <c r="AE158" s="3936"/>
      <c r="AF158" s="3177"/>
      <c r="AG158" s="3177"/>
      <c r="AH158" s="3179"/>
      <c r="AI158" s="3937"/>
    </row>
    <row r="159" spans="1:35" ht="18" customHeight="1">
      <c r="A159" s="36"/>
      <c r="B159" s="3938" t="s">
        <v>238</v>
      </c>
      <c r="C159" s="3936" t="s">
        <v>201</v>
      </c>
      <c r="D159" s="3176" t="s">
        <v>369</v>
      </c>
      <c r="E159" s="3177"/>
      <c r="F159" s="3178"/>
      <c r="G159" s="3936"/>
      <c r="H159" s="3176" t="s">
        <v>369</v>
      </c>
      <c r="I159" s="3177"/>
      <c r="J159" s="3178"/>
      <c r="K159" s="3936"/>
      <c r="L159" s="3176" t="s">
        <v>369</v>
      </c>
      <c r="M159" s="3177"/>
      <c r="N159" s="3178"/>
      <c r="O159" s="3936"/>
      <c r="P159" s="3176" t="s">
        <v>370</v>
      </c>
      <c r="Q159" s="3177"/>
      <c r="R159" s="3178"/>
      <c r="S159" s="3936"/>
      <c r="T159" s="3176" t="s">
        <v>236</v>
      </c>
      <c r="U159" s="3177"/>
      <c r="V159" s="3178"/>
      <c r="W159" s="3936"/>
      <c r="X159" s="3177"/>
      <c r="Y159" s="3177"/>
      <c r="Z159" s="3178"/>
      <c r="AA159" s="3936"/>
      <c r="AB159" s="3177"/>
      <c r="AC159" s="3177"/>
      <c r="AD159" s="3177"/>
      <c r="AE159" s="3936"/>
      <c r="AF159" s="3177"/>
      <c r="AG159" s="3177"/>
      <c r="AH159" s="3179"/>
      <c r="AI159" s="3937"/>
    </row>
    <row r="160" spans="1:35" ht="18" customHeight="1">
      <c r="A160" s="36"/>
      <c r="B160" s="3938" t="s">
        <v>239</v>
      </c>
      <c r="C160" s="3936" t="s">
        <v>121</v>
      </c>
      <c r="D160" s="3176" t="s">
        <v>369</v>
      </c>
      <c r="E160" s="3177"/>
      <c r="F160" s="3178"/>
      <c r="G160" s="3936"/>
      <c r="H160" s="3176" t="s">
        <v>369</v>
      </c>
      <c r="I160" s="3177"/>
      <c r="J160" s="3178"/>
      <c r="K160" s="3936"/>
      <c r="L160" s="3176" t="s">
        <v>369</v>
      </c>
      <c r="M160" s="3177"/>
      <c r="N160" s="3178"/>
      <c r="O160" s="3936"/>
      <c r="P160" s="3176" t="s">
        <v>370</v>
      </c>
      <c r="Q160" s="3177"/>
      <c r="R160" s="3178"/>
      <c r="S160" s="3936"/>
      <c r="T160" s="3176" t="s">
        <v>236</v>
      </c>
      <c r="U160" s="3177"/>
      <c r="V160" s="3178"/>
      <c r="W160" s="3936"/>
      <c r="X160" s="3177"/>
      <c r="Y160" s="3177"/>
      <c r="Z160" s="3178"/>
      <c r="AA160" s="3936"/>
      <c r="AB160" s="3177"/>
      <c r="AC160" s="3177"/>
      <c r="AD160" s="3177"/>
      <c r="AE160" s="3936"/>
      <c r="AF160" s="3177"/>
      <c r="AG160" s="3177"/>
      <c r="AH160" s="3179"/>
      <c r="AI160" s="3937"/>
    </row>
    <row r="161" spans="1:35" ht="18" customHeight="1">
      <c r="A161" s="36"/>
      <c r="B161" s="3938" t="s">
        <v>243</v>
      </c>
      <c r="C161" s="3936" t="s">
        <v>244</v>
      </c>
      <c r="D161" s="3176" t="s">
        <v>369</v>
      </c>
      <c r="E161" s="3177"/>
      <c r="F161" s="3178"/>
      <c r="G161" s="3936"/>
      <c r="H161" s="3176" t="s">
        <v>369</v>
      </c>
      <c r="I161" s="3177"/>
      <c r="J161" s="3178"/>
      <c r="K161" s="3936"/>
      <c r="L161" s="3176" t="s">
        <v>369</v>
      </c>
      <c r="M161" s="3177"/>
      <c r="N161" s="3178"/>
      <c r="O161" s="3936"/>
      <c r="P161" s="3176" t="s">
        <v>370</v>
      </c>
      <c r="Q161" s="3177"/>
      <c r="R161" s="3178"/>
      <c r="S161" s="3936"/>
      <c r="T161" s="3180" t="s">
        <v>242</v>
      </c>
      <c r="U161" s="3177"/>
      <c r="V161" s="3178"/>
      <c r="W161" s="3936"/>
      <c r="X161" s="3177"/>
      <c r="Y161" s="3177"/>
      <c r="Z161" s="3178"/>
      <c r="AA161" s="3936"/>
      <c r="AB161" s="3177"/>
      <c r="AC161" s="3177"/>
      <c r="AD161" s="3177"/>
      <c r="AE161" s="3936"/>
      <c r="AF161" s="3177"/>
      <c r="AG161" s="3177"/>
      <c r="AH161" s="3179"/>
      <c r="AI161" s="3937"/>
    </row>
    <row r="162" spans="1:35" ht="18" customHeight="1">
      <c r="A162" s="36"/>
      <c r="B162" s="3938" t="s">
        <v>248</v>
      </c>
      <c r="C162" s="3936" t="s">
        <v>128</v>
      </c>
      <c r="D162" s="3176" t="s">
        <v>234</v>
      </c>
      <c r="E162" s="3177"/>
      <c r="F162" s="3178"/>
      <c r="G162" s="3936"/>
      <c r="H162" s="3180" t="s">
        <v>234</v>
      </c>
      <c r="I162" s="3177"/>
      <c r="J162" s="3178"/>
      <c r="K162" s="3936"/>
      <c r="L162" s="3180" t="s">
        <v>234</v>
      </c>
      <c r="M162" s="3177"/>
      <c r="N162" s="3178"/>
      <c r="O162" s="3936"/>
      <c r="P162" s="3180" t="s">
        <v>234</v>
      </c>
      <c r="Q162" s="3177"/>
      <c r="R162" s="3178"/>
      <c r="S162" s="3936"/>
      <c r="T162" s="3180" t="s">
        <v>245</v>
      </c>
      <c r="U162" s="3177"/>
      <c r="V162" s="3178"/>
      <c r="W162" s="3936"/>
      <c r="X162" s="3177"/>
      <c r="Y162" s="3177"/>
      <c r="Z162" s="3178"/>
      <c r="AA162" s="3936"/>
      <c r="AB162" s="3177"/>
      <c r="AC162" s="3177"/>
      <c r="AD162" s="3177"/>
      <c r="AE162" s="3936"/>
      <c r="AF162" s="3177"/>
      <c r="AG162" s="3177"/>
      <c r="AH162" s="3179"/>
      <c r="AI162" s="3937"/>
    </row>
    <row r="163" spans="1:35" ht="18" customHeight="1">
      <c r="A163" s="36"/>
      <c r="B163" s="3938" t="s">
        <v>249</v>
      </c>
      <c r="C163" s="3936" t="s">
        <v>250</v>
      </c>
      <c r="D163" s="3176" t="s">
        <v>369</v>
      </c>
      <c r="E163" s="3177"/>
      <c r="F163" s="3178"/>
      <c r="G163" s="3936"/>
      <c r="H163" s="3176" t="s">
        <v>369</v>
      </c>
      <c r="I163" s="3177"/>
      <c r="J163" s="3178"/>
      <c r="K163" s="3936"/>
      <c r="L163" s="3176" t="s">
        <v>369</v>
      </c>
      <c r="M163" s="3177"/>
      <c r="N163" s="3178"/>
      <c r="O163" s="3936"/>
      <c r="P163" s="3176" t="s">
        <v>370</v>
      </c>
      <c r="Q163" s="3177"/>
      <c r="R163" s="3178"/>
      <c r="S163" s="3936"/>
      <c r="T163" s="3176" t="s">
        <v>236</v>
      </c>
      <c r="U163" s="3177"/>
      <c r="V163" s="3178"/>
      <c r="W163" s="3936"/>
      <c r="X163" s="3177"/>
      <c r="Y163" s="3177"/>
      <c r="Z163" s="3178"/>
      <c r="AA163" s="3936"/>
      <c r="AB163" s="3177"/>
      <c r="AC163" s="3177"/>
      <c r="AD163" s="3177"/>
      <c r="AE163" s="3936"/>
      <c r="AF163" s="3177"/>
      <c r="AG163" s="3177"/>
      <c r="AH163" s="3179"/>
      <c r="AI163" s="3937"/>
    </row>
    <row r="164" spans="1:35" ht="18" customHeight="1">
      <c r="A164" s="36"/>
      <c r="B164" s="3938" t="s">
        <v>249</v>
      </c>
      <c r="C164" s="3936" t="s">
        <v>251</v>
      </c>
      <c r="D164" s="3176" t="s">
        <v>369</v>
      </c>
      <c r="E164" s="3177"/>
      <c r="F164" s="3178"/>
      <c r="G164" s="3936"/>
      <c r="H164" s="3176" t="s">
        <v>369</v>
      </c>
      <c r="I164" s="3177"/>
      <c r="J164" s="3178"/>
      <c r="K164" s="3936"/>
      <c r="L164" s="3176" t="s">
        <v>369</v>
      </c>
      <c r="M164" s="3177"/>
      <c r="N164" s="3178"/>
      <c r="O164" s="3936"/>
      <c r="P164" s="3176" t="s">
        <v>370</v>
      </c>
      <c r="Q164" s="3177"/>
      <c r="R164" s="3178"/>
      <c r="S164" s="3936"/>
      <c r="T164" s="3176" t="s">
        <v>236</v>
      </c>
      <c r="U164" s="3177"/>
      <c r="V164" s="3178"/>
      <c r="W164" s="3936"/>
      <c r="X164" s="3177"/>
      <c r="Y164" s="3177"/>
      <c r="Z164" s="3178"/>
      <c r="AA164" s="3936"/>
      <c r="AB164" s="3177"/>
      <c r="AC164" s="3177"/>
      <c r="AD164" s="3177"/>
      <c r="AE164" s="3936"/>
      <c r="AF164" s="3177"/>
      <c r="AG164" s="3177"/>
      <c r="AH164" s="3179"/>
      <c r="AI164" s="3937"/>
    </row>
    <row r="165" spans="1:35" ht="18" customHeight="1">
      <c r="A165" s="36"/>
      <c r="B165" s="3938" t="s">
        <v>252</v>
      </c>
      <c r="C165" s="3936" t="s">
        <v>253</v>
      </c>
      <c r="D165" s="3176" t="s">
        <v>369</v>
      </c>
      <c r="E165" s="3177"/>
      <c r="F165" s="3178"/>
      <c r="G165" s="3936"/>
      <c r="H165" s="3176" t="s">
        <v>369</v>
      </c>
      <c r="I165" s="3177"/>
      <c r="J165" s="3178"/>
      <c r="K165" s="3936"/>
      <c r="L165" s="3176" t="s">
        <v>369</v>
      </c>
      <c r="M165" s="3177"/>
      <c r="N165" s="3178"/>
      <c r="O165" s="3936"/>
      <c r="P165" s="3176" t="s">
        <v>370</v>
      </c>
      <c r="Q165" s="3177"/>
      <c r="R165" s="3178"/>
      <c r="S165" s="3936"/>
      <c r="T165" s="3176" t="s">
        <v>236</v>
      </c>
      <c r="U165" s="3177"/>
      <c r="V165" s="3178"/>
      <c r="W165" s="3936"/>
      <c r="X165" s="3177"/>
      <c r="Y165" s="3177"/>
      <c r="Z165" s="3178"/>
      <c r="AA165" s="3936"/>
      <c r="AB165" s="3177"/>
      <c r="AC165" s="3177"/>
      <c r="AD165" s="3177"/>
      <c r="AE165" s="3936"/>
      <c r="AF165" s="3177"/>
      <c r="AG165" s="3177"/>
      <c r="AH165" s="3179"/>
      <c r="AI165" s="3937"/>
    </row>
    <row r="166" spans="1:35" ht="18" customHeight="1">
      <c r="A166" s="36"/>
      <c r="B166" s="3181" t="s">
        <v>255</v>
      </c>
      <c r="C166" s="1632" t="s">
        <v>123</v>
      </c>
      <c r="D166" s="419" t="s">
        <v>369</v>
      </c>
      <c r="E166" s="420"/>
      <c r="F166" s="1633"/>
      <c r="G166" s="1632"/>
      <c r="H166" s="419" t="s">
        <v>369</v>
      </c>
      <c r="I166" s="420"/>
      <c r="J166" s="1633"/>
      <c r="K166" s="1632"/>
      <c r="L166" s="419" t="s">
        <v>369</v>
      </c>
      <c r="M166" s="420"/>
      <c r="N166" s="1633"/>
      <c r="O166" s="1632"/>
      <c r="P166" s="419" t="s">
        <v>370</v>
      </c>
      <c r="Q166" s="420"/>
      <c r="R166" s="1633"/>
      <c r="S166" s="1632"/>
      <c r="T166" s="419" t="s">
        <v>236</v>
      </c>
      <c r="U166" s="420"/>
      <c r="V166" s="1633"/>
      <c r="W166" s="1632"/>
      <c r="X166" s="420"/>
      <c r="Y166" s="420"/>
      <c r="Z166" s="1633"/>
      <c r="AA166" s="1632"/>
      <c r="AB166" s="420"/>
      <c r="AC166" s="420"/>
      <c r="AD166" s="420"/>
      <c r="AE166" s="1632"/>
      <c r="AF166" s="420"/>
      <c r="AG166" s="420"/>
      <c r="AH166" s="421"/>
      <c r="AI166" s="1634"/>
    </row>
    <row r="167" spans="1:35" ht="18" customHeight="1">
      <c r="A167" s="36"/>
      <c r="B167" s="3938" t="s">
        <v>256</v>
      </c>
      <c r="C167" s="3936" t="s">
        <v>146</v>
      </c>
      <c r="D167" s="3176" t="s">
        <v>369</v>
      </c>
      <c r="E167" s="3177"/>
      <c r="F167" s="3178"/>
      <c r="G167" s="3936"/>
      <c r="H167" s="3176" t="s">
        <v>369</v>
      </c>
      <c r="I167" s="3177"/>
      <c r="J167" s="3178"/>
      <c r="K167" s="3936"/>
      <c r="L167" s="3176" t="s">
        <v>369</v>
      </c>
      <c r="M167" s="3177"/>
      <c r="N167" s="3177"/>
      <c r="O167" s="3936"/>
      <c r="P167" s="3176" t="s">
        <v>370</v>
      </c>
      <c r="Q167" s="3177"/>
      <c r="R167" s="3177"/>
      <c r="S167" s="3936"/>
      <c r="T167" s="3176" t="s">
        <v>236</v>
      </c>
      <c r="U167" s="3177"/>
      <c r="V167" s="3177"/>
      <c r="W167" s="3936"/>
      <c r="X167" s="3177"/>
      <c r="Y167" s="3177"/>
      <c r="Z167" s="3177"/>
      <c r="AA167" s="3936"/>
      <c r="AB167" s="3177"/>
      <c r="AC167" s="3177"/>
      <c r="AD167" s="3177"/>
      <c r="AE167" s="3936"/>
      <c r="AF167" s="3177"/>
      <c r="AG167" s="3177"/>
      <c r="AH167" s="3179"/>
      <c r="AI167" s="3937"/>
    </row>
    <row r="168" spans="1:35" ht="18" customHeight="1">
      <c r="A168" s="36"/>
      <c r="B168" s="3938" t="s">
        <v>257</v>
      </c>
      <c r="C168" s="3939" t="s">
        <v>136</v>
      </c>
      <c r="D168" s="3176" t="s">
        <v>369</v>
      </c>
      <c r="E168" s="3177"/>
      <c r="F168" s="3178"/>
      <c r="G168" s="3936"/>
      <c r="H168" s="3176" t="s">
        <v>369</v>
      </c>
      <c r="I168" s="3177"/>
      <c r="J168" s="3178"/>
      <c r="K168" s="3936"/>
      <c r="L168" s="3176" t="s">
        <v>369</v>
      </c>
      <c r="M168" s="3177"/>
      <c r="N168" s="3177"/>
      <c r="O168" s="3936"/>
      <c r="P168" s="3176" t="s">
        <v>370</v>
      </c>
      <c r="Q168" s="3177"/>
      <c r="R168" s="3177"/>
      <c r="S168" s="3936"/>
      <c r="T168" s="3176" t="s">
        <v>236</v>
      </c>
      <c r="U168" s="3177"/>
      <c r="V168" s="3177"/>
      <c r="W168" s="3940"/>
      <c r="X168" s="3177"/>
      <c r="Y168" s="3177"/>
      <c r="Z168" s="3177"/>
      <c r="AA168" s="3936"/>
      <c r="AB168" s="3177"/>
      <c r="AC168" s="3177"/>
      <c r="AD168" s="3177"/>
      <c r="AE168" s="3936"/>
      <c r="AF168" s="3177"/>
      <c r="AG168" s="3177"/>
      <c r="AH168" s="3179"/>
      <c r="AI168" s="3937"/>
    </row>
    <row r="169" spans="1:35" ht="18" customHeight="1" thickBot="1">
      <c r="A169" s="36"/>
      <c r="B169" s="95" t="s">
        <v>259</v>
      </c>
      <c r="C169" s="3941" t="s">
        <v>112</v>
      </c>
      <c r="D169" s="3942" t="s">
        <v>369</v>
      </c>
      <c r="E169" s="3943"/>
      <c r="F169" s="3944"/>
      <c r="G169" s="3945"/>
      <c r="H169" s="3942" t="s">
        <v>369</v>
      </c>
      <c r="I169" s="3943"/>
      <c r="J169" s="3944"/>
      <c r="K169" s="3945"/>
      <c r="L169" s="3942" t="s">
        <v>369</v>
      </c>
      <c r="M169" s="3943"/>
      <c r="N169" s="3943"/>
      <c r="O169" s="3945"/>
      <c r="P169" s="3441" t="s">
        <v>372</v>
      </c>
      <c r="Q169" s="3943"/>
      <c r="R169" s="3943"/>
      <c r="S169" s="3945"/>
      <c r="T169" s="3441" t="s">
        <v>242</v>
      </c>
      <c r="U169" s="3943"/>
      <c r="V169" s="3943"/>
      <c r="W169" s="3946"/>
      <c r="X169" s="3943"/>
      <c r="Y169" s="3943"/>
      <c r="Z169" s="3944"/>
      <c r="AA169" s="3405"/>
      <c r="AB169" s="3406"/>
      <c r="AC169" s="3406"/>
      <c r="AD169" s="3406"/>
      <c r="AE169" s="3945"/>
      <c r="AF169" s="3406"/>
      <c r="AG169" s="3406"/>
      <c r="AH169" s="3407"/>
      <c r="AI169" s="3408"/>
    </row>
    <row r="170" spans="1:35" ht="18" customHeight="1" thickBot="1">
      <c r="A170" s="36"/>
      <c r="B170" s="95" t="s">
        <v>468</v>
      </c>
      <c r="C170" s="3941" t="s">
        <v>127</v>
      </c>
      <c r="D170" s="3441" t="s">
        <v>469</v>
      </c>
      <c r="E170" s="3943"/>
      <c r="F170" s="3944"/>
      <c r="G170" s="3945"/>
      <c r="H170" s="3441" t="s">
        <v>469</v>
      </c>
      <c r="I170" s="3943"/>
      <c r="J170" s="3943"/>
      <c r="K170" s="3943"/>
      <c r="L170" s="3441" t="s">
        <v>469</v>
      </c>
      <c r="M170" s="3943"/>
      <c r="N170" s="3943"/>
      <c r="O170" s="3943"/>
      <c r="P170" s="3441" t="s">
        <v>469</v>
      </c>
      <c r="Q170" s="3943"/>
      <c r="R170" s="3943"/>
      <c r="S170" s="3943"/>
      <c r="T170" s="3441" t="s">
        <v>469</v>
      </c>
      <c r="U170" s="3943"/>
      <c r="V170" s="3943"/>
      <c r="W170" s="3946"/>
      <c r="X170" s="3943"/>
      <c r="Y170" s="3943"/>
      <c r="Z170" s="3944"/>
      <c r="AA170" s="3405"/>
      <c r="AB170" s="3406"/>
      <c r="AC170" s="3406"/>
      <c r="AD170" s="3406"/>
      <c r="AE170" s="3945"/>
      <c r="AF170" s="3406"/>
      <c r="AG170" s="3406"/>
      <c r="AH170" s="3407"/>
      <c r="AI170" s="3408"/>
    </row>
    <row r="171" spans="1:35" ht="18" customHeight="1" thickBot="1">
      <c r="A171" s="96"/>
      <c r="B171" s="1644" t="s">
        <v>29</v>
      </c>
      <c r="C171" s="3411">
        <v>1</v>
      </c>
      <c r="D171" s="3411">
        <v>2</v>
      </c>
      <c r="E171" s="3411">
        <v>3</v>
      </c>
      <c r="F171" s="3411">
        <v>4</v>
      </c>
      <c r="G171" s="3411">
        <v>5</v>
      </c>
      <c r="H171" s="3410">
        <v>6</v>
      </c>
      <c r="I171" s="3410">
        <v>7</v>
      </c>
      <c r="J171" s="3411">
        <v>8</v>
      </c>
      <c r="K171" s="3411">
        <v>9</v>
      </c>
      <c r="L171" s="3411">
        <v>10</v>
      </c>
      <c r="M171" s="3411">
        <v>11</v>
      </c>
      <c r="N171" s="3411">
        <v>12</v>
      </c>
      <c r="O171" s="3410">
        <v>13</v>
      </c>
      <c r="P171" s="3410">
        <v>14</v>
      </c>
      <c r="Q171" s="3411">
        <v>15</v>
      </c>
      <c r="R171" s="3411">
        <v>16</v>
      </c>
      <c r="S171" s="3411">
        <v>17</v>
      </c>
      <c r="T171" s="3411">
        <v>18</v>
      </c>
      <c r="U171" s="3411">
        <v>19</v>
      </c>
      <c r="V171" s="3410">
        <v>20</v>
      </c>
      <c r="W171" s="3410">
        <v>21</v>
      </c>
      <c r="X171" s="3411">
        <v>22</v>
      </c>
      <c r="Y171" s="3411">
        <v>23</v>
      </c>
      <c r="Z171" s="3411">
        <v>24</v>
      </c>
      <c r="AA171" s="3411">
        <v>25</v>
      </c>
      <c r="AB171" s="3411">
        <v>26</v>
      </c>
      <c r="AC171" s="3410">
        <v>27</v>
      </c>
      <c r="AD171" s="3410">
        <v>28</v>
      </c>
      <c r="AE171" s="3411">
        <v>29</v>
      </c>
      <c r="AF171" s="3411">
        <v>30</v>
      </c>
      <c r="AG171" s="3585">
        <v>31</v>
      </c>
      <c r="AH171" s="97"/>
      <c r="AI171" s="24"/>
    </row>
    <row r="172" spans="1:35" ht="18" customHeight="1">
      <c r="A172" s="36"/>
      <c r="B172" s="3947" t="s">
        <v>262</v>
      </c>
      <c r="C172" s="3744" t="s">
        <v>233</v>
      </c>
      <c r="D172" s="3744" t="s">
        <v>233</v>
      </c>
      <c r="E172" s="3744" t="s">
        <v>233</v>
      </c>
      <c r="F172" s="3744" t="s">
        <v>233</v>
      </c>
      <c r="G172" s="3744" t="s">
        <v>233</v>
      </c>
      <c r="H172" s="3744"/>
      <c r="I172" s="3744"/>
      <c r="J172" s="3744" t="s">
        <v>233</v>
      </c>
      <c r="K172" s="3744" t="s">
        <v>233</v>
      </c>
      <c r="L172" s="3744" t="s">
        <v>233</v>
      </c>
      <c r="M172" s="3744" t="s">
        <v>233</v>
      </c>
      <c r="N172" s="3744" t="s">
        <v>233</v>
      </c>
      <c r="O172" s="3744"/>
      <c r="P172" s="3744"/>
      <c r="Q172" s="3744" t="s">
        <v>233</v>
      </c>
      <c r="R172" s="3744" t="s">
        <v>233</v>
      </c>
      <c r="S172" s="3744" t="s">
        <v>233</v>
      </c>
      <c r="T172" s="3744" t="s">
        <v>233</v>
      </c>
      <c r="U172" s="3744" t="s">
        <v>233</v>
      </c>
      <c r="V172" s="3744"/>
      <c r="W172" s="3744"/>
      <c r="X172" s="3744" t="s">
        <v>233</v>
      </c>
      <c r="Y172" s="3744" t="s">
        <v>233</v>
      </c>
      <c r="Z172" s="3744" t="s">
        <v>233</v>
      </c>
      <c r="AA172" s="3744" t="s">
        <v>233</v>
      </c>
      <c r="AB172" s="3744" t="s">
        <v>233</v>
      </c>
      <c r="AC172" s="3744"/>
      <c r="AD172" s="3744"/>
      <c r="AE172" s="3744" t="s">
        <v>233</v>
      </c>
      <c r="AF172" s="3744" t="s">
        <v>233</v>
      </c>
      <c r="AG172" s="3948" t="s">
        <v>233</v>
      </c>
      <c r="AH172" s="25"/>
      <c r="AI172" s="25"/>
    </row>
    <row r="173" spans="1:35" ht="18" customHeight="1">
      <c r="A173" s="36"/>
      <c r="B173" s="3413" t="s">
        <v>263</v>
      </c>
      <c r="C173" s="3720" t="s">
        <v>233</v>
      </c>
      <c r="D173" s="3720" t="s">
        <v>233</v>
      </c>
      <c r="E173" s="3720" t="s">
        <v>233</v>
      </c>
      <c r="F173" s="3720" t="s">
        <v>233</v>
      </c>
      <c r="G173" s="3720" t="s">
        <v>233</v>
      </c>
      <c r="H173" s="3720"/>
      <c r="I173" s="3720"/>
      <c r="J173" s="3720" t="s">
        <v>233</v>
      </c>
      <c r="K173" s="3720" t="s">
        <v>233</v>
      </c>
      <c r="L173" s="3720" t="s">
        <v>233</v>
      </c>
      <c r="M173" s="3720" t="s">
        <v>233</v>
      </c>
      <c r="N173" s="3720" t="s">
        <v>233</v>
      </c>
      <c r="O173" s="3720"/>
      <c r="P173" s="3720"/>
      <c r="Q173" s="3720" t="s">
        <v>233</v>
      </c>
      <c r="R173" s="3720" t="s">
        <v>233</v>
      </c>
      <c r="S173" s="3720" t="s">
        <v>233</v>
      </c>
      <c r="T173" s="3720" t="s">
        <v>233</v>
      </c>
      <c r="U173" s="3720" t="s">
        <v>233</v>
      </c>
      <c r="V173" s="3720"/>
      <c r="W173" s="3720"/>
      <c r="X173" s="3720" t="s">
        <v>233</v>
      </c>
      <c r="Y173" s="3720" t="s">
        <v>233</v>
      </c>
      <c r="Z173" s="3720" t="s">
        <v>233</v>
      </c>
      <c r="AA173" s="3720" t="s">
        <v>233</v>
      </c>
      <c r="AB173" s="3720" t="s">
        <v>237</v>
      </c>
      <c r="AC173" s="3720"/>
      <c r="AD173" s="3720"/>
      <c r="AE173" s="3423" t="s">
        <v>233</v>
      </c>
      <c r="AF173" s="3423" t="s">
        <v>233</v>
      </c>
      <c r="AG173" s="3627" t="s">
        <v>233</v>
      </c>
      <c r="AH173" s="25"/>
      <c r="AI173" s="25"/>
    </row>
    <row r="174" spans="1:35" ht="18" customHeight="1">
      <c r="A174" s="36"/>
      <c r="B174" s="3413" t="s">
        <v>409</v>
      </c>
      <c r="C174" s="3720" t="s">
        <v>237</v>
      </c>
      <c r="D174" s="3720" t="s">
        <v>237</v>
      </c>
      <c r="E174" s="3720" t="s">
        <v>237</v>
      </c>
      <c r="F174" s="3720" t="s">
        <v>237</v>
      </c>
      <c r="G174" s="3720" t="s">
        <v>237</v>
      </c>
      <c r="H174" s="3720"/>
      <c r="I174" s="3720"/>
      <c r="J174" s="3720" t="s">
        <v>237</v>
      </c>
      <c r="K174" s="3720" t="s">
        <v>237</v>
      </c>
      <c r="L174" s="3720" t="s">
        <v>237</v>
      </c>
      <c r="M174" s="3720" t="s">
        <v>237</v>
      </c>
      <c r="N174" s="3720" t="s">
        <v>237</v>
      </c>
      <c r="O174" s="3720" t="s">
        <v>0</v>
      </c>
      <c r="P174" s="3720" t="s">
        <v>0</v>
      </c>
      <c r="Q174" s="3720" t="s">
        <v>237</v>
      </c>
      <c r="R174" s="3720" t="s">
        <v>237</v>
      </c>
      <c r="S174" s="3720" t="s">
        <v>237</v>
      </c>
      <c r="T174" s="3720" t="s">
        <v>237</v>
      </c>
      <c r="U174" s="3720" t="s">
        <v>237</v>
      </c>
      <c r="V174" s="3720"/>
      <c r="W174" s="3720"/>
      <c r="X174" s="3423" t="s">
        <v>237</v>
      </c>
      <c r="Y174" s="3423" t="s">
        <v>237</v>
      </c>
      <c r="Z174" s="3423" t="s">
        <v>237</v>
      </c>
      <c r="AA174" s="3423" t="s">
        <v>237</v>
      </c>
      <c r="AB174" s="3423" t="s">
        <v>237</v>
      </c>
      <c r="AC174" s="3423"/>
      <c r="AD174" s="3423"/>
      <c r="AE174" s="3423" t="s">
        <v>237</v>
      </c>
      <c r="AF174" s="3423" t="s">
        <v>237</v>
      </c>
      <c r="AG174" s="3627" t="s">
        <v>237</v>
      </c>
      <c r="AH174" s="25"/>
      <c r="AI174" s="25"/>
    </row>
    <row r="175" spans="1:35" ht="18" customHeight="1">
      <c r="A175" s="36"/>
      <c r="B175" s="3413" t="s">
        <v>266</v>
      </c>
      <c r="C175" s="3720" t="s">
        <v>201</v>
      </c>
      <c r="D175" s="3732" t="s">
        <v>201</v>
      </c>
      <c r="E175" s="3732" t="s">
        <v>201</v>
      </c>
      <c r="F175" s="3732" t="s">
        <v>201</v>
      </c>
      <c r="G175" s="3732" t="s">
        <v>201</v>
      </c>
      <c r="H175" s="3732"/>
      <c r="I175" s="3720"/>
      <c r="J175" s="3423" t="s">
        <v>201</v>
      </c>
      <c r="K175" s="3423" t="s">
        <v>201</v>
      </c>
      <c r="L175" s="3423" t="s">
        <v>201</v>
      </c>
      <c r="M175" s="3423" t="s">
        <v>201</v>
      </c>
      <c r="N175" s="3423" t="s">
        <v>201</v>
      </c>
      <c r="O175" s="3423"/>
      <c r="P175" s="3423"/>
      <c r="Q175" s="3423" t="s">
        <v>201</v>
      </c>
      <c r="R175" s="3423" t="s">
        <v>201</v>
      </c>
      <c r="S175" s="3423" t="s">
        <v>201</v>
      </c>
      <c r="T175" s="3423" t="s">
        <v>201</v>
      </c>
      <c r="U175" s="3423" t="s">
        <v>201</v>
      </c>
      <c r="V175" s="3720"/>
      <c r="W175" s="3720"/>
      <c r="X175" s="3720" t="s">
        <v>201</v>
      </c>
      <c r="Y175" s="3720" t="s">
        <v>201</v>
      </c>
      <c r="Z175" s="3720" t="s">
        <v>201</v>
      </c>
      <c r="AA175" s="3720" t="s">
        <v>201</v>
      </c>
      <c r="AB175" s="3720" t="s">
        <v>201</v>
      </c>
      <c r="AC175" s="3720"/>
      <c r="AD175" s="3720"/>
      <c r="AE175" s="3720" t="s">
        <v>201</v>
      </c>
      <c r="AF175" s="3720" t="s">
        <v>201</v>
      </c>
      <c r="AG175" s="3738" t="s">
        <v>201</v>
      </c>
      <c r="AH175" s="25"/>
      <c r="AI175" s="25"/>
    </row>
    <row r="176" spans="1:35" ht="18" customHeight="1">
      <c r="A176" s="36"/>
      <c r="B176" s="3418" t="s">
        <v>267</v>
      </c>
      <c r="C176" s="3720" t="s">
        <v>121</v>
      </c>
      <c r="D176" s="3720" t="s">
        <v>121</v>
      </c>
      <c r="E176" s="3720" t="s">
        <v>121</v>
      </c>
      <c r="F176" s="3722" t="s">
        <v>121</v>
      </c>
      <c r="G176" s="3949" t="s">
        <v>121</v>
      </c>
      <c r="H176" s="3720"/>
      <c r="I176" s="3720"/>
      <c r="J176" s="3423" t="s">
        <v>121</v>
      </c>
      <c r="K176" s="3423" t="s">
        <v>121</v>
      </c>
      <c r="L176" s="3423" t="s">
        <v>121</v>
      </c>
      <c r="M176" s="3423" t="s">
        <v>121</v>
      </c>
      <c r="N176" s="3423" t="s">
        <v>121</v>
      </c>
      <c r="O176" s="3423"/>
      <c r="P176" s="3423"/>
      <c r="Q176" s="3423" t="s">
        <v>121</v>
      </c>
      <c r="R176" s="3423" t="s">
        <v>121</v>
      </c>
      <c r="S176" s="3423" t="s">
        <v>121</v>
      </c>
      <c r="T176" s="3423" t="s">
        <v>121</v>
      </c>
      <c r="U176" s="3423" t="s">
        <v>121</v>
      </c>
      <c r="V176" s="3423"/>
      <c r="W176" s="3423"/>
      <c r="X176" s="3423" t="s">
        <v>121</v>
      </c>
      <c r="Y176" s="3423" t="s">
        <v>121</v>
      </c>
      <c r="Z176" s="3423" t="s">
        <v>121</v>
      </c>
      <c r="AA176" s="3423" t="s">
        <v>121</v>
      </c>
      <c r="AB176" s="3423" t="s">
        <v>121</v>
      </c>
      <c r="AC176" s="3423"/>
      <c r="AD176" s="3423"/>
      <c r="AE176" s="3720" t="s">
        <v>121</v>
      </c>
      <c r="AF176" s="3720" t="s">
        <v>121</v>
      </c>
      <c r="AG176" s="3738" t="s">
        <v>121</v>
      </c>
      <c r="AH176" s="25"/>
      <c r="AI176" s="25"/>
    </row>
    <row r="177" spans="1:35" ht="18" customHeight="1">
      <c r="A177" s="36"/>
      <c r="B177" s="3413" t="s">
        <v>374</v>
      </c>
      <c r="C177" s="3423" t="s">
        <v>244</v>
      </c>
      <c r="D177" s="3720" t="s">
        <v>244</v>
      </c>
      <c r="E177" s="3720" t="s">
        <v>244</v>
      </c>
      <c r="F177" s="3720" t="s">
        <v>244</v>
      </c>
      <c r="G177" s="3720" t="s">
        <v>244</v>
      </c>
      <c r="H177" s="3720"/>
      <c r="I177" s="3720"/>
      <c r="J177" s="3720" t="s">
        <v>244</v>
      </c>
      <c r="K177" s="3720" t="s">
        <v>244</v>
      </c>
      <c r="L177" s="3720" t="s">
        <v>244</v>
      </c>
      <c r="M177" s="3720" t="s">
        <v>244</v>
      </c>
      <c r="N177" s="3720" t="s">
        <v>244</v>
      </c>
      <c r="O177" s="3720"/>
      <c r="P177" s="3720"/>
      <c r="Q177" s="3720" t="s">
        <v>244</v>
      </c>
      <c r="R177" s="3720" t="s">
        <v>244</v>
      </c>
      <c r="S177" s="3720" t="s">
        <v>244</v>
      </c>
      <c r="T177" s="3720" t="s">
        <v>244</v>
      </c>
      <c r="U177" s="3720" t="s">
        <v>253</v>
      </c>
      <c r="V177" s="3720"/>
      <c r="W177" s="3720"/>
      <c r="X177" s="3720" t="s">
        <v>244</v>
      </c>
      <c r="Y177" s="3950" t="s">
        <v>244</v>
      </c>
      <c r="Z177" s="3951" t="s">
        <v>244</v>
      </c>
      <c r="AA177" s="3720" t="s">
        <v>244</v>
      </c>
      <c r="AB177" s="3720" t="s">
        <v>244</v>
      </c>
      <c r="AC177" s="3720"/>
      <c r="AD177" s="3720"/>
      <c r="AE177" s="3423" t="s">
        <v>244</v>
      </c>
      <c r="AF177" s="3423" t="s">
        <v>244</v>
      </c>
      <c r="AG177" s="3627" t="s">
        <v>244</v>
      </c>
      <c r="AH177" s="25"/>
      <c r="AI177" s="25"/>
    </row>
    <row r="178" spans="1:35" ht="18" customHeight="1">
      <c r="A178" s="36"/>
      <c r="B178" s="3413" t="s">
        <v>269</v>
      </c>
      <c r="C178" s="3720" t="s">
        <v>128</v>
      </c>
      <c r="D178" s="3720" t="s">
        <v>128</v>
      </c>
      <c r="E178" s="3720" t="s">
        <v>128</v>
      </c>
      <c r="F178" s="3720" t="s">
        <v>128</v>
      </c>
      <c r="G178" s="3720" t="s">
        <v>128</v>
      </c>
      <c r="H178" s="3720"/>
      <c r="I178" s="3720"/>
      <c r="J178" s="3720" t="s">
        <v>128</v>
      </c>
      <c r="K178" s="3720" t="s">
        <v>128</v>
      </c>
      <c r="L178" s="3720" t="s">
        <v>128</v>
      </c>
      <c r="M178" s="3720" t="s">
        <v>128</v>
      </c>
      <c r="N178" s="3720" t="s">
        <v>128</v>
      </c>
      <c r="O178" s="3720"/>
      <c r="P178" s="3720"/>
      <c r="Q178" s="3720" t="s">
        <v>128</v>
      </c>
      <c r="R178" s="3720" t="s">
        <v>128</v>
      </c>
      <c r="S178" s="3720" t="s">
        <v>128</v>
      </c>
      <c r="T178" s="3720" t="s">
        <v>128</v>
      </c>
      <c r="U178" s="3720" t="s">
        <v>128</v>
      </c>
      <c r="V178" s="3720"/>
      <c r="W178" s="3720"/>
      <c r="X178" s="3720" t="s">
        <v>128</v>
      </c>
      <c r="Y178" s="3720" t="s">
        <v>128</v>
      </c>
      <c r="Z178" s="3720" t="s">
        <v>128</v>
      </c>
      <c r="AA178" s="3720" t="s">
        <v>128</v>
      </c>
      <c r="AB178" s="3423" t="s">
        <v>128</v>
      </c>
      <c r="AC178" s="3720"/>
      <c r="AD178" s="3720"/>
      <c r="AE178" s="3423" t="s">
        <v>128</v>
      </c>
      <c r="AF178" s="3423" t="s">
        <v>128</v>
      </c>
      <c r="AG178" s="3627" t="s">
        <v>128</v>
      </c>
      <c r="AH178" s="25"/>
      <c r="AI178" s="25"/>
    </row>
    <row r="179" spans="1:35" ht="18" customHeight="1">
      <c r="A179" s="36"/>
      <c r="B179" s="3726" t="s">
        <v>271</v>
      </c>
      <c r="C179" s="3720" t="s">
        <v>250</v>
      </c>
      <c r="D179" s="3720" t="s">
        <v>250</v>
      </c>
      <c r="E179" s="3720" t="s">
        <v>250</v>
      </c>
      <c r="F179" s="3720" t="s">
        <v>250</v>
      </c>
      <c r="G179" s="3720" t="s">
        <v>250</v>
      </c>
      <c r="H179" s="3720"/>
      <c r="I179" s="3720"/>
      <c r="J179" s="3623" t="s">
        <v>250</v>
      </c>
      <c r="K179" s="3623" t="s">
        <v>250</v>
      </c>
      <c r="L179" s="3623" t="s">
        <v>250</v>
      </c>
      <c r="M179" s="3623" t="s">
        <v>250</v>
      </c>
      <c r="N179" s="3623" t="s">
        <v>250</v>
      </c>
      <c r="O179" s="3623"/>
      <c r="P179" s="3623"/>
      <c r="Q179" s="3623" t="s">
        <v>250</v>
      </c>
      <c r="R179" s="3623" t="s">
        <v>250</v>
      </c>
      <c r="S179" s="3623" t="s">
        <v>250</v>
      </c>
      <c r="T179" s="3623" t="s">
        <v>250</v>
      </c>
      <c r="U179" s="3623" t="s">
        <v>250</v>
      </c>
      <c r="V179" s="3623"/>
      <c r="W179" s="3623"/>
      <c r="X179" s="3623" t="s">
        <v>250</v>
      </c>
      <c r="Y179" s="3623" t="s">
        <v>250</v>
      </c>
      <c r="Z179" s="3623" t="s">
        <v>250</v>
      </c>
      <c r="AA179" s="3623" t="s">
        <v>250</v>
      </c>
      <c r="AB179" s="3423" t="s">
        <v>250</v>
      </c>
      <c r="AC179" s="3623"/>
      <c r="AD179" s="3623"/>
      <c r="AE179" s="3423" t="s">
        <v>250</v>
      </c>
      <c r="AF179" s="3423" t="s">
        <v>250</v>
      </c>
      <c r="AG179" s="3627" t="s">
        <v>250</v>
      </c>
      <c r="AH179" s="25"/>
      <c r="AI179" s="25"/>
    </row>
    <row r="180" spans="1:35" ht="18" customHeight="1">
      <c r="A180" s="36"/>
      <c r="B180" s="3413" t="s">
        <v>273</v>
      </c>
      <c r="C180" s="3720" t="s">
        <v>251</v>
      </c>
      <c r="D180" s="3720" t="s">
        <v>251</v>
      </c>
      <c r="E180" s="3949" t="s">
        <v>251</v>
      </c>
      <c r="F180" s="3720" t="s">
        <v>251</v>
      </c>
      <c r="G180" s="3720" t="s">
        <v>251</v>
      </c>
      <c r="H180" s="3720"/>
      <c r="I180" s="3720"/>
      <c r="J180" s="3720" t="s">
        <v>251</v>
      </c>
      <c r="K180" s="3720" t="s">
        <v>251</v>
      </c>
      <c r="L180" s="3720" t="s">
        <v>251</v>
      </c>
      <c r="M180" s="3720" t="s">
        <v>251</v>
      </c>
      <c r="N180" s="3424" t="s">
        <v>251</v>
      </c>
      <c r="O180" s="3720"/>
      <c r="P180" s="3720"/>
      <c r="Q180" s="3720" t="s">
        <v>251</v>
      </c>
      <c r="R180" s="3720" t="s">
        <v>251</v>
      </c>
      <c r="S180" s="3720" t="s">
        <v>251</v>
      </c>
      <c r="T180" s="3720" t="s">
        <v>251</v>
      </c>
      <c r="U180" s="3720" t="s">
        <v>251</v>
      </c>
      <c r="V180" s="3720"/>
      <c r="W180" s="3720"/>
      <c r="X180" s="3720" t="s">
        <v>251</v>
      </c>
      <c r="Y180" s="3720" t="s">
        <v>251</v>
      </c>
      <c r="Z180" s="3720" t="s">
        <v>251</v>
      </c>
      <c r="AA180" s="3720" t="s">
        <v>251</v>
      </c>
      <c r="AB180" s="3720" t="s">
        <v>251</v>
      </c>
      <c r="AC180" s="3720"/>
      <c r="AD180" s="3720"/>
      <c r="AE180" s="3720" t="s">
        <v>251</v>
      </c>
      <c r="AF180" s="3720" t="s">
        <v>251</v>
      </c>
      <c r="AG180" s="3738" t="s">
        <v>251</v>
      </c>
      <c r="AH180" s="25"/>
      <c r="AI180" s="25"/>
    </row>
    <row r="181" spans="1:35" ht="18" customHeight="1">
      <c r="A181" s="36"/>
      <c r="B181" s="3413" t="s">
        <v>274</v>
      </c>
      <c r="C181" s="3720" t="s">
        <v>253</v>
      </c>
      <c r="D181" s="3720" t="s">
        <v>253</v>
      </c>
      <c r="E181" s="3720" t="s">
        <v>253</v>
      </c>
      <c r="F181" s="3720" t="s">
        <v>253</v>
      </c>
      <c r="G181" s="3732" t="s">
        <v>253</v>
      </c>
      <c r="H181" s="3732"/>
      <c r="I181" s="3732"/>
      <c r="J181" s="3732" t="s">
        <v>253</v>
      </c>
      <c r="K181" s="3732" t="s">
        <v>253</v>
      </c>
      <c r="L181" s="3720" t="s">
        <v>253</v>
      </c>
      <c r="M181" s="3720" t="s">
        <v>253</v>
      </c>
      <c r="N181" s="3720" t="s">
        <v>253</v>
      </c>
      <c r="O181" s="3720"/>
      <c r="P181" s="3720"/>
      <c r="Q181" s="3720" t="s">
        <v>253</v>
      </c>
      <c r="R181" s="3720" t="s">
        <v>253</v>
      </c>
      <c r="S181" s="3720" t="s">
        <v>253</v>
      </c>
      <c r="T181" s="3720" t="s">
        <v>253</v>
      </c>
      <c r="U181" s="3720" t="s">
        <v>253</v>
      </c>
      <c r="V181" s="3720"/>
      <c r="W181" s="3720"/>
      <c r="X181" s="3415" t="s">
        <v>253</v>
      </c>
      <c r="Y181" s="3415" t="s">
        <v>253</v>
      </c>
      <c r="Z181" s="3415" t="s">
        <v>253</v>
      </c>
      <c r="AA181" s="3415" t="s">
        <v>253</v>
      </c>
      <c r="AB181" s="3477" t="s">
        <v>410</v>
      </c>
      <c r="AC181" s="3720"/>
      <c r="AD181" s="3720"/>
      <c r="AE181" s="3720" t="s">
        <v>253</v>
      </c>
      <c r="AF181" s="3720" t="s">
        <v>253</v>
      </c>
      <c r="AG181" s="3738" t="s">
        <v>253</v>
      </c>
      <c r="AH181" s="25"/>
      <c r="AI181" s="25"/>
    </row>
    <row r="182" spans="1:35" ht="18" customHeight="1">
      <c r="A182" s="36"/>
      <c r="B182" s="3726" t="s">
        <v>275</v>
      </c>
      <c r="C182" s="3423" t="s">
        <v>123</v>
      </c>
      <c r="D182" s="3423" t="s">
        <v>123</v>
      </c>
      <c r="E182" s="3423" t="s">
        <v>123</v>
      </c>
      <c r="F182" s="3423" t="s">
        <v>123</v>
      </c>
      <c r="G182" s="3423" t="s">
        <v>123</v>
      </c>
      <c r="H182" s="3423"/>
      <c r="I182" s="3423"/>
      <c r="J182" s="3720" t="s">
        <v>123</v>
      </c>
      <c r="K182" s="3720" t="s">
        <v>123</v>
      </c>
      <c r="L182" s="3720" t="s">
        <v>123</v>
      </c>
      <c r="M182" s="3720" t="s">
        <v>123</v>
      </c>
      <c r="N182" s="3720" t="s">
        <v>123</v>
      </c>
      <c r="O182" s="3720"/>
      <c r="P182" s="3720"/>
      <c r="Q182" s="3720" t="s">
        <v>123</v>
      </c>
      <c r="R182" s="3720" t="s">
        <v>123</v>
      </c>
      <c r="S182" s="3732" t="s">
        <v>123</v>
      </c>
      <c r="T182" s="3428" t="s">
        <v>123</v>
      </c>
      <c r="U182" s="3428" t="s">
        <v>123</v>
      </c>
      <c r="V182" s="3428"/>
      <c r="W182" s="3720"/>
      <c r="X182" s="3720" t="s">
        <v>123</v>
      </c>
      <c r="Y182" s="3720" t="s">
        <v>123</v>
      </c>
      <c r="Z182" s="3720" t="s">
        <v>123</v>
      </c>
      <c r="AA182" s="3720" t="s">
        <v>123</v>
      </c>
      <c r="AB182" s="3720" t="s">
        <v>123</v>
      </c>
      <c r="AC182" s="3720"/>
      <c r="AD182" s="3720"/>
      <c r="AE182" s="3430" t="s">
        <v>123</v>
      </c>
      <c r="AF182" s="3720" t="s">
        <v>123</v>
      </c>
      <c r="AG182" s="3738" t="s">
        <v>123</v>
      </c>
      <c r="AH182" s="25"/>
      <c r="AI182" s="25"/>
    </row>
    <row r="183" spans="1:35" ht="18" customHeight="1">
      <c r="A183" s="36"/>
      <c r="B183" s="3413" t="s">
        <v>276</v>
      </c>
      <c r="C183" s="3720" t="s">
        <v>146</v>
      </c>
      <c r="D183" s="3720" t="s">
        <v>146</v>
      </c>
      <c r="E183" s="3720" t="s">
        <v>146</v>
      </c>
      <c r="F183" s="3720" t="s">
        <v>146</v>
      </c>
      <c r="G183" s="3720" t="s">
        <v>146</v>
      </c>
      <c r="H183" s="3720"/>
      <c r="I183" s="3720"/>
      <c r="J183" s="3720" t="s">
        <v>146</v>
      </c>
      <c r="K183" s="3720" t="s">
        <v>146</v>
      </c>
      <c r="L183" s="3720" t="s">
        <v>146</v>
      </c>
      <c r="M183" s="3720" t="s">
        <v>146</v>
      </c>
      <c r="N183" s="3720" t="s">
        <v>146</v>
      </c>
      <c r="O183" s="3720"/>
      <c r="P183" s="3720"/>
      <c r="Q183" s="3720" t="s">
        <v>146</v>
      </c>
      <c r="R183" s="3720" t="s">
        <v>146</v>
      </c>
      <c r="S183" s="3720" t="s">
        <v>146</v>
      </c>
      <c r="T183" s="3720" t="s">
        <v>146</v>
      </c>
      <c r="U183" s="3720" t="s">
        <v>146</v>
      </c>
      <c r="V183" s="3720"/>
      <c r="W183" s="3720"/>
      <c r="X183" s="3720" t="s">
        <v>146</v>
      </c>
      <c r="Y183" s="3720" t="s">
        <v>146</v>
      </c>
      <c r="Z183" s="3720" t="s">
        <v>146</v>
      </c>
      <c r="AA183" s="3720" t="s">
        <v>146</v>
      </c>
      <c r="AB183" s="3720" t="s">
        <v>146</v>
      </c>
      <c r="AC183" s="3720"/>
      <c r="AD183" s="3720"/>
      <c r="AE183" s="3720" t="s">
        <v>146</v>
      </c>
      <c r="AF183" s="3720" t="s">
        <v>146</v>
      </c>
      <c r="AG183" s="3738" t="s">
        <v>146</v>
      </c>
      <c r="AH183" s="25"/>
      <c r="AI183" s="25"/>
    </row>
    <row r="184" spans="1:35" ht="18" customHeight="1" thickBot="1">
      <c r="A184" s="36"/>
      <c r="B184" s="402" t="s">
        <v>0</v>
      </c>
      <c r="C184" s="408" t="s">
        <v>136</v>
      </c>
      <c r="D184" s="408" t="s">
        <v>136</v>
      </c>
      <c r="E184" s="408" t="s">
        <v>136</v>
      </c>
      <c r="F184" s="408" t="s">
        <v>136</v>
      </c>
      <c r="G184" s="408" t="s">
        <v>136</v>
      </c>
      <c r="H184" s="408"/>
      <c r="I184" s="408"/>
      <c r="J184" s="408" t="s">
        <v>136</v>
      </c>
      <c r="K184" s="408" t="s">
        <v>136</v>
      </c>
      <c r="L184" s="408" t="s">
        <v>136</v>
      </c>
      <c r="M184" s="408" t="s">
        <v>136</v>
      </c>
      <c r="N184" s="408" t="s">
        <v>136</v>
      </c>
      <c r="O184" s="408"/>
      <c r="P184" s="408"/>
      <c r="Q184" s="408" t="s">
        <v>136</v>
      </c>
      <c r="R184" s="408" t="s">
        <v>136</v>
      </c>
      <c r="S184" s="408" t="s">
        <v>136</v>
      </c>
      <c r="T184" s="408" t="s">
        <v>136</v>
      </c>
      <c r="U184" s="408" t="s">
        <v>136</v>
      </c>
      <c r="V184" s="408"/>
      <c r="W184" s="408"/>
      <c r="X184" s="423" t="s">
        <v>136</v>
      </c>
      <c r="Y184" s="423" t="s">
        <v>136</v>
      </c>
      <c r="Z184" s="423" t="s">
        <v>136</v>
      </c>
      <c r="AA184" s="423" t="s">
        <v>136</v>
      </c>
      <c r="AB184" s="423" t="s">
        <v>136</v>
      </c>
      <c r="AC184" s="423"/>
      <c r="AD184" s="423"/>
      <c r="AE184" s="423" t="s">
        <v>136</v>
      </c>
      <c r="AF184" s="423" t="s">
        <v>136</v>
      </c>
      <c r="AG184" s="43" t="s">
        <v>136</v>
      </c>
      <c r="AH184" s="25"/>
      <c r="AI184" s="25"/>
    </row>
    <row r="185" spans="1:35" ht="18" customHeight="1" thickBot="1">
      <c r="A185" s="36"/>
      <c r="B185" s="402" t="s">
        <v>470</v>
      </c>
      <c r="C185" s="408" t="s">
        <v>112</v>
      </c>
      <c r="D185" s="408" t="s">
        <v>112</v>
      </c>
      <c r="E185" s="408" t="s">
        <v>112</v>
      </c>
      <c r="F185" s="408" t="s">
        <v>112</v>
      </c>
      <c r="G185" s="408" t="s">
        <v>112</v>
      </c>
      <c r="H185" s="408"/>
      <c r="I185" s="408"/>
      <c r="J185" s="408" t="s">
        <v>112</v>
      </c>
      <c r="K185" s="408" t="s">
        <v>112</v>
      </c>
      <c r="L185" s="408" t="s">
        <v>112</v>
      </c>
      <c r="M185" s="408" t="s">
        <v>112</v>
      </c>
      <c r="N185" s="408" t="s">
        <v>112</v>
      </c>
      <c r="O185" s="408"/>
      <c r="P185" s="408"/>
      <c r="Q185" s="408" t="s">
        <v>112</v>
      </c>
      <c r="R185" s="408" t="s">
        <v>112</v>
      </c>
      <c r="S185" s="408" t="s">
        <v>112</v>
      </c>
      <c r="T185" s="408" t="s">
        <v>112</v>
      </c>
      <c r="U185" s="408" t="s">
        <v>112</v>
      </c>
      <c r="V185" s="408"/>
      <c r="W185" s="408"/>
      <c r="X185" s="426" t="s">
        <v>112</v>
      </c>
      <c r="Y185" s="426" t="s">
        <v>112</v>
      </c>
      <c r="Z185" s="426" t="s">
        <v>112</v>
      </c>
      <c r="AA185" s="426" t="s">
        <v>112</v>
      </c>
      <c r="AB185" s="426" t="s">
        <v>112</v>
      </c>
      <c r="AC185" s="426"/>
      <c r="AD185" s="426"/>
      <c r="AE185" s="408" t="s">
        <v>112</v>
      </c>
      <c r="AF185" s="408" t="s">
        <v>112</v>
      </c>
      <c r="AG185" s="408" t="s">
        <v>112</v>
      </c>
      <c r="AH185" s="76"/>
      <c r="AI185" s="76"/>
    </row>
    <row r="186" spans="1:35" ht="18" customHeight="1">
      <c r="A186" s="96"/>
      <c r="B186" s="98"/>
      <c r="C186" s="91"/>
      <c r="D186" s="91"/>
      <c r="E186" s="91"/>
      <c r="F186" s="91"/>
      <c r="G186" s="91"/>
      <c r="H186" s="91"/>
      <c r="I186" s="91"/>
      <c r="J186" s="91"/>
      <c r="K186" s="91"/>
      <c r="L186" s="91"/>
      <c r="M186" s="91"/>
      <c r="N186" s="91"/>
      <c r="O186" s="91"/>
      <c r="P186" s="91"/>
      <c r="Q186" s="91"/>
      <c r="R186" s="91"/>
      <c r="S186" s="91"/>
      <c r="T186" s="91"/>
      <c r="U186" s="91"/>
      <c r="V186" s="91"/>
      <c r="W186" s="91"/>
      <c r="X186" s="91"/>
      <c r="Y186" s="91"/>
      <c r="Z186" s="91"/>
      <c r="AA186" s="91"/>
      <c r="AB186" s="91"/>
      <c r="AC186" s="91"/>
      <c r="AD186" s="91"/>
      <c r="AE186" s="91"/>
      <c r="AF186" s="91"/>
      <c r="AG186" s="91"/>
      <c r="AH186" s="99"/>
    </row>
    <row r="187" spans="1:35" ht="18" customHeight="1" thickBot="1">
      <c r="A187" s="1" t="s">
        <v>280</v>
      </c>
      <c r="B187" s="42"/>
      <c r="C187" s="100"/>
      <c r="D187" s="100"/>
      <c r="E187" s="100"/>
      <c r="F187" s="100"/>
      <c r="G187" s="100"/>
      <c r="H187" s="100"/>
      <c r="I187" s="100"/>
      <c r="J187" s="100"/>
      <c r="K187" s="100"/>
      <c r="L187" s="100"/>
      <c r="M187" s="100"/>
      <c r="N187" s="100"/>
      <c r="O187" s="100"/>
      <c r="P187" s="100"/>
      <c r="Q187" s="100"/>
      <c r="R187" s="100"/>
      <c r="S187" s="100"/>
      <c r="T187" s="100"/>
      <c r="U187" s="100"/>
      <c r="V187" s="100"/>
      <c r="W187" s="100"/>
      <c r="X187" s="100"/>
      <c r="Y187" s="100"/>
      <c r="Z187" s="100"/>
      <c r="AA187" s="100"/>
      <c r="AB187" s="100"/>
      <c r="AC187" s="100"/>
      <c r="AD187" s="100"/>
      <c r="AE187" s="100"/>
      <c r="AF187" s="100"/>
      <c r="AG187" s="100"/>
    </row>
    <row r="188" spans="1:35" ht="18" customHeight="1">
      <c r="A188" s="1"/>
      <c r="B188" s="3431" t="s">
        <v>281</v>
      </c>
      <c r="C188" s="3952" t="s">
        <v>87</v>
      </c>
      <c r="D188" s="3952"/>
      <c r="E188" s="3952"/>
      <c r="F188" s="3952"/>
      <c r="G188" s="3953" t="s">
        <v>88</v>
      </c>
      <c r="H188" s="3952"/>
      <c r="I188" s="3952"/>
      <c r="J188" s="3952"/>
      <c r="K188" s="3953" t="s">
        <v>89</v>
      </c>
      <c r="L188" s="3952"/>
      <c r="M188" s="3952"/>
      <c r="N188" s="3952"/>
      <c r="O188" s="3953" t="s">
        <v>90</v>
      </c>
      <c r="P188" s="3952"/>
      <c r="Q188" s="3952"/>
      <c r="R188" s="3952"/>
      <c r="S188" s="3953" t="s">
        <v>91</v>
      </c>
      <c r="T188" s="3952"/>
      <c r="U188" s="3952"/>
      <c r="V188" s="3952"/>
      <c r="W188" s="3954" t="s">
        <v>92</v>
      </c>
      <c r="X188" s="3640"/>
      <c r="Y188" s="3952"/>
      <c r="Z188" s="3955"/>
      <c r="AA188" s="3954" t="s">
        <v>93</v>
      </c>
      <c r="AB188" s="3640"/>
      <c r="AC188" s="3952"/>
      <c r="AD188" s="3955"/>
      <c r="AE188" s="3956" t="s">
        <v>94</v>
      </c>
      <c r="AF188" s="3952"/>
      <c r="AG188" s="3952"/>
      <c r="AH188" s="3952"/>
      <c r="AI188" s="3641"/>
    </row>
    <row r="189" spans="1:35" ht="18" customHeight="1">
      <c r="A189" s="1"/>
      <c r="B189" s="1665">
        <v>3701</v>
      </c>
      <c r="C189" s="87" t="s">
        <v>282</v>
      </c>
      <c r="D189" s="87"/>
      <c r="E189" s="87"/>
      <c r="F189" s="87"/>
      <c r="G189" s="1012" t="s">
        <v>283</v>
      </c>
      <c r="H189" s="87"/>
      <c r="I189" s="87"/>
      <c r="J189" s="87"/>
      <c r="K189" s="1012" t="s">
        <v>283</v>
      </c>
      <c r="L189" s="87"/>
      <c r="M189" s="87"/>
      <c r="N189" s="87"/>
      <c r="O189" s="1012" t="s">
        <v>283</v>
      </c>
      <c r="P189" s="87"/>
      <c r="Q189" s="87"/>
      <c r="R189" s="87"/>
      <c r="S189" s="1012" t="s">
        <v>284</v>
      </c>
      <c r="T189" s="87"/>
      <c r="U189" s="87"/>
      <c r="V189" s="87"/>
      <c r="W189" s="3191"/>
      <c r="X189" s="3192"/>
      <c r="Y189" s="3434"/>
      <c r="Z189" s="3193"/>
      <c r="AA189" s="3191"/>
      <c r="AB189" s="3192"/>
      <c r="AC189" s="3434"/>
      <c r="AD189" s="3193"/>
      <c r="AE189" s="3436"/>
      <c r="AF189" s="3434"/>
      <c r="AG189" s="3434"/>
      <c r="AH189" s="3434"/>
      <c r="AI189" s="3437"/>
    </row>
    <row r="190" spans="1:35" ht="18" customHeight="1">
      <c r="A190" s="3438"/>
      <c r="B190" s="3431"/>
      <c r="C190" s="3439"/>
      <c r="D190" s="3180"/>
      <c r="E190" s="3180"/>
      <c r="F190" s="2789"/>
      <c r="G190" s="3439"/>
      <c r="H190" s="3180"/>
      <c r="I190" s="3180"/>
      <c r="J190" s="2789"/>
      <c r="K190" s="3439"/>
      <c r="L190" s="3180"/>
      <c r="M190" s="3180"/>
      <c r="N190" s="2789"/>
      <c r="O190" s="3439"/>
      <c r="P190" s="3180"/>
      <c r="Q190" s="3180"/>
      <c r="R190" s="2789"/>
      <c r="S190" s="3439"/>
      <c r="T190" s="3180"/>
      <c r="U190" s="3180"/>
      <c r="V190" s="3180"/>
      <c r="W190" s="3191"/>
      <c r="X190" s="3192"/>
      <c r="Y190" s="3434"/>
      <c r="Z190" s="3193"/>
      <c r="AA190" s="3191"/>
      <c r="AB190" s="3192"/>
      <c r="AC190" s="3434"/>
      <c r="AD190" s="3193"/>
      <c r="AE190" s="3436"/>
      <c r="AF190" s="3434"/>
      <c r="AG190" s="3434"/>
      <c r="AH190" s="3434"/>
      <c r="AI190" s="3437"/>
    </row>
    <row r="191" spans="1:35" ht="18" customHeight="1">
      <c r="A191" s="3438"/>
      <c r="B191" s="3431"/>
      <c r="C191" s="3439"/>
      <c r="D191" s="3180"/>
      <c r="E191" s="3180"/>
      <c r="F191" s="2789"/>
      <c r="G191" s="3439"/>
      <c r="H191" s="3180"/>
      <c r="I191" s="3180"/>
      <c r="J191" s="2789"/>
      <c r="K191" s="3439"/>
      <c r="L191" s="3180"/>
      <c r="M191" s="3180"/>
      <c r="N191" s="2789"/>
      <c r="O191" s="3439"/>
      <c r="P191" s="3180"/>
      <c r="Q191" s="3180"/>
      <c r="R191" s="2789"/>
      <c r="S191" s="3439"/>
      <c r="T191" s="3180"/>
      <c r="U191" s="3180"/>
      <c r="V191" s="3180"/>
      <c r="W191" s="3191"/>
      <c r="X191" s="3192"/>
      <c r="Y191" s="3434"/>
      <c r="Z191" s="3193"/>
      <c r="AA191" s="3191"/>
      <c r="AB191" s="3192"/>
      <c r="AC191" s="3434"/>
      <c r="AD191" s="3193"/>
      <c r="AE191" s="3436"/>
      <c r="AF191" s="3434"/>
      <c r="AG191" s="3434"/>
      <c r="AH191" s="3434"/>
      <c r="AI191" s="3437"/>
    </row>
    <row r="192" spans="1:35" ht="18" customHeight="1" thickBot="1">
      <c r="A192" s="411"/>
      <c r="B192" s="412"/>
      <c r="C192" s="3440"/>
      <c r="D192" s="3441"/>
      <c r="E192" s="3441"/>
      <c r="F192" s="3442"/>
      <c r="G192" s="3440"/>
      <c r="H192" s="3441"/>
      <c r="I192" s="3441"/>
      <c r="J192" s="3442"/>
      <c r="K192" s="3440"/>
      <c r="L192" s="3441"/>
      <c r="M192" s="3441"/>
      <c r="N192" s="3442"/>
      <c r="O192" s="3440"/>
      <c r="P192" s="3441"/>
      <c r="Q192" s="3441"/>
      <c r="R192" s="3442"/>
      <c r="S192" s="3440"/>
      <c r="T192" s="3441"/>
      <c r="U192" s="3441"/>
      <c r="V192" s="3441"/>
      <c r="W192" s="3443"/>
      <c r="X192" s="3444"/>
      <c r="Y192" s="3445"/>
      <c r="Z192" s="3446"/>
      <c r="AA192" s="3443"/>
      <c r="AB192" s="3444"/>
      <c r="AC192" s="3445"/>
      <c r="AD192" s="3446"/>
      <c r="AE192" s="3876"/>
      <c r="AF192" s="3656"/>
      <c r="AG192" s="3656"/>
      <c r="AH192" s="3656"/>
      <c r="AI192" s="3659"/>
    </row>
    <row r="193" spans="1:35" ht="18" customHeight="1">
      <c r="A193" s="1"/>
      <c r="B193" s="42"/>
      <c r="C193" s="87"/>
      <c r="D193" s="87"/>
      <c r="E193" s="87"/>
      <c r="F193" s="87"/>
      <c r="G193" s="87"/>
      <c r="H193" s="87"/>
      <c r="I193" s="87"/>
      <c r="J193" s="87"/>
      <c r="K193" s="87"/>
      <c r="L193" s="87"/>
      <c r="M193" s="87"/>
      <c r="N193" s="87"/>
      <c r="O193" s="87"/>
      <c r="P193" s="87"/>
      <c r="Q193" s="87"/>
      <c r="R193" s="87"/>
      <c r="S193" s="87"/>
      <c r="T193" s="87"/>
      <c r="U193" s="87"/>
      <c r="V193" s="87"/>
      <c r="W193" s="87"/>
      <c r="X193" s="37"/>
      <c r="Y193" s="87"/>
      <c r="Z193" s="87"/>
      <c r="AA193" s="87"/>
      <c r="AB193" s="37"/>
      <c r="AC193" s="87"/>
      <c r="AD193" s="87"/>
      <c r="AE193" s="37"/>
      <c r="AF193" s="87"/>
      <c r="AG193" s="87"/>
      <c r="AH193" s="87"/>
    </row>
    <row r="194" spans="1:35" ht="18" customHeight="1">
      <c r="AG194" s="87"/>
      <c r="AH194" s="87"/>
    </row>
    <row r="195" spans="1:35" ht="18" customHeight="1">
      <c r="B195" s="3431">
        <v>3700</v>
      </c>
      <c r="C195" s="3434" t="s">
        <v>181</v>
      </c>
      <c r="D195" s="3434"/>
      <c r="E195" s="3434"/>
      <c r="F195" s="3434"/>
      <c r="G195" s="3450" t="s">
        <v>181</v>
      </c>
      <c r="H195" s="3434"/>
      <c r="I195" s="3434"/>
      <c r="J195" s="3434"/>
      <c r="K195" s="3450" t="s">
        <v>181</v>
      </c>
      <c r="L195" s="3434"/>
      <c r="M195" s="3434"/>
      <c r="N195" s="3434"/>
      <c r="O195" s="3450" t="s">
        <v>181</v>
      </c>
      <c r="P195" s="3434"/>
      <c r="Q195" s="3434"/>
      <c r="R195" s="3434"/>
      <c r="S195" s="3450" t="s">
        <v>182</v>
      </c>
      <c r="T195" s="3434"/>
      <c r="U195" s="3434"/>
      <c r="V195" s="3434"/>
      <c r="W195" s="3434"/>
      <c r="X195" s="3450"/>
      <c r="Y195" s="3434"/>
      <c r="Z195" s="3865"/>
      <c r="AA195" s="3436"/>
      <c r="AB195" s="3434"/>
      <c r="AC195" s="3434"/>
      <c r="AD195" s="3700"/>
      <c r="AE195" s="3453"/>
      <c r="AF195" s="3434"/>
      <c r="AG195" s="3434"/>
      <c r="AH195" s="3700"/>
      <c r="AI195" s="3437"/>
    </row>
    <row r="196" spans="1:35" ht="18" customHeight="1">
      <c r="A196" s="1"/>
      <c r="B196" s="3431">
        <v>8514</v>
      </c>
      <c r="C196" s="3434" t="s">
        <v>283</v>
      </c>
      <c r="D196" s="3434"/>
      <c r="E196" s="3434"/>
      <c r="F196" s="3434"/>
      <c r="G196" s="3450" t="s">
        <v>283</v>
      </c>
      <c r="H196" s="3434"/>
      <c r="I196" s="3434"/>
      <c r="J196" s="3434"/>
      <c r="K196" s="3450" t="s">
        <v>283</v>
      </c>
      <c r="L196" s="3434"/>
      <c r="M196" s="3434"/>
      <c r="N196" s="3434"/>
      <c r="O196" s="3450" t="s">
        <v>283</v>
      </c>
      <c r="P196" s="3434"/>
      <c r="Q196" s="3434"/>
      <c r="R196" s="3434"/>
      <c r="S196" s="3450" t="s">
        <v>285</v>
      </c>
      <c r="T196" s="3434"/>
      <c r="U196" s="3434"/>
      <c r="V196" s="3434"/>
      <c r="W196" s="3434"/>
      <c r="X196" s="3450"/>
      <c r="Y196" s="3434"/>
      <c r="Z196" s="3865"/>
      <c r="AA196" s="3699"/>
      <c r="AB196" s="3434"/>
      <c r="AC196" s="3434"/>
      <c r="AD196" s="3700"/>
      <c r="AE196" s="3699"/>
      <c r="AF196" s="3434"/>
      <c r="AG196" s="3434"/>
      <c r="AH196" s="3700"/>
      <c r="AI196" s="3437"/>
    </row>
    <row r="197" spans="1:35" ht="18" customHeight="1">
      <c r="A197" s="1"/>
      <c r="B197" s="3431">
        <v>8500</v>
      </c>
      <c r="C197" s="101" t="s">
        <v>286</v>
      </c>
      <c r="D197" s="101"/>
      <c r="E197" s="101"/>
      <c r="F197" s="101"/>
      <c r="G197" s="102" t="s">
        <v>286</v>
      </c>
      <c r="H197" s="101"/>
      <c r="I197" s="101"/>
      <c r="J197" s="101"/>
      <c r="K197" s="102" t="s">
        <v>286</v>
      </c>
      <c r="L197" s="101"/>
      <c r="M197" s="101"/>
      <c r="N197" s="101"/>
      <c r="O197" s="102" t="s">
        <v>286</v>
      </c>
      <c r="P197" s="101"/>
      <c r="Q197" s="101"/>
      <c r="R197" s="101"/>
      <c r="S197" s="102" t="s">
        <v>287</v>
      </c>
      <c r="T197" s="101"/>
      <c r="U197" s="101"/>
      <c r="V197" s="101"/>
      <c r="W197" s="101"/>
      <c r="X197" s="102"/>
      <c r="Y197" s="101"/>
      <c r="Z197" s="103"/>
      <c r="AA197" s="104"/>
      <c r="AB197" s="101"/>
      <c r="AC197" s="101"/>
      <c r="AD197" s="103"/>
      <c r="AE197" s="104"/>
      <c r="AF197" s="101"/>
      <c r="AG197" s="101"/>
      <c r="AH197" s="41"/>
      <c r="AI197" s="105"/>
    </row>
    <row r="198" spans="1:35" ht="18" customHeight="1">
      <c r="A198" s="1"/>
      <c r="B198" s="3431">
        <v>8514</v>
      </c>
      <c r="C198" s="106" t="s">
        <v>283</v>
      </c>
      <c r="D198" s="106"/>
      <c r="E198" s="106"/>
      <c r="F198" s="106"/>
      <c r="G198" s="107" t="s">
        <v>283</v>
      </c>
      <c r="H198" s="106"/>
      <c r="I198" s="106"/>
      <c r="J198" s="106"/>
      <c r="K198" s="107" t="s">
        <v>283</v>
      </c>
      <c r="L198" s="106"/>
      <c r="M198" s="106"/>
      <c r="N198" s="106"/>
      <c r="O198" s="107" t="s">
        <v>283</v>
      </c>
      <c r="P198" s="106"/>
      <c r="Q198" s="106"/>
      <c r="R198" s="106"/>
      <c r="S198" s="107" t="s">
        <v>285</v>
      </c>
      <c r="T198" s="106"/>
      <c r="U198" s="106"/>
      <c r="V198" s="106"/>
      <c r="W198" s="106"/>
      <c r="X198" s="108"/>
      <c r="Y198" s="101"/>
      <c r="Z198" s="109"/>
      <c r="AA198" s="110"/>
      <c r="AB198" s="111"/>
      <c r="AC198" s="101"/>
      <c r="AD198" s="101"/>
      <c r="AE198" s="112"/>
      <c r="AF198" s="101"/>
      <c r="AG198" s="101"/>
      <c r="AH198" s="101"/>
      <c r="AI198" s="105"/>
    </row>
    <row r="199" spans="1:35" ht="18" customHeight="1" thickBot="1">
      <c r="A199" s="1"/>
      <c r="B199" s="3455" t="s">
        <v>288</v>
      </c>
      <c r="C199" s="3656" t="s">
        <v>289</v>
      </c>
      <c r="D199" s="3656"/>
      <c r="E199" s="3656"/>
      <c r="F199" s="3656"/>
      <c r="G199" s="3957" t="s">
        <v>289</v>
      </c>
      <c r="H199" s="3656"/>
      <c r="I199" s="3656"/>
      <c r="J199" s="3656"/>
      <c r="K199" s="3958" t="s">
        <v>289</v>
      </c>
      <c r="L199" s="3656"/>
      <c r="M199" s="3656"/>
      <c r="N199" s="3656"/>
      <c r="O199" s="3957" t="s">
        <v>289</v>
      </c>
      <c r="P199" s="3656"/>
      <c r="Q199" s="3656"/>
      <c r="R199" s="3656"/>
      <c r="S199" s="3957" t="s">
        <v>290</v>
      </c>
      <c r="T199" s="3656"/>
      <c r="U199" s="3656"/>
      <c r="V199" s="3656"/>
      <c r="W199" s="3656"/>
      <c r="X199" s="3957"/>
      <c r="Y199" s="3656"/>
      <c r="Z199" s="3900"/>
      <c r="AA199" s="3876"/>
      <c r="AB199" s="3656"/>
      <c r="AC199" s="3656"/>
      <c r="AD199" s="3883"/>
      <c r="AE199" s="3959"/>
      <c r="AF199" s="3656"/>
      <c r="AG199" s="3656"/>
      <c r="AH199" s="3883"/>
      <c r="AI199" s="3659"/>
    </row>
    <row r="200" spans="1:35" ht="18" customHeight="1">
      <c r="A200" s="1"/>
      <c r="B200" s="113"/>
      <c r="C200" s="37"/>
      <c r="D200" s="87"/>
      <c r="E200" s="87"/>
      <c r="F200" s="22"/>
      <c r="G200" s="37"/>
      <c r="H200" s="87"/>
      <c r="I200" s="87"/>
      <c r="J200" s="22"/>
      <c r="K200" s="37"/>
      <c r="L200" s="87"/>
      <c r="M200" s="87"/>
      <c r="N200" s="22"/>
      <c r="O200" s="37"/>
      <c r="P200" s="87"/>
      <c r="Q200" s="87"/>
      <c r="R200" s="22"/>
      <c r="S200" s="37"/>
      <c r="T200" s="87"/>
      <c r="U200" s="87"/>
      <c r="V200" s="22"/>
      <c r="W200" s="22"/>
      <c r="Z200" s="22"/>
      <c r="AA200" s="22"/>
      <c r="AD200" s="22"/>
      <c r="AE200" s="22"/>
      <c r="AH200" s="22"/>
    </row>
    <row r="201" spans="1:35" ht="18" customHeight="1">
      <c r="A201" s="1" t="s">
        <v>291</v>
      </c>
      <c r="B201" s="113"/>
      <c r="C201" s="37"/>
      <c r="D201" s="87"/>
      <c r="E201" s="87"/>
      <c r="F201" s="22"/>
      <c r="G201" s="37"/>
      <c r="H201" s="87"/>
      <c r="I201" s="87"/>
      <c r="J201" s="22"/>
      <c r="K201" s="37"/>
      <c r="L201" s="87"/>
      <c r="M201" s="87"/>
      <c r="N201" s="22"/>
      <c r="O201" s="37"/>
      <c r="P201" s="87"/>
      <c r="Q201" s="87"/>
      <c r="R201" s="22"/>
      <c r="S201" s="37"/>
      <c r="T201" s="87"/>
      <c r="U201" s="87"/>
      <c r="V201" s="22"/>
      <c r="W201" s="22"/>
      <c r="Z201" s="22"/>
      <c r="AA201" s="22"/>
      <c r="AD201" s="22"/>
      <c r="AE201" s="22"/>
      <c r="AH201" s="22"/>
    </row>
    <row r="202" spans="1:35" ht="18" customHeight="1" thickBot="1">
      <c r="A202" s="3711"/>
      <c r="B202" s="3661" t="s">
        <v>29</v>
      </c>
      <c r="C202" s="3712">
        <v>1</v>
      </c>
      <c r="D202" s="3712">
        <v>2</v>
      </c>
      <c r="E202" s="3712">
        <v>3</v>
      </c>
      <c r="F202" s="3712">
        <v>4</v>
      </c>
      <c r="G202" s="3712">
        <v>5</v>
      </c>
      <c r="H202" s="3713">
        <v>6</v>
      </c>
      <c r="I202" s="3713">
        <v>7</v>
      </c>
      <c r="J202" s="3712">
        <v>8</v>
      </c>
      <c r="K202" s="3712">
        <v>9</v>
      </c>
      <c r="L202" s="3712">
        <v>10</v>
      </c>
      <c r="M202" s="3712">
        <v>11</v>
      </c>
      <c r="N202" s="3712">
        <v>12</v>
      </c>
      <c r="O202" s="3713">
        <v>13</v>
      </c>
      <c r="P202" s="3713">
        <v>14</v>
      </c>
      <c r="Q202" s="3712">
        <v>15</v>
      </c>
      <c r="R202" s="3712">
        <v>16</v>
      </c>
      <c r="S202" s="3712">
        <v>17</v>
      </c>
      <c r="T202" s="3712">
        <v>18</v>
      </c>
      <c r="U202" s="3712">
        <v>19</v>
      </c>
      <c r="V202" s="3713">
        <v>20</v>
      </c>
      <c r="W202" s="3713">
        <v>21</v>
      </c>
      <c r="X202" s="3712">
        <v>22</v>
      </c>
      <c r="Y202" s="3712">
        <v>23</v>
      </c>
      <c r="Z202" s="3712">
        <v>24</v>
      </c>
      <c r="AA202" s="3712">
        <v>25</v>
      </c>
      <c r="AB202" s="3712">
        <v>26</v>
      </c>
      <c r="AC202" s="3713">
        <v>27</v>
      </c>
      <c r="AD202" s="3713">
        <v>28</v>
      </c>
      <c r="AE202" s="3712">
        <v>29</v>
      </c>
      <c r="AF202" s="3712">
        <v>30</v>
      </c>
      <c r="AG202" s="3714">
        <v>31</v>
      </c>
      <c r="AH202" s="23"/>
      <c r="AI202" s="24"/>
    </row>
    <row r="203" spans="1:35" ht="18" customHeight="1">
      <c r="A203" s="3960"/>
      <c r="B203" s="3961" t="s">
        <v>292</v>
      </c>
      <c r="C203" s="3718" t="s">
        <v>31</v>
      </c>
      <c r="D203" s="3962" t="s">
        <v>31</v>
      </c>
      <c r="E203" s="3718" t="s">
        <v>31</v>
      </c>
      <c r="F203" s="3718" t="s">
        <v>31</v>
      </c>
      <c r="G203" s="3718" t="s">
        <v>31</v>
      </c>
      <c r="H203" s="3718"/>
      <c r="I203" s="3718"/>
      <c r="J203" s="3718" t="s">
        <v>31</v>
      </c>
      <c r="K203" s="3718" t="s">
        <v>31</v>
      </c>
      <c r="L203" s="3718" t="s">
        <v>31</v>
      </c>
      <c r="M203" s="3718" t="s">
        <v>31</v>
      </c>
      <c r="N203" s="3718" t="s">
        <v>31</v>
      </c>
      <c r="O203" s="3718"/>
      <c r="P203" s="3718"/>
      <c r="Q203" s="3718" t="s">
        <v>31</v>
      </c>
      <c r="R203" s="3718" t="s">
        <v>31</v>
      </c>
      <c r="S203" s="3718" t="s">
        <v>31</v>
      </c>
      <c r="T203" s="3718" t="s">
        <v>31</v>
      </c>
      <c r="U203" s="3718" t="s">
        <v>31</v>
      </c>
      <c r="V203" s="3718"/>
      <c r="W203" s="3718"/>
      <c r="X203" s="3718" t="s">
        <v>31</v>
      </c>
      <c r="Y203" s="3718" t="s">
        <v>31</v>
      </c>
      <c r="Z203" s="3718" t="s">
        <v>31</v>
      </c>
      <c r="AA203" s="3718" t="s">
        <v>31</v>
      </c>
      <c r="AB203" s="3718" t="s">
        <v>31</v>
      </c>
      <c r="AC203" s="3718"/>
      <c r="AD203" s="3718"/>
      <c r="AE203" s="3718" t="s">
        <v>31</v>
      </c>
      <c r="AF203" s="3718" t="s">
        <v>31</v>
      </c>
      <c r="AG203" s="397" t="s">
        <v>31</v>
      </c>
      <c r="AH203" s="23"/>
      <c r="AI203" s="24"/>
    </row>
    <row r="204" spans="1:35" ht="18" customHeight="1">
      <c r="A204" s="3460"/>
      <c r="B204" s="3461"/>
      <c r="C204" s="3621" t="s">
        <v>31</v>
      </c>
      <c r="D204" s="3462" t="s">
        <v>31</v>
      </c>
      <c r="E204" s="3621" t="s">
        <v>31</v>
      </c>
      <c r="F204" s="3621" t="s">
        <v>31</v>
      </c>
      <c r="G204" s="3621" t="s">
        <v>31</v>
      </c>
      <c r="H204" s="3621"/>
      <c r="I204" s="3621"/>
      <c r="J204" s="3621" t="s">
        <v>31</v>
      </c>
      <c r="K204" s="3621" t="s">
        <v>31</v>
      </c>
      <c r="L204" s="3621" t="s">
        <v>31</v>
      </c>
      <c r="M204" s="3621" t="s">
        <v>31</v>
      </c>
      <c r="N204" s="3621" t="s">
        <v>31</v>
      </c>
      <c r="O204" s="3621"/>
      <c r="P204" s="3621"/>
      <c r="Q204" s="3621" t="s">
        <v>31</v>
      </c>
      <c r="R204" s="3621" t="s">
        <v>31</v>
      </c>
      <c r="S204" s="3621" t="s">
        <v>31</v>
      </c>
      <c r="T204" s="3621" t="s">
        <v>31</v>
      </c>
      <c r="U204" s="3621" t="s">
        <v>31</v>
      </c>
      <c r="V204" s="3621"/>
      <c r="W204" s="3621"/>
      <c r="X204" s="3621" t="s">
        <v>31</v>
      </c>
      <c r="Y204" s="3621" t="s">
        <v>31</v>
      </c>
      <c r="Z204" s="3621" t="s">
        <v>31</v>
      </c>
      <c r="AA204" s="3621" t="s">
        <v>31</v>
      </c>
      <c r="AB204" s="3621" t="s">
        <v>31</v>
      </c>
      <c r="AC204" s="3621"/>
      <c r="AD204" s="3621"/>
      <c r="AE204" s="3621" t="s">
        <v>31</v>
      </c>
      <c r="AF204" s="3621" t="s">
        <v>31</v>
      </c>
      <c r="AG204" s="3463" t="s">
        <v>31</v>
      </c>
      <c r="AH204" s="23"/>
      <c r="AI204" s="24"/>
    </row>
    <row r="205" spans="1:35" ht="18" customHeight="1">
      <c r="A205" s="3464">
        <v>8514</v>
      </c>
      <c r="B205" s="3418" t="s">
        <v>393</v>
      </c>
      <c r="C205" s="3429" t="s">
        <v>31</v>
      </c>
      <c r="D205" s="3429" t="s">
        <v>31</v>
      </c>
      <c r="E205" s="3621" t="s">
        <v>31</v>
      </c>
      <c r="F205" s="3621" t="s">
        <v>31</v>
      </c>
      <c r="G205" s="3621" t="s">
        <v>31</v>
      </c>
      <c r="H205" s="3621"/>
      <c r="I205" s="3621"/>
      <c r="J205" s="3429" t="s">
        <v>31</v>
      </c>
      <c r="K205" s="3429" t="s">
        <v>31</v>
      </c>
      <c r="L205" s="3429" t="s">
        <v>31</v>
      </c>
      <c r="M205" s="3429" t="s">
        <v>31</v>
      </c>
      <c r="N205" s="3429" t="s">
        <v>31</v>
      </c>
      <c r="O205" s="3621"/>
      <c r="P205" s="3621"/>
      <c r="Q205" s="3423" t="s">
        <v>31</v>
      </c>
      <c r="R205" s="3423" t="s">
        <v>31</v>
      </c>
      <c r="S205" s="3423" t="s">
        <v>31</v>
      </c>
      <c r="T205" s="3423" t="s">
        <v>31</v>
      </c>
      <c r="U205" s="3423" t="s">
        <v>31</v>
      </c>
      <c r="V205" s="3423"/>
      <c r="W205" s="3423"/>
      <c r="X205" s="3423" t="s">
        <v>31</v>
      </c>
      <c r="Y205" s="3423" t="s">
        <v>31</v>
      </c>
      <c r="Z205" s="3423" t="s">
        <v>31</v>
      </c>
      <c r="AA205" s="3423" t="s">
        <v>31</v>
      </c>
      <c r="AB205" s="3423" t="s">
        <v>31</v>
      </c>
      <c r="AC205" s="3423"/>
      <c r="AD205" s="3423"/>
      <c r="AE205" s="3423" t="s">
        <v>31</v>
      </c>
      <c r="AF205" s="3423" t="s">
        <v>31</v>
      </c>
      <c r="AG205" s="3963" t="s">
        <v>31</v>
      </c>
      <c r="AH205" s="34"/>
      <c r="AI205" s="25"/>
    </row>
    <row r="206" spans="1:35" ht="18" customHeight="1">
      <c r="A206" s="3464">
        <v>3701</v>
      </c>
      <c r="B206" s="3418" t="s">
        <v>295</v>
      </c>
      <c r="C206" s="3621" t="s">
        <v>31</v>
      </c>
      <c r="D206" s="3621" t="s">
        <v>31</v>
      </c>
      <c r="E206" s="3621" t="s">
        <v>31</v>
      </c>
      <c r="F206" s="3621" t="s">
        <v>31</v>
      </c>
      <c r="G206" s="3621" t="s">
        <v>31</v>
      </c>
      <c r="H206" s="3621"/>
      <c r="I206" s="3621"/>
      <c r="J206" s="3429" t="s">
        <v>31</v>
      </c>
      <c r="K206" s="3621" t="s">
        <v>31</v>
      </c>
      <c r="L206" s="3621" t="s">
        <v>31</v>
      </c>
      <c r="M206" s="3429" t="s">
        <v>31</v>
      </c>
      <c r="N206" s="3621" t="s">
        <v>31</v>
      </c>
      <c r="O206" s="3621"/>
      <c r="P206" s="3621"/>
      <c r="Q206" s="3621" t="s">
        <v>31</v>
      </c>
      <c r="R206" s="3621" t="s">
        <v>31</v>
      </c>
      <c r="S206" s="3621" t="s">
        <v>31</v>
      </c>
      <c r="T206" s="3621" t="s">
        <v>31</v>
      </c>
      <c r="U206" s="3429" t="s">
        <v>31</v>
      </c>
      <c r="V206" s="3621"/>
      <c r="W206" s="3621"/>
      <c r="X206" s="3423" t="s">
        <v>31</v>
      </c>
      <c r="Y206" s="3423" t="s">
        <v>31</v>
      </c>
      <c r="Z206" s="3423" t="s">
        <v>31</v>
      </c>
      <c r="AA206" s="3423" t="s">
        <v>31</v>
      </c>
      <c r="AB206" s="3423" t="s">
        <v>31</v>
      </c>
      <c r="AC206" s="3423"/>
      <c r="AD206" s="3423"/>
      <c r="AE206" s="3423" t="s">
        <v>31</v>
      </c>
      <c r="AF206" s="3423" t="s">
        <v>31</v>
      </c>
      <c r="AG206" s="3963" t="s">
        <v>31</v>
      </c>
      <c r="AH206" s="34"/>
      <c r="AI206" s="25"/>
    </row>
    <row r="207" spans="1:35" ht="18" customHeight="1">
      <c r="A207" s="3464">
        <v>3701</v>
      </c>
      <c r="B207" s="3418" t="s">
        <v>296</v>
      </c>
      <c r="C207" s="3949" t="s">
        <v>31</v>
      </c>
      <c r="D207" s="3949" t="s">
        <v>31</v>
      </c>
      <c r="E207" s="3949" t="s">
        <v>31</v>
      </c>
      <c r="F207" s="3949" t="s">
        <v>31</v>
      </c>
      <c r="G207" s="3949" t="s">
        <v>31</v>
      </c>
      <c r="H207" s="3621"/>
      <c r="I207" s="3621"/>
      <c r="J207" s="3621" t="s">
        <v>31</v>
      </c>
      <c r="K207" s="3621" t="s">
        <v>31</v>
      </c>
      <c r="L207" s="3621" t="s">
        <v>31</v>
      </c>
      <c r="M207" s="3621" t="s">
        <v>31</v>
      </c>
      <c r="N207" s="3621" t="s">
        <v>31</v>
      </c>
      <c r="O207" s="3621"/>
      <c r="P207" s="3621"/>
      <c r="Q207" s="3621" t="s">
        <v>31</v>
      </c>
      <c r="R207" s="3621" t="s">
        <v>31</v>
      </c>
      <c r="S207" s="3621" t="s">
        <v>31</v>
      </c>
      <c r="T207" s="3621" t="s">
        <v>31</v>
      </c>
      <c r="U207" s="3621" t="s">
        <v>31</v>
      </c>
      <c r="V207" s="3621"/>
      <c r="W207" s="3621"/>
      <c r="X207" s="3621" t="s">
        <v>31</v>
      </c>
      <c r="Y207" s="3621" t="s">
        <v>31</v>
      </c>
      <c r="Z207" s="3621" t="s">
        <v>31</v>
      </c>
      <c r="AA207" s="3621" t="s">
        <v>31</v>
      </c>
      <c r="AB207" s="3621" t="s">
        <v>31</v>
      </c>
      <c r="AC207" s="3621"/>
      <c r="AD207" s="3621"/>
      <c r="AE207" s="3621">
        <v>19</v>
      </c>
      <c r="AF207" s="3621">
        <v>19</v>
      </c>
      <c r="AG207" s="3463">
        <v>19</v>
      </c>
      <c r="AH207" s="34"/>
      <c r="AI207" s="25"/>
    </row>
    <row r="208" spans="1:35" ht="18" customHeight="1">
      <c r="A208" s="3464">
        <v>3701</v>
      </c>
      <c r="B208" s="3418" t="s">
        <v>297</v>
      </c>
      <c r="C208" s="3749" t="s">
        <v>31</v>
      </c>
      <c r="D208" s="3749" t="s">
        <v>31</v>
      </c>
      <c r="E208" s="3749" t="s">
        <v>31</v>
      </c>
      <c r="F208" s="3749" t="s">
        <v>304</v>
      </c>
      <c r="G208" s="3949" t="s">
        <v>31</v>
      </c>
      <c r="H208" s="3949"/>
      <c r="I208" s="3949"/>
      <c r="J208" s="3949">
        <v>19</v>
      </c>
      <c r="K208" s="3949">
        <v>19</v>
      </c>
      <c r="L208" s="3949">
        <v>19</v>
      </c>
      <c r="M208" s="3949">
        <v>19</v>
      </c>
      <c r="N208" s="3949">
        <v>19</v>
      </c>
      <c r="O208" s="3949"/>
      <c r="P208" s="3949"/>
      <c r="Q208" s="3949" t="s">
        <v>31</v>
      </c>
      <c r="R208" s="3949" t="s">
        <v>31</v>
      </c>
      <c r="S208" s="3949" t="s">
        <v>31</v>
      </c>
      <c r="T208" s="3949" t="s">
        <v>31</v>
      </c>
      <c r="U208" s="3949" t="s">
        <v>31</v>
      </c>
      <c r="V208" s="3621"/>
      <c r="W208" s="3621"/>
      <c r="X208" s="3949" t="s">
        <v>31</v>
      </c>
      <c r="Y208" s="3949" t="s">
        <v>31</v>
      </c>
      <c r="Z208" s="3949" t="s">
        <v>31</v>
      </c>
      <c r="AA208" s="3949" t="s">
        <v>31</v>
      </c>
      <c r="AB208" s="3620" t="s">
        <v>31</v>
      </c>
      <c r="AC208" s="3620"/>
      <c r="AD208" s="3620"/>
      <c r="AE208" s="3620" t="s">
        <v>31</v>
      </c>
      <c r="AF208" s="3620" t="s">
        <v>31</v>
      </c>
      <c r="AG208" s="3964" t="s">
        <v>31</v>
      </c>
      <c r="AH208" s="34"/>
      <c r="AI208" s="25"/>
    </row>
    <row r="209" spans="1:35" ht="18" customHeight="1">
      <c r="A209" s="3464">
        <v>3701</v>
      </c>
      <c r="B209" s="3418" t="s">
        <v>298</v>
      </c>
      <c r="C209" s="3621" t="s">
        <v>31</v>
      </c>
      <c r="D209" s="3621" t="s">
        <v>31</v>
      </c>
      <c r="E209" s="3621" t="s">
        <v>31</v>
      </c>
      <c r="F209" s="3621" t="s">
        <v>31</v>
      </c>
      <c r="G209" s="3621" t="s">
        <v>31</v>
      </c>
      <c r="H209" s="3621"/>
      <c r="I209" s="3621"/>
      <c r="J209" s="3427" t="s">
        <v>31</v>
      </c>
      <c r="K209" s="3427" t="s">
        <v>31</v>
      </c>
      <c r="L209" s="3621" t="s">
        <v>31</v>
      </c>
      <c r="M209" s="3621" t="s">
        <v>31</v>
      </c>
      <c r="N209" s="3429" t="s">
        <v>31</v>
      </c>
      <c r="O209" s="3621"/>
      <c r="P209" s="3621"/>
      <c r="Q209" s="3423" t="s">
        <v>31</v>
      </c>
      <c r="R209" s="3423" t="s">
        <v>31</v>
      </c>
      <c r="S209" s="3423" t="s">
        <v>31</v>
      </c>
      <c r="T209" s="3423" t="s">
        <v>31</v>
      </c>
      <c r="U209" s="3423" t="s">
        <v>31</v>
      </c>
      <c r="V209" s="3421"/>
      <c r="W209" s="3621"/>
      <c r="X209" s="3621">
        <v>19</v>
      </c>
      <c r="Y209" s="3621">
        <v>19</v>
      </c>
      <c r="Z209" s="3621">
        <v>19</v>
      </c>
      <c r="AA209" s="3421">
        <v>19</v>
      </c>
      <c r="AB209" s="3421">
        <v>19</v>
      </c>
      <c r="AC209" s="3621"/>
      <c r="AD209" s="3621"/>
      <c r="AE209" s="3621" t="s">
        <v>31</v>
      </c>
      <c r="AF209" s="3621" t="s">
        <v>31</v>
      </c>
      <c r="AG209" s="3463" t="s">
        <v>31</v>
      </c>
      <c r="AH209" s="34"/>
      <c r="AI209" s="25"/>
    </row>
    <row r="210" spans="1:35" ht="18" customHeight="1">
      <c r="A210" s="3464">
        <v>3701</v>
      </c>
      <c r="B210" s="3418" t="s">
        <v>299</v>
      </c>
      <c r="C210" s="3949" t="s">
        <v>31</v>
      </c>
      <c r="D210" s="3949" t="s">
        <v>31</v>
      </c>
      <c r="E210" s="3949" t="s">
        <v>31</v>
      </c>
      <c r="F210" s="3949" t="s">
        <v>31</v>
      </c>
      <c r="G210" s="3949" t="s">
        <v>31</v>
      </c>
      <c r="H210" s="3949"/>
      <c r="I210" s="3949"/>
      <c r="J210" s="3949" t="s">
        <v>31</v>
      </c>
      <c r="K210" s="3949" t="s">
        <v>31</v>
      </c>
      <c r="L210" s="3949" t="s">
        <v>31</v>
      </c>
      <c r="M210" s="3949" t="s">
        <v>31</v>
      </c>
      <c r="N210" s="3949" t="s">
        <v>31</v>
      </c>
      <c r="O210" s="3949"/>
      <c r="P210" s="3949"/>
      <c r="Q210" s="3949">
        <v>19</v>
      </c>
      <c r="R210" s="3949">
        <v>19</v>
      </c>
      <c r="S210" s="3949">
        <v>19</v>
      </c>
      <c r="T210" s="3949">
        <v>19</v>
      </c>
      <c r="U210" s="3949">
        <v>19</v>
      </c>
      <c r="V210" s="3949"/>
      <c r="W210" s="3949"/>
      <c r="X210" s="3949" t="s">
        <v>31</v>
      </c>
      <c r="Y210" s="3949" t="s">
        <v>31</v>
      </c>
      <c r="Z210" s="3949" t="s">
        <v>31</v>
      </c>
      <c r="AA210" s="3949" t="s">
        <v>31</v>
      </c>
      <c r="AB210" s="3949" t="s">
        <v>31</v>
      </c>
      <c r="AC210" s="3621"/>
      <c r="AD210" s="3621"/>
      <c r="AE210" s="3620" t="s">
        <v>31</v>
      </c>
      <c r="AF210" s="3620" t="s">
        <v>31</v>
      </c>
      <c r="AG210" s="3964" t="s">
        <v>31</v>
      </c>
      <c r="AH210" s="34"/>
      <c r="AI210" s="25"/>
    </row>
    <row r="211" spans="1:35" ht="18" customHeight="1">
      <c r="A211" s="3464">
        <v>3701</v>
      </c>
      <c r="B211" s="3418" t="s">
        <v>300</v>
      </c>
      <c r="C211" s="3423" t="s">
        <v>31</v>
      </c>
      <c r="D211" s="3423" t="s">
        <v>31</v>
      </c>
      <c r="E211" s="3423" t="s">
        <v>31</v>
      </c>
      <c r="F211" s="3423" t="s">
        <v>31</v>
      </c>
      <c r="G211" s="3423" t="s">
        <v>31</v>
      </c>
      <c r="H211" s="3621"/>
      <c r="I211" s="3621"/>
      <c r="J211" s="3415" t="s">
        <v>31</v>
      </c>
      <c r="K211" s="3415" t="s">
        <v>31</v>
      </c>
      <c r="L211" s="3415" t="s">
        <v>31</v>
      </c>
      <c r="M211" s="3415" t="s">
        <v>31</v>
      </c>
      <c r="N211" s="3415" t="s">
        <v>31</v>
      </c>
      <c r="O211" s="3415"/>
      <c r="P211" s="3415"/>
      <c r="Q211" s="3415" t="s">
        <v>31</v>
      </c>
      <c r="R211" s="3415" t="s">
        <v>31</v>
      </c>
      <c r="S211" s="3415" t="s">
        <v>31</v>
      </c>
      <c r="T211" s="3415" t="s">
        <v>31</v>
      </c>
      <c r="U211" s="3415" t="s">
        <v>31</v>
      </c>
      <c r="V211" s="3415"/>
      <c r="W211" s="3415"/>
      <c r="X211" s="3415" t="s">
        <v>31</v>
      </c>
      <c r="Y211" s="3415" t="s">
        <v>31</v>
      </c>
      <c r="Z211" s="3415" t="s">
        <v>31</v>
      </c>
      <c r="AA211" s="3415" t="s">
        <v>31</v>
      </c>
      <c r="AB211" s="3415" t="s">
        <v>31</v>
      </c>
      <c r="AC211" s="3621"/>
      <c r="AD211" s="3621"/>
      <c r="AE211" s="3423" t="s">
        <v>31</v>
      </c>
      <c r="AF211" s="3423" t="s">
        <v>31</v>
      </c>
      <c r="AG211" s="3963" t="s">
        <v>31</v>
      </c>
      <c r="AH211" s="34"/>
      <c r="AI211" s="25"/>
    </row>
    <row r="212" spans="1:35" ht="18" customHeight="1">
      <c r="A212" s="3464">
        <v>3701</v>
      </c>
      <c r="B212" s="3418" t="s">
        <v>301</v>
      </c>
      <c r="C212" s="3949">
        <v>19</v>
      </c>
      <c r="D212" s="3949">
        <v>19</v>
      </c>
      <c r="E212" s="3949">
        <v>19</v>
      </c>
      <c r="F212" s="3949">
        <v>19</v>
      </c>
      <c r="G212" s="3949">
        <v>19</v>
      </c>
      <c r="H212" s="3949"/>
      <c r="I212" s="3949"/>
      <c r="J212" s="3949" t="s">
        <v>31</v>
      </c>
      <c r="K212" s="3949" t="s">
        <v>31</v>
      </c>
      <c r="L212" s="3949" t="s">
        <v>31</v>
      </c>
      <c r="M212" s="3949" t="s">
        <v>31</v>
      </c>
      <c r="N212" s="3949" t="s">
        <v>31</v>
      </c>
      <c r="O212" s="3949"/>
      <c r="P212" s="3949"/>
      <c r="Q212" s="3949" t="s">
        <v>31</v>
      </c>
      <c r="R212" s="3949" t="s">
        <v>31</v>
      </c>
      <c r="S212" s="3949" t="s">
        <v>31</v>
      </c>
      <c r="T212" s="3949" t="s">
        <v>31</v>
      </c>
      <c r="U212" s="3949" t="s">
        <v>31</v>
      </c>
      <c r="V212" s="3621"/>
      <c r="W212" s="3621"/>
      <c r="X212" s="3620" t="s">
        <v>31</v>
      </c>
      <c r="Y212" s="3620" t="s">
        <v>31</v>
      </c>
      <c r="Z212" s="3620" t="s">
        <v>31</v>
      </c>
      <c r="AA212" s="3620" t="s">
        <v>31</v>
      </c>
      <c r="AB212" s="3620" t="s">
        <v>31</v>
      </c>
      <c r="AC212" s="3620"/>
      <c r="AD212" s="3620"/>
      <c r="AE212" s="3620" t="s">
        <v>31</v>
      </c>
      <c r="AF212" s="3620" t="s">
        <v>31</v>
      </c>
      <c r="AG212" s="3964" t="s">
        <v>31</v>
      </c>
      <c r="AH212" s="34"/>
      <c r="AI212" s="25"/>
    </row>
    <row r="213" spans="1:35" ht="18" customHeight="1">
      <c r="A213" s="3467">
        <v>3701</v>
      </c>
      <c r="B213" s="3418" t="s">
        <v>302</v>
      </c>
      <c r="C213" s="3423" t="s">
        <v>31</v>
      </c>
      <c r="D213" s="3423" t="s">
        <v>31</v>
      </c>
      <c r="E213" s="3423" t="s">
        <v>31</v>
      </c>
      <c r="F213" s="3423" t="s">
        <v>31</v>
      </c>
      <c r="G213" s="3423" t="s">
        <v>31</v>
      </c>
      <c r="H213" s="3423"/>
      <c r="I213" s="3423"/>
      <c r="J213" s="3949" t="s">
        <v>31</v>
      </c>
      <c r="K213" s="3949" t="s">
        <v>31</v>
      </c>
      <c r="L213" s="3949" t="s">
        <v>31</v>
      </c>
      <c r="M213" s="3949" t="s">
        <v>31</v>
      </c>
      <c r="N213" s="3949" t="s">
        <v>31</v>
      </c>
      <c r="O213" s="3949"/>
      <c r="P213" s="3949"/>
      <c r="Q213" s="3621" t="s">
        <v>31</v>
      </c>
      <c r="R213" s="3621" t="s">
        <v>31</v>
      </c>
      <c r="S213" s="3951" t="s">
        <v>31</v>
      </c>
      <c r="T213" s="3430" t="s">
        <v>31</v>
      </c>
      <c r="U213" s="3430" t="s">
        <v>31</v>
      </c>
      <c r="V213" s="3430"/>
      <c r="W213" s="3621"/>
      <c r="X213" s="3621" t="s">
        <v>31</v>
      </c>
      <c r="Y213" s="3621" t="s">
        <v>31</v>
      </c>
      <c r="Z213" s="3423" t="s">
        <v>31</v>
      </c>
      <c r="AA213" s="3423" t="s">
        <v>31</v>
      </c>
      <c r="AB213" s="3423" t="s">
        <v>31</v>
      </c>
      <c r="AC213" s="3621"/>
      <c r="AD213" s="3621"/>
      <c r="AE213" s="3621" t="s">
        <v>31</v>
      </c>
      <c r="AF213" s="3621" t="s">
        <v>31</v>
      </c>
      <c r="AG213" s="3463" t="s">
        <v>31</v>
      </c>
      <c r="AH213" s="34"/>
      <c r="AI213" s="25"/>
    </row>
    <row r="214" spans="1:35" ht="18" customHeight="1">
      <c r="A214" s="3464">
        <v>3701</v>
      </c>
      <c r="B214" s="3418" t="s">
        <v>303</v>
      </c>
      <c r="C214" s="3621" t="s">
        <v>31</v>
      </c>
      <c r="D214" s="3621" t="s">
        <v>31</v>
      </c>
      <c r="E214" s="3621" t="s">
        <v>31</v>
      </c>
      <c r="F214" s="3621" t="s">
        <v>31</v>
      </c>
      <c r="G214" s="3621" t="s">
        <v>31</v>
      </c>
      <c r="H214" s="3621"/>
      <c r="I214" s="3621"/>
      <c r="J214" s="3621" t="s">
        <v>31</v>
      </c>
      <c r="K214" s="3621" t="s">
        <v>31</v>
      </c>
      <c r="L214" s="3621" t="s">
        <v>31</v>
      </c>
      <c r="M214" s="3621" t="s">
        <v>31</v>
      </c>
      <c r="N214" s="3621" t="s">
        <v>31</v>
      </c>
      <c r="O214" s="3621"/>
      <c r="P214" s="3621"/>
      <c r="Q214" s="3423" t="s">
        <v>31</v>
      </c>
      <c r="R214" s="3423" t="s">
        <v>31</v>
      </c>
      <c r="S214" s="3423" t="s">
        <v>31</v>
      </c>
      <c r="T214" s="3423" t="s">
        <v>31</v>
      </c>
      <c r="U214" s="3423" t="s">
        <v>31</v>
      </c>
      <c r="V214" s="3423"/>
      <c r="W214" s="3423"/>
      <c r="X214" s="3423" t="s">
        <v>31</v>
      </c>
      <c r="Y214" s="3423" t="s">
        <v>31</v>
      </c>
      <c r="Z214" s="3423" t="s">
        <v>31</v>
      </c>
      <c r="AA214" s="3423" t="s">
        <v>31</v>
      </c>
      <c r="AB214" s="3423" t="s">
        <v>31</v>
      </c>
      <c r="AC214" s="3621"/>
      <c r="AD214" s="3421"/>
      <c r="AE214" s="3421" t="s">
        <v>31</v>
      </c>
      <c r="AF214" s="3421" t="s">
        <v>31</v>
      </c>
      <c r="AG214" s="3471" t="s">
        <v>31</v>
      </c>
      <c r="AH214" s="34"/>
      <c r="AI214" s="25"/>
    </row>
    <row r="215" spans="1:35" ht="18" customHeight="1">
      <c r="A215" s="3464">
        <v>3701</v>
      </c>
      <c r="B215" s="3418" t="s">
        <v>305</v>
      </c>
      <c r="C215" s="3423" t="s">
        <v>31</v>
      </c>
      <c r="D215" s="3423" t="s">
        <v>31</v>
      </c>
      <c r="E215" s="3423" t="s">
        <v>31</v>
      </c>
      <c r="F215" s="3423" t="s">
        <v>31</v>
      </c>
      <c r="G215" s="3423" t="s">
        <v>31</v>
      </c>
      <c r="H215" s="3949"/>
      <c r="I215" s="3949"/>
      <c r="J215" s="3949" t="s">
        <v>31</v>
      </c>
      <c r="K215" s="3472" t="s">
        <v>31</v>
      </c>
      <c r="L215" s="3472" t="s">
        <v>31</v>
      </c>
      <c r="M215" s="3472" t="s">
        <v>31</v>
      </c>
      <c r="N215" s="3472" t="s">
        <v>31</v>
      </c>
      <c r="O215" s="3472"/>
      <c r="P215" s="3472"/>
      <c r="Q215" s="3472" t="s">
        <v>31</v>
      </c>
      <c r="R215" s="3472" t="s">
        <v>31</v>
      </c>
      <c r="S215" s="3472" t="s">
        <v>31</v>
      </c>
      <c r="T215" s="3472" t="s">
        <v>31</v>
      </c>
      <c r="U215" s="3472" t="s">
        <v>31</v>
      </c>
      <c r="V215" s="3472"/>
      <c r="W215" s="3472"/>
      <c r="X215" s="3472" t="s">
        <v>31</v>
      </c>
      <c r="Y215" s="3472" t="s">
        <v>31</v>
      </c>
      <c r="Z215" s="3472" t="s">
        <v>31</v>
      </c>
      <c r="AA215" s="3472" t="s">
        <v>31</v>
      </c>
      <c r="AB215" s="3621" t="s">
        <v>31</v>
      </c>
      <c r="AC215" s="3621"/>
      <c r="AD215" s="3621"/>
      <c r="AE215" s="3621" t="s">
        <v>31</v>
      </c>
      <c r="AF215" s="3621" t="s">
        <v>31</v>
      </c>
      <c r="AG215" s="3475" t="s">
        <v>31</v>
      </c>
      <c r="AH215" s="34"/>
      <c r="AI215" s="25"/>
    </row>
    <row r="216" spans="1:35" ht="18" customHeight="1">
      <c r="A216" s="3464"/>
      <c r="B216" s="3476" t="s">
        <v>277</v>
      </c>
      <c r="C216" s="3621"/>
      <c r="D216" s="3621"/>
      <c r="E216" s="3621"/>
      <c r="F216" s="3621"/>
      <c r="G216" s="3621"/>
      <c r="H216" s="3621"/>
      <c r="I216" s="3621"/>
      <c r="J216" s="3621"/>
      <c r="K216" s="3621"/>
      <c r="L216" s="3621"/>
      <c r="M216" s="3621"/>
      <c r="N216" s="3621"/>
      <c r="O216" s="3621"/>
      <c r="P216" s="3621"/>
      <c r="Q216" s="3621"/>
      <c r="R216" s="3621"/>
      <c r="S216" s="3621"/>
      <c r="T216" s="3621"/>
      <c r="U216" s="3621"/>
      <c r="V216" s="3621"/>
      <c r="W216" s="3621"/>
      <c r="X216" s="3621"/>
      <c r="Y216" s="3621"/>
      <c r="Z216" s="3621"/>
      <c r="AA216" s="3621"/>
      <c r="AB216" s="3621"/>
      <c r="AC216" s="3621"/>
      <c r="AD216" s="3621"/>
      <c r="AE216" s="3621"/>
      <c r="AF216" s="3621"/>
      <c r="AG216" s="3463"/>
      <c r="AH216" s="34"/>
      <c r="AI216" s="25"/>
    </row>
    <row r="217" spans="1:35" ht="18" customHeight="1">
      <c r="A217" s="3464"/>
      <c r="B217" s="3418" t="s">
        <v>306</v>
      </c>
      <c r="C217" s="3472" t="s">
        <v>31</v>
      </c>
      <c r="D217" s="3472" t="s">
        <v>31</v>
      </c>
      <c r="E217" s="3472" t="s">
        <v>31</v>
      </c>
      <c r="F217" s="3472" t="s">
        <v>31</v>
      </c>
      <c r="G217" s="3472" t="s">
        <v>31</v>
      </c>
      <c r="H217" s="3472"/>
      <c r="I217" s="3472"/>
      <c r="J217" s="3949" t="s">
        <v>31</v>
      </c>
      <c r="K217" s="3949" t="s">
        <v>31</v>
      </c>
      <c r="L217" s="3949" t="s">
        <v>31</v>
      </c>
      <c r="M217" s="3949" t="s">
        <v>31</v>
      </c>
      <c r="N217" s="3949" t="s">
        <v>31</v>
      </c>
      <c r="O217" s="3949"/>
      <c r="P217" s="3949"/>
      <c r="Q217" s="3949" t="s">
        <v>31</v>
      </c>
      <c r="R217" s="3949" t="s">
        <v>31</v>
      </c>
      <c r="S217" s="3949" t="s">
        <v>31</v>
      </c>
      <c r="T217" s="3949" t="s">
        <v>31</v>
      </c>
      <c r="U217" s="3949" t="s">
        <v>31</v>
      </c>
      <c r="V217" s="3949"/>
      <c r="W217" s="3949"/>
      <c r="X217" s="3949" t="s">
        <v>31</v>
      </c>
      <c r="Y217" s="3949" t="s">
        <v>31</v>
      </c>
      <c r="Z217" s="3949" t="s">
        <v>31</v>
      </c>
      <c r="AA217" s="3949" t="s">
        <v>31</v>
      </c>
      <c r="AB217" s="3949" t="s">
        <v>31</v>
      </c>
      <c r="AC217" s="3472"/>
      <c r="AD217" s="3472"/>
      <c r="AE217" s="3472" t="s">
        <v>31</v>
      </c>
      <c r="AF217" s="3621" t="s">
        <v>31</v>
      </c>
      <c r="AG217" s="3965" t="s">
        <v>31</v>
      </c>
      <c r="AH217" s="34"/>
      <c r="AI217" s="25"/>
    </row>
    <row r="218" spans="1:35" ht="18" customHeight="1">
      <c r="A218" s="3464"/>
      <c r="B218" s="3418" t="s">
        <v>307</v>
      </c>
      <c r="C218" s="3621" t="s">
        <v>31</v>
      </c>
      <c r="D218" s="3732" t="s">
        <v>31</v>
      </c>
      <c r="E218" s="3732" t="s">
        <v>31</v>
      </c>
      <c r="F218" s="3732" t="s">
        <v>31</v>
      </c>
      <c r="G218" s="3732" t="s">
        <v>31</v>
      </c>
      <c r="H218" s="3732"/>
      <c r="I218" s="3621"/>
      <c r="J218" s="3423" t="s">
        <v>31</v>
      </c>
      <c r="K218" s="3423" t="s">
        <v>31</v>
      </c>
      <c r="L218" s="3423" t="s">
        <v>31</v>
      </c>
      <c r="M218" s="3423" t="s">
        <v>31</v>
      </c>
      <c r="N218" s="3423" t="s">
        <v>31</v>
      </c>
      <c r="O218" s="3423"/>
      <c r="P218" s="3423"/>
      <c r="Q218" s="3423" t="s">
        <v>31</v>
      </c>
      <c r="R218" s="3423" t="s">
        <v>31</v>
      </c>
      <c r="S218" s="3423" t="s">
        <v>31</v>
      </c>
      <c r="T218" s="3423" t="s">
        <v>31</v>
      </c>
      <c r="U218" s="3423" t="s">
        <v>31</v>
      </c>
      <c r="V218" s="3423"/>
      <c r="W218" s="3423"/>
      <c r="X218" s="3423" t="s">
        <v>31</v>
      </c>
      <c r="Y218" s="3423" t="s">
        <v>31</v>
      </c>
      <c r="Z218" s="3423" t="s">
        <v>31</v>
      </c>
      <c r="AA218" s="3423" t="s">
        <v>31</v>
      </c>
      <c r="AB218" s="3423" t="s">
        <v>31</v>
      </c>
      <c r="AC218" s="3621"/>
      <c r="AD218" s="3621"/>
      <c r="AE218" s="3621" t="s">
        <v>31</v>
      </c>
      <c r="AF218" s="3621" t="s">
        <v>31</v>
      </c>
      <c r="AG218" s="3463" t="s">
        <v>31</v>
      </c>
      <c r="AH218" s="34"/>
      <c r="AI218" s="25"/>
    </row>
    <row r="219" spans="1:35" ht="18" customHeight="1">
      <c r="A219" s="3464"/>
      <c r="B219" s="3418" t="s">
        <v>308</v>
      </c>
      <c r="C219" s="3621" t="s">
        <v>31</v>
      </c>
      <c r="D219" s="3621" t="s">
        <v>31</v>
      </c>
      <c r="E219" s="3621" t="s">
        <v>31</v>
      </c>
      <c r="F219" s="3621" t="s">
        <v>31</v>
      </c>
      <c r="G219" s="3621" t="s">
        <v>31</v>
      </c>
      <c r="H219" s="3621"/>
      <c r="I219" s="3621"/>
      <c r="J219" s="3621" t="s">
        <v>31</v>
      </c>
      <c r="K219" s="3621" t="s">
        <v>31</v>
      </c>
      <c r="L219" s="3621" t="s">
        <v>31</v>
      </c>
      <c r="M219" s="3621" t="s">
        <v>31</v>
      </c>
      <c r="N219" s="3732" t="s">
        <v>31</v>
      </c>
      <c r="O219" s="3732"/>
      <c r="P219" s="3621"/>
      <c r="Q219" s="3621" t="s">
        <v>31</v>
      </c>
      <c r="R219" s="3621" t="s">
        <v>31</v>
      </c>
      <c r="S219" s="3621" t="s">
        <v>31</v>
      </c>
      <c r="T219" s="3421" t="s">
        <v>31</v>
      </c>
      <c r="U219" s="3621" t="s">
        <v>31</v>
      </c>
      <c r="V219" s="114"/>
      <c r="W219" s="3621"/>
      <c r="X219" s="3949" t="s">
        <v>31</v>
      </c>
      <c r="Y219" s="3949" t="s">
        <v>31</v>
      </c>
      <c r="Z219" s="3949" t="s">
        <v>31</v>
      </c>
      <c r="AA219" s="3949" t="s">
        <v>31</v>
      </c>
      <c r="AB219" s="3949" t="s">
        <v>31</v>
      </c>
      <c r="AC219" s="3949"/>
      <c r="AD219" s="3949"/>
      <c r="AE219" s="3949" t="s">
        <v>31</v>
      </c>
      <c r="AF219" s="3949" t="s">
        <v>31</v>
      </c>
      <c r="AG219" s="3966" t="s">
        <v>31</v>
      </c>
      <c r="AH219" s="34"/>
      <c r="AI219" s="25"/>
    </row>
    <row r="220" spans="1:35" ht="18" customHeight="1">
      <c r="A220" s="3464"/>
      <c r="B220" s="3418" t="s">
        <v>309</v>
      </c>
      <c r="C220" s="3415" t="s">
        <v>31</v>
      </c>
      <c r="D220" s="3415" t="s">
        <v>31</v>
      </c>
      <c r="E220" s="3415" t="s">
        <v>31</v>
      </c>
      <c r="F220" s="3415" t="s">
        <v>31</v>
      </c>
      <c r="G220" s="3415" t="s">
        <v>31</v>
      </c>
      <c r="H220" s="3415"/>
      <c r="I220" s="3415"/>
      <c r="J220" s="3415" t="s">
        <v>31</v>
      </c>
      <c r="K220" s="3415" t="s">
        <v>31</v>
      </c>
      <c r="L220" s="3415" t="s">
        <v>31</v>
      </c>
      <c r="M220" s="3415" t="s">
        <v>31</v>
      </c>
      <c r="N220" s="3415" t="s">
        <v>31</v>
      </c>
      <c r="O220" s="3415"/>
      <c r="P220" s="3415"/>
      <c r="Q220" s="3415" t="s">
        <v>31</v>
      </c>
      <c r="R220" s="3415" t="s">
        <v>31</v>
      </c>
      <c r="S220" s="3415" t="s">
        <v>31</v>
      </c>
      <c r="T220" s="3415" t="s">
        <v>31</v>
      </c>
      <c r="U220" s="3415" t="s">
        <v>31</v>
      </c>
      <c r="V220" s="3415"/>
      <c r="W220" s="3415"/>
      <c r="X220" s="3415" t="s">
        <v>31</v>
      </c>
      <c r="Y220" s="3415" t="s">
        <v>31</v>
      </c>
      <c r="Z220" s="3415" t="s">
        <v>31</v>
      </c>
      <c r="AA220" s="3415" t="s">
        <v>31</v>
      </c>
      <c r="AB220" s="3415" t="s">
        <v>31</v>
      </c>
      <c r="AC220" s="3415"/>
      <c r="AD220" s="3415"/>
      <c r="AE220" s="3415" t="s">
        <v>31</v>
      </c>
      <c r="AF220" s="3415" t="s">
        <v>31</v>
      </c>
      <c r="AG220" s="3965" t="s">
        <v>31</v>
      </c>
      <c r="AH220" s="34"/>
      <c r="AI220" s="25"/>
    </row>
    <row r="221" spans="1:35" ht="18" customHeight="1">
      <c r="A221" s="3464"/>
      <c r="B221" s="3478" t="s">
        <v>310</v>
      </c>
      <c r="C221" s="3621"/>
      <c r="D221" s="3621"/>
      <c r="E221" s="3621"/>
      <c r="F221" s="3621"/>
      <c r="G221" s="3621"/>
      <c r="H221" s="3621"/>
      <c r="I221" s="3621"/>
      <c r="J221" s="3621"/>
      <c r="K221" s="3621"/>
      <c r="L221" s="3621"/>
      <c r="M221" s="3621"/>
      <c r="N221" s="3621"/>
      <c r="O221" s="3621"/>
      <c r="P221" s="3621"/>
      <c r="Q221" s="3621"/>
      <c r="R221" s="3621"/>
      <c r="S221" s="3621"/>
      <c r="T221" s="3621"/>
      <c r="U221" s="3621"/>
      <c r="V221" s="3621"/>
      <c r="W221" s="3621"/>
      <c r="X221" s="3621"/>
      <c r="Y221" s="3621"/>
      <c r="Z221" s="3621"/>
      <c r="AA221" s="3621"/>
      <c r="AB221" s="3621"/>
      <c r="AC221" s="3621"/>
      <c r="AD221" s="3621"/>
      <c r="AE221" s="3621"/>
      <c r="AF221" s="3621"/>
      <c r="AG221" s="3463"/>
      <c r="AH221" s="93"/>
      <c r="AI221" s="76"/>
    </row>
    <row r="222" spans="1:35" ht="18" customHeight="1">
      <c r="A222" s="3464"/>
      <c r="B222" s="3418"/>
      <c r="C222" s="3621"/>
      <c r="D222" s="3621"/>
      <c r="E222" s="3621"/>
      <c r="F222" s="3621"/>
      <c r="G222" s="3621"/>
      <c r="H222" s="3621"/>
      <c r="I222" s="3621"/>
      <c r="J222" s="3621"/>
      <c r="K222" s="3621"/>
      <c r="L222" s="3621"/>
      <c r="M222" s="3621"/>
      <c r="N222" s="3621"/>
      <c r="O222" s="3621"/>
      <c r="P222" s="3621"/>
      <c r="Q222" s="3621"/>
      <c r="R222" s="3621"/>
      <c r="S222" s="3621"/>
      <c r="T222" s="3621"/>
      <c r="U222" s="3621"/>
      <c r="V222" s="3621"/>
      <c r="W222" s="3621"/>
      <c r="X222" s="3621"/>
      <c r="Y222" s="3621"/>
      <c r="Z222" s="3621"/>
      <c r="AA222" s="3621"/>
      <c r="AB222" s="3621"/>
      <c r="AC222" s="3621"/>
      <c r="AD222" s="3621"/>
      <c r="AE222" s="3621"/>
      <c r="AF222" s="3621"/>
      <c r="AG222" s="3479"/>
      <c r="AH222" s="93"/>
      <c r="AI222" s="76"/>
    </row>
    <row r="223" spans="1:35" ht="18" customHeight="1">
      <c r="A223" s="3426"/>
      <c r="B223" s="3426"/>
      <c r="C223" s="3621"/>
      <c r="D223" s="3621"/>
      <c r="E223" s="3621"/>
      <c r="F223" s="3621"/>
      <c r="G223" s="3621"/>
      <c r="H223" s="3621"/>
      <c r="I223" s="3621"/>
      <c r="J223" s="3621"/>
      <c r="K223" s="3621"/>
      <c r="L223" s="3621"/>
      <c r="M223" s="3621"/>
      <c r="N223" s="3621"/>
      <c r="O223" s="3621"/>
      <c r="P223" s="3621"/>
      <c r="Q223" s="3621"/>
      <c r="R223" s="3621"/>
      <c r="S223" s="3621"/>
      <c r="T223" s="3621"/>
      <c r="U223" s="3621"/>
      <c r="V223" s="3621"/>
      <c r="W223" s="3621"/>
      <c r="X223" s="3621"/>
      <c r="Y223" s="3621"/>
      <c r="Z223" s="3621"/>
      <c r="AA223" s="3621"/>
      <c r="AB223" s="3621"/>
      <c r="AC223" s="3621"/>
      <c r="AD223" s="3621"/>
      <c r="AE223" s="3621"/>
      <c r="AF223" s="3621"/>
      <c r="AG223" s="3463"/>
      <c r="AH223" s="93"/>
      <c r="AI223" s="76"/>
    </row>
    <row r="224" spans="1:35" ht="18" customHeight="1">
      <c r="A224" s="3426"/>
      <c r="B224" s="3426"/>
      <c r="C224" s="3621"/>
      <c r="D224" s="3621"/>
      <c r="E224" s="3621"/>
      <c r="F224" s="3621"/>
      <c r="G224" s="3621"/>
      <c r="H224" s="3416"/>
      <c r="I224" s="3621"/>
      <c r="J224" s="3621"/>
      <c r="K224" s="3621"/>
      <c r="L224" s="3621"/>
      <c r="M224" s="3621"/>
      <c r="N224" s="3621"/>
      <c r="O224" s="3621"/>
      <c r="P224" s="3621"/>
      <c r="Q224" s="3621"/>
      <c r="R224" s="3621"/>
      <c r="S224" s="3621"/>
      <c r="T224" s="3621"/>
      <c r="U224" s="3621"/>
      <c r="V224" s="3621"/>
      <c r="W224" s="3621"/>
      <c r="X224" s="3621"/>
      <c r="Y224" s="3621"/>
      <c r="Z224" s="3621"/>
      <c r="AA224" s="3621"/>
      <c r="AB224" s="3621"/>
      <c r="AC224" s="3621"/>
      <c r="AD224" s="3621"/>
      <c r="AE224" s="3621"/>
      <c r="AF224" s="3621"/>
      <c r="AG224" s="3479"/>
      <c r="AH224" s="93"/>
      <c r="AI224" s="76"/>
    </row>
    <row r="225" spans="1:35" ht="18" customHeight="1">
      <c r="A225" s="3426"/>
      <c r="B225" s="3426"/>
      <c r="C225" s="3621"/>
      <c r="D225" s="3621"/>
      <c r="E225" s="3621"/>
      <c r="F225" s="3621"/>
      <c r="G225" s="3621"/>
      <c r="H225" s="3621"/>
      <c r="I225" s="3621"/>
      <c r="J225" s="3621"/>
      <c r="K225" s="3621"/>
      <c r="L225" s="3621"/>
      <c r="M225" s="3621"/>
      <c r="N225" s="3621"/>
      <c r="O225" s="3621"/>
      <c r="P225" s="3621"/>
      <c r="Q225" s="3621"/>
      <c r="R225" s="3621"/>
      <c r="S225" s="3621"/>
      <c r="T225" s="3621"/>
      <c r="U225" s="3621"/>
      <c r="V225" s="3621"/>
      <c r="W225" s="3621"/>
      <c r="X225" s="3621"/>
      <c r="Y225" s="3621"/>
      <c r="Z225" s="3621"/>
      <c r="AA225" s="3621"/>
      <c r="AB225" s="3621"/>
      <c r="AC225" s="3621"/>
      <c r="AD225" s="3621"/>
      <c r="AE225" s="3621"/>
      <c r="AF225" s="3621"/>
      <c r="AG225" s="3463"/>
      <c r="AH225" s="93"/>
      <c r="AI225" s="76"/>
    </row>
    <row r="226" spans="1:35" ht="18" customHeight="1">
      <c r="A226" s="3426"/>
      <c r="B226" s="3426"/>
      <c r="C226" s="3621"/>
      <c r="D226" s="3621"/>
      <c r="E226" s="3621"/>
      <c r="F226" s="3621"/>
      <c r="G226" s="3621"/>
      <c r="H226" s="3416"/>
      <c r="I226" s="3621"/>
      <c r="J226" s="3621"/>
      <c r="K226" s="3621"/>
      <c r="L226" s="3621"/>
      <c r="M226" s="3621"/>
      <c r="N226" s="3621"/>
      <c r="O226" s="3621"/>
      <c r="P226" s="3621"/>
      <c r="Q226" s="3621"/>
      <c r="R226" s="3621"/>
      <c r="S226" s="3621"/>
      <c r="T226" s="3621"/>
      <c r="U226" s="3621"/>
      <c r="V226" s="3621"/>
      <c r="W226" s="3621"/>
      <c r="X226" s="3621"/>
      <c r="Y226" s="3621"/>
      <c r="Z226" s="3621"/>
      <c r="AA226" s="3621"/>
      <c r="AB226" s="3621"/>
      <c r="AC226" s="3621"/>
      <c r="AD226" s="3621"/>
      <c r="AE226" s="3621"/>
      <c r="AF226" s="3621"/>
      <c r="AG226" s="3479"/>
      <c r="AH226" s="93"/>
      <c r="AI226" s="76"/>
    </row>
    <row r="227" spans="1:35" ht="18" customHeight="1">
      <c r="A227" s="3464"/>
      <c r="B227" s="3476"/>
      <c r="C227" s="3621"/>
      <c r="D227" s="3621"/>
      <c r="E227" s="3621"/>
      <c r="F227" s="3621"/>
      <c r="G227" s="3621"/>
      <c r="H227" s="3621"/>
      <c r="I227" s="3621"/>
      <c r="J227" s="3621"/>
      <c r="K227" s="3621"/>
      <c r="L227" s="3621"/>
      <c r="M227" s="3621"/>
      <c r="N227" s="3621"/>
      <c r="O227" s="3621"/>
      <c r="P227" s="3621"/>
      <c r="Q227" s="3621"/>
      <c r="R227" s="3621"/>
      <c r="S227" s="3621"/>
      <c r="T227" s="3621"/>
      <c r="U227" s="3621"/>
      <c r="V227" s="3621"/>
      <c r="W227" s="3621"/>
      <c r="X227" s="3621"/>
      <c r="Y227" s="3621"/>
      <c r="Z227" s="3621"/>
      <c r="AA227" s="3621"/>
      <c r="AB227" s="3621"/>
      <c r="AC227" s="3621"/>
      <c r="AD227" s="3621"/>
      <c r="AE227" s="3621"/>
      <c r="AF227" s="3621"/>
      <c r="AG227" s="3479"/>
      <c r="AH227" s="93"/>
      <c r="AI227" s="76"/>
    </row>
    <row r="228" spans="1:35" ht="18" customHeight="1">
      <c r="A228" s="3464"/>
      <c r="B228" s="3480"/>
      <c r="C228" s="3621"/>
      <c r="D228" s="3621"/>
      <c r="E228" s="3621"/>
      <c r="F228" s="3621"/>
      <c r="G228" s="3621"/>
      <c r="H228" s="3621"/>
      <c r="I228" s="3621"/>
      <c r="J228" s="3621"/>
      <c r="K228" s="3621"/>
      <c r="L228" s="3621"/>
      <c r="M228" s="3621"/>
      <c r="N228" s="3621"/>
      <c r="O228" s="3621"/>
      <c r="P228" s="3621"/>
      <c r="Q228" s="3621"/>
      <c r="R228" s="3621"/>
      <c r="S228" s="3621"/>
      <c r="T228" s="3621"/>
      <c r="U228" s="3621"/>
      <c r="V228" s="3621"/>
      <c r="W228" s="3621"/>
      <c r="X228" s="3621"/>
      <c r="Y228" s="3621"/>
      <c r="Z228" s="3621"/>
      <c r="AA228" s="3621"/>
      <c r="AB228" s="3621"/>
      <c r="AC228" s="3621"/>
      <c r="AD228" s="3621"/>
      <c r="AE228" s="3621"/>
      <c r="AF228" s="3621"/>
      <c r="AG228" s="3479"/>
      <c r="AH228" s="93"/>
      <c r="AI228" s="76"/>
    </row>
    <row r="229" spans="1:35" ht="18" customHeight="1">
      <c r="A229" s="82"/>
      <c r="B229" s="115"/>
      <c r="C229" s="38"/>
      <c r="D229" s="38"/>
      <c r="E229" s="38"/>
      <c r="F229" s="38"/>
      <c r="G229" s="38"/>
      <c r="H229" s="38"/>
      <c r="I229" s="38"/>
      <c r="J229" s="38"/>
      <c r="L229" s="38"/>
      <c r="M229" s="38"/>
      <c r="N229" s="38"/>
      <c r="O229" s="38"/>
      <c r="P229" s="17"/>
      <c r="Q229" s="17"/>
      <c r="R229" s="17"/>
      <c r="S229" s="38"/>
      <c r="T229" s="38"/>
      <c r="U229" s="38"/>
      <c r="V229" s="38"/>
      <c r="W229" s="38"/>
      <c r="X229" s="38"/>
      <c r="Y229" s="38"/>
      <c r="Z229" s="38"/>
      <c r="AA229" s="38"/>
      <c r="AB229" s="38"/>
      <c r="AC229" s="38"/>
      <c r="AD229" s="38"/>
      <c r="AE229" s="38"/>
      <c r="AF229" s="38"/>
      <c r="AG229" s="38"/>
      <c r="AH229" s="76"/>
      <c r="AI229" s="76"/>
    </row>
    <row r="230" spans="1:35" ht="18" customHeight="1"/>
    <row r="231" spans="1:35" ht="18" customHeight="1"/>
    <row r="232" spans="1:35" ht="18" customHeight="1"/>
    <row r="233" spans="1:35" ht="18" customHeight="1" thickBot="1">
      <c r="A233" s="14" t="s">
        <v>311</v>
      </c>
    </row>
    <row r="234" spans="1:35" ht="18" customHeight="1">
      <c r="B234" s="3481" t="s">
        <v>281</v>
      </c>
      <c r="C234" s="3834"/>
      <c r="D234" s="3858" t="s">
        <v>87</v>
      </c>
      <c r="E234" s="3640"/>
      <c r="F234" s="3838"/>
      <c r="G234" s="3834"/>
      <c r="H234" s="3858" t="s">
        <v>88</v>
      </c>
      <c r="I234" s="3640"/>
      <c r="J234" s="3838"/>
      <c r="K234" s="3834"/>
      <c r="L234" s="3858" t="s">
        <v>89</v>
      </c>
      <c r="M234" s="3640"/>
      <c r="N234" s="3838"/>
      <c r="O234" s="3834"/>
      <c r="P234" s="3858" t="s">
        <v>90</v>
      </c>
      <c r="Q234" s="3640"/>
      <c r="R234" s="3838"/>
      <c r="S234" s="3834"/>
      <c r="T234" s="3858" t="s">
        <v>91</v>
      </c>
      <c r="U234" s="3640"/>
      <c r="V234" s="3838"/>
      <c r="W234" s="3834"/>
      <c r="X234" s="3858" t="s">
        <v>92</v>
      </c>
      <c r="Y234" s="3640"/>
      <c r="Z234" s="3838"/>
      <c r="AA234" s="3834"/>
      <c r="AB234" s="3858" t="s">
        <v>93</v>
      </c>
      <c r="AC234" s="3640"/>
      <c r="AD234" s="3640"/>
      <c r="AE234" s="3861" t="s">
        <v>94</v>
      </c>
      <c r="AF234" s="3640"/>
      <c r="AG234" s="3640"/>
      <c r="AH234" s="3640"/>
      <c r="AI234" s="3641"/>
    </row>
    <row r="235" spans="1:35" ht="18" customHeight="1">
      <c r="B235" s="116"/>
      <c r="C235" s="110"/>
      <c r="D235" s="111"/>
      <c r="E235" s="101"/>
      <c r="F235" s="109"/>
      <c r="G235" s="110"/>
      <c r="H235" s="111"/>
      <c r="I235" s="101"/>
      <c r="J235" s="109"/>
      <c r="K235" s="110"/>
      <c r="L235" s="111"/>
      <c r="M235" s="101"/>
      <c r="N235" s="109"/>
      <c r="O235" s="110"/>
      <c r="P235" s="111"/>
      <c r="Q235" s="101"/>
      <c r="R235" s="109"/>
      <c r="S235" s="110"/>
      <c r="T235" s="111"/>
      <c r="U235" s="101"/>
      <c r="V235" s="109"/>
      <c r="W235" s="110"/>
      <c r="X235" s="111"/>
      <c r="Y235" s="101"/>
      <c r="Z235" s="109"/>
      <c r="AA235" s="110"/>
      <c r="AB235" s="111"/>
      <c r="AC235" s="101"/>
      <c r="AD235" s="101"/>
      <c r="AE235" s="112"/>
      <c r="AF235" s="101"/>
      <c r="AG235" s="8"/>
      <c r="AH235" s="8"/>
      <c r="AI235" s="105"/>
    </row>
    <row r="236" spans="1:35" ht="18" customHeight="1">
      <c r="A236" s="87"/>
      <c r="B236" s="3967">
        <v>3701</v>
      </c>
      <c r="C236" s="3699" t="s">
        <v>286</v>
      </c>
      <c r="D236" s="3700"/>
      <c r="E236" s="101"/>
      <c r="F236" s="109"/>
      <c r="G236" s="3699" t="s">
        <v>286</v>
      </c>
      <c r="H236" s="111"/>
      <c r="I236" s="101"/>
      <c r="J236" s="109"/>
      <c r="K236" s="3699" t="s">
        <v>286</v>
      </c>
      <c r="L236" s="111"/>
      <c r="M236" s="101"/>
      <c r="N236" s="109"/>
      <c r="O236" s="3699" t="s">
        <v>286</v>
      </c>
      <c r="P236" s="111"/>
      <c r="Q236" s="101"/>
      <c r="R236" s="109"/>
      <c r="S236" s="110" t="s">
        <v>287</v>
      </c>
      <c r="T236" s="111"/>
      <c r="U236" s="101"/>
      <c r="V236" s="109"/>
      <c r="W236" s="110"/>
      <c r="X236" s="111"/>
      <c r="Y236" s="101"/>
      <c r="Z236" s="109"/>
      <c r="AA236" s="110"/>
      <c r="AB236" s="111"/>
      <c r="AC236" s="101"/>
      <c r="AD236" s="101"/>
      <c r="AE236" s="112"/>
      <c r="AF236" s="101"/>
      <c r="AG236" s="8"/>
      <c r="AH236" s="8"/>
      <c r="AI236" s="105"/>
    </row>
    <row r="237" spans="1:35" ht="18" customHeight="1">
      <c r="B237" s="3967"/>
      <c r="C237" s="3699"/>
      <c r="D237" s="3700"/>
      <c r="E237" s="101"/>
      <c r="F237" s="109"/>
      <c r="G237" s="3699"/>
      <c r="H237" s="111"/>
      <c r="I237" s="101"/>
      <c r="J237" s="109"/>
      <c r="K237" s="3699"/>
      <c r="L237" s="111"/>
      <c r="M237" s="101"/>
      <c r="N237" s="109"/>
      <c r="O237" s="3699"/>
      <c r="P237" s="111"/>
      <c r="Q237" s="101"/>
      <c r="R237" s="109"/>
      <c r="S237" s="3699"/>
      <c r="T237" s="111"/>
      <c r="U237" s="101"/>
      <c r="V237" s="109"/>
      <c r="W237" s="110"/>
      <c r="X237" s="111"/>
      <c r="Y237" s="101"/>
      <c r="Z237" s="109"/>
      <c r="AA237" s="110"/>
      <c r="AB237" s="111"/>
      <c r="AC237" s="101"/>
      <c r="AD237" s="101"/>
      <c r="AE237" s="112"/>
      <c r="AF237" s="101"/>
      <c r="AG237" s="8"/>
      <c r="AH237" s="8"/>
      <c r="AI237" s="105"/>
    </row>
    <row r="238" spans="1:35" ht="18" customHeight="1">
      <c r="B238" s="3967">
        <v>3702</v>
      </c>
      <c r="C238" s="3699" t="s">
        <v>312</v>
      </c>
      <c r="D238" s="3700"/>
      <c r="E238" s="101"/>
      <c r="F238" s="109"/>
      <c r="G238" s="3699" t="s">
        <v>312</v>
      </c>
      <c r="H238" s="3700"/>
      <c r="I238" s="101"/>
      <c r="J238" s="109"/>
      <c r="K238" s="3699" t="s">
        <v>312</v>
      </c>
      <c r="L238" s="3700"/>
      <c r="M238" s="101"/>
      <c r="N238" s="109"/>
      <c r="O238" s="3699" t="s">
        <v>312</v>
      </c>
      <c r="P238" s="3700"/>
      <c r="Q238" s="101"/>
      <c r="R238" s="109"/>
      <c r="S238" s="3699" t="s">
        <v>313</v>
      </c>
      <c r="T238" s="3700"/>
      <c r="U238" s="101"/>
      <c r="V238" s="109"/>
      <c r="W238" s="110"/>
      <c r="X238" s="111"/>
      <c r="Y238" s="101"/>
      <c r="Z238" s="109"/>
      <c r="AA238" s="110"/>
      <c r="AB238" s="111"/>
      <c r="AC238" s="101"/>
      <c r="AD238" s="101"/>
      <c r="AE238" s="112"/>
      <c r="AF238" s="101"/>
      <c r="AG238" s="8"/>
      <c r="AH238" s="8"/>
      <c r="AI238" s="105"/>
    </row>
    <row r="239" spans="1:35" ht="18" customHeight="1">
      <c r="B239" s="3967"/>
      <c r="C239" s="3436"/>
      <c r="D239" s="3700"/>
      <c r="E239" s="101"/>
      <c r="F239" s="109"/>
      <c r="G239" s="111"/>
      <c r="H239" s="111"/>
      <c r="I239" s="101"/>
      <c r="J239" s="109"/>
      <c r="K239" s="111"/>
      <c r="L239" s="111"/>
      <c r="M239" s="101"/>
      <c r="N239" s="109"/>
      <c r="O239" s="111"/>
      <c r="P239" s="111"/>
      <c r="Q239" s="101"/>
      <c r="R239" s="109"/>
      <c r="S239" s="111"/>
      <c r="T239" s="111"/>
      <c r="U239" s="101"/>
      <c r="V239" s="109"/>
      <c r="W239" s="110"/>
      <c r="X239" s="111"/>
      <c r="Y239" s="101"/>
      <c r="Z239" s="109"/>
      <c r="AA239" s="110"/>
      <c r="AB239" s="111"/>
      <c r="AC239" s="101"/>
      <c r="AD239" s="101"/>
      <c r="AE239" s="112"/>
      <c r="AF239" s="101"/>
      <c r="AG239" s="8"/>
      <c r="AH239" s="8"/>
      <c r="AI239" s="105"/>
    </row>
    <row r="240" spans="1:35" ht="18" customHeight="1">
      <c r="B240" s="3967" t="s">
        <v>159</v>
      </c>
      <c r="C240" s="3436" t="s">
        <v>314</v>
      </c>
      <c r="D240" s="3700"/>
      <c r="E240" s="101"/>
      <c r="F240" s="109"/>
      <c r="G240" s="3436" t="s">
        <v>314</v>
      </c>
      <c r="H240" s="3700"/>
      <c r="I240" s="101"/>
      <c r="J240" s="109"/>
      <c r="K240" s="3436" t="s">
        <v>314</v>
      </c>
      <c r="L240" s="3700"/>
      <c r="M240" s="101"/>
      <c r="N240" s="109"/>
      <c r="O240" s="3436" t="s">
        <v>314</v>
      </c>
      <c r="P240" s="3700"/>
      <c r="Q240" s="101"/>
      <c r="R240" s="109"/>
      <c r="S240" s="111" t="s">
        <v>315</v>
      </c>
      <c r="T240" s="111"/>
      <c r="U240" s="101"/>
      <c r="V240" s="109"/>
      <c r="W240" s="110"/>
      <c r="X240" s="111"/>
      <c r="Y240" s="101"/>
      <c r="Z240" s="109"/>
      <c r="AA240" s="110"/>
      <c r="AB240" s="111"/>
      <c r="AC240" s="101"/>
      <c r="AD240" s="101"/>
      <c r="AE240" s="112"/>
      <c r="AF240" s="101"/>
      <c r="AG240" s="8"/>
      <c r="AH240" s="8"/>
      <c r="AI240" s="105"/>
    </row>
    <row r="241" spans="1:35" ht="18" customHeight="1">
      <c r="B241" s="3967" t="s">
        <v>163</v>
      </c>
      <c r="C241" s="3436" t="s">
        <v>316</v>
      </c>
      <c r="D241" s="3700"/>
      <c r="E241" s="101"/>
      <c r="F241" s="109"/>
      <c r="G241" s="3436" t="s">
        <v>316</v>
      </c>
      <c r="H241" s="3700"/>
      <c r="I241" s="101"/>
      <c r="J241" s="109"/>
      <c r="K241" s="3436" t="s">
        <v>316</v>
      </c>
      <c r="L241" s="3700"/>
      <c r="M241" s="101"/>
      <c r="N241" s="109"/>
      <c r="O241" s="3436" t="s">
        <v>316</v>
      </c>
      <c r="P241" s="3700"/>
      <c r="Q241" s="101"/>
      <c r="R241" s="109"/>
      <c r="S241" s="111" t="s">
        <v>317</v>
      </c>
      <c r="T241" s="111"/>
      <c r="U241" s="101"/>
      <c r="V241" s="109"/>
      <c r="W241" s="110"/>
      <c r="X241" s="111"/>
      <c r="Y241" s="101"/>
      <c r="Z241" s="109"/>
      <c r="AA241" s="110"/>
      <c r="AB241" s="111"/>
      <c r="AC241" s="101"/>
      <c r="AD241" s="101"/>
      <c r="AE241" s="112"/>
      <c r="AF241" s="101"/>
      <c r="AG241" s="8"/>
      <c r="AH241" s="8"/>
      <c r="AI241" s="105"/>
    </row>
    <row r="242" spans="1:35" ht="18" customHeight="1" thickBot="1">
      <c r="B242" s="3968" t="s">
        <v>171</v>
      </c>
      <c r="C242" s="3876" t="s">
        <v>318</v>
      </c>
      <c r="D242" s="3969"/>
      <c r="E242" s="3485"/>
      <c r="F242" s="3486"/>
      <c r="G242" s="3876" t="s">
        <v>318</v>
      </c>
      <c r="H242" s="3969"/>
      <c r="I242" s="3485"/>
      <c r="J242" s="3486"/>
      <c r="K242" s="3876" t="s">
        <v>318</v>
      </c>
      <c r="L242" s="3969"/>
      <c r="M242" s="3485"/>
      <c r="N242" s="3486"/>
      <c r="O242" s="3876" t="s">
        <v>318</v>
      </c>
      <c r="P242" s="3969"/>
      <c r="Q242" s="3485"/>
      <c r="R242" s="3486"/>
      <c r="S242" s="3487" t="s">
        <v>319</v>
      </c>
      <c r="T242" s="3487"/>
      <c r="U242" s="3485"/>
      <c r="V242" s="3486"/>
      <c r="W242" s="3488"/>
      <c r="X242" s="3487"/>
      <c r="Y242" s="3489"/>
      <c r="Z242" s="3490"/>
      <c r="AA242" s="3491"/>
      <c r="AB242" s="3487"/>
      <c r="AC242" s="3489"/>
      <c r="AD242" s="3489"/>
      <c r="AE242" s="3492"/>
      <c r="AF242" s="3489"/>
      <c r="AG242" s="3485"/>
      <c r="AH242" s="3485"/>
      <c r="AI242" s="3493"/>
    </row>
    <row r="243" spans="1:35" ht="18" customHeight="1">
      <c r="B243" s="42"/>
      <c r="C243" s="37"/>
      <c r="D243" s="113"/>
      <c r="G243" s="37"/>
      <c r="H243" s="113"/>
      <c r="K243" s="37"/>
      <c r="L243" s="113"/>
      <c r="O243" s="37"/>
      <c r="P243" s="113"/>
      <c r="S243" s="37"/>
      <c r="T243" s="37"/>
      <c r="X243" s="37"/>
      <c r="AB243" s="37"/>
      <c r="AE243" s="37"/>
    </row>
    <row r="244" spans="1:35" ht="18" customHeight="1">
      <c r="A244" s="117" t="s">
        <v>320</v>
      </c>
    </row>
    <row r="245" spans="1:35" ht="18" customHeight="1" thickBot="1">
      <c r="A245" s="3970"/>
      <c r="B245" s="3971" t="s">
        <v>29</v>
      </c>
      <c r="C245" s="3411">
        <v>1</v>
      </c>
      <c r="D245" s="3411">
        <v>2</v>
      </c>
      <c r="E245" s="3411">
        <v>3</v>
      </c>
      <c r="F245" s="3411">
        <v>4</v>
      </c>
      <c r="G245" s="3411">
        <v>5</v>
      </c>
      <c r="H245" s="3410">
        <v>6</v>
      </c>
      <c r="I245" s="3410">
        <v>7</v>
      </c>
      <c r="J245" s="3411">
        <v>8</v>
      </c>
      <c r="K245" s="3411">
        <v>9</v>
      </c>
      <c r="L245" s="3411">
        <v>10</v>
      </c>
      <c r="M245" s="3411">
        <v>11</v>
      </c>
      <c r="N245" s="3411">
        <v>12</v>
      </c>
      <c r="O245" s="3410">
        <v>13</v>
      </c>
      <c r="P245" s="3410">
        <v>14</v>
      </c>
      <c r="Q245" s="3411">
        <v>15</v>
      </c>
      <c r="R245" s="3411">
        <v>16</v>
      </c>
      <c r="S245" s="3411">
        <v>17</v>
      </c>
      <c r="T245" s="3411">
        <v>18</v>
      </c>
      <c r="U245" s="3411">
        <v>19</v>
      </c>
      <c r="V245" s="3410">
        <v>20</v>
      </c>
      <c r="W245" s="3410">
        <v>21</v>
      </c>
      <c r="X245" s="3411">
        <v>22</v>
      </c>
      <c r="Y245" s="3411">
        <v>23</v>
      </c>
      <c r="Z245" s="3411">
        <v>24</v>
      </c>
      <c r="AA245" s="3411">
        <v>25</v>
      </c>
      <c r="AB245" s="3411">
        <v>26</v>
      </c>
      <c r="AC245" s="3410">
        <v>27</v>
      </c>
      <c r="AD245" s="3410">
        <v>28</v>
      </c>
      <c r="AE245" s="3411">
        <v>29</v>
      </c>
      <c r="AF245" s="3411">
        <v>30</v>
      </c>
      <c r="AG245" s="3585">
        <v>31</v>
      </c>
      <c r="AH245" s="23"/>
      <c r="AI245" s="24"/>
    </row>
    <row r="246" spans="1:35" ht="18" customHeight="1">
      <c r="A246" s="3972">
        <v>3701</v>
      </c>
      <c r="B246" s="3606" t="s">
        <v>394</v>
      </c>
      <c r="C246" s="3677" t="s">
        <v>31</v>
      </c>
      <c r="D246" s="3677" t="s">
        <v>31</v>
      </c>
      <c r="E246" s="3677" t="s">
        <v>31</v>
      </c>
      <c r="F246" s="3677" t="s">
        <v>31</v>
      </c>
      <c r="G246" s="3462" t="s">
        <v>31</v>
      </c>
      <c r="H246" s="3677"/>
      <c r="I246" s="3677"/>
      <c r="J246" s="3921" t="s">
        <v>31</v>
      </c>
      <c r="K246" s="3973" t="s">
        <v>304</v>
      </c>
      <c r="L246" s="3607" t="s">
        <v>31</v>
      </c>
      <c r="M246" s="3607" t="s">
        <v>31</v>
      </c>
      <c r="N246" s="3607" t="s">
        <v>31</v>
      </c>
      <c r="O246" s="3891"/>
      <c r="P246" s="3891"/>
      <c r="Q246" s="3891" t="s">
        <v>31</v>
      </c>
      <c r="R246" s="3891" t="s">
        <v>31</v>
      </c>
      <c r="S246" s="3891" t="s">
        <v>31</v>
      </c>
      <c r="T246" s="3891" t="s">
        <v>31</v>
      </c>
      <c r="U246" s="3891" t="s">
        <v>31</v>
      </c>
      <c r="V246" s="3891"/>
      <c r="W246" s="3677"/>
      <c r="X246" s="3677" t="s">
        <v>31</v>
      </c>
      <c r="Y246" s="3677" t="s">
        <v>31</v>
      </c>
      <c r="Z246" s="3677" t="s">
        <v>31</v>
      </c>
      <c r="AA246" s="3677" t="s">
        <v>31</v>
      </c>
      <c r="AB246" s="3677" t="s">
        <v>31</v>
      </c>
      <c r="AC246" s="3684"/>
      <c r="AD246" s="3974"/>
      <c r="AE246" s="3974" t="s">
        <v>31</v>
      </c>
      <c r="AF246" s="3974" t="s">
        <v>31</v>
      </c>
      <c r="AG246" s="3975" t="s">
        <v>31</v>
      </c>
      <c r="AH246" s="34"/>
      <c r="AI246" s="25"/>
    </row>
    <row r="247" spans="1:35" ht="18" customHeight="1">
      <c r="A247" s="3972">
        <v>3702</v>
      </c>
      <c r="B247" s="3606" t="s">
        <v>321</v>
      </c>
      <c r="C247" s="3677" t="s">
        <v>31</v>
      </c>
      <c r="D247" s="3677" t="s">
        <v>31</v>
      </c>
      <c r="E247" s="3677" t="s">
        <v>31</v>
      </c>
      <c r="F247" s="3677" t="s">
        <v>31</v>
      </c>
      <c r="G247" s="3677" t="s">
        <v>31</v>
      </c>
      <c r="H247" s="3677"/>
      <c r="I247" s="3677"/>
      <c r="J247" s="3677" t="s">
        <v>31</v>
      </c>
      <c r="K247" s="3677" t="s">
        <v>31</v>
      </c>
      <c r="L247" s="3677" t="s">
        <v>31</v>
      </c>
      <c r="M247" s="3677" t="s">
        <v>31</v>
      </c>
      <c r="N247" s="3677" t="s">
        <v>31</v>
      </c>
      <c r="O247" s="3677"/>
      <c r="P247" s="3677"/>
      <c r="Q247" s="3677" t="s">
        <v>31</v>
      </c>
      <c r="R247" s="3677" t="s">
        <v>31</v>
      </c>
      <c r="S247" s="3677" t="s">
        <v>31</v>
      </c>
      <c r="T247" s="3677" t="s">
        <v>31</v>
      </c>
      <c r="U247" s="3677" t="s">
        <v>31</v>
      </c>
      <c r="V247" s="3677"/>
      <c r="W247" s="3677"/>
      <c r="X247" s="3677" t="s">
        <v>31</v>
      </c>
      <c r="Y247" s="3677" t="s">
        <v>31</v>
      </c>
      <c r="Z247" s="3677" t="s">
        <v>31</v>
      </c>
      <c r="AA247" s="3677" t="s">
        <v>31</v>
      </c>
      <c r="AB247" s="3677" t="s">
        <v>31</v>
      </c>
      <c r="AC247" s="3677"/>
      <c r="AD247" s="3677"/>
      <c r="AE247" s="3677" t="s">
        <v>31</v>
      </c>
      <c r="AF247" s="3677" t="s">
        <v>31</v>
      </c>
      <c r="AG247" s="3976" t="s">
        <v>31</v>
      </c>
      <c r="AH247" s="34"/>
      <c r="AI247" s="25"/>
    </row>
    <row r="248" spans="1:35" ht="18" customHeight="1">
      <c r="A248" s="3972"/>
      <c r="B248" s="3606"/>
      <c r="C248" s="3677"/>
      <c r="D248" s="3677"/>
      <c r="E248" s="3677"/>
      <c r="F248" s="3677"/>
      <c r="G248" s="3677"/>
      <c r="H248" s="3677"/>
      <c r="I248" s="3677"/>
      <c r="J248" s="3677"/>
      <c r="K248" s="3677"/>
      <c r="L248" s="3677"/>
      <c r="M248" s="3977"/>
      <c r="N248" s="3677"/>
      <c r="O248" s="3677"/>
      <c r="P248" s="3677"/>
      <c r="Q248" s="3677"/>
      <c r="R248" s="3677"/>
      <c r="S248" s="3677"/>
      <c r="T248" s="3677"/>
      <c r="U248" s="3677"/>
      <c r="V248" s="3677"/>
      <c r="W248" s="3677"/>
      <c r="X248" s="3677"/>
      <c r="Y248" s="3677"/>
      <c r="Z248" s="3677"/>
      <c r="AA248" s="3677"/>
      <c r="AB248" s="3677"/>
      <c r="AC248" s="3677"/>
      <c r="AD248" s="3677"/>
      <c r="AE248" s="3677"/>
      <c r="AF248" s="3677"/>
      <c r="AG248" s="3976"/>
      <c r="AH248" s="34"/>
      <c r="AI248" s="25"/>
    </row>
    <row r="249" spans="1:35" ht="18" customHeight="1">
      <c r="A249" s="3978"/>
      <c r="B249" s="118"/>
      <c r="C249" s="3684"/>
      <c r="D249" s="3684"/>
      <c r="E249" s="3684"/>
      <c r="F249" s="3684"/>
      <c r="G249" s="3684"/>
      <c r="H249" s="3684"/>
      <c r="I249" s="3684"/>
      <c r="J249" s="3684"/>
      <c r="K249" s="3684"/>
      <c r="L249" s="3684"/>
      <c r="M249" s="3684"/>
      <c r="N249" s="3684"/>
      <c r="O249" s="3684"/>
      <c r="P249" s="3684"/>
      <c r="Q249" s="3684"/>
      <c r="R249" s="3684"/>
      <c r="S249" s="3684"/>
      <c r="T249" s="3684"/>
      <c r="U249" s="3684"/>
      <c r="V249" s="3684"/>
      <c r="W249" s="3684"/>
      <c r="X249" s="3684"/>
      <c r="Y249" s="3684"/>
      <c r="Z249" s="3684"/>
      <c r="AA249" s="3684"/>
      <c r="AB249" s="3684"/>
      <c r="AC249" s="3684"/>
      <c r="AD249" s="3684"/>
      <c r="AE249" s="3684"/>
      <c r="AF249" s="3684"/>
      <c r="AG249" s="3979"/>
      <c r="AH249" s="34"/>
      <c r="AI249" s="25"/>
    </row>
    <row r="250" spans="1:35" ht="18" customHeight="1">
      <c r="A250" s="3980"/>
      <c r="B250" s="3610" t="s">
        <v>322</v>
      </c>
      <c r="C250" s="3981"/>
      <c r="D250" s="3981"/>
      <c r="E250" s="3981"/>
      <c r="F250" s="3981"/>
      <c r="G250" s="3981"/>
      <c r="H250" s="3981"/>
      <c r="I250" s="3981"/>
      <c r="J250" s="3981"/>
      <c r="K250" s="3981"/>
      <c r="L250" s="3981"/>
      <c r="M250" s="3981"/>
      <c r="N250" s="3981"/>
      <c r="O250" s="3981"/>
      <c r="P250" s="3981"/>
      <c r="Q250" s="3981"/>
      <c r="R250" s="3981"/>
      <c r="S250" s="3981"/>
      <c r="T250" s="3981"/>
      <c r="U250" s="3981"/>
      <c r="V250" s="3981"/>
      <c r="W250" s="3981"/>
      <c r="X250" s="3981"/>
      <c r="Y250" s="3981"/>
      <c r="Z250" s="3981"/>
      <c r="AA250" s="3981"/>
      <c r="AB250" s="3981"/>
      <c r="AC250" s="3981"/>
      <c r="AD250" s="3981"/>
      <c r="AE250" s="3981"/>
      <c r="AF250" s="3981"/>
      <c r="AG250" s="3982"/>
      <c r="AH250" s="119"/>
      <c r="AI250" s="26"/>
    </row>
    <row r="251" spans="1:35" ht="18" customHeight="1">
      <c r="A251" s="3972">
        <v>3702</v>
      </c>
      <c r="B251" s="3439" t="s">
        <v>323</v>
      </c>
      <c r="C251" s="3600" t="s">
        <v>152</v>
      </c>
      <c r="D251" s="3600" t="s">
        <v>152</v>
      </c>
      <c r="E251" s="3600" t="s">
        <v>152</v>
      </c>
      <c r="F251" s="3600" t="s">
        <v>152</v>
      </c>
      <c r="G251" s="3600" t="s">
        <v>152</v>
      </c>
      <c r="H251" s="3600"/>
      <c r="I251" s="3600"/>
      <c r="J251" s="3600" t="s">
        <v>152</v>
      </c>
      <c r="K251" s="3600" t="s">
        <v>152</v>
      </c>
      <c r="L251" s="3600" t="s">
        <v>152</v>
      </c>
      <c r="M251" s="3600" t="s">
        <v>152</v>
      </c>
      <c r="N251" s="3600" t="s">
        <v>152</v>
      </c>
      <c r="O251" s="3600"/>
      <c r="P251" s="3600"/>
      <c r="Q251" s="3600" t="s">
        <v>152</v>
      </c>
      <c r="R251" s="3600" t="s">
        <v>152</v>
      </c>
      <c r="S251" s="3600" t="s">
        <v>152</v>
      </c>
      <c r="T251" s="3600" t="s">
        <v>152</v>
      </c>
      <c r="U251" s="3600" t="s">
        <v>152</v>
      </c>
      <c r="V251" s="3677"/>
      <c r="W251" s="3677"/>
      <c r="X251" s="3677" t="s">
        <v>152</v>
      </c>
      <c r="Y251" s="3677" t="s">
        <v>152</v>
      </c>
      <c r="Z251" s="3677" t="s">
        <v>152</v>
      </c>
      <c r="AA251" s="3677" t="s">
        <v>152</v>
      </c>
      <c r="AB251" s="3677" t="s">
        <v>152</v>
      </c>
      <c r="AC251" s="3677"/>
      <c r="AD251" s="3677"/>
      <c r="AE251" s="3973" t="s">
        <v>324</v>
      </c>
      <c r="AF251" s="3607" t="s">
        <v>152</v>
      </c>
      <c r="AG251" s="3677" t="s">
        <v>152</v>
      </c>
      <c r="AH251" s="34"/>
      <c r="AI251" s="25"/>
    </row>
    <row r="252" spans="1:35" ht="18" customHeight="1">
      <c r="A252" s="3972"/>
      <c r="B252" s="3191" t="s">
        <v>325</v>
      </c>
      <c r="C252" s="3677" t="s">
        <v>326</v>
      </c>
      <c r="D252" s="3677" t="s">
        <v>326</v>
      </c>
      <c r="E252" s="3677" t="s">
        <v>326</v>
      </c>
      <c r="F252" s="3677" t="s">
        <v>326</v>
      </c>
      <c r="G252" s="3983" t="s">
        <v>326</v>
      </c>
      <c r="H252" s="3677"/>
      <c r="I252" s="3677"/>
      <c r="J252" s="3677" t="s">
        <v>326</v>
      </c>
      <c r="K252" s="3677" t="s">
        <v>326</v>
      </c>
      <c r="L252" s="3677" t="s">
        <v>326</v>
      </c>
      <c r="M252" s="3677" t="s">
        <v>326</v>
      </c>
      <c r="N252" s="3677" t="s">
        <v>326</v>
      </c>
      <c r="O252" s="3677"/>
      <c r="P252" s="3677"/>
      <c r="Q252" s="3677" t="s">
        <v>326</v>
      </c>
      <c r="R252" s="3677" t="s">
        <v>326</v>
      </c>
      <c r="S252" s="3677" t="s">
        <v>326</v>
      </c>
      <c r="T252" s="3677" t="s">
        <v>326</v>
      </c>
      <c r="U252" s="3677" t="s">
        <v>326</v>
      </c>
      <c r="V252" s="3677"/>
      <c r="W252" s="3677"/>
      <c r="X252" s="3600" t="s">
        <v>326</v>
      </c>
      <c r="Y252" s="3600" t="s">
        <v>326</v>
      </c>
      <c r="Z252" s="3600" t="s">
        <v>326</v>
      </c>
      <c r="AA252" s="3600" t="s">
        <v>326</v>
      </c>
      <c r="AB252" s="3600" t="s">
        <v>326</v>
      </c>
      <c r="AC252" s="3600"/>
      <c r="AD252" s="3600"/>
      <c r="AE252" s="3600" t="s">
        <v>326</v>
      </c>
      <c r="AF252" s="3600" t="s">
        <v>326</v>
      </c>
      <c r="AG252" s="3600" t="s">
        <v>326</v>
      </c>
      <c r="AH252" s="34"/>
      <c r="AI252" s="25"/>
    </row>
    <row r="253" spans="1:35" ht="18" customHeight="1" thickBot="1">
      <c r="A253" s="3984"/>
      <c r="B253" s="3443" t="s">
        <v>327</v>
      </c>
      <c r="C253" s="3985" t="s">
        <v>328</v>
      </c>
      <c r="D253" s="3985" t="s">
        <v>328</v>
      </c>
      <c r="E253" s="3985" t="s">
        <v>328</v>
      </c>
      <c r="F253" s="3985" t="s">
        <v>328</v>
      </c>
      <c r="G253" s="3985" t="s">
        <v>328</v>
      </c>
      <c r="H253" s="3985"/>
      <c r="I253" s="3985"/>
      <c r="J253" s="3688" t="s">
        <v>328</v>
      </c>
      <c r="K253" s="3688" t="s">
        <v>328</v>
      </c>
      <c r="L253" s="3688" t="s">
        <v>328</v>
      </c>
      <c r="M253" s="3688" t="s">
        <v>328</v>
      </c>
      <c r="N253" s="3688" t="s">
        <v>328</v>
      </c>
      <c r="O253" s="3688"/>
      <c r="P253" s="3688"/>
      <c r="Q253" s="3688" t="s">
        <v>328</v>
      </c>
      <c r="R253" s="3688" t="s">
        <v>328</v>
      </c>
      <c r="S253" s="3688" t="s">
        <v>328</v>
      </c>
      <c r="T253" s="3688" t="s">
        <v>328</v>
      </c>
      <c r="U253" s="3688" t="s">
        <v>328</v>
      </c>
      <c r="V253" s="3688"/>
      <c r="W253" s="3688"/>
      <c r="X253" s="3688" t="s">
        <v>328</v>
      </c>
      <c r="Y253" s="3688" t="s">
        <v>328</v>
      </c>
      <c r="Z253" s="3688" t="s">
        <v>328</v>
      </c>
      <c r="AA253" s="3688" t="s">
        <v>328</v>
      </c>
      <c r="AB253" s="3688" t="s">
        <v>328</v>
      </c>
      <c r="AC253" s="3688"/>
      <c r="AD253" s="3688"/>
      <c r="AE253" s="3985" t="s">
        <v>328</v>
      </c>
      <c r="AF253" s="3985" t="s">
        <v>328</v>
      </c>
      <c r="AG253" s="3985" t="s">
        <v>328</v>
      </c>
      <c r="AH253" s="34"/>
      <c r="AI253" s="25"/>
    </row>
    <row r="254" spans="1:35" ht="18" customHeight="1"/>
    <row r="255" spans="1:35" ht="18" customHeight="1"/>
    <row r="256" spans="1:35" ht="18" customHeight="1" thickBot="1">
      <c r="A256" s="14" t="s">
        <v>329</v>
      </c>
    </row>
    <row r="257" spans="1:35" ht="18" customHeight="1">
      <c r="B257" s="3481" t="s">
        <v>281</v>
      </c>
      <c r="C257" s="3834"/>
      <c r="D257" s="3858" t="s">
        <v>87</v>
      </c>
      <c r="E257" s="3640"/>
      <c r="F257" s="3838"/>
      <c r="G257" s="3834"/>
      <c r="H257" s="3858" t="s">
        <v>88</v>
      </c>
      <c r="I257" s="3640"/>
      <c r="J257" s="3838"/>
      <c r="K257" s="3834"/>
      <c r="L257" s="3858" t="s">
        <v>89</v>
      </c>
      <c r="M257" s="3640"/>
      <c r="N257" s="3838"/>
      <c r="O257" s="3834"/>
      <c r="P257" s="3858" t="s">
        <v>90</v>
      </c>
      <c r="Q257" s="3640"/>
      <c r="R257" s="3838"/>
      <c r="S257" s="3834"/>
      <c r="T257" s="3858" t="s">
        <v>91</v>
      </c>
      <c r="U257" s="3640"/>
      <c r="V257" s="3838"/>
      <c r="W257" s="3834"/>
      <c r="X257" s="3858" t="s">
        <v>92</v>
      </c>
      <c r="Y257" s="3640"/>
      <c r="Z257" s="3838"/>
      <c r="AA257" s="3834"/>
      <c r="AB257" s="3858" t="s">
        <v>93</v>
      </c>
      <c r="AC257" s="3640"/>
      <c r="AD257" s="3640"/>
      <c r="AE257" s="3861" t="s">
        <v>94</v>
      </c>
      <c r="AF257" s="3640"/>
      <c r="AG257" s="3640"/>
      <c r="AH257" s="3640"/>
      <c r="AI257" s="3641"/>
    </row>
    <row r="258" spans="1:35" ht="18" customHeight="1">
      <c r="B258" s="116">
        <v>8500</v>
      </c>
      <c r="C258" s="3699" t="s">
        <v>330</v>
      </c>
      <c r="D258" s="111"/>
      <c r="E258" s="8"/>
      <c r="F258" s="120"/>
      <c r="G258" s="3699" t="s">
        <v>330</v>
      </c>
      <c r="H258" s="111"/>
      <c r="I258" s="8"/>
      <c r="J258" s="120"/>
      <c r="K258" s="3699" t="s">
        <v>330</v>
      </c>
      <c r="L258" s="111"/>
      <c r="M258" s="8"/>
      <c r="N258" s="120"/>
      <c r="O258" s="3699" t="s">
        <v>330</v>
      </c>
      <c r="P258" s="111"/>
      <c r="Q258" s="8"/>
      <c r="R258" s="120"/>
      <c r="S258" s="3699" t="s">
        <v>331</v>
      </c>
      <c r="T258" s="111"/>
      <c r="U258" s="8"/>
      <c r="V258" s="120"/>
      <c r="W258" s="121"/>
      <c r="X258" s="111"/>
      <c r="Y258" s="8"/>
      <c r="Z258" s="120"/>
      <c r="AA258" s="121"/>
      <c r="AB258" s="111"/>
      <c r="AC258" s="8"/>
      <c r="AD258" s="8"/>
      <c r="AE258" s="112"/>
      <c r="AF258" s="8"/>
      <c r="AG258" s="8"/>
      <c r="AH258" s="8"/>
      <c r="AI258" s="105"/>
    </row>
    <row r="259" spans="1:35" ht="18" customHeight="1" thickBot="1">
      <c r="A259" s="87"/>
      <c r="B259" s="3986"/>
      <c r="C259" s="3515"/>
      <c r="D259" s="3516"/>
      <c r="E259" s="3485"/>
      <c r="F259" s="3486"/>
      <c r="G259" s="3515"/>
      <c r="H259" s="3487"/>
      <c r="I259" s="3485"/>
      <c r="J259" s="3486"/>
      <c r="K259" s="3515"/>
      <c r="L259" s="3487"/>
      <c r="M259" s="3485"/>
      <c r="N259" s="3486"/>
      <c r="O259" s="3515"/>
      <c r="P259" s="3487"/>
      <c r="Q259" s="3485"/>
      <c r="R259" s="3486"/>
      <c r="S259" s="3515"/>
      <c r="T259" s="3487"/>
      <c r="U259" s="3485"/>
      <c r="V259" s="3486"/>
      <c r="W259" s="3488"/>
      <c r="X259" s="3487"/>
      <c r="Y259" s="3485"/>
      <c r="Z259" s="3486"/>
      <c r="AA259" s="3488"/>
      <c r="AB259" s="3487"/>
      <c r="AC259" s="3485"/>
      <c r="AD259" s="3485"/>
      <c r="AE259" s="3492"/>
      <c r="AF259" s="3485"/>
      <c r="AG259" s="3485"/>
      <c r="AH259" s="3485"/>
      <c r="AI259" s="3493"/>
    </row>
    <row r="260" spans="1:35" ht="18" customHeight="1">
      <c r="A260" s="122" t="s">
        <v>332</v>
      </c>
    </row>
    <row r="261" spans="1:35" ht="18" customHeight="1" thickBot="1">
      <c r="A261" s="3987"/>
      <c r="B261" s="3971" t="s">
        <v>29</v>
      </c>
      <c r="C261" s="3411">
        <v>1</v>
      </c>
      <c r="D261" s="3411">
        <v>2</v>
      </c>
      <c r="E261" s="3411">
        <v>3</v>
      </c>
      <c r="F261" s="3411">
        <v>4</v>
      </c>
      <c r="G261" s="3411">
        <v>5</v>
      </c>
      <c r="H261" s="3410">
        <v>6</v>
      </c>
      <c r="I261" s="3410">
        <v>7</v>
      </c>
      <c r="J261" s="3411">
        <v>8</v>
      </c>
      <c r="K261" s="3411">
        <v>9</v>
      </c>
      <c r="L261" s="3411">
        <v>10</v>
      </c>
      <c r="M261" s="3411">
        <v>11</v>
      </c>
      <c r="N261" s="3411">
        <v>12</v>
      </c>
      <c r="O261" s="3410">
        <v>13</v>
      </c>
      <c r="P261" s="3410">
        <v>14</v>
      </c>
      <c r="Q261" s="3411">
        <v>15</v>
      </c>
      <c r="R261" s="3411">
        <v>16</v>
      </c>
      <c r="S261" s="3411">
        <v>17</v>
      </c>
      <c r="T261" s="3411">
        <v>18</v>
      </c>
      <c r="U261" s="3411">
        <v>19</v>
      </c>
      <c r="V261" s="3410">
        <v>20</v>
      </c>
      <c r="W261" s="3410">
        <v>21</v>
      </c>
      <c r="X261" s="3411">
        <v>22</v>
      </c>
      <c r="Y261" s="3411">
        <v>23</v>
      </c>
      <c r="Z261" s="3411">
        <v>24</v>
      </c>
      <c r="AA261" s="3411">
        <v>25</v>
      </c>
      <c r="AB261" s="3411">
        <v>26</v>
      </c>
      <c r="AC261" s="3410">
        <v>27</v>
      </c>
      <c r="AD261" s="3410">
        <v>28</v>
      </c>
      <c r="AE261" s="3411">
        <v>29</v>
      </c>
      <c r="AF261" s="3411">
        <v>30</v>
      </c>
      <c r="AG261" s="3585">
        <v>31</v>
      </c>
      <c r="AH261" s="23"/>
      <c r="AI261" s="24"/>
    </row>
    <row r="262" spans="1:35" ht="18" customHeight="1">
      <c r="A262" s="121">
        <v>8500</v>
      </c>
      <c r="B262" s="123" t="s">
        <v>333</v>
      </c>
      <c r="C262" s="3718" t="s">
        <v>31</v>
      </c>
      <c r="D262" s="3962" t="s">
        <v>31</v>
      </c>
      <c r="E262" s="3718" t="s">
        <v>31</v>
      </c>
      <c r="F262" s="3718" t="s">
        <v>31</v>
      </c>
      <c r="G262" s="3718" t="s">
        <v>31</v>
      </c>
      <c r="H262" s="3718"/>
      <c r="I262" s="3718"/>
      <c r="J262" s="3718" t="s">
        <v>31</v>
      </c>
      <c r="K262" s="3718" t="s">
        <v>31</v>
      </c>
      <c r="L262" s="3718" t="s">
        <v>31</v>
      </c>
      <c r="M262" s="3718" t="s">
        <v>31</v>
      </c>
      <c r="N262" s="3718" t="s">
        <v>31</v>
      </c>
      <c r="O262" s="3718"/>
      <c r="P262" s="3718"/>
      <c r="Q262" s="3718" t="s">
        <v>31</v>
      </c>
      <c r="R262" s="3718" t="s">
        <v>31</v>
      </c>
      <c r="S262" s="3718" t="s">
        <v>31</v>
      </c>
      <c r="T262" s="3718" t="s">
        <v>31</v>
      </c>
      <c r="U262" s="3718" t="s">
        <v>31</v>
      </c>
      <c r="V262" s="3718"/>
      <c r="W262" s="3718"/>
      <c r="X262" s="3718" t="s">
        <v>31</v>
      </c>
      <c r="Y262" s="3718" t="s">
        <v>31</v>
      </c>
      <c r="Z262" s="3718" t="s">
        <v>31</v>
      </c>
      <c r="AA262" s="3718" t="s">
        <v>31</v>
      </c>
      <c r="AB262" s="3718" t="s">
        <v>31</v>
      </c>
      <c r="AC262" s="3718"/>
      <c r="AD262" s="3718"/>
      <c r="AE262" s="3718" t="s">
        <v>31</v>
      </c>
      <c r="AF262" s="3718" t="s">
        <v>31</v>
      </c>
      <c r="AG262" s="3621" t="s">
        <v>31</v>
      </c>
      <c r="AH262" s="124"/>
      <c r="AI262" s="125"/>
    </row>
    <row r="263" spans="1:35" ht="18" customHeight="1">
      <c r="A263" s="3701"/>
      <c r="B263" s="3988" t="s">
        <v>334</v>
      </c>
      <c r="C263" s="3423" t="s">
        <v>31</v>
      </c>
      <c r="D263" s="3423" t="s">
        <v>31</v>
      </c>
      <c r="E263" s="3423" t="s">
        <v>31</v>
      </c>
      <c r="F263" s="3621" t="s">
        <v>31</v>
      </c>
      <c r="G263" s="3621" t="s">
        <v>31</v>
      </c>
      <c r="H263" s="3621"/>
      <c r="I263" s="3621"/>
      <c r="J263" s="3621" t="s">
        <v>31</v>
      </c>
      <c r="K263" s="3621" t="s">
        <v>31</v>
      </c>
      <c r="L263" s="3621" t="s">
        <v>31</v>
      </c>
      <c r="M263" s="3621" t="s">
        <v>31</v>
      </c>
      <c r="N263" s="3621" t="s">
        <v>31</v>
      </c>
      <c r="O263" s="3621"/>
      <c r="P263" s="3621"/>
      <c r="Q263" s="3621" t="s">
        <v>31</v>
      </c>
      <c r="R263" s="3621" t="s">
        <v>31</v>
      </c>
      <c r="S263" s="3621" t="s">
        <v>31</v>
      </c>
      <c r="T263" s="3621" t="s">
        <v>31</v>
      </c>
      <c r="U263" s="3621" t="s">
        <v>31</v>
      </c>
      <c r="V263" s="3621"/>
      <c r="W263" s="3621"/>
      <c r="X263" s="3621" t="s">
        <v>31</v>
      </c>
      <c r="Y263" s="3621" t="s">
        <v>31</v>
      </c>
      <c r="Z263" s="3621" t="s">
        <v>31</v>
      </c>
      <c r="AA263" s="3621" t="s">
        <v>31</v>
      </c>
      <c r="AB263" s="3621" t="s">
        <v>31</v>
      </c>
      <c r="AC263" s="3621"/>
      <c r="AD263" s="3621"/>
      <c r="AE263" s="3621" t="s">
        <v>31</v>
      </c>
      <c r="AF263" s="3621" t="s">
        <v>31</v>
      </c>
      <c r="AG263" s="3621" t="s">
        <v>31</v>
      </c>
      <c r="AH263" s="124"/>
      <c r="AI263" s="125"/>
    </row>
    <row r="264" spans="1:35" ht="18" customHeight="1">
      <c r="A264" s="3989"/>
      <c r="B264" s="3988" t="s">
        <v>335</v>
      </c>
      <c r="C264" s="3621" t="s">
        <v>31</v>
      </c>
      <c r="D264" s="3621" t="s">
        <v>31</v>
      </c>
      <c r="E264" s="3621" t="s">
        <v>31</v>
      </c>
      <c r="F264" s="3621" t="s">
        <v>31</v>
      </c>
      <c r="G264" s="3621" t="s">
        <v>31</v>
      </c>
      <c r="H264" s="3621"/>
      <c r="I264" s="3621"/>
      <c r="J264" s="3423" t="s">
        <v>31</v>
      </c>
      <c r="K264" s="3423" t="s">
        <v>31</v>
      </c>
      <c r="L264" s="3423" t="s">
        <v>31</v>
      </c>
      <c r="M264" s="3423" t="s">
        <v>31</v>
      </c>
      <c r="N264" s="3423" t="s">
        <v>31</v>
      </c>
      <c r="O264" s="3423"/>
      <c r="P264" s="3423"/>
      <c r="Q264" s="3423" t="s">
        <v>31</v>
      </c>
      <c r="R264" s="3423" t="s">
        <v>31</v>
      </c>
      <c r="S264" s="3423" t="s">
        <v>31</v>
      </c>
      <c r="T264" s="3423" t="s">
        <v>31</v>
      </c>
      <c r="U264" s="3423" t="s">
        <v>31</v>
      </c>
      <c r="V264" s="3423"/>
      <c r="W264" s="3423"/>
      <c r="X264" s="3423" t="s">
        <v>31</v>
      </c>
      <c r="Y264" s="3423" t="s">
        <v>31</v>
      </c>
      <c r="Z264" s="3423" t="s">
        <v>31</v>
      </c>
      <c r="AA264" s="3423" t="s">
        <v>31</v>
      </c>
      <c r="AB264" s="3423" t="s">
        <v>31</v>
      </c>
      <c r="AC264" s="3423"/>
      <c r="AD264" s="3423"/>
      <c r="AE264" s="3621" t="s">
        <v>31</v>
      </c>
      <c r="AF264" s="3621" t="s">
        <v>31</v>
      </c>
      <c r="AG264" s="3621" t="s">
        <v>31</v>
      </c>
      <c r="AH264" s="124"/>
      <c r="AI264" s="125"/>
    </row>
    <row r="265" spans="1:35" ht="18" customHeight="1">
      <c r="A265" s="29"/>
      <c r="B265" s="3990"/>
      <c r="C265" s="3621"/>
      <c r="D265" s="3621"/>
      <c r="E265" s="3621"/>
      <c r="F265" s="3621"/>
      <c r="G265" s="3621"/>
      <c r="H265" s="3621"/>
      <c r="I265" s="3621"/>
      <c r="J265" s="3621"/>
      <c r="K265" s="3621"/>
      <c r="L265" s="3621"/>
      <c r="M265" s="3621"/>
      <c r="N265" s="3621"/>
      <c r="O265" s="3621"/>
      <c r="P265" s="3621"/>
      <c r="Q265" s="3621"/>
      <c r="R265" s="3621"/>
      <c r="S265" s="3621"/>
      <c r="T265" s="3621"/>
      <c r="U265" s="3621"/>
      <c r="V265" s="3621"/>
      <c r="W265" s="3621"/>
      <c r="X265" s="3621"/>
      <c r="Y265" s="3621"/>
      <c r="Z265" s="3621"/>
      <c r="AA265" s="3621"/>
      <c r="AB265" s="3621"/>
      <c r="AC265" s="3621"/>
      <c r="AD265" s="3621"/>
      <c r="AE265" s="3621"/>
      <c r="AF265" s="3621"/>
      <c r="AG265" s="3732"/>
      <c r="AH265" s="124"/>
      <c r="AI265" s="125"/>
    </row>
    <row r="266" spans="1:35" ht="18" customHeight="1">
      <c r="A266" s="3522"/>
      <c r="B266" s="3990"/>
      <c r="C266" s="3677"/>
      <c r="D266" s="3677"/>
      <c r="E266" s="3677"/>
      <c r="F266" s="3677"/>
      <c r="G266" s="3677"/>
      <c r="H266" s="3677"/>
      <c r="I266" s="3677"/>
      <c r="J266" s="3677"/>
      <c r="K266" s="3677"/>
      <c r="L266" s="3677"/>
      <c r="M266" s="3677"/>
      <c r="N266" s="3684"/>
      <c r="O266" s="3684"/>
      <c r="P266" s="3677"/>
      <c r="Q266" s="3677"/>
      <c r="R266" s="3677"/>
      <c r="S266" s="3677"/>
      <c r="T266" s="3677"/>
      <c r="U266" s="3677"/>
      <c r="V266" s="3677"/>
      <c r="W266" s="3677"/>
      <c r="X266" s="3677"/>
      <c r="Y266" s="3677"/>
      <c r="Z266" s="3677"/>
      <c r="AA266" s="3677"/>
      <c r="AB266" s="3684"/>
      <c r="AC266" s="3684"/>
      <c r="AD266" s="3677"/>
      <c r="AE266" s="3677"/>
      <c r="AF266" s="3677"/>
      <c r="AG266" s="3677"/>
      <c r="AH266" s="126"/>
      <c r="AI266" s="127"/>
    </row>
    <row r="267" spans="1:35" ht="18" customHeight="1">
      <c r="A267" s="3524"/>
      <c r="B267" s="3991"/>
      <c r="C267" s="3677"/>
      <c r="D267" s="3677"/>
      <c r="E267" s="3677"/>
      <c r="F267" s="3677"/>
      <c r="G267" s="3677"/>
      <c r="H267" s="3677"/>
      <c r="I267" s="3677"/>
      <c r="J267" s="3677"/>
      <c r="K267" s="3677"/>
      <c r="L267" s="3677"/>
      <c r="M267" s="3677"/>
      <c r="N267" s="3684"/>
      <c r="O267" s="3684"/>
      <c r="P267" s="3677"/>
      <c r="Q267" s="3677"/>
      <c r="R267" s="3677"/>
      <c r="S267" s="3677"/>
      <c r="T267" s="3677"/>
      <c r="U267" s="3677"/>
      <c r="V267" s="3677"/>
      <c r="W267" s="3677"/>
      <c r="X267" s="3677"/>
      <c r="Y267" s="3677"/>
      <c r="Z267" s="3677"/>
      <c r="AA267" s="3677"/>
      <c r="AB267" s="3684"/>
      <c r="AC267" s="3684"/>
      <c r="AD267" s="3677"/>
      <c r="AE267" s="3677"/>
      <c r="AF267" s="3677"/>
      <c r="AG267" s="3677"/>
      <c r="AH267" s="126"/>
      <c r="AI267" s="127"/>
    </row>
    <row r="268" spans="1:35" ht="18" customHeight="1" thickBot="1">
      <c r="A268" s="416"/>
      <c r="B268" s="413"/>
      <c r="C268" s="3992"/>
      <c r="D268" s="3993"/>
      <c r="E268" s="3993"/>
      <c r="F268" s="3993"/>
      <c r="G268" s="3993"/>
      <c r="H268" s="3993"/>
      <c r="I268" s="3993"/>
      <c r="J268" s="3993"/>
      <c r="K268" s="3993"/>
      <c r="L268" s="3993"/>
      <c r="M268" s="3993"/>
      <c r="N268" s="3994"/>
      <c r="O268" s="3994"/>
      <c r="P268" s="3993"/>
      <c r="Q268" s="3993"/>
      <c r="R268" s="3993"/>
      <c r="S268" s="3993"/>
      <c r="T268" s="3993"/>
      <c r="U268" s="3993"/>
      <c r="V268" s="3993"/>
      <c r="W268" s="3993"/>
      <c r="X268" s="3993"/>
      <c r="Y268" s="3993"/>
      <c r="Z268" s="3993"/>
      <c r="AA268" s="3993"/>
      <c r="AB268" s="3994"/>
      <c r="AC268" s="3994"/>
      <c r="AD268" s="3993"/>
      <c r="AE268" s="3993"/>
      <c r="AF268" s="3993"/>
      <c r="AG268" s="3995"/>
      <c r="AH268" s="126"/>
      <c r="AI268" s="127"/>
    </row>
    <row r="269" spans="1:35" ht="18" customHeight="1"/>
    <row r="270" spans="1:35" ht="18" customHeight="1" thickBot="1">
      <c r="A270" s="14" t="s">
        <v>337</v>
      </c>
    </row>
    <row r="271" spans="1:35" ht="18" customHeight="1">
      <c r="A271" s="1"/>
      <c r="B271" s="3481" t="s">
        <v>281</v>
      </c>
      <c r="C271" s="3834"/>
      <c r="D271" s="3858" t="s">
        <v>87</v>
      </c>
      <c r="E271" s="3640"/>
      <c r="F271" s="3838"/>
      <c r="G271" s="3834"/>
      <c r="H271" s="3858" t="s">
        <v>88</v>
      </c>
      <c r="I271" s="3640"/>
      <c r="J271" s="3838"/>
      <c r="K271" s="3834"/>
      <c r="L271" s="3858" t="s">
        <v>89</v>
      </c>
      <c r="M271" s="3640"/>
      <c r="N271" s="3838"/>
      <c r="O271" s="3834"/>
      <c r="P271" s="3858" t="s">
        <v>90</v>
      </c>
      <c r="Q271" s="3640"/>
      <c r="R271" s="3838"/>
      <c r="S271" s="3834"/>
      <c r="T271" s="3858" t="s">
        <v>91</v>
      </c>
      <c r="U271" s="3640"/>
      <c r="V271" s="3838"/>
      <c r="W271" s="3834"/>
      <c r="X271" s="3858" t="s">
        <v>92</v>
      </c>
      <c r="Y271" s="3640"/>
      <c r="Z271" s="3838"/>
      <c r="AA271" s="3834"/>
      <c r="AB271" s="3858" t="s">
        <v>93</v>
      </c>
      <c r="AC271" s="3640"/>
      <c r="AD271" s="3640"/>
      <c r="AE271" s="3861" t="s">
        <v>94</v>
      </c>
      <c r="AF271" s="3640"/>
      <c r="AG271" s="3640"/>
      <c r="AH271" s="3640"/>
      <c r="AI271" s="3641"/>
    </row>
    <row r="272" spans="1:35" ht="18" customHeight="1">
      <c r="A272" s="1"/>
      <c r="B272" s="116"/>
      <c r="C272" s="121"/>
      <c r="D272" s="111"/>
      <c r="E272" s="8"/>
      <c r="F272" s="120"/>
      <c r="G272" s="121"/>
      <c r="H272" s="111"/>
      <c r="I272" s="8"/>
      <c r="J272" s="120"/>
      <c r="K272" s="121"/>
      <c r="L272" s="111"/>
      <c r="M272" s="8"/>
      <c r="N272" s="120"/>
      <c r="O272" s="121"/>
      <c r="P272" s="111"/>
      <c r="Q272" s="8"/>
      <c r="R272" s="120"/>
      <c r="S272" s="121"/>
      <c r="T272" s="111"/>
      <c r="U272" s="8"/>
      <c r="V272" s="120"/>
      <c r="W272" s="121"/>
      <c r="X272" s="111"/>
      <c r="Y272" s="8"/>
      <c r="Z272" s="120"/>
      <c r="AA272" s="121"/>
      <c r="AB272" s="111"/>
      <c r="AC272" s="8"/>
      <c r="AD272" s="8"/>
      <c r="AE272" s="112"/>
      <c r="AF272" s="8"/>
      <c r="AG272" s="8"/>
      <c r="AH272" s="8"/>
      <c r="AI272" s="105"/>
    </row>
    <row r="273" spans="1:35" ht="18" customHeight="1">
      <c r="A273" s="87"/>
      <c r="B273" s="3967"/>
      <c r="C273" s="3699"/>
      <c r="D273" s="3568"/>
      <c r="E273" s="3568"/>
      <c r="F273" s="3865"/>
      <c r="G273" s="3699"/>
      <c r="H273" s="3568"/>
      <c r="I273" s="3568"/>
      <c r="J273" s="3865"/>
      <c r="K273" s="3699"/>
      <c r="L273" s="3568"/>
      <c r="M273" s="3568"/>
      <c r="N273" s="3865"/>
      <c r="O273" s="3699"/>
      <c r="P273" s="3568"/>
      <c r="Q273" s="3568"/>
      <c r="R273" s="3865"/>
      <c r="S273" s="3699"/>
      <c r="T273" s="3568"/>
      <c r="U273" s="3568"/>
      <c r="V273" s="3865"/>
      <c r="W273" s="3699"/>
      <c r="X273" s="3568"/>
      <c r="Y273" s="3568"/>
      <c r="Z273" s="3865"/>
      <c r="AA273" s="3436"/>
      <c r="AB273" s="3568"/>
      <c r="AC273" s="3568"/>
      <c r="AD273" s="3700"/>
      <c r="AE273" s="3996"/>
      <c r="AF273" s="3568"/>
      <c r="AG273" s="3568"/>
      <c r="AH273" s="3700"/>
      <c r="AI273" s="3437"/>
    </row>
    <row r="274" spans="1:35" ht="18" customHeight="1" thickBot="1">
      <c r="A274" s="1"/>
      <c r="B274" s="3875"/>
      <c r="C274" s="3876"/>
      <c r="D274" s="3652"/>
      <c r="E274" s="3652"/>
      <c r="F274" s="3900"/>
      <c r="G274" s="3876"/>
      <c r="H274" s="3652"/>
      <c r="I274" s="3652"/>
      <c r="J274" s="3900"/>
      <c r="K274" s="3876"/>
      <c r="L274" s="3652"/>
      <c r="M274" s="3652"/>
      <c r="N274" s="3900"/>
      <c r="O274" s="3876"/>
      <c r="P274" s="3652"/>
      <c r="Q274" s="3652"/>
      <c r="R274" s="3900"/>
      <c r="S274" s="3876"/>
      <c r="T274" s="3652"/>
      <c r="U274" s="3652"/>
      <c r="V274" s="3900"/>
      <c r="W274" s="3898"/>
      <c r="X274" s="3652"/>
      <c r="Y274" s="3652"/>
      <c r="Z274" s="3900"/>
      <c r="AA274" s="3898"/>
      <c r="AB274" s="3652"/>
      <c r="AC274" s="3652"/>
      <c r="AD274" s="3883"/>
      <c r="AE274" s="3898"/>
      <c r="AF274" s="3652"/>
      <c r="AG274" s="3652"/>
      <c r="AH274" s="3883"/>
      <c r="AI274" s="3659"/>
    </row>
    <row r="275" spans="1:35" ht="18" customHeight="1">
      <c r="A275" s="1"/>
      <c r="B275" s="113"/>
      <c r="C275" s="37"/>
      <c r="F275" s="22"/>
      <c r="G275" s="37"/>
      <c r="J275" s="22"/>
      <c r="K275" s="37"/>
      <c r="N275" s="22"/>
      <c r="O275" s="37"/>
      <c r="R275" s="22"/>
      <c r="S275" s="37"/>
      <c r="V275" s="22"/>
      <c r="W275" s="22"/>
      <c r="Z275" s="22"/>
      <c r="AA275" s="22"/>
      <c r="AD275" s="22"/>
      <c r="AE275" s="22"/>
      <c r="AH275" s="22"/>
    </row>
    <row r="276" spans="1:35" ht="18" customHeight="1">
      <c r="A276" s="14" t="s">
        <v>338</v>
      </c>
      <c r="B276" s="113"/>
      <c r="C276" s="37"/>
      <c r="F276" s="22"/>
      <c r="G276" s="37"/>
      <c r="J276" s="22"/>
      <c r="K276" s="37"/>
      <c r="N276" s="22"/>
      <c r="O276" s="37"/>
      <c r="R276" s="22"/>
      <c r="S276" s="37"/>
      <c r="V276" s="22"/>
      <c r="W276" s="22"/>
      <c r="Z276" s="22"/>
      <c r="AA276" s="22"/>
      <c r="AD276" s="22"/>
      <c r="AE276" s="22"/>
      <c r="AH276" s="22"/>
    </row>
    <row r="277" spans="1:35" ht="18" customHeight="1" thickBot="1">
      <c r="A277" s="3970" t="s">
        <v>28</v>
      </c>
      <c r="B277" s="3971" t="s">
        <v>29</v>
      </c>
      <c r="C277" s="3411">
        <v>1</v>
      </c>
      <c r="D277" s="3411">
        <v>2</v>
      </c>
      <c r="E277" s="3411">
        <v>3</v>
      </c>
      <c r="F277" s="3411">
        <v>4</v>
      </c>
      <c r="G277" s="3411">
        <v>5</v>
      </c>
      <c r="H277" s="3410">
        <v>6</v>
      </c>
      <c r="I277" s="3410">
        <v>7</v>
      </c>
      <c r="J277" s="3411">
        <v>8</v>
      </c>
      <c r="K277" s="3411">
        <v>9</v>
      </c>
      <c r="L277" s="3411">
        <v>10</v>
      </c>
      <c r="M277" s="3411">
        <v>11</v>
      </c>
      <c r="N277" s="3411">
        <v>12</v>
      </c>
      <c r="O277" s="3410">
        <v>13</v>
      </c>
      <c r="P277" s="3410">
        <v>14</v>
      </c>
      <c r="Q277" s="3411">
        <v>15</v>
      </c>
      <c r="R277" s="3411">
        <v>16</v>
      </c>
      <c r="S277" s="3411">
        <v>17</v>
      </c>
      <c r="T277" s="3411">
        <v>18</v>
      </c>
      <c r="U277" s="3411">
        <v>19</v>
      </c>
      <c r="V277" s="3410">
        <v>20</v>
      </c>
      <c r="W277" s="3410">
        <v>21</v>
      </c>
      <c r="X277" s="3411">
        <v>22</v>
      </c>
      <c r="Y277" s="3411">
        <v>23</v>
      </c>
      <c r="Z277" s="3411">
        <v>24</v>
      </c>
      <c r="AA277" s="3411">
        <v>25</v>
      </c>
      <c r="AB277" s="3411">
        <v>26</v>
      </c>
      <c r="AC277" s="3410">
        <v>27</v>
      </c>
      <c r="AD277" s="3410">
        <v>28</v>
      </c>
      <c r="AE277" s="3411">
        <v>29</v>
      </c>
      <c r="AF277" s="3411">
        <v>30</v>
      </c>
      <c r="AG277" s="3585">
        <v>31</v>
      </c>
      <c r="AH277" s="128"/>
      <c r="AI277" s="24"/>
    </row>
    <row r="278" spans="1:35" ht="18" customHeight="1">
      <c r="A278" s="129"/>
      <c r="B278" s="130" t="s">
        <v>339</v>
      </c>
      <c r="C278" s="3621" t="s">
        <v>31</v>
      </c>
      <c r="D278" s="3462" t="s">
        <v>31</v>
      </c>
      <c r="E278" s="3621" t="s">
        <v>31</v>
      </c>
      <c r="F278" s="3621" t="s">
        <v>31</v>
      </c>
      <c r="G278" s="3621" t="s">
        <v>31</v>
      </c>
      <c r="H278" s="3621"/>
      <c r="I278" s="3621"/>
      <c r="J278" s="3621" t="s">
        <v>31</v>
      </c>
      <c r="K278" s="3621" t="s">
        <v>31</v>
      </c>
      <c r="L278" s="3621" t="s">
        <v>31</v>
      </c>
      <c r="M278" s="3621" t="s">
        <v>31</v>
      </c>
      <c r="N278" s="3621" t="s">
        <v>31</v>
      </c>
      <c r="O278" s="3621"/>
      <c r="P278" s="3621"/>
      <c r="Q278" s="3621" t="s">
        <v>31</v>
      </c>
      <c r="R278" s="3621" t="s">
        <v>31</v>
      </c>
      <c r="S278" s="3621" t="s">
        <v>31</v>
      </c>
      <c r="T278" s="3621" t="s">
        <v>31</v>
      </c>
      <c r="U278" s="3621" t="s">
        <v>31</v>
      </c>
      <c r="V278" s="3621"/>
      <c r="W278" s="3621"/>
      <c r="X278" s="3621" t="s">
        <v>31</v>
      </c>
      <c r="Y278" s="3621" t="s">
        <v>31</v>
      </c>
      <c r="Z278" s="3621" t="s">
        <v>31</v>
      </c>
      <c r="AA278" s="3621" t="s">
        <v>31</v>
      </c>
      <c r="AB278" s="3621" t="s">
        <v>31</v>
      </c>
      <c r="AC278" s="3621"/>
      <c r="AD278" s="3621"/>
      <c r="AE278" s="3621" t="s">
        <v>31</v>
      </c>
      <c r="AF278" s="3621" t="s">
        <v>31</v>
      </c>
      <c r="AG278" s="3621" t="s">
        <v>31</v>
      </c>
      <c r="AH278" s="131"/>
      <c r="AI278" s="125"/>
    </row>
    <row r="279" spans="1:35" ht="18" customHeight="1">
      <c r="A279" s="3997"/>
      <c r="B279" s="3998" t="s">
        <v>340</v>
      </c>
      <c r="C279" s="3621" t="s">
        <v>31</v>
      </c>
      <c r="D279" s="3421" t="s">
        <v>31</v>
      </c>
      <c r="E279" s="3421" t="s">
        <v>31</v>
      </c>
      <c r="F279" s="3421" t="s">
        <v>31</v>
      </c>
      <c r="G279" s="3999" t="s">
        <v>31</v>
      </c>
      <c r="H279" s="3999"/>
      <c r="I279" s="3621"/>
      <c r="J279" s="3621" t="s">
        <v>31</v>
      </c>
      <c r="K279" s="3621" t="s">
        <v>31</v>
      </c>
      <c r="L279" s="3621" t="s">
        <v>31</v>
      </c>
      <c r="M279" s="3621" t="s">
        <v>31</v>
      </c>
      <c r="N279" s="3621" t="s">
        <v>31</v>
      </c>
      <c r="O279" s="3621"/>
      <c r="P279" s="3621"/>
      <c r="Q279" s="3423" t="s">
        <v>31</v>
      </c>
      <c r="R279" s="3423" t="s">
        <v>31</v>
      </c>
      <c r="S279" s="3423" t="s">
        <v>31</v>
      </c>
      <c r="T279" s="3423" t="s">
        <v>31</v>
      </c>
      <c r="U279" s="3423" t="s">
        <v>31</v>
      </c>
      <c r="V279" s="3423"/>
      <c r="W279" s="3423"/>
      <c r="X279" s="3423" t="s">
        <v>31</v>
      </c>
      <c r="Y279" s="3423" t="s">
        <v>31</v>
      </c>
      <c r="Z279" s="3423" t="s">
        <v>31</v>
      </c>
      <c r="AA279" s="3423" t="s">
        <v>31</v>
      </c>
      <c r="AB279" s="3423" t="s">
        <v>31</v>
      </c>
      <c r="AC279" s="3423"/>
      <c r="AD279" s="3423"/>
      <c r="AE279" s="3423" t="s">
        <v>31</v>
      </c>
      <c r="AF279" s="3423" t="s">
        <v>31</v>
      </c>
      <c r="AG279" s="3423" t="s">
        <v>31</v>
      </c>
      <c r="AH279" s="131"/>
      <c r="AI279" s="125"/>
    </row>
    <row r="280" spans="1:35" ht="18" customHeight="1">
      <c r="A280" s="3972"/>
      <c r="B280" s="3998" t="s">
        <v>341</v>
      </c>
      <c r="C280" s="3423" t="s">
        <v>31</v>
      </c>
      <c r="D280" s="3423" t="s">
        <v>31</v>
      </c>
      <c r="E280" s="3423" t="s">
        <v>31</v>
      </c>
      <c r="F280" s="3423" t="s">
        <v>31</v>
      </c>
      <c r="G280" s="3423" t="s">
        <v>31</v>
      </c>
      <c r="H280" s="3423"/>
      <c r="I280" s="3423"/>
      <c r="J280" s="3423" t="s">
        <v>31</v>
      </c>
      <c r="K280" s="3423" t="s">
        <v>31</v>
      </c>
      <c r="L280" s="3423" t="s">
        <v>31</v>
      </c>
      <c r="M280" s="3423" t="s">
        <v>31</v>
      </c>
      <c r="N280" s="3423" t="s">
        <v>31</v>
      </c>
      <c r="O280" s="3423"/>
      <c r="P280" s="3423"/>
      <c r="Q280" s="3621" t="s">
        <v>31</v>
      </c>
      <c r="R280" s="3621" t="s">
        <v>31</v>
      </c>
      <c r="S280" s="3621" t="s">
        <v>31</v>
      </c>
      <c r="T280" s="3621" t="s">
        <v>31</v>
      </c>
      <c r="U280" s="3621" t="s">
        <v>31</v>
      </c>
      <c r="V280" s="3621"/>
      <c r="W280" s="3621"/>
      <c r="X280" s="3621" t="s">
        <v>31</v>
      </c>
      <c r="Y280" s="3621" t="s">
        <v>31</v>
      </c>
      <c r="Z280" s="3621" t="s">
        <v>31</v>
      </c>
      <c r="AA280" s="3621" t="s">
        <v>31</v>
      </c>
      <c r="AB280" s="3621" t="s">
        <v>31</v>
      </c>
      <c r="AC280" s="3621"/>
      <c r="AD280" s="3621"/>
      <c r="AE280" s="3621" t="s">
        <v>31</v>
      </c>
      <c r="AF280" s="3621" t="s">
        <v>31</v>
      </c>
      <c r="AG280" s="3621" t="s">
        <v>31</v>
      </c>
      <c r="AH280" s="131"/>
      <c r="AI280" s="125"/>
    </row>
    <row r="281" spans="1:35" ht="18" customHeight="1">
      <c r="A281" s="3972"/>
      <c r="B281" s="3998" t="s">
        <v>342</v>
      </c>
      <c r="C281" s="3621" t="s">
        <v>31</v>
      </c>
      <c r="D281" s="3462" t="s">
        <v>31</v>
      </c>
      <c r="E281" s="3621" t="s">
        <v>31</v>
      </c>
      <c r="F281" s="3621" t="s">
        <v>31</v>
      </c>
      <c r="G281" s="3621" t="s">
        <v>31</v>
      </c>
      <c r="H281" s="3621"/>
      <c r="I281" s="3621"/>
      <c r="J281" s="3621" t="s">
        <v>31</v>
      </c>
      <c r="K281" s="3621" t="s">
        <v>31</v>
      </c>
      <c r="L281" s="3621" t="s">
        <v>31</v>
      </c>
      <c r="M281" s="3621" t="s">
        <v>31</v>
      </c>
      <c r="N281" s="3621" t="s">
        <v>31</v>
      </c>
      <c r="O281" s="3621"/>
      <c r="P281" s="3621"/>
      <c r="Q281" s="3423" t="s">
        <v>31</v>
      </c>
      <c r="R281" s="3423" t="s">
        <v>31</v>
      </c>
      <c r="S281" s="3423" t="s">
        <v>31</v>
      </c>
      <c r="T281" s="3423" t="s">
        <v>31</v>
      </c>
      <c r="U281" s="3423" t="s">
        <v>31</v>
      </c>
      <c r="V281" s="3423"/>
      <c r="W281" s="3423"/>
      <c r="X281" s="3423" t="s">
        <v>31</v>
      </c>
      <c r="Y281" s="3423" t="s">
        <v>31</v>
      </c>
      <c r="Z281" s="3423" t="s">
        <v>31</v>
      </c>
      <c r="AA281" s="3423" t="s">
        <v>31</v>
      </c>
      <c r="AB281" s="3423" t="s">
        <v>31</v>
      </c>
      <c r="AC281" s="3621"/>
      <c r="AD281" s="3621"/>
      <c r="AE281" s="3621" t="s">
        <v>31</v>
      </c>
      <c r="AF281" s="3621" t="s">
        <v>31</v>
      </c>
      <c r="AG281" s="3621" t="s">
        <v>31</v>
      </c>
      <c r="AH281" s="131"/>
      <c r="AI281" s="125"/>
    </row>
    <row r="282" spans="1:35" ht="18" customHeight="1">
      <c r="A282" s="3972"/>
      <c r="B282" s="3998" t="s">
        <v>343</v>
      </c>
      <c r="C282" s="3621" t="s">
        <v>31</v>
      </c>
      <c r="D282" s="3462" t="s">
        <v>31</v>
      </c>
      <c r="E282" s="3423" t="s">
        <v>31</v>
      </c>
      <c r="F282" s="3621" t="s">
        <v>31</v>
      </c>
      <c r="G282" s="3621" t="s">
        <v>31</v>
      </c>
      <c r="H282" s="3621"/>
      <c r="I282" s="3621"/>
      <c r="J282" s="3423" t="s">
        <v>31</v>
      </c>
      <c r="K282" s="3621" t="s">
        <v>31</v>
      </c>
      <c r="L282" s="3621" t="s">
        <v>31</v>
      </c>
      <c r="M282" s="3621" t="s">
        <v>31</v>
      </c>
      <c r="N282" s="3423" t="s">
        <v>31</v>
      </c>
      <c r="O282" s="3423"/>
      <c r="P282" s="3423"/>
      <c r="Q282" s="3423" t="s">
        <v>31</v>
      </c>
      <c r="R282" s="3423" t="s">
        <v>31</v>
      </c>
      <c r="S282" s="3423" t="s">
        <v>31</v>
      </c>
      <c r="T282" s="3423" t="s">
        <v>31</v>
      </c>
      <c r="U282" s="3423" t="s">
        <v>31</v>
      </c>
      <c r="V282" s="3423"/>
      <c r="W282" s="3423"/>
      <c r="X282" s="3621" t="s">
        <v>31</v>
      </c>
      <c r="Y282" s="3621" t="s">
        <v>31</v>
      </c>
      <c r="Z282" s="3621" t="s">
        <v>31</v>
      </c>
      <c r="AA282" s="3423" t="s">
        <v>31</v>
      </c>
      <c r="AB282" s="3621" t="s">
        <v>31</v>
      </c>
      <c r="AC282" s="3621"/>
      <c r="AD282" s="3621"/>
      <c r="AE282" s="3423" t="s">
        <v>31</v>
      </c>
      <c r="AF282" s="3621" t="s">
        <v>31</v>
      </c>
      <c r="AG282" s="3677" t="s">
        <v>31</v>
      </c>
      <c r="AH282" s="131"/>
      <c r="AI282" s="125"/>
    </row>
    <row r="283" spans="1:35" ht="18" customHeight="1">
      <c r="A283" s="3972"/>
      <c r="B283" s="3998" t="s">
        <v>344</v>
      </c>
      <c r="C283" s="3621" t="s">
        <v>31</v>
      </c>
      <c r="D283" s="3421" t="s">
        <v>31</v>
      </c>
      <c r="E283" s="3421" t="s">
        <v>31</v>
      </c>
      <c r="F283" s="3421" t="s">
        <v>31</v>
      </c>
      <c r="G283" s="3999" t="s">
        <v>31</v>
      </c>
      <c r="H283" s="3999"/>
      <c r="I283" s="3621"/>
      <c r="J283" s="3621" t="s">
        <v>31</v>
      </c>
      <c r="K283" s="3621" t="s">
        <v>31</v>
      </c>
      <c r="L283" s="3621" t="s">
        <v>31</v>
      </c>
      <c r="M283" s="3621" t="s">
        <v>31</v>
      </c>
      <c r="N283" s="3621" t="s">
        <v>31</v>
      </c>
      <c r="O283" s="3621"/>
      <c r="P283" s="3621"/>
      <c r="Q283" s="3621" t="s">
        <v>31</v>
      </c>
      <c r="R283" s="3621" t="s">
        <v>31</v>
      </c>
      <c r="S283" s="3621" t="s">
        <v>31</v>
      </c>
      <c r="T283" s="3621" t="s">
        <v>31</v>
      </c>
      <c r="U283" s="3621" t="s">
        <v>31</v>
      </c>
      <c r="V283" s="3621"/>
      <c r="W283" s="3621"/>
      <c r="X283" s="3621" t="s">
        <v>31</v>
      </c>
      <c r="Y283" s="3621" t="s">
        <v>31</v>
      </c>
      <c r="Z283" s="3621" t="s">
        <v>31</v>
      </c>
      <c r="AA283" s="3621" t="s">
        <v>31</v>
      </c>
      <c r="AB283" s="3621" t="s">
        <v>31</v>
      </c>
      <c r="AC283" s="3621"/>
      <c r="AD283" s="3621"/>
      <c r="AE283" s="3621" t="s">
        <v>31</v>
      </c>
      <c r="AF283" s="3621" t="s">
        <v>31</v>
      </c>
      <c r="AG283" s="3677" t="s">
        <v>31</v>
      </c>
      <c r="AH283" s="131"/>
      <c r="AI283" s="125"/>
    </row>
    <row r="284" spans="1:35" ht="18" customHeight="1">
      <c r="A284" s="3972"/>
      <c r="B284" s="3998" t="s">
        <v>345</v>
      </c>
      <c r="C284" s="3621" t="s">
        <v>31</v>
      </c>
      <c r="D284" s="3462" t="s">
        <v>31</v>
      </c>
      <c r="E284" s="3621" t="s">
        <v>31</v>
      </c>
      <c r="F284" s="3621" t="s">
        <v>31</v>
      </c>
      <c r="G284" s="3621" t="s">
        <v>31</v>
      </c>
      <c r="H284" s="3621"/>
      <c r="I284" s="3621"/>
      <c r="J284" s="3621" t="s">
        <v>31</v>
      </c>
      <c r="K284" s="3621" t="s">
        <v>31</v>
      </c>
      <c r="L284" s="3621" t="s">
        <v>31</v>
      </c>
      <c r="M284" s="3621" t="s">
        <v>31</v>
      </c>
      <c r="N284" s="3621" t="s">
        <v>31</v>
      </c>
      <c r="O284" s="3621"/>
      <c r="P284" s="3621"/>
      <c r="Q284" s="3423" t="s">
        <v>31</v>
      </c>
      <c r="R284" s="3423" t="s">
        <v>31</v>
      </c>
      <c r="S284" s="3423" t="s">
        <v>31</v>
      </c>
      <c r="T284" s="3423" t="s">
        <v>31</v>
      </c>
      <c r="U284" s="3423" t="s">
        <v>31</v>
      </c>
      <c r="V284" s="3423"/>
      <c r="W284" s="3423"/>
      <c r="X284" s="3423" t="s">
        <v>31</v>
      </c>
      <c r="Y284" s="3423" t="s">
        <v>31</v>
      </c>
      <c r="Z284" s="3423" t="s">
        <v>31</v>
      </c>
      <c r="AA284" s="3423" t="s">
        <v>31</v>
      </c>
      <c r="AB284" s="3423" t="s">
        <v>31</v>
      </c>
      <c r="AC284" s="3621"/>
      <c r="AD284" s="3621"/>
      <c r="AE284" s="3621" t="s">
        <v>31</v>
      </c>
      <c r="AF284" s="3621" t="s">
        <v>31</v>
      </c>
      <c r="AG284" s="3677" t="s">
        <v>31</v>
      </c>
      <c r="AH284" s="131"/>
      <c r="AI284" s="125"/>
    </row>
    <row r="285" spans="1:35" ht="18" customHeight="1">
      <c r="A285" s="3972"/>
      <c r="B285" s="3998" t="s">
        <v>346</v>
      </c>
      <c r="C285" s="3621" t="s">
        <v>31</v>
      </c>
      <c r="D285" s="3462" t="s">
        <v>31</v>
      </c>
      <c r="E285" s="3621" t="s">
        <v>31</v>
      </c>
      <c r="F285" s="3621" t="s">
        <v>31</v>
      </c>
      <c r="G285" s="3621" t="s">
        <v>31</v>
      </c>
      <c r="H285" s="3621"/>
      <c r="I285" s="3621"/>
      <c r="J285" s="3423" t="s">
        <v>31</v>
      </c>
      <c r="K285" s="3423" t="s">
        <v>31</v>
      </c>
      <c r="L285" s="3423" t="s">
        <v>31</v>
      </c>
      <c r="M285" s="3423" t="s">
        <v>31</v>
      </c>
      <c r="N285" s="3423" t="s">
        <v>31</v>
      </c>
      <c r="O285" s="3423"/>
      <c r="P285" s="3423"/>
      <c r="Q285" s="3621" t="s">
        <v>31</v>
      </c>
      <c r="R285" s="3621" t="s">
        <v>31</v>
      </c>
      <c r="S285" s="3621" t="s">
        <v>31</v>
      </c>
      <c r="T285" s="3621" t="s">
        <v>31</v>
      </c>
      <c r="U285" s="3621" t="s">
        <v>31</v>
      </c>
      <c r="V285" s="3621"/>
      <c r="W285" s="3621"/>
      <c r="X285" s="3621" t="s">
        <v>31</v>
      </c>
      <c r="Y285" s="3621" t="s">
        <v>31</v>
      </c>
      <c r="Z285" s="3621" t="s">
        <v>31</v>
      </c>
      <c r="AA285" s="3621" t="s">
        <v>31</v>
      </c>
      <c r="AB285" s="3621" t="s">
        <v>31</v>
      </c>
      <c r="AC285" s="3621"/>
      <c r="AD285" s="3621"/>
      <c r="AE285" s="3621" t="s">
        <v>31</v>
      </c>
      <c r="AF285" s="3621" t="s">
        <v>31</v>
      </c>
      <c r="AG285" s="3677" t="s">
        <v>31</v>
      </c>
      <c r="AH285" s="131"/>
      <c r="AI285" s="125"/>
    </row>
    <row r="286" spans="1:35" ht="18" customHeight="1">
      <c r="A286" s="3972"/>
      <c r="B286" s="3988" t="s">
        <v>347</v>
      </c>
      <c r="C286" s="3732" t="s">
        <v>31</v>
      </c>
      <c r="D286" s="3732" t="s">
        <v>31</v>
      </c>
      <c r="E286" s="3621" t="s">
        <v>31</v>
      </c>
      <c r="F286" s="3621" t="s">
        <v>31</v>
      </c>
      <c r="G286" s="3621" t="s">
        <v>31</v>
      </c>
      <c r="H286" s="3621"/>
      <c r="I286" s="3621"/>
      <c r="J286" s="3621" t="s">
        <v>31</v>
      </c>
      <c r="K286" s="3621" t="s">
        <v>31</v>
      </c>
      <c r="L286" s="3621" t="s">
        <v>31</v>
      </c>
      <c r="M286" s="3621" t="s">
        <v>31</v>
      </c>
      <c r="N286" s="3621" t="s">
        <v>31</v>
      </c>
      <c r="O286" s="3621"/>
      <c r="P286" s="3621"/>
      <c r="Q286" s="3621" t="s">
        <v>31</v>
      </c>
      <c r="R286" s="3621" t="s">
        <v>31</v>
      </c>
      <c r="S286" s="3621" t="s">
        <v>31</v>
      </c>
      <c r="T286" s="3621" t="s">
        <v>31</v>
      </c>
      <c r="U286" s="3621" t="s">
        <v>31</v>
      </c>
      <c r="V286" s="3621"/>
      <c r="W286" s="3621"/>
      <c r="X286" s="3621" t="s">
        <v>31</v>
      </c>
      <c r="Y286" s="3621" t="s">
        <v>31</v>
      </c>
      <c r="Z286" s="3621" t="s">
        <v>31</v>
      </c>
      <c r="AA286" s="3621" t="s">
        <v>31</v>
      </c>
      <c r="AB286" s="3621" t="s">
        <v>31</v>
      </c>
      <c r="AC286" s="3621"/>
      <c r="AD286" s="3621"/>
      <c r="AE286" s="3621" t="s">
        <v>31</v>
      </c>
      <c r="AF286" s="3621" t="s">
        <v>31</v>
      </c>
      <c r="AG286" s="3677" t="s">
        <v>31</v>
      </c>
      <c r="AH286" s="131"/>
      <c r="AI286" s="125"/>
    </row>
    <row r="287" spans="1:35" ht="18" customHeight="1">
      <c r="A287" s="3972"/>
      <c r="B287" s="4000" t="s">
        <v>348</v>
      </c>
      <c r="C287" s="3621" t="s">
        <v>31</v>
      </c>
      <c r="D287" s="3421" t="s">
        <v>31</v>
      </c>
      <c r="E287" s="3421" t="s">
        <v>31</v>
      </c>
      <c r="F287" s="3421" t="s">
        <v>31</v>
      </c>
      <c r="G287" s="3999" t="s">
        <v>31</v>
      </c>
      <c r="H287" s="3999"/>
      <c r="I287" s="3621"/>
      <c r="J287" s="3621" t="s">
        <v>31</v>
      </c>
      <c r="K287" s="3621" t="s">
        <v>31</v>
      </c>
      <c r="L287" s="3621" t="s">
        <v>31</v>
      </c>
      <c r="M287" s="3621" t="s">
        <v>31</v>
      </c>
      <c r="N287" s="3621" t="s">
        <v>31</v>
      </c>
      <c r="O287" s="3621"/>
      <c r="P287" s="3621"/>
      <c r="Q287" s="3621" t="s">
        <v>31</v>
      </c>
      <c r="R287" s="3621" t="s">
        <v>31</v>
      </c>
      <c r="S287" s="3621" t="s">
        <v>31</v>
      </c>
      <c r="T287" s="3621" t="s">
        <v>31</v>
      </c>
      <c r="U287" s="3621" t="s">
        <v>31</v>
      </c>
      <c r="V287" s="3621"/>
      <c r="W287" s="3621"/>
      <c r="X287" s="3621" t="s">
        <v>31</v>
      </c>
      <c r="Y287" s="3621" t="s">
        <v>31</v>
      </c>
      <c r="Z287" s="3621" t="s">
        <v>31</v>
      </c>
      <c r="AA287" s="3621" t="s">
        <v>31</v>
      </c>
      <c r="AB287" s="3621" t="s">
        <v>31</v>
      </c>
      <c r="AC287" s="3621"/>
      <c r="AD287" s="3621"/>
      <c r="AE287" s="3423" t="s">
        <v>31</v>
      </c>
      <c r="AF287" s="3423" t="s">
        <v>31</v>
      </c>
      <c r="AG287" s="3600" t="s">
        <v>31</v>
      </c>
      <c r="AH287" s="131"/>
      <c r="AI287" s="125"/>
    </row>
    <row r="288" spans="1:35" ht="18" customHeight="1">
      <c r="A288" s="3972"/>
      <c r="B288" s="3418" t="s">
        <v>349</v>
      </c>
      <c r="C288" s="3621" t="s">
        <v>31</v>
      </c>
      <c r="D288" s="3462" t="s">
        <v>31</v>
      </c>
      <c r="E288" s="3621" t="s">
        <v>31</v>
      </c>
      <c r="F288" s="3621" t="s">
        <v>31</v>
      </c>
      <c r="G288" s="3621" t="s">
        <v>31</v>
      </c>
      <c r="H288" s="3621"/>
      <c r="I288" s="3621"/>
      <c r="J288" s="3621" t="s">
        <v>31</v>
      </c>
      <c r="K288" s="3621" t="s">
        <v>31</v>
      </c>
      <c r="L288" s="3621" t="s">
        <v>31</v>
      </c>
      <c r="M288" s="3621" t="s">
        <v>31</v>
      </c>
      <c r="N288" s="3423" t="s">
        <v>31</v>
      </c>
      <c r="O288" s="3423"/>
      <c r="P288" s="3423"/>
      <c r="Q288" s="3423" t="s">
        <v>31</v>
      </c>
      <c r="R288" s="3423" t="s">
        <v>31</v>
      </c>
      <c r="S288" s="3423" t="s">
        <v>31</v>
      </c>
      <c r="T288" s="3423" t="s">
        <v>31</v>
      </c>
      <c r="U288" s="3423" t="s">
        <v>31</v>
      </c>
      <c r="V288" s="3423"/>
      <c r="W288" s="3423"/>
      <c r="X288" s="3423" t="s">
        <v>31</v>
      </c>
      <c r="Y288" s="3423" t="s">
        <v>31</v>
      </c>
      <c r="Z288" s="3423" t="s">
        <v>31</v>
      </c>
      <c r="AA288" s="3423" t="s">
        <v>31</v>
      </c>
      <c r="AB288" s="3423" t="s">
        <v>31</v>
      </c>
      <c r="AC288" s="3423"/>
      <c r="AD288" s="3423"/>
      <c r="AE288" s="3423" t="s">
        <v>31</v>
      </c>
      <c r="AF288" s="3423" t="s">
        <v>31</v>
      </c>
      <c r="AG288" s="3600" t="s">
        <v>31</v>
      </c>
      <c r="AH288" s="131"/>
      <c r="AI288" s="125"/>
    </row>
    <row r="289" spans="1:35" ht="18.75" customHeight="1">
      <c r="A289" s="3972"/>
      <c r="B289" s="4000"/>
      <c r="C289" s="3621"/>
      <c r="D289" s="3462"/>
      <c r="E289" s="3621"/>
      <c r="F289" s="3621"/>
      <c r="G289" s="3621"/>
      <c r="H289" s="3621"/>
      <c r="I289" s="3621"/>
      <c r="J289" s="3621"/>
      <c r="K289" s="3621"/>
      <c r="L289" s="3621"/>
      <c r="M289" s="3621"/>
      <c r="N289" s="3621"/>
      <c r="O289" s="3621"/>
      <c r="P289" s="3621"/>
      <c r="Q289" s="3621"/>
      <c r="R289" s="3621"/>
      <c r="S289" s="3621"/>
      <c r="T289" s="3621"/>
      <c r="U289" s="3621"/>
      <c r="V289" s="3621"/>
      <c r="W289" s="3621"/>
      <c r="X289" s="3621"/>
      <c r="Y289" s="3621"/>
      <c r="Z289" s="3621"/>
      <c r="AA289" s="3621"/>
      <c r="AB289" s="3621"/>
      <c r="AC289" s="3621"/>
      <c r="AD289" s="3621"/>
      <c r="AE289" s="3621"/>
      <c r="AF289" s="3621"/>
      <c r="AG289" s="3677"/>
      <c r="AH289" s="131"/>
      <c r="AI289" s="125"/>
    </row>
    <row r="290" spans="1:35" ht="18.75" customHeight="1">
      <c r="A290" s="3694"/>
      <c r="B290" s="4000"/>
      <c r="C290" s="3677"/>
      <c r="D290" s="3677"/>
      <c r="E290" s="3677"/>
      <c r="F290" s="3677"/>
      <c r="G290" s="3677"/>
      <c r="H290" s="3677"/>
      <c r="I290" s="3677"/>
      <c r="J290" s="3677"/>
      <c r="K290" s="3677"/>
      <c r="L290" s="3677"/>
      <c r="M290" s="3677"/>
      <c r="N290" s="3684"/>
      <c r="O290" s="3684"/>
      <c r="P290" s="3677"/>
      <c r="Q290" s="3677"/>
      <c r="R290" s="3677"/>
      <c r="S290" s="3677"/>
      <c r="T290" s="3677"/>
      <c r="U290" s="3677"/>
      <c r="V290" s="3677"/>
      <c r="W290" s="3677"/>
      <c r="X290" s="3677"/>
      <c r="Y290" s="3677"/>
      <c r="Z290" s="3677"/>
      <c r="AA290" s="3677"/>
      <c r="AB290" s="3684"/>
      <c r="AC290" s="3684"/>
      <c r="AD290" s="3677"/>
      <c r="AE290" s="3677"/>
      <c r="AF290" s="3677"/>
      <c r="AG290" s="3677"/>
      <c r="AH290" s="131"/>
      <c r="AI290" s="127"/>
    </row>
    <row r="291" spans="1:35" ht="18.75" customHeight="1" thickBot="1">
      <c r="A291" s="414"/>
      <c r="B291" s="415"/>
      <c r="C291" s="3992"/>
      <c r="D291" s="3993"/>
      <c r="E291" s="3993"/>
      <c r="F291" s="3993"/>
      <c r="G291" s="3993"/>
      <c r="H291" s="3993"/>
      <c r="I291" s="3993"/>
      <c r="J291" s="3993"/>
      <c r="K291" s="3993"/>
      <c r="L291" s="3993"/>
      <c r="M291" s="3993"/>
      <c r="N291" s="3994"/>
      <c r="O291" s="3994"/>
      <c r="P291" s="3993"/>
      <c r="Q291" s="3993"/>
      <c r="R291" s="3993"/>
      <c r="S291" s="3993"/>
      <c r="T291" s="3993"/>
      <c r="U291" s="3993"/>
      <c r="V291" s="3993"/>
      <c r="W291" s="3993"/>
      <c r="X291" s="3993"/>
      <c r="Y291" s="3993"/>
      <c r="Z291" s="3993"/>
      <c r="AA291" s="3993"/>
      <c r="AB291" s="3994"/>
      <c r="AC291" s="3994"/>
      <c r="AD291" s="3993"/>
      <c r="AE291" s="3993"/>
      <c r="AF291" s="3993"/>
      <c r="AG291" s="3993"/>
      <c r="AH291" s="131"/>
      <c r="AI291" s="127"/>
    </row>
    <row r="292" spans="1:35" ht="18.75" customHeight="1"/>
  </sheetData>
  <sheetProtection algorithmName="SHA-512" hashValue="3DwiAk+8/PHB32MwzA7w6flCzjo8+tNcfcZ8zT8OvBjIO9JwILiG1Vq0w6AvFN0sP7F+3Gma/FwxbPdv9hJjKw==" saltValue="62udyZdi9nrt99KOqND59g==" spinCount="100000" sheet="1" objects="1" scenarios="1"/>
  <protectedRanges>
    <protectedRange sqref="B217" name="Område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17:B118" name="Område1_3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20:B121" name="Område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</protectedRanges>
  <mergeCells count="1">
    <mergeCell ref="T31:Z31"/>
  </mergeCells>
  <pageMargins left="0.7" right="0.7" top="0.75" bottom="0.75" header="0.3" footer="0.3"/>
  <pageSetup paperSize="9" scale="10" orientation="landscape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0DE35-A874-4803-B022-557897E50AB2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51639-F7ED-461A-B95D-210B646AFD33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A23CD-99DB-4BBC-A243-D4177271720A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B9A46-F3BE-482F-AE90-D07B0D6ACE95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C38AA-2FC9-4B6E-8A43-7CDC5DD4DB1E}">
  <sheetPr codeName="Ark12">
    <pageSetUpPr fitToPage="1"/>
  </sheetPr>
  <dimension ref="A1:AO288"/>
  <sheetViews>
    <sheetView topLeftCell="A319" zoomScale="77" zoomScaleNormal="77" workbookViewId="0">
      <selection activeCell="B101" sqref="B101"/>
    </sheetView>
  </sheetViews>
  <sheetFormatPr defaultRowHeight="15"/>
  <cols>
    <col min="2" max="2" width="27.28515625" customWidth="1"/>
    <col min="3" max="35" width="5.28515625" customWidth="1"/>
  </cols>
  <sheetData>
    <row r="1" spans="1:35" ht="24.75" customHeight="1">
      <c r="A1" t="s">
        <v>0</v>
      </c>
      <c r="B1" s="1" t="s">
        <v>1</v>
      </c>
    </row>
    <row r="2" spans="1:35" ht="24.75" customHeight="1">
      <c r="B2" s="4001" t="s">
        <v>2</v>
      </c>
      <c r="C2" s="4002" t="s">
        <v>3</v>
      </c>
      <c r="D2" s="4003"/>
      <c r="E2" s="4004" t="s">
        <v>4</v>
      </c>
      <c r="F2" s="4005"/>
      <c r="G2" s="4006"/>
      <c r="H2" s="4006"/>
      <c r="I2" s="4006"/>
      <c r="J2" s="4006"/>
      <c r="K2" s="4007"/>
      <c r="L2" s="4008" t="s">
        <v>5</v>
      </c>
      <c r="M2" s="4009"/>
      <c r="N2" s="4010"/>
      <c r="O2" s="4011" t="s">
        <v>6</v>
      </c>
      <c r="P2" s="4012"/>
      <c r="Q2" s="4013"/>
      <c r="R2" s="4014"/>
      <c r="S2" s="4015" t="s">
        <v>7</v>
      </c>
      <c r="T2" s="4016"/>
      <c r="U2" s="4017"/>
      <c r="V2" s="4016"/>
      <c r="W2" s="4018" t="s">
        <v>8</v>
      </c>
      <c r="X2" s="4019"/>
      <c r="Y2" s="4020"/>
      <c r="Z2" s="2" t="s">
        <v>9</v>
      </c>
      <c r="AA2" s="4021"/>
      <c r="AB2" s="4022"/>
      <c r="AC2" s="4023"/>
      <c r="AD2" s="4024" t="s">
        <v>10</v>
      </c>
      <c r="AE2" s="4025"/>
      <c r="AF2" s="4025"/>
      <c r="AG2" s="4026"/>
    </row>
    <row r="3" spans="1:35" ht="24.75" customHeight="1">
      <c r="A3" s="1"/>
      <c r="B3" s="4027" t="s">
        <v>11</v>
      </c>
      <c r="C3" s="4028" t="s">
        <v>12</v>
      </c>
      <c r="D3" s="4029"/>
      <c r="E3" s="3"/>
      <c r="F3" s="4"/>
      <c r="G3" s="4"/>
      <c r="H3" s="5" t="s">
        <v>13</v>
      </c>
      <c r="I3" s="6"/>
      <c r="J3" s="6"/>
      <c r="K3" s="7"/>
      <c r="L3" s="4030" t="s">
        <v>14</v>
      </c>
      <c r="M3" s="4031"/>
      <c r="N3" s="4032"/>
      <c r="O3" s="6"/>
      <c r="P3" s="6"/>
      <c r="Q3" s="6"/>
      <c r="R3" s="6"/>
      <c r="S3" s="8"/>
      <c r="T3" s="9" t="s">
        <v>15</v>
      </c>
      <c r="U3" s="10"/>
      <c r="V3" s="11"/>
      <c r="W3" s="12"/>
      <c r="X3" s="13"/>
      <c r="Y3" s="5" t="s">
        <v>16</v>
      </c>
      <c r="Z3" s="4031"/>
      <c r="AA3" s="4031"/>
      <c r="AB3" s="4033"/>
      <c r="AC3" s="4034"/>
      <c r="AD3" s="4035" t="s">
        <v>17</v>
      </c>
      <c r="AE3" s="4036"/>
      <c r="AF3" s="4036"/>
      <c r="AG3" s="4037"/>
    </row>
    <row r="4" spans="1:35" ht="24.75" customHeight="1">
      <c r="A4" s="14" t="s">
        <v>18</v>
      </c>
      <c r="B4" s="15"/>
      <c r="C4" s="16"/>
      <c r="D4" s="17"/>
      <c r="E4" s="17"/>
      <c r="F4" s="17"/>
      <c r="G4" s="17"/>
      <c r="H4" s="16"/>
      <c r="I4" s="17"/>
      <c r="J4" s="17"/>
      <c r="K4" s="18"/>
      <c r="L4" s="17"/>
      <c r="M4" s="18"/>
      <c r="N4" s="18"/>
      <c r="O4" s="17"/>
      <c r="P4" s="17"/>
      <c r="Q4" s="17"/>
      <c r="R4" s="17"/>
      <c r="T4" s="18"/>
      <c r="U4" s="16"/>
      <c r="W4" s="17"/>
      <c r="X4" s="17"/>
      <c r="Y4" s="16"/>
      <c r="Z4" s="17"/>
      <c r="AB4" s="17"/>
      <c r="AC4" s="17"/>
      <c r="AD4" s="17"/>
      <c r="AE4" s="17"/>
      <c r="AF4" s="17"/>
      <c r="AG4" s="17"/>
    </row>
    <row r="5" spans="1:35" ht="24.75" customHeight="1">
      <c r="A5" s="14" t="s">
        <v>19</v>
      </c>
      <c r="B5" s="1"/>
    </row>
    <row r="6" spans="1:35" ht="24.75" customHeight="1">
      <c r="A6" s="4038" t="s">
        <v>20</v>
      </c>
      <c r="B6" s="4031"/>
      <c r="C6" s="4039"/>
      <c r="D6" s="4038" t="s">
        <v>21</v>
      </c>
      <c r="E6" s="4031"/>
      <c r="F6" s="4031"/>
      <c r="G6" s="4031"/>
      <c r="H6" s="4040"/>
      <c r="I6" s="4031"/>
      <c r="J6" s="4031"/>
      <c r="K6" s="4031"/>
      <c r="L6" s="4041" t="s">
        <v>22</v>
      </c>
      <c r="M6" s="4031"/>
      <c r="N6" s="4031"/>
      <c r="O6" s="4031"/>
      <c r="P6" s="4031"/>
      <c r="Q6" s="4031"/>
      <c r="R6" s="4031"/>
      <c r="S6" s="4039"/>
      <c r="T6" s="4042"/>
      <c r="U6" s="4031"/>
      <c r="V6" s="4031"/>
      <c r="W6" s="4031"/>
      <c r="X6" s="4031"/>
      <c r="Y6" s="4031"/>
      <c r="Z6" s="4031"/>
      <c r="AA6" s="4039"/>
      <c r="AB6" s="4043"/>
      <c r="AC6" s="4044"/>
      <c r="AD6" s="4044"/>
      <c r="AE6" s="4044"/>
      <c r="AF6" s="4044"/>
      <c r="AG6" s="4045"/>
    </row>
    <row r="7" spans="1:35" ht="24.75" customHeight="1">
      <c r="A7" s="4038" t="s">
        <v>23</v>
      </c>
      <c r="B7" s="4031"/>
      <c r="C7" s="4031"/>
      <c r="D7" s="4031"/>
      <c r="E7" s="4031"/>
      <c r="F7" s="4031"/>
      <c r="G7" s="4031"/>
      <c r="H7" s="4031"/>
      <c r="I7" s="4031"/>
      <c r="J7" s="4031"/>
      <c r="K7" s="4039"/>
      <c r="L7" s="19" t="s">
        <v>24</v>
      </c>
      <c r="M7" s="8"/>
      <c r="N7" s="8"/>
      <c r="O7" s="8"/>
      <c r="P7" s="8"/>
      <c r="Q7" s="8"/>
      <c r="R7" s="8"/>
      <c r="S7" s="8"/>
      <c r="T7" s="8"/>
      <c r="U7" s="4031"/>
      <c r="V7" s="4031"/>
      <c r="W7" s="4031"/>
      <c r="X7" s="4031"/>
      <c r="Y7" s="4031"/>
      <c r="Z7" s="4031"/>
      <c r="AA7" s="4031"/>
      <c r="AB7" s="4046"/>
      <c r="AC7" s="4031"/>
      <c r="AD7" s="4031"/>
      <c r="AE7" s="4031"/>
      <c r="AF7" s="4031"/>
      <c r="AG7" s="4039"/>
    </row>
    <row r="8" spans="1:35" ht="24.75" customHeight="1">
      <c r="A8" s="14" t="s">
        <v>25</v>
      </c>
      <c r="L8" s="20"/>
      <c r="AB8" s="1"/>
    </row>
    <row r="9" spans="1:35" ht="24.75" customHeight="1">
      <c r="A9" s="14" t="s">
        <v>26</v>
      </c>
      <c r="L9" s="20"/>
      <c r="AB9" s="1"/>
    </row>
    <row r="10" spans="1:35" ht="24.75" customHeight="1">
      <c r="B10" s="21" t="s">
        <v>27</v>
      </c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</row>
    <row r="11" spans="1:35" ht="24.75" customHeight="1" thickBot="1">
      <c r="A11" s="4047" t="s">
        <v>28</v>
      </c>
      <c r="B11" s="4048" t="s">
        <v>29</v>
      </c>
      <c r="C11" s="4049">
        <v>1</v>
      </c>
      <c r="D11" s="4049">
        <v>2</v>
      </c>
      <c r="E11" s="4049">
        <v>3</v>
      </c>
      <c r="F11" s="4050">
        <v>4</v>
      </c>
      <c r="G11" s="4050">
        <v>5</v>
      </c>
      <c r="H11" s="4049">
        <v>6</v>
      </c>
      <c r="I11" s="4049">
        <v>7</v>
      </c>
      <c r="J11" s="4049">
        <v>8</v>
      </c>
      <c r="K11" s="4050">
        <v>9</v>
      </c>
      <c r="L11" s="4050">
        <v>10</v>
      </c>
      <c r="M11" s="4050">
        <v>11</v>
      </c>
      <c r="N11" s="4050">
        <v>12</v>
      </c>
      <c r="O11" s="4050">
        <v>13</v>
      </c>
      <c r="P11" s="4049">
        <v>14</v>
      </c>
      <c r="Q11" s="4049">
        <v>15</v>
      </c>
      <c r="R11" s="4049">
        <v>16</v>
      </c>
      <c r="S11" s="4049">
        <v>17</v>
      </c>
      <c r="T11" s="4050">
        <v>18</v>
      </c>
      <c r="U11" s="4050">
        <v>19</v>
      </c>
      <c r="V11" s="4049">
        <v>20</v>
      </c>
      <c r="W11" s="4049">
        <v>21</v>
      </c>
      <c r="X11" s="4049">
        <v>22</v>
      </c>
      <c r="Y11" s="4049">
        <v>23</v>
      </c>
      <c r="Z11" s="4049">
        <v>24</v>
      </c>
      <c r="AA11" s="4050">
        <v>25</v>
      </c>
      <c r="AB11" s="4050">
        <v>26</v>
      </c>
      <c r="AC11" s="4049">
        <v>27</v>
      </c>
      <c r="AD11" s="4049">
        <v>28</v>
      </c>
      <c r="AE11" s="4049">
        <v>29</v>
      </c>
      <c r="AF11" s="4049">
        <v>30</v>
      </c>
      <c r="AG11" s="4051"/>
      <c r="AH11" s="23"/>
      <c r="AI11" s="24"/>
    </row>
    <row r="12" spans="1:35" ht="24.75" customHeight="1">
      <c r="A12" s="4052">
        <v>8500</v>
      </c>
      <c r="B12" s="3587" t="s">
        <v>30</v>
      </c>
      <c r="C12" s="3590" t="s">
        <v>107</v>
      </c>
      <c r="D12" s="3590" t="s">
        <v>107</v>
      </c>
      <c r="E12" s="3590" t="s">
        <v>107</v>
      </c>
      <c r="F12" s="3590"/>
      <c r="G12" s="3590"/>
      <c r="H12" s="3588" t="s">
        <v>31</v>
      </c>
      <c r="I12" s="3588" t="s">
        <v>31</v>
      </c>
      <c r="J12" s="3588" t="s">
        <v>31</v>
      </c>
      <c r="K12" s="3590"/>
      <c r="L12" s="3590"/>
      <c r="M12" s="3590"/>
      <c r="N12" s="3590"/>
      <c r="O12" s="3590"/>
      <c r="P12" s="3588" t="s">
        <v>31</v>
      </c>
      <c r="Q12" s="3588" t="s">
        <v>31</v>
      </c>
      <c r="R12" s="4053" t="s">
        <v>31</v>
      </c>
      <c r="S12" s="3588" t="s">
        <v>31</v>
      </c>
      <c r="T12" s="3590"/>
      <c r="U12" s="3590"/>
      <c r="V12" s="4053" t="s">
        <v>31</v>
      </c>
      <c r="W12" s="4053" t="s">
        <v>31</v>
      </c>
      <c r="X12" s="4053" t="s">
        <v>31</v>
      </c>
      <c r="Y12" s="4053" t="s">
        <v>31</v>
      </c>
      <c r="Z12" s="4053" t="s">
        <v>31</v>
      </c>
      <c r="AA12" s="3590"/>
      <c r="AB12" s="3590"/>
      <c r="AC12" s="3590" t="s">
        <v>31</v>
      </c>
      <c r="AD12" s="3590" t="s">
        <v>31</v>
      </c>
      <c r="AE12" s="3590" t="s">
        <v>31</v>
      </c>
      <c r="AF12" s="3590" t="s">
        <v>31</v>
      </c>
      <c r="AG12" s="3591"/>
      <c r="AH12" s="25"/>
      <c r="AI12" s="25"/>
    </row>
    <row r="13" spans="1:35" ht="24.75" customHeight="1">
      <c r="A13" s="4054" t="s">
        <v>32</v>
      </c>
      <c r="B13" s="4055"/>
      <c r="C13" s="4055"/>
      <c r="D13" s="4055"/>
      <c r="E13" s="4055"/>
      <c r="F13" s="4055"/>
      <c r="G13" s="4055"/>
      <c r="H13" s="4055"/>
      <c r="I13" s="4055"/>
      <c r="J13" s="4055"/>
      <c r="K13" s="4055"/>
      <c r="L13" s="4055"/>
      <c r="M13" s="4055"/>
      <c r="N13" s="4055"/>
      <c r="O13" s="4055"/>
      <c r="P13" s="4055"/>
      <c r="Q13" s="4055"/>
      <c r="R13" s="4055"/>
      <c r="S13" s="4055"/>
      <c r="T13" s="4055"/>
      <c r="U13" s="4055"/>
      <c r="V13" s="4055"/>
      <c r="W13" s="4055"/>
      <c r="X13" s="4055"/>
      <c r="Y13" s="4055"/>
      <c r="Z13" s="4055"/>
      <c r="AA13" s="4055"/>
      <c r="AB13" s="4055"/>
      <c r="AC13" s="4055"/>
      <c r="AD13" s="4055"/>
      <c r="AE13" s="4055"/>
      <c r="AF13" s="4055"/>
      <c r="AG13" s="4056"/>
      <c r="AH13" s="26"/>
      <c r="AI13" s="26"/>
    </row>
    <row r="14" spans="1:35" ht="24.75" customHeight="1" thickBot="1">
      <c r="A14" s="27">
        <v>8546</v>
      </c>
      <c r="B14" s="4057" t="s">
        <v>33</v>
      </c>
      <c r="C14" s="4058">
        <v>1</v>
      </c>
      <c r="D14" s="4059">
        <v>1</v>
      </c>
      <c r="E14" s="4060">
        <v>1</v>
      </c>
      <c r="F14" s="4061"/>
      <c r="G14" s="4060"/>
      <c r="H14" s="4062">
        <v>2</v>
      </c>
      <c r="I14" s="4062">
        <v>2</v>
      </c>
      <c r="J14" s="4062">
        <v>2</v>
      </c>
      <c r="K14" s="4063">
        <v>2</v>
      </c>
      <c r="L14" s="4062">
        <v>2</v>
      </c>
      <c r="M14" s="4062" t="s">
        <v>34</v>
      </c>
      <c r="N14" s="4062" t="s">
        <v>34</v>
      </c>
      <c r="O14" s="4062" t="s">
        <v>35</v>
      </c>
      <c r="P14" s="4062" t="s">
        <v>35</v>
      </c>
      <c r="Q14" s="4062" t="s">
        <v>35</v>
      </c>
      <c r="R14" s="4062" t="s">
        <v>35</v>
      </c>
      <c r="S14" s="4064" t="s">
        <v>35</v>
      </c>
      <c r="T14" s="4064"/>
      <c r="U14" s="4062"/>
      <c r="V14" s="4060">
        <v>4</v>
      </c>
      <c r="W14" s="4060">
        <v>4</v>
      </c>
      <c r="X14" s="4060">
        <v>4</v>
      </c>
      <c r="Y14" s="4060">
        <v>4</v>
      </c>
      <c r="Z14" s="4060">
        <v>4</v>
      </c>
      <c r="AA14" s="4065" t="s">
        <v>36</v>
      </c>
      <c r="AB14" s="4065" t="s">
        <v>36</v>
      </c>
      <c r="AC14" s="4062" t="s">
        <v>35</v>
      </c>
      <c r="AD14" s="4066" t="s">
        <v>35</v>
      </c>
      <c r="AE14" s="4062" t="s">
        <v>35</v>
      </c>
      <c r="AF14" s="4062" t="s">
        <v>35</v>
      </c>
      <c r="AG14" s="4067"/>
      <c r="AH14" s="25"/>
      <c r="AI14" s="25"/>
    </row>
    <row r="15" spans="1:35" ht="24.75" customHeight="1">
      <c r="A15" s="4068">
        <v>8546</v>
      </c>
      <c r="B15" s="3614" t="s">
        <v>37</v>
      </c>
      <c r="C15" s="4063" t="s">
        <v>35</v>
      </c>
      <c r="D15" s="4062" t="s">
        <v>35</v>
      </c>
      <c r="E15" s="4062" t="s">
        <v>35</v>
      </c>
      <c r="F15" s="4066"/>
      <c r="G15" s="4066"/>
      <c r="H15" s="4069">
        <v>1</v>
      </c>
      <c r="I15" s="4069">
        <v>1</v>
      </c>
      <c r="J15" s="4069">
        <v>1</v>
      </c>
      <c r="K15" s="4066">
        <v>1</v>
      </c>
      <c r="L15" s="4062">
        <v>1</v>
      </c>
      <c r="M15" s="4062"/>
      <c r="N15" s="4062"/>
      <c r="O15" s="4062">
        <v>2</v>
      </c>
      <c r="P15" s="4062">
        <v>2</v>
      </c>
      <c r="Q15" s="4062">
        <v>2</v>
      </c>
      <c r="R15" s="4062">
        <v>2</v>
      </c>
      <c r="S15" s="4062">
        <v>2</v>
      </c>
      <c r="T15" s="4062" t="s">
        <v>34</v>
      </c>
      <c r="U15" s="4062" t="s">
        <v>34</v>
      </c>
      <c r="V15" s="4062" t="s">
        <v>35</v>
      </c>
      <c r="W15" s="4062" t="s">
        <v>35</v>
      </c>
      <c r="X15" s="4062" t="s">
        <v>35</v>
      </c>
      <c r="Y15" s="4062" t="s">
        <v>35</v>
      </c>
      <c r="Z15" s="4062" t="s">
        <v>35</v>
      </c>
      <c r="AA15" s="4062"/>
      <c r="AB15" s="4062"/>
      <c r="AC15" s="4062">
        <v>4</v>
      </c>
      <c r="AD15" s="4062">
        <v>4</v>
      </c>
      <c r="AE15" s="4062">
        <v>4</v>
      </c>
      <c r="AF15" s="4062">
        <v>4</v>
      </c>
      <c r="AG15" s="4067"/>
      <c r="AH15" s="25"/>
      <c r="AI15" s="25"/>
    </row>
    <row r="16" spans="1:35" ht="24.75" customHeight="1">
      <c r="A16" s="4068">
        <v>8546</v>
      </c>
      <c r="B16" s="4057" t="s">
        <v>38</v>
      </c>
      <c r="C16" s="4062" t="s">
        <v>35</v>
      </c>
      <c r="D16" s="4062" t="s">
        <v>35</v>
      </c>
      <c r="E16" s="4062" t="s">
        <v>35</v>
      </c>
      <c r="F16" s="4062"/>
      <c r="G16" s="4062"/>
      <c r="H16" s="4060">
        <v>4</v>
      </c>
      <c r="I16" s="4060">
        <v>4</v>
      </c>
      <c r="J16" s="4060">
        <v>4</v>
      </c>
      <c r="K16" s="4060">
        <v>4</v>
      </c>
      <c r="L16" s="4060">
        <v>4</v>
      </c>
      <c r="M16" s="4060" t="s">
        <v>36</v>
      </c>
      <c r="N16" s="4059" t="s">
        <v>36</v>
      </c>
      <c r="O16" s="4066" t="s">
        <v>35</v>
      </c>
      <c r="P16" s="4066" t="s">
        <v>35</v>
      </c>
      <c r="Q16" s="4066" t="s">
        <v>35</v>
      </c>
      <c r="R16" s="4066" t="s">
        <v>35</v>
      </c>
      <c r="S16" s="4062" t="s">
        <v>35</v>
      </c>
      <c r="T16" s="4062"/>
      <c r="U16" s="4062"/>
      <c r="V16" s="4060">
        <v>1</v>
      </c>
      <c r="W16" s="4058">
        <v>1</v>
      </c>
      <c r="X16" s="4070">
        <v>1</v>
      </c>
      <c r="Y16" s="4070">
        <v>1</v>
      </c>
      <c r="Z16" s="4070">
        <v>1</v>
      </c>
      <c r="AA16" s="4070"/>
      <c r="AB16" s="4070"/>
      <c r="AC16" s="4066">
        <v>2</v>
      </c>
      <c r="AD16" s="4062">
        <v>2</v>
      </c>
      <c r="AE16" s="4062">
        <v>2</v>
      </c>
      <c r="AF16" s="4062">
        <v>2</v>
      </c>
      <c r="AG16" s="4067"/>
      <c r="AH16" s="25"/>
      <c r="AI16" s="25"/>
    </row>
    <row r="17" spans="1:36" ht="24.75" customHeight="1">
      <c r="A17" s="4068">
        <v>8546</v>
      </c>
      <c r="B17" s="4071" t="s">
        <v>39</v>
      </c>
      <c r="C17" s="4062">
        <v>2</v>
      </c>
      <c r="D17" s="4072">
        <v>2</v>
      </c>
      <c r="E17" s="4073">
        <v>2</v>
      </c>
      <c r="F17" s="4066" t="s">
        <v>34</v>
      </c>
      <c r="G17" s="4062" t="s">
        <v>34</v>
      </c>
      <c r="H17" s="4062" t="s">
        <v>35</v>
      </c>
      <c r="I17" s="4062" t="s">
        <v>35</v>
      </c>
      <c r="J17" s="4062" t="s">
        <v>35</v>
      </c>
      <c r="K17" s="4062" t="s">
        <v>35</v>
      </c>
      <c r="L17" s="4062" t="s">
        <v>35</v>
      </c>
      <c r="M17" s="4062"/>
      <c r="N17" s="4062"/>
      <c r="O17" s="4062">
        <v>4</v>
      </c>
      <c r="P17" s="4062">
        <v>4</v>
      </c>
      <c r="Q17" s="4062">
        <v>4</v>
      </c>
      <c r="R17" s="4062">
        <v>4</v>
      </c>
      <c r="S17" s="4062">
        <v>4</v>
      </c>
      <c r="T17" s="4062" t="s">
        <v>36</v>
      </c>
      <c r="U17" s="4062" t="s">
        <v>36</v>
      </c>
      <c r="V17" s="4062" t="s">
        <v>35</v>
      </c>
      <c r="W17" s="4062" t="s">
        <v>35</v>
      </c>
      <c r="X17" s="4063" t="s">
        <v>35</v>
      </c>
      <c r="Y17" s="4062" t="s">
        <v>35</v>
      </c>
      <c r="Z17" s="4062" t="s">
        <v>35</v>
      </c>
      <c r="AA17" s="4062"/>
      <c r="AB17" s="4062"/>
      <c r="AC17" s="4062">
        <v>1</v>
      </c>
      <c r="AD17" s="4062">
        <v>1</v>
      </c>
      <c r="AE17" s="4062">
        <v>1</v>
      </c>
      <c r="AF17" s="4062">
        <v>1</v>
      </c>
      <c r="AG17" s="4067"/>
      <c r="AH17" s="25"/>
      <c r="AI17" s="25"/>
    </row>
    <row r="18" spans="1:36" ht="24.75" customHeight="1">
      <c r="A18" s="4068">
        <v>8546</v>
      </c>
      <c r="B18" s="4057" t="s">
        <v>40</v>
      </c>
      <c r="C18" s="4062">
        <v>4</v>
      </c>
      <c r="D18" s="4063">
        <v>4</v>
      </c>
      <c r="E18" s="4062">
        <v>4</v>
      </c>
      <c r="F18" s="4062" t="s">
        <v>36</v>
      </c>
      <c r="G18" s="4062" t="s">
        <v>36</v>
      </c>
      <c r="H18" s="4062" t="s">
        <v>35</v>
      </c>
      <c r="I18" s="4062" t="s">
        <v>35</v>
      </c>
      <c r="J18" s="4066" t="s">
        <v>35</v>
      </c>
      <c r="K18" s="4066" t="s">
        <v>35</v>
      </c>
      <c r="L18" s="4062" t="s">
        <v>35</v>
      </c>
      <c r="M18" s="4066"/>
      <c r="N18" s="4066"/>
      <c r="O18" s="4060">
        <v>1</v>
      </c>
      <c r="P18" s="4060">
        <v>1</v>
      </c>
      <c r="Q18" s="4060">
        <v>1</v>
      </c>
      <c r="R18" s="4060">
        <v>1</v>
      </c>
      <c r="S18" s="4060">
        <v>1</v>
      </c>
      <c r="T18" s="4060"/>
      <c r="U18" s="4059"/>
      <c r="V18" s="4066">
        <v>2</v>
      </c>
      <c r="W18" s="4062">
        <v>2</v>
      </c>
      <c r="X18" s="4062">
        <v>2</v>
      </c>
      <c r="Y18" s="4062">
        <v>2</v>
      </c>
      <c r="Z18" s="4062">
        <v>2</v>
      </c>
      <c r="AA18" s="4062" t="s">
        <v>34</v>
      </c>
      <c r="AB18" s="4062" t="s">
        <v>34</v>
      </c>
      <c r="AC18" s="4074" t="s">
        <v>35</v>
      </c>
      <c r="AD18" s="4062" t="s">
        <v>35</v>
      </c>
      <c r="AE18" s="4062" t="s">
        <v>35</v>
      </c>
      <c r="AF18" s="4062" t="s">
        <v>35</v>
      </c>
      <c r="AG18" s="4067"/>
      <c r="AH18" s="25"/>
      <c r="AI18" s="25"/>
    </row>
    <row r="19" spans="1:36" ht="24.75" customHeight="1" thickBot="1">
      <c r="A19" s="4075" t="s">
        <v>41</v>
      </c>
      <c r="B19" s="4076"/>
      <c r="C19" s="4077"/>
      <c r="D19" s="4077"/>
      <c r="E19" s="4077"/>
      <c r="F19" s="4077"/>
      <c r="G19" s="4077"/>
      <c r="H19" s="4077"/>
      <c r="I19" s="4077"/>
      <c r="J19" s="4077"/>
      <c r="K19" s="4077"/>
      <c r="L19" s="4077"/>
      <c r="M19" s="4077"/>
      <c r="N19" s="4077"/>
      <c r="O19" s="4077"/>
      <c r="P19" s="4077"/>
      <c r="Q19" s="4077"/>
      <c r="R19" s="4077"/>
      <c r="S19" s="4077"/>
      <c r="T19" s="4077"/>
      <c r="U19" s="4077"/>
      <c r="V19" s="4077"/>
      <c r="W19" s="4077"/>
      <c r="X19" s="4077"/>
      <c r="Y19" s="4077"/>
      <c r="Z19" s="4077"/>
      <c r="AA19" s="4077"/>
      <c r="AB19" s="4077"/>
      <c r="AC19" s="4077"/>
      <c r="AD19" s="4077"/>
      <c r="AE19" s="4077"/>
      <c r="AF19" s="4077"/>
      <c r="AG19" s="4078"/>
      <c r="AH19" s="26"/>
      <c r="AI19" s="26"/>
    </row>
    <row r="20" spans="1:36" ht="24.75" customHeight="1" thickBot="1">
      <c r="A20" s="3613">
        <v>8500</v>
      </c>
      <c r="B20" s="3614"/>
      <c r="C20" s="3590" t="s">
        <v>31</v>
      </c>
      <c r="D20" s="3590" t="s">
        <v>31</v>
      </c>
      <c r="E20" s="3590" t="s">
        <v>31</v>
      </c>
      <c r="F20" s="3590"/>
      <c r="G20" s="3590"/>
      <c r="H20" s="3590" t="s">
        <v>31</v>
      </c>
      <c r="I20" s="3590" t="s">
        <v>31</v>
      </c>
      <c r="J20" s="3590" t="s">
        <v>31</v>
      </c>
      <c r="K20" s="3590"/>
      <c r="L20" s="3590"/>
      <c r="M20" s="3590"/>
      <c r="N20" s="3590"/>
      <c r="O20" s="3590"/>
      <c r="P20" s="3590" t="s">
        <v>31</v>
      </c>
      <c r="Q20" s="3590" t="s">
        <v>31</v>
      </c>
      <c r="R20" s="3590" t="s">
        <v>31</v>
      </c>
      <c r="S20" s="3590" t="s">
        <v>31</v>
      </c>
      <c r="T20" s="3590"/>
      <c r="U20" s="3590"/>
      <c r="V20" s="3590" t="s">
        <v>31</v>
      </c>
      <c r="W20" s="3590" t="s">
        <v>31</v>
      </c>
      <c r="X20" s="3590" t="s">
        <v>31</v>
      </c>
      <c r="Y20" s="3590" t="s">
        <v>31</v>
      </c>
      <c r="Z20" s="3590" t="s">
        <v>31</v>
      </c>
      <c r="AA20" s="3590"/>
      <c r="AB20" s="3590"/>
      <c r="AC20" s="3590" t="s">
        <v>31</v>
      </c>
      <c r="AD20" s="3590" t="s">
        <v>31</v>
      </c>
      <c r="AE20" s="3590" t="s">
        <v>31</v>
      </c>
      <c r="AF20" s="3590" t="s">
        <v>31</v>
      </c>
      <c r="AG20" s="3617"/>
      <c r="AH20" s="25"/>
      <c r="AI20" s="25"/>
      <c r="AJ20" t="s">
        <v>0</v>
      </c>
    </row>
    <row r="21" spans="1:36" ht="24.75" customHeight="1">
      <c r="A21" s="3618">
        <v>8500</v>
      </c>
      <c r="B21" s="3619" t="s">
        <v>42</v>
      </c>
      <c r="C21" s="3590" t="s">
        <v>31</v>
      </c>
      <c r="D21" s="3590" t="s">
        <v>31</v>
      </c>
      <c r="E21" s="3590" t="s">
        <v>31</v>
      </c>
      <c r="F21" s="3428"/>
      <c r="G21" s="3428"/>
      <c r="H21" s="3621" t="s">
        <v>31</v>
      </c>
      <c r="I21" s="3621" t="s">
        <v>31</v>
      </c>
      <c r="J21" s="3428" t="s">
        <v>31</v>
      </c>
      <c r="K21" s="3428"/>
      <c r="L21" s="3430"/>
      <c r="M21" s="3428"/>
      <c r="N21" s="3621"/>
      <c r="O21" s="3428"/>
      <c r="P21" s="3428" t="s">
        <v>31</v>
      </c>
      <c r="Q21" s="3428" t="s">
        <v>31</v>
      </c>
      <c r="R21" s="3727" t="s">
        <v>31</v>
      </c>
      <c r="S21" s="4079" t="s">
        <v>31</v>
      </c>
      <c r="T21" s="3428"/>
      <c r="U21" s="3421"/>
      <c r="V21" s="3421" t="s">
        <v>31</v>
      </c>
      <c r="W21" s="3428" t="s">
        <v>31</v>
      </c>
      <c r="X21" s="3428" t="s">
        <v>31</v>
      </c>
      <c r="Y21" s="3428" t="s">
        <v>31</v>
      </c>
      <c r="Z21" s="3428" t="s">
        <v>31</v>
      </c>
      <c r="AA21" s="3428"/>
      <c r="AB21" s="3428"/>
      <c r="AC21" s="3428" t="s">
        <v>31</v>
      </c>
      <c r="AD21" s="3428" t="s">
        <v>31</v>
      </c>
      <c r="AE21" s="3621" t="s">
        <v>31</v>
      </c>
      <c r="AF21" s="3621" t="s">
        <v>31</v>
      </c>
      <c r="AG21" s="3624"/>
      <c r="AH21" s="25"/>
      <c r="AI21" s="25"/>
    </row>
    <row r="22" spans="1:36" ht="24.75" customHeight="1" thickBot="1">
      <c r="A22" s="3618">
        <v>8500</v>
      </c>
      <c r="B22" s="3625" t="s">
        <v>43</v>
      </c>
      <c r="C22" s="4080" t="s">
        <v>31</v>
      </c>
      <c r="D22" s="4080" t="s">
        <v>31</v>
      </c>
      <c r="E22" s="4080" t="s">
        <v>31</v>
      </c>
      <c r="F22" s="3519"/>
      <c r="G22" s="4080"/>
      <c r="H22" s="3428">
        <v>4</v>
      </c>
      <c r="I22" s="3428">
        <v>4</v>
      </c>
      <c r="J22" s="3428">
        <v>4</v>
      </c>
      <c r="K22" s="3428">
        <v>4</v>
      </c>
      <c r="L22" s="3428">
        <v>4</v>
      </c>
      <c r="M22" s="3428" t="s">
        <v>36</v>
      </c>
      <c r="N22" s="3421" t="s">
        <v>36</v>
      </c>
      <c r="O22" s="3421" t="s">
        <v>35</v>
      </c>
      <c r="P22" s="3421" t="s">
        <v>35</v>
      </c>
      <c r="Q22" s="3421" t="s">
        <v>35</v>
      </c>
      <c r="R22" s="3421" t="s">
        <v>35</v>
      </c>
      <c r="S22" s="3428" t="s">
        <v>35</v>
      </c>
      <c r="T22" s="3428"/>
      <c r="U22" s="3421"/>
      <c r="V22" s="3421">
        <v>1</v>
      </c>
      <c r="W22" s="3421">
        <v>1</v>
      </c>
      <c r="X22" s="3421">
        <v>1</v>
      </c>
      <c r="Y22" s="3421">
        <v>1</v>
      </c>
      <c r="Z22" s="3428">
        <v>1</v>
      </c>
      <c r="AA22" s="3428"/>
      <c r="AB22" s="3428"/>
      <c r="AC22" s="4066">
        <v>2</v>
      </c>
      <c r="AD22" s="4062">
        <v>2</v>
      </c>
      <c r="AE22" s="4062">
        <v>2</v>
      </c>
      <c r="AF22" s="4062">
        <v>2</v>
      </c>
      <c r="AG22" s="3624"/>
      <c r="AH22" s="25"/>
      <c r="AI22" s="25"/>
    </row>
    <row r="23" spans="1:36" ht="24.75" customHeight="1">
      <c r="A23" s="3618"/>
      <c r="B23" s="4081" t="s">
        <v>46</v>
      </c>
      <c r="C23" s="3621" t="s">
        <v>35</v>
      </c>
      <c r="D23" s="3906">
        <v>1</v>
      </c>
      <c r="E23" s="3428">
        <v>1</v>
      </c>
      <c r="F23" s="3428"/>
      <c r="G23" s="3428"/>
      <c r="H23" s="3428">
        <v>1</v>
      </c>
      <c r="I23" s="3621">
        <v>1</v>
      </c>
      <c r="J23" s="3621">
        <v>1</v>
      </c>
      <c r="K23" s="3621"/>
      <c r="L23" s="3621"/>
      <c r="M23" s="3621"/>
      <c r="N23" s="3621"/>
      <c r="O23" s="3732">
        <v>1</v>
      </c>
      <c r="P23" s="3621">
        <v>1</v>
      </c>
      <c r="Q23" s="3621">
        <v>1</v>
      </c>
      <c r="R23" s="4082">
        <v>1</v>
      </c>
      <c r="S23" s="4082">
        <v>1</v>
      </c>
      <c r="T23" s="3621"/>
      <c r="U23" s="3621"/>
      <c r="V23" s="3621">
        <v>4</v>
      </c>
      <c r="W23" s="3621">
        <v>4</v>
      </c>
      <c r="X23" s="3621">
        <v>4</v>
      </c>
      <c r="Y23" s="3621">
        <v>4</v>
      </c>
      <c r="Z23" s="3621">
        <v>4</v>
      </c>
      <c r="AA23" s="3621" t="s">
        <v>36</v>
      </c>
      <c r="AB23" s="3621" t="s">
        <v>36</v>
      </c>
      <c r="AC23" s="3421" t="s">
        <v>35</v>
      </c>
      <c r="AD23" s="3421" t="s">
        <v>35</v>
      </c>
      <c r="AE23" s="3421" t="s">
        <v>35</v>
      </c>
      <c r="AF23" s="3421" t="s">
        <v>35</v>
      </c>
      <c r="AG23" s="3624"/>
    </row>
    <row r="24" spans="1:36" ht="24.75" customHeight="1" thickBot="1">
      <c r="A24" s="416"/>
      <c r="B24" s="417"/>
      <c r="C24" s="418"/>
      <c r="D24" s="418"/>
      <c r="E24" s="418"/>
      <c r="F24" s="418"/>
      <c r="G24" s="418" t="s">
        <v>0</v>
      </c>
      <c r="H24" s="418"/>
      <c r="I24" s="418"/>
      <c r="J24" s="418"/>
      <c r="K24" s="418"/>
      <c r="L24" s="418" t="s">
        <v>0</v>
      </c>
      <c r="M24" s="418"/>
      <c r="N24" s="418" t="s">
        <v>0</v>
      </c>
      <c r="O24" s="418" t="s">
        <v>0</v>
      </c>
      <c r="P24" s="418"/>
      <c r="Q24" s="418"/>
      <c r="R24" s="418"/>
      <c r="S24" s="418"/>
      <c r="T24" s="418"/>
      <c r="U24" s="418" t="s">
        <v>0</v>
      </c>
      <c r="V24" s="418"/>
      <c r="W24" s="418"/>
      <c r="X24" s="418"/>
      <c r="Y24" s="418"/>
      <c r="Z24" s="418"/>
      <c r="AA24" s="418"/>
      <c r="AB24" s="418"/>
      <c r="AC24" s="418"/>
      <c r="AD24" s="418"/>
      <c r="AE24" s="418"/>
      <c r="AF24" s="418"/>
      <c r="AG24" s="28"/>
    </row>
    <row r="25" spans="1:36" ht="24.75" customHeight="1">
      <c r="A25" s="29"/>
      <c r="AC25" t="s">
        <v>0</v>
      </c>
      <c r="AD25" t="s">
        <v>0</v>
      </c>
      <c r="AE25" t="s">
        <v>0</v>
      </c>
      <c r="AF25" t="s">
        <v>0</v>
      </c>
      <c r="AG25" t="s">
        <v>0</v>
      </c>
    </row>
    <row r="26" spans="1:36" ht="24.75" customHeight="1">
      <c r="A26" s="29"/>
      <c r="AA26" s="4083" t="s">
        <v>0</v>
      </c>
      <c r="AB26" s="4083" t="s">
        <v>0</v>
      </c>
      <c r="AC26" s="4083" t="s">
        <v>0</v>
      </c>
      <c r="AD26" s="4083" t="s">
        <v>0</v>
      </c>
      <c r="AE26" s="4083" t="s">
        <v>0</v>
      </c>
      <c r="AF26" s="4083" t="s">
        <v>0</v>
      </c>
      <c r="AG26" s="4083" t="s">
        <v>0</v>
      </c>
    </row>
    <row r="27" spans="1:36" ht="24.75" customHeight="1">
      <c r="A27" s="29"/>
    </row>
    <row r="28" spans="1:36" ht="24.75" customHeight="1">
      <c r="A28" s="29"/>
    </row>
    <row r="29" spans="1:36" ht="24.75" customHeight="1">
      <c r="A29" s="29"/>
    </row>
    <row r="30" spans="1:36" ht="24.75" customHeight="1" thickBot="1">
      <c r="A30" s="14" t="s">
        <v>49</v>
      </c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</row>
    <row r="31" spans="1:36" ht="24.75" customHeight="1">
      <c r="A31" s="3630" t="s">
        <v>50</v>
      </c>
      <c r="B31" s="3631"/>
      <c r="C31" s="3631"/>
      <c r="D31" s="3632" t="s">
        <v>51</v>
      </c>
      <c r="E31" s="3633"/>
      <c r="F31" s="3633"/>
      <c r="G31" s="3633"/>
      <c r="H31" s="3633"/>
      <c r="I31" s="3633"/>
      <c r="J31" s="3633"/>
      <c r="K31" s="3633"/>
      <c r="L31" s="3633"/>
      <c r="M31" s="3634" t="s">
        <v>52</v>
      </c>
      <c r="N31" s="3633"/>
      <c r="O31" s="3633"/>
      <c r="P31" s="3633"/>
      <c r="Q31" s="3633"/>
      <c r="R31" s="3633"/>
      <c r="S31" s="3635"/>
      <c r="T31" s="3636" t="s">
        <v>53</v>
      </c>
      <c r="U31" s="3637"/>
      <c r="V31" s="3637"/>
      <c r="W31" s="3637"/>
      <c r="X31" s="3637"/>
      <c r="Y31" s="3637"/>
      <c r="Z31" s="3638"/>
      <c r="AA31" s="3639" t="s">
        <v>54</v>
      </c>
      <c r="AB31" s="3640"/>
      <c r="AC31" s="3640"/>
      <c r="AD31" s="3640"/>
      <c r="AE31" s="3640"/>
      <c r="AF31" s="3640"/>
      <c r="AG31" s="3641"/>
    </row>
    <row r="32" spans="1:36" ht="24.75" customHeight="1">
      <c r="A32" s="4084" t="s">
        <v>55</v>
      </c>
      <c r="B32" s="4044"/>
      <c r="C32" s="4044"/>
      <c r="D32" s="4085" t="s">
        <v>56</v>
      </c>
      <c r="E32" s="4086"/>
      <c r="F32" s="4031"/>
      <c r="G32" s="4031"/>
      <c r="H32" s="4031"/>
      <c r="I32" s="4031"/>
      <c r="J32" s="4031"/>
      <c r="K32" s="4031"/>
      <c r="L32" s="4039"/>
      <c r="M32" s="4087" t="s">
        <v>57</v>
      </c>
      <c r="N32" s="4044"/>
      <c r="O32" s="4088"/>
      <c r="P32" s="4044"/>
      <c r="Q32" s="4044"/>
      <c r="R32" s="4044"/>
      <c r="S32" s="4089"/>
      <c r="T32" s="4085" t="s">
        <v>58</v>
      </c>
      <c r="U32" s="4031"/>
      <c r="V32" s="4086"/>
      <c r="W32" s="4031"/>
      <c r="X32" s="4031"/>
      <c r="Y32" s="4031"/>
      <c r="Z32" s="4039"/>
      <c r="AA32" s="31" t="s">
        <v>59</v>
      </c>
      <c r="AD32" s="20"/>
      <c r="AG32" s="32"/>
    </row>
    <row r="33" spans="1:35" ht="24.75" customHeight="1">
      <c r="A33" s="4090" t="s">
        <v>60</v>
      </c>
      <c r="B33" s="4031"/>
      <c r="C33" s="4031"/>
      <c r="D33" s="4091"/>
      <c r="E33" s="4031"/>
      <c r="F33" s="4031"/>
      <c r="G33" s="4039"/>
      <c r="H33" s="4046" t="s">
        <v>61</v>
      </c>
      <c r="I33" s="4031"/>
      <c r="J33" s="4031"/>
      <c r="K33" s="4031"/>
      <c r="L33" s="4031"/>
      <c r="M33" s="4092"/>
      <c r="N33" s="4031"/>
      <c r="O33" s="4031"/>
      <c r="P33" s="4031"/>
      <c r="Q33" s="4031"/>
      <c r="R33" s="4031"/>
      <c r="S33" s="4031"/>
      <c r="T33" s="4091"/>
      <c r="U33" s="14" t="s">
        <v>62</v>
      </c>
      <c r="AA33" s="4088"/>
      <c r="AB33" s="4044"/>
      <c r="AC33" s="4044"/>
      <c r="AD33" s="4044"/>
      <c r="AE33" s="4044"/>
      <c r="AF33" s="4044"/>
      <c r="AG33" s="4093"/>
    </row>
    <row r="34" spans="1:35" ht="24.75" customHeight="1" thickBot="1">
      <c r="A34" s="4094" t="s">
        <v>63</v>
      </c>
      <c r="B34" s="4095"/>
      <c r="C34" s="4095"/>
      <c r="D34" s="4096"/>
      <c r="E34" s="4095"/>
      <c r="F34" s="4095"/>
      <c r="G34" s="4097"/>
      <c r="H34" s="4098" t="s">
        <v>64</v>
      </c>
      <c r="I34" s="4097"/>
      <c r="J34" s="4095"/>
      <c r="K34" s="4095"/>
      <c r="L34" s="4095"/>
      <c r="M34" s="4099"/>
      <c r="N34" s="4095"/>
      <c r="O34" s="4095"/>
      <c r="P34" s="4095"/>
      <c r="Q34" s="4100"/>
      <c r="R34" s="4100"/>
      <c r="S34" s="4100"/>
      <c r="T34" s="4096"/>
      <c r="U34" s="4101" t="s">
        <v>65</v>
      </c>
      <c r="V34" s="4095"/>
      <c r="W34" s="4095"/>
      <c r="X34" s="4095"/>
      <c r="Y34" s="4095"/>
      <c r="Z34" s="4095"/>
      <c r="AA34" s="4095"/>
      <c r="AB34" s="4095"/>
      <c r="AC34" s="4095"/>
      <c r="AD34" s="4095"/>
      <c r="AE34" s="4095"/>
      <c r="AF34" s="4095"/>
      <c r="AG34" s="4102"/>
    </row>
    <row r="35" spans="1:35" ht="24.75" customHeight="1">
      <c r="B35" s="33" t="s">
        <v>27</v>
      </c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"/>
    </row>
    <row r="36" spans="1:35" ht="24.75" customHeight="1" thickBot="1">
      <c r="A36" s="4103" t="s">
        <v>28</v>
      </c>
      <c r="B36" s="4104" t="s">
        <v>29</v>
      </c>
      <c r="C36" s="4049">
        <v>1</v>
      </c>
      <c r="D36" s="4049">
        <v>2</v>
      </c>
      <c r="E36" s="4049">
        <v>3</v>
      </c>
      <c r="F36" s="4050">
        <v>4</v>
      </c>
      <c r="G36" s="4050">
        <v>5</v>
      </c>
      <c r="H36" s="4049">
        <v>6</v>
      </c>
      <c r="I36" s="4049">
        <v>7</v>
      </c>
      <c r="J36" s="4049">
        <v>8</v>
      </c>
      <c r="K36" s="4050">
        <v>9</v>
      </c>
      <c r="L36" s="4050">
        <v>10</v>
      </c>
      <c r="M36" s="4050">
        <v>11</v>
      </c>
      <c r="N36" s="4050">
        <v>12</v>
      </c>
      <c r="O36" s="4050">
        <v>13</v>
      </c>
      <c r="P36" s="4049">
        <v>14</v>
      </c>
      <c r="Q36" s="4049">
        <v>15</v>
      </c>
      <c r="R36" s="4049">
        <v>16</v>
      </c>
      <c r="S36" s="4049">
        <v>17</v>
      </c>
      <c r="T36" s="4050">
        <v>18</v>
      </c>
      <c r="U36" s="4050">
        <v>19</v>
      </c>
      <c r="V36" s="4049">
        <v>20</v>
      </c>
      <c r="W36" s="4049">
        <v>21</v>
      </c>
      <c r="X36" s="4049">
        <v>22</v>
      </c>
      <c r="Y36" s="4049">
        <v>23</v>
      </c>
      <c r="Z36" s="4049">
        <v>24</v>
      </c>
      <c r="AA36" s="4050">
        <v>25</v>
      </c>
      <c r="AB36" s="4050">
        <v>26</v>
      </c>
      <c r="AC36" s="4049">
        <v>27</v>
      </c>
      <c r="AD36" s="4049">
        <v>28</v>
      </c>
      <c r="AE36" s="4049">
        <v>29</v>
      </c>
      <c r="AF36" s="4049">
        <v>30</v>
      </c>
      <c r="AG36" s="4051"/>
      <c r="AH36" s="23"/>
      <c r="AI36" s="24"/>
    </row>
    <row r="37" spans="1:35" ht="24.75" customHeight="1">
      <c r="A37" s="4105">
        <v>1</v>
      </c>
      <c r="B37" s="4081" t="s">
        <v>66</v>
      </c>
      <c r="C37" s="4106" t="s">
        <v>35</v>
      </c>
      <c r="D37" s="3590" t="s">
        <v>35</v>
      </c>
      <c r="E37" s="4106" t="s">
        <v>35</v>
      </c>
      <c r="F37" s="4107" t="s">
        <v>69</v>
      </c>
      <c r="G37" s="4107" t="s">
        <v>69</v>
      </c>
      <c r="H37" s="4107">
        <v>8</v>
      </c>
      <c r="I37" s="4107">
        <v>8</v>
      </c>
      <c r="J37" s="3590">
        <v>8</v>
      </c>
      <c r="K37" s="4106">
        <v>8</v>
      </c>
      <c r="L37" s="4106">
        <v>8</v>
      </c>
      <c r="M37" s="4106"/>
      <c r="N37" s="4106"/>
      <c r="O37" s="3590" t="s">
        <v>35</v>
      </c>
      <c r="P37" s="4106" t="s">
        <v>35</v>
      </c>
      <c r="Q37" s="4108" t="s">
        <v>35</v>
      </c>
      <c r="R37" s="3590" t="s">
        <v>35</v>
      </c>
      <c r="S37" s="4106" t="s">
        <v>35</v>
      </c>
      <c r="T37" s="4106"/>
      <c r="U37" s="4106"/>
      <c r="V37" s="4109" t="s">
        <v>452</v>
      </c>
      <c r="W37" s="4109">
        <v>1</v>
      </c>
      <c r="X37" s="4110">
        <v>1</v>
      </c>
      <c r="Y37" s="4110">
        <v>1</v>
      </c>
      <c r="Z37" s="4109">
        <v>1</v>
      </c>
      <c r="AA37" s="4109"/>
      <c r="AB37" s="4110"/>
      <c r="AC37" s="4108">
        <v>9</v>
      </c>
      <c r="AD37" s="4108">
        <v>9</v>
      </c>
      <c r="AE37" s="4106">
        <v>9</v>
      </c>
      <c r="AF37" s="4106">
        <v>9</v>
      </c>
      <c r="AG37" s="4111"/>
      <c r="AH37" s="34"/>
      <c r="AI37" s="25"/>
    </row>
    <row r="38" spans="1:35" ht="24.75" customHeight="1">
      <c r="A38" s="4112">
        <v>6</v>
      </c>
      <c r="B38" s="3418"/>
      <c r="C38" s="4113" t="s">
        <v>35</v>
      </c>
      <c r="D38" s="4113" t="s">
        <v>35</v>
      </c>
      <c r="E38" s="4113" t="s">
        <v>35</v>
      </c>
      <c r="F38" s="4113" t="s">
        <v>75</v>
      </c>
      <c r="G38" s="4113" t="s">
        <v>69</v>
      </c>
      <c r="H38" s="4113">
        <v>6</v>
      </c>
      <c r="I38" s="4113">
        <v>6</v>
      </c>
      <c r="J38" s="4113">
        <v>6</v>
      </c>
      <c r="K38" s="4113">
        <v>6</v>
      </c>
      <c r="L38" s="4113">
        <v>6</v>
      </c>
      <c r="M38" s="4113"/>
      <c r="N38" s="4113"/>
      <c r="O38" s="4113" t="s">
        <v>35</v>
      </c>
      <c r="P38" s="4113" t="s">
        <v>35</v>
      </c>
      <c r="Q38" s="4113" t="s">
        <v>35</v>
      </c>
      <c r="R38" s="4113" t="s">
        <v>35</v>
      </c>
      <c r="S38" s="4113" t="s">
        <v>35</v>
      </c>
      <c r="T38" s="4113"/>
      <c r="U38" s="4113"/>
      <c r="V38" s="4113">
        <v>5</v>
      </c>
      <c r="W38" s="4113">
        <v>5</v>
      </c>
      <c r="X38" s="4113">
        <v>5</v>
      </c>
      <c r="Y38" s="4113">
        <v>5</v>
      </c>
      <c r="Z38" s="4113">
        <v>5</v>
      </c>
      <c r="AA38" s="4113"/>
      <c r="AB38" s="4113"/>
      <c r="AC38" s="4113">
        <v>10</v>
      </c>
      <c r="AD38" s="4113">
        <v>10</v>
      </c>
      <c r="AE38" s="4113">
        <v>10</v>
      </c>
      <c r="AF38" s="4113">
        <v>10</v>
      </c>
      <c r="AG38" s="4114"/>
      <c r="AH38" s="34"/>
      <c r="AI38" s="25"/>
    </row>
    <row r="39" spans="1:35" ht="24.75" customHeight="1" thickBot="1">
      <c r="A39" s="4115">
        <v>11</v>
      </c>
      <c r="B39" s="4116" t="s">
        <v>71</v>
      </c>
      <c r="C39" s="4049" t="s">
        <v>35</v>
      </c>
      <c r="D39" s="3985" t="s">
        <v>35</v>
      </c>
      <c r="E39" s="3985" t="s">
        <v>35</v>
      </c>
      <c r="F39" s="3985" t="s">
        <v>67</v>
      </c>
      <c r="G39" s="3985" t="s">
        <v>67</v>
      </c>
      <c r="H39" s="3985">
        <v>7</v>
      </c>
      <c r="I39" s="3985">
        <v>7</v>
      </c>
      <c r="J39" s="3985">
        <v>7</v>
      </c>
      <c r="K39" s="3985">
        <v>7</v>
      </c>
      <c r="L39" s="3985">
        <v>7</v>
      </c>
      <c r="M39" s="3985"/>
      <c r="N39" s="3985"/>
      <c r="O39" s="4049">
        <v>4</v>
      </c>
      <c r="P39" s="3985">
        <v>4</v>
      </c>
      <c r="Q39" s="4049">
        <v>4</v>
      </c>
      <c r="R39" s="4049">
        <v>4</v>
      </c>
      <c r="S39" s="3985">
        <v>4</v>
      </c>
      <c r="T39" s="3985"/>
      <c r="U39" s="3985"/>
      <c r="V39" s="3985">
        <v>3</v>
      </c>
      <c r="W39" s="3985">
        <v>3</v>
      </c>
      <c r="X39" s="4049">
        <v>3</v>
      </c>
      <c r="Y39" s="3985">
        <v>3</v>
      </c>
      <c r="Z39" s="3985">
        <v>3</v>
      </c>
      <c r="AA39" s="3985"/>
      <c r="AB39" s="4117"/>
      <c r="AC39" s="4117">
        <v>11</v>
      </c>
      <c r="AD39" s="4117">
        <v>11</v>
      </c>
      <c r="AE39" s="3985">
        <v>11</v>
      </c>
      <c r="AF39" s="3985">
        <v>11</v>
      </c>
      <c r="AG39" s="4118"/>
      <c r="AH39" s="34"/>
      <c r="AI39" s="25"/>
    </row>
    <row r="40" spans="1:35" ht="24.75" customHeight="1">
      <c r="A40" s="4105">
        <v>2</v>
      </c>
      <c r="B40" s="35" t="s">
        <v>73</v>
      </c>
      <c r="C40" s="3590">
        <v>8</v>
      </c>
      <c r="D40" s="3590">
        <v>8</v>
      </c>
      <c r="E40" s="3590">
        <v>8</v>
      </c>
      <c r="F40" s="3590"/>
      <c r="G40" s="3590"/>
      <c r="H40" s="4106" t="s">
        <v>35</v>
      </c>
      <c r="I40" s="4106" t="s">
        <v>35</v>
      </c>
      <c r="J40" s="3590" t="s">
        <v>35</v>
      </c>
      <c r="K40" s="3590" t="s">
        <v>35</v>
      </c>
      <c r="L40" s="4106" t="s">
        <v>35</v>
      </c>
      <c r="M40" s="4106"/>
      <c r="N40" s="4106"/>
      <c r="O40" s="4108">
        <v>1</v>
      </c>
      <c r="P40" s="4106">
        <v>1</v>
      </c>
      <c r="Q40" s="4108">
        <v>1</v>
      </c>
      <c r="R40" s="4108">
        <v>1</v>
      </c>
      <c r="S40" s="3590">
        <v>1</v>
      </c>
      <c r="T40" s="3590"/>
      <c r="U40" s="4108"/>
      <c r="V40" s="4108">
        <v>9</v>
      </c>
      <c r="W40" s="4108">
        <v>9</v>
      </c>
      <c r="X40" s="4106">
        <v>9</v>
      </c>
      <c r="Y40" s="4106">
        <v>9</v>
      </c>
      <c r="Z40" s="4106">
        <v>9</v>
      </c>
      <c r="AA40" s="4106" t="s">
        <v>70</v>
      </c>
      <c r="AB40" s="4106" t="s">
        <v>70</v>
      </c>
      <c r="AC40" s="4108" t="s">
        <v>35</v>
      </c>
      <c r="AD40" s="4108" t="s">
        <v>35</v>
      </c>
      <c r="AE40" s="4106" t="s">
        <v>35</v>
      </c>
      <c r="AF40" s="4106" t="s">
        <v>35</v>
      </c>
      <c r="AG40" s="4111"/>
      <c r="AH40" s="34"/>
      <c r="AI40" s="25"/>
    </row>
    <row r="41" spans="1:35" ht="24.75" customHeight="1">
      <c r="A41" s="4112">
        <v>7</v>
      </c>
      <c r="B41" s="4071" t="s">
        <v>74</v>
      </c>
      <c r="C41" s="4119">
        <v>6</v>
      </c>
      <c r="D41" s="4120">
        <v>6</v>
      </c>
      <c r="E41" s="4119">
        <v>6</v>
      </c>
      <c r="F41" s="4083"/>
      <c r="G41" s="4083"/>
      <c r="H41" s="4083" t="s">
        <v>35</v>
      </c>
      <c r="I41" s="4083" t="s">
        <v>35</v>
      </c>
      <c r="J41" s="4121" t="s">
        <v>35</v>
      </c>
      <c r="K41" s="4122" t="s">
        <v>35</v>
      </c>
      <c r="L41" s="4122" t="s">
        <v>35</v>
      </c>
      <c r="M41" s="4122"/>
      <c r="N41" s="4083"/>
      <c r="O41" s="4083"/>
      <c r="P41" s="4119">
        <v>5</v>
      </c>
      <c r="Q41" s="4120">
        <v>5</v>
      </c>
      <c r="R41" s="4119">
        <v>5</v>
      </c>
      <c r="S41" s="4119">
        <v>5</v>
      </c>
      <c r="T41" s="4083"/>
      <c r="U41" s="4083"/>
      <c r="V41" s="4119">
        <v>10</v>
      </c>
      <c r="W41" s="4119">
        <v>10</v>
      </c>
      <c r="X41" s="4119">
        <v>10</v>
      </c>
      <c r="Y41" s="4119">
        <v>10</v>
      </c>
      <c r="Z41" s="4119">
        <v>10</v>
      </c>
      <c r="AA41" s="4119" t="s">
        <v>72</v>
      </c>
      <c r="AB41" s="4119" t="s">
        <v>72</v>
      </c>
      <c r="AC41" s="4083" t="s">
        <v>35</v>
      </c>
      <c r="AD41" s="4083" t="s">
        <v>35</v>
      </c>
      <c r="AE41" s="4083" t="s">
        <v>35</v>
      </c>
      <c r="AF41" s="4083" t="s">
        <v>35</v>
      </c>
      <c r="AG41" s="4123"/>
      <c r="AH41" s="34"/>
      <c r="AI41" s="25"/>
    </row>
    <row r="42" spans="1:35" ht="24.75" customHeight="1" thickBot="1">
      <c r="A42" s="4115">
        <v>12</v>
      </c>
      <c r="B42" s="4124" t="s">
        <v>76</v>
      </c>
      <c r="C42" s="4125">
        <v>7</v>
      </c>
      <c r="D42" s="4126">
        <v>7</v>
      </c>
      <c r="E42" s="4127">
        <v>7</v>
      </c>
      <c r="F42" s="4127"/>
      <c r="G42" s="4127"/>
      <c r="H42" s="4127">
        <v>4</v>
      </c>
      <c r="I42" s="3985">
        <v>4</v>
      </c>
      <c r="J42" s="3985">
        <v>4</v>
      </c>
      <c r="K42" s="4049">
        <v>4</v>
      </c>
      <c r="L42" s="3985">
        <v>4</v>
      </c>
      <c r="M42" s="3985"/>
      <c r="N42" s="3985"/>
      <c r="O42" s="3985">
        <v>3</v>
      </c>
      <c r="P42" s="3985">
        <v>3</v>
      </c>
      <c r="Q42" s="4049">
        <v>3</v>
      </c>
      <c r="R42" s="3985">
        <v>3</v>
      </c>
      <c r="S42" s="4128">
        <v>3</v>
      </c>
      <c r="T42" s="4128"/>
      <c r="U42" s="4128"/>
      <c r="V42" s="4128">
        <v>11</v>
      </c>
      <c r="W42" s="4128">
        <v>11</v>
      </c>
      <c r="X42" s="4128">
        <v>11</v>
      </c>
      <c r="Y42" s="4128" t="s">
        <v>466</v>
      </c>
      <c r="Z42" s="4128">
        <v>11</v>
      </c>
      <c r="AA42" s="4128" t="s">
        <v>68</v>
      </c>
      <c r="AB42" s="4128" t="s">
        <v>471</v>
      </c>
      <c r="AC42" s="4049" t="s">
        <v>35</v>
      </c>
      <c r="AD42" s="4049" t="s">
        <v>35</v>
      </c>
      <c r="AE42" s="4049" t="s">
        <v>35</v>
      </c>
      <c r="AF42" s="4049" t="s">
        <v>35</v>
      </c>
      <c r="AG42" s="4051"/>
      <c r="AH42" s="34"/>
      <c r="AI42" s="25"/>
    </row>
    <row r="43" spans="1:35" ht="24.75" customHeight="1">
      <c r="A43" s="4105">
        <v>3</v>
      </c>
      <c r="B43" s="4129" t="s">
        <v>77</v>
      </c>
      <c r="C43" s="4108" t="s">
        <v>35</v>
      </c>
      <c r="D43" s="4108" t="s">
        <v>35</v>
      </c>
      <c r="E43" s="4106" t="s">
        <v>35</v>
      </c>
      <c r="F43" s="4106"/>
      <c r="G43" s="4106"/>
      <c r="H43" s="4106">
        <v>1</v>
      </c>
      <c r="I43" s="4106">
        <v>1</v>
      </c>
      <c r="J43" s="4108">
        <v>1</v>
      </c>
      <c r="K43" s="4108">
        <v>1</v>
      </c>
      <c r="L43" s="4108">
        <v>1</v>
      </c>
      <c r="M43" s="4108"/>
      <c r="N43" s="4108"/>
      <c r="O43" s="4108">
        <v>9</v>
      </c>
      <c r="P43" s="4108">
        <v>9</v>
      </c>
      <c r="Q43" s="4108">
        <v>9</v>
      </c>
      <c r="R43" s="4108">
        <v>9</v>
      </c>
      <c r="S43" s="4106">
        <v>9</v>
      </c>
      <c r="T43" s="4106" t="s">
        <v>70</v>
      </c>
      <c r="U43" s="4106" t="s">
        <v>70</v>
      </c>
      <c r="V43" s="4108" t="s">
        <v>35</v>
      </c>
      <c r="W43" s="4108" t="s">
        <v>35</v>
      </c>
      <c r="X43" s="3590" t="s">
        <v>35</v>
      </c>
      <c r="Y43" s="4106" t="s">
        <v>35</v>
      </c>
      <c r="Z43" s="4106" t="s">
        <v>35</v>
      </c>
      <c r="AA43" s="4106" t="s">
        <v>75</v>
      </c>
      <c r="AB43" s="4106" t="s">
        <v>69</v>
      </c>
      <c r="AC43" s="4130">
        <v>6</v>
      </c>
      <c r="AD43" s="4106">
        <v>6</v>
      </c>
      <c r="AE43" s="4106">
        <v>6</v>
      </c>
      <c r="AF43" s="4106">
        <v>6</v>
      </c>
      <c r="AG43" s="4111"/>
      <c r="AH43" s="34"/>
      <c r="AI43" s="25"/>
    </row>
    <row r="44" spans="1:35" ht="24.75" customHeight="1">
      <c r="A44" s="4112">
        <v>8</v>
      </c>
      <c r="B44" s="4071"/>
      <c r="C44" s="4066" t="s">
        <v>35</v>
      </c>
      <c r="D44" s="4066" t="s">
        <v>35</v>
      </c>
      <c r="E44" s="4066" t="s">
        <v>35</v>
      </c>
      <c r="F44" s="4066"/>
      <c r="G44" s="4066"/>
      <c r="H44" s="4066">
        <v>5</v>
      </c>
      <c r="I44" s="4083">
        <v>5</v>
      </c>
      <c r="J44" s="4121">
        <v>5</v>
      </c>
      <c r="K44" s="4113"/>
      <c r="L44" s="4113"/>
      <c r="M44" s="4113"/>
      <c r="N44" s="4066"/>
      <c r="O44" s="4083">
        <v>10</v>
      </c>
      <c r="P44" s="4083">
        <v>10</v>
      </c>
      <c r="Q44" s="4083">
        <v>10</v>
      </c>
      <c r="R44" s="4083">
        <v>10</v>
      </c>
      <c r="S44" s="4083">
        <v>10</v>
      </c>
      <c r="T44" s="4083" t="s">
        <v>72</v>
      </c>
      <c r="U44" s="4083" t="s">
        <v>72</v>
      </c>
      <c r="V44" s="4083" t="s">
        <v>35</v>
      </c>
      <c r="W44" s="4083" t="s">
        <v>35</v>
      </c>
      <c r="X44" s="4121" t="s">
        <v>35</v>
      </c>
      <c r="Y44" s="4083" t="s">
        <v>35</v>
      </c>
      <c r="Z44" s="4083" t="s">
        <v>35</v>
      </c>
      <c r="AA44" s="4083" t="s">
        <v>67</v>
      </c>
      <c r="AB44" s="4083" t="s">
        <v>67</v>
      </c>
      <c r="AC44" s="4083">
        <v>7</v>
      </c>
      <c r="AD44" s="4083">
        <v>7</v>
      </c>
      <c r="AE44" s="4083">
        <v>7</v>
      </c>
      <c r="AF44" s="4083">
        <v>7</v>
      </c>
      <c r="AG44" s="4123"/>
      <c r="AH44" s="34"/>
      <c r="AI44" s="25"/>
    </row>
    <row r="45" spans="1:35" ht="24.75" customHeight="1" thickBot="1">
      <c r="A45" s="4115">
        <v>13</v>
      </c>
      <c r="B45" s="4116" t="s">
        <v>79</v>
      </c>
      <c r="C45" s="4049">
        <v>4</v>
      </c>
      <c r="D45" s="4131">
        <v>4</v>
      </c>
      <c r="E45" s="4125">
        <v>4</v>
      </c>
      <c r="F45" s="4125"/>
      <c r="G45" s="4125"/>
      <c r="H45" s="4125">
        <v>3</v>
      </c>
      <c r="I45" s="4128" t="s">
        <v>437</v>
      </c>
      <c r="J45" s="4127">
        <v>3</v>
      </c>
      <c r="K45" s="4127">
        <v>3</v>
      </c>
      <c r="L45" s="4127">
        <v>3</v>
      </c>
      <c r="M45" s="3985"/>
      <c r="N45" s="4117"/>
      <c r="O45" s="4117">
        <v>11</v>
      </c>
      <c r="P45" s="4117">
        <v>11</v>
      </c>
      <c r="Q45" s="3985">
        <v>11</v>
      </c>
      <c r="R45" s="3985">
        <v>11</v>
      </c>
      <c r="S45" s="3985">
        <v>11</v>
      </c>
      <c r="T45" s="3985" t="s">
        <v>68</v>
      </c>
      <c r="U45" s="3985" t="s">
        <v>68</v>
      </c>
      <c r="V45" s="3985" t="s">
        <v>35</v>
      </c>
      <c r="W45" s="3985" t="s">
        <v>35</v>
      </c>
      <c r="X45" s="3985" t="s">
        <v>35</v>
      </c>
      <c r="Y45" s="4049" t="s">
        <v>35</v>
      </c>
      <c r="Z45" s="3985" t="s">
        <v>35</v>
      </c>
      <c r="AA45" s="4132" t="s">
        <v>69</v>
      </c>
      <c r="AB45" s="4132" t="s">
        <v>69</v>
      </c>
      <c r="AC45" s="4133">
        <v>8</v>
      </c>
      <c r="AD45" s="4133">
        <v>8</v>
      </c>
      <c r="AE45" s="4133">
        <v>8</v>
      </c>
      <c r="AF45" s="4133">
        <v>8</v>
      </c>
      <c r="AG45" s="4118"/>
      <c r="AH45" s="34"/>
      <c r="AI45" s="25"/>
    </row>
    <row r="46" spans="1:35" ht="24.75" customHeight="1">
      <c r="A46" s="4105">
        <v>4</v>
      </c>
      <c r="B46" s="4081" t="s">
        <v>80</v>
      </c>
      <c r="C46" s="3588">
        <v>1</v>
      </c>
      <c r="D46" s="3588">
        <v>1</v>
      </c>
      <c r="E46" s="3588">
        <v>1</v>
      </c>
      <c r="F46" s="4106"/>
      <c r="G46" s="4108"/>
      <c r="H46" s="4108">
        <v>9</v>
      </c>
      <c r="I46" s="4108">
        <v>9</v>
      </c>
      <c r="J46" s="4106">
        <v>9</v>
      </c>
      <c r="K46" s="4106">
        <v>9</v>
      </c>
      <c r="L46" s="4108">
        <v>9</v>
      </c>
      <c r="M46" s="4108" t="s">
        <v>70</v>
      </c>
      <c r="N46" s="4106" t="s">
        <v>70</v>
      </c>
      <c r="O46" s="4108" t="s">
        <v>35</v>
      </c>
      <c r="P46" s="4108" t="s">
        <v>35</v>
      </c>
      <c r="Q46" s="3590" t="s">
        <v>35</v>
      </c>
      <c r="R46" s="4106" t="s">
        <v>35</v>
      </c>
      <c r="S46" s="4106" t="s">
        <v>35</v>
      </c>
      <c r="T46" s="4106" t="s">
        <v>75</v>
      </c>
      <c r="U46" s="4106" t="s">
        <v>69</v>
      </c>
      <c r="V46" s="4130">
        <v>6</v>
      </c>
      <c r="W46" s="4106">
        <v>6</v>
      </c>
      <c r="X46" s="4106">
        <v>6</v>
      </c>
      <c r="Y46" s="3590">
        <v>6</v>
      </c>
      <c r="Z46" s="4106">
        <v>6</v>
      </c>
      <c r="AA46" s="4106"/>
      <c r="AB46" s="4106"/>
      <c r="AC46" s="4106" t="s">
        <v>35</v>
      </c>
      <c r="AD46" s="4106" t="s">
        <v>35</v>
      </c>
      <c r="AE46" s="4108" t="s">
        <v>35</v>
      </c>
      <c r="AF46" s="4106" t="s">
        <v>35</v>
      </c>
      <c r="AG46" s="4111"/>
      <c r="AH46" s="34"/>
      <c r="AI46" s="25"/>
    </row>
    <row r="47" spans="1:35" ht="24.75" customHeight="1">
      <c r="A47" s="4112">
        <v>9</v>
      </c>
      <c r="B47" s="4071" t="s">
        <v>81</v>
      </c>
      <c r="C47" s="4121">
        <v>7</v>
      </c>
      <c r="D47" s="4083" t="s">
        <v>465</v>
      </c>
      <c r="E47" s="4083">
        <v>5</v>
      </c>
      <c r="F47" s="4083"/>
      <c r="G47" s="4083"/>
      <c r="H47" s="4083">
        <v>10</v>
      </c>
      <c r="I47" s="4083">
        <v>10</v>
      </c>
      <c r="J47" s="4083">
        <v>10</v>
      </c>
      <c r="K47" s="4083">
        <v>10</v>
      </c>
      <c r="L47" s="4083">
        <v>10</v>
      </c>
      <c r="M47" s="4083" t="s">
        <v>72</v>
      </c>
      <c r="N47" s="4083" t="s">
        <v>72</v>
      </c>
      <c r="O47" s="4083" t="s">
        <v>35</v>
      </c>
      <c r="P47" s="4083" t="s">
        <v>35</v>
      </c>
      <c r="Q47" s="4121" t="s">
        <v>35</v>
      </c>
      <c r="R47" s="4083" t="s">
        <v>35</v>
      </c>
      <c r="S47" s="4083" t="s">
        <v>35</v>
      </c>
      <c r="T47" s="4083" t="s">
        <v>67</v>
      </c>
      <c r="U47" s="4083" t="s">
        <v>67</v>
      </c>
      <c r="V47" s="4083">
        <v>7</v>
      </c>
      <c r="W47" s="4083">
        <v>7</v>
      </c>
      <c r="X47" s="4083">
        <v>7</v>
      </c>
      <c r="Y47" s="4083">
        <v>7</v>
      </c>
      <c r="Z47" s="4083">
        <v>7</v>
      </c>
      <c r="AA47" s="4083"/>
      <c r="AB47" s="4083"/>
      <c r="AC47" s="4134">
        <v>4</v>
      </c>
      <c r="AD47" s="4134">
        <v>4</v>
      </c>
      <c r="AE47" s="4134">
        <v>4</v>
      </c>
      <c r="AF47" s="4134">
        <v>4</v>
      </c>
      <c r="AG47" s="4123"/>
      <c r="AH47" s="34"/>
      <c r="AI47" s="25"/>
    </row>
    <row r="48" spans="1:35" ht="24.75" customHeight="1" thickBot="1">
      <c r="A48" s="4115">
        <v>14</v>
      </c>
      <c r="B48" s="4116" t="s">
        <v>82</v>
      </c>
      <c r="C48" s="4135">
        <v>3</v>
      </c>
      <c r="D48" s="4136">
        <v>3</v>
      </c>
      <c r="E48" s="4136">
        <v>3</v>
      </c>
      <c r="F48" s="4136"/>
      <c r="G48" s="4137"/>
      <c r="H48" s="4117">
        <v>11</v>
      </c>
      <c r="I48" s="4117">
        <v>11</v>
      </c>
      <c r="J48" s="3985">
        <v>11</v>
      </c>
      <c r="K48" s="3985">
        <v>11</v>
      </c>
      <c r="L48" s="3985">
        <v>11</v>
      </c>
      <c r="M48" s="3985" t="s">
        <v>68</v>
      </c>
      <c r="N48" s="3985" t="s">
        <v>68</v>
      </c>
      <c r="O48" s="4049" t="s">
        <v>35</v>
      </c>
      <c r="P48" s="3985" t="s">
        <v>35</v>
      </c>
      <c r="Q48" s="3985" t="s">
        <v>35</v>
      </c>
      <c r="R48" s="4049" t="s">
        <v>35</v>
      </c>
      <c r="S48" s="3985" t="s">
        <v>35</v>
      </c>
      <c r="T48" s="4138" t="s">
        <v>69</v>
      </c>
      <c r="U48" s="4138" t="s">
        <v>69</v>
      </c>
      <c r="V48" s="4138">
        <v>8</v>
      </c>
      <c r="W48" s="4138">
        <v>8</v>
      </c>
      <c r="X48" s="4138">
        <v>8</v>
      </c>
      <c r="Y48" s="4138">
        <v>8</v>
      </c>
      <c r="Z48" s="4138">
        <v>8</v>
      </c>
      <c r="AA48" s="3985"/>
      <c r="AB48" s="3985"/>
      <c r="AC48" s="4049" t="s">
        <v>35</v>
      </c>
      <c r="AD48" s="3985" t="s">
        <v>35</v>
      </c>
      <c r="AE48" s="3985" t="s">
        <v>35</v>
      </c>
      <c r="AF48" s="4049" t="s">
        <v>35</v>
      </c>
      <c r="AG48" s="4051"/>
      <c r="AH48" s="34"/>
      <c r="AI48" s="25"/>
    </row>
    <row r="49" spans="1:35" ht="24.75" customHeight="1">
      <c r="A49" s="4105">
        <v>5</v>
      </c>
      <c r="B49" s="4071" t="s">
        <v>83</v>
      </c>
      <c r="C49" s="4106">
        <v>9</v>
      </c>
      <c r="D49" s="4106">
        <v>9</v>
      </c>
      <c r="E49" s="4106">
        <v>9</v>
      </c>
      <c r="F49" s="4106" t="s">
        <v>70</v>
      </c>
      <c r="G49" s="4106" t="s">
        <v>70</v>
      </c>
      <c r="H49" s="4139" t="s">
        <v>35</v>
      </c>
      <c r="I49" s="4139" t="s">
        <v>35</v>
      </c>
      <c r="J49" s="4106" t="s">
        <v>35</v>
      </c>
      <c r="K49" s="4106" t="s">
        <v>35</v>
      </c>
      <c r="L49" s="4106" t="s">
        <v>35</v>
      </c>
      <c r="M49" s="4106" t="s">
        <v>75</v>
      </c>
      <c r="N49" s="4106" t="s">
        <v>69</v>
      </c>
      <c r="O49" s="4106">
        <v>6</v>
      </c>
      <c r="P49" s="4106">
        <v>6</v>
      </c>
      <c r="Q49" s="4106">
        <v>6</v>
      </c>
      <c r="R49" s="4106">
        <v>6</v>
      </c>
      <c r="S49" s="4106">
        <v>6</v>
      </c>
      <c r="T49" s="3590"/>
      <c r="U49" s="4108"/>
      <c r="V49" s="4139" t="s">
        <v>35</v>
      </c>
      <c r="W49" s="4139" t="s">
        <v>35</v>
      </c>
      <c r="X49" s="4139" t="s">
        <v>35</v>
      </c>
      <c r="Y49" s="4139" t="s">
        <v>35</v>
      </c>
      <c r="Z49" s="4139" t="s">
        <v>35</v>
      </c>
      <c r="AA49" s="4139"/>
      <c r="AB49" s="4139"/>
      <c r="AC49" s="4140">
        <v>5</v>
      </c>
      <c r="AD49" s="4140">
        <v>5</v>
      </c>
      <c r="AE49" s="4140">
        <v>5</v>
      </c>
      <c r="AF49" s="4141">
        <v>5</v>
      </c>
      <c r="AG49" s="4142"/>
      <c r="AH49" s="34"/>
      <c r="AI49" s="25"/>
    </row>
    <row r="50" spans="1:35" ht="25.5" customHeight="1">
      <c r="A50" s="4112">
        <v>10</v>
      </c>
      <c r="B50" s="4071" t="s">
        <v>84</v>
      </c>
      <c r="C50" s="4083">
        <v>10</v>
      </c>
      <c r="D50" s="4083">
        <v>10</v>
      </c>
      <c r="E50" s="4083">
        <v>10</v>
      </c>
      <c r="F50" s="4143" t="s">
        <v>72</v>
      </c>
      <c r="G50" s="4144" t="s">
        <v>72</v>
      </c>
      <c r="H50" s="4144" t="s">
        <v>35</v>
      </c>
      <c r="I50" s="4144" t="s">
        <v>35</v>
      </c>
      <c r="J50" s="4144" t="s">
        <v>35</v>
      </c>
      <c r="K50" s="4144" t="s">
        <v>35</v>
      </c>
      <c r="L50" s="4144" t="s">
        <v>35</v>
      </c>
      <c r="M50" s="4144" t="s">
        <v>67</v>
      </c>
      <c r="N50" s="4144" t="s">
        <v>67</v>
      </c>
      <c r="O50" s="4144">
        <v>7</v>
      </c>
      <c r="P50" s="4144">
        <v>7</v>
      </c>
      <c r="Q50" s="4144">
        <v>7</v>
      </c>
      <c r="R50" s="4144">
        <v>7</v>
      </c>
      <c r="S50" s="4144">
        <v>7</v>
      </c>
      <c r="T50" s="4144"/>
      <c r="U50" s="4144"/>
      <c r="V50" s="4065">
        <v>4</v>
      </c>
      <c r="W50" s="4065">
        <v>4</v>
      </c>
      <c r="X50" s="4065">
        <v>4</v>
      </c>
      <c r="Y50" s="4065">
        <v>4</v>
      </c>
      <c r="Z50" s="4145">
        <v>4</v>
      </c>
      <c r="AA50" s="4146"/>
      <c r="AB50" s="4146"/>
      <c r="AC50" s="4147">
        <v>3</v>
      </c>
      <c r="AD50" s="4147">
        <v>3</v>
      </c>
      <c r="AE50" s="4065">
        <v>3</v>
      </c>
      <c r="AF50" s="4147">
        <v>3</v>
      </c>
      <c r="AG50" s="4123"/>
      <c r="AH50" s="34"/>
      <c r="AI50" s="25" t="s">
        <v>0</v>
      </c>
    </row>
    <row r="51" spans="1:35" ht="24.75" customHeight="1" thickBot="1">
      <c r="A51" s="4115">
        <v>15</v>
      </c>
      <c r="B51" s="4116" t="s">
        <v>85</v>
      </c>
      <c r="C51" s="3985">
        <v>11</v>
      </c>
      <c r="D51" s="3985">
        <v>11</v>
      </c>
      <c r="E51" s="3985">
        <v>11</v>
      </c>
      <c r="F51" s="3985" t="s">
        <v>68</v>
      </c>
      <c r="G51" s="3985" t="s">
        <v>68</v>
      </c>
      <c r="H51" s="3985" t="s">
        <v>35</v>
      </c>
      <c r="I51" s="3985" t="s">
        <v>35</v>
      </c>
      <c r="J51" s="3985" t="s">
        <v>35</v>
      </c>
      <c r="K51" s="3985" t="s">
        <v>35</v>
      </c>
      <c r="L51" s="3985" t="s">
        <v>35</v>
      </c>
      <c r="M51" s="4132" t="s">
        <v>69</v>
      </c>
      <c r="N51" s="3985" t="s">
        <v>69</v>
      </c>
      <c r="O51" s="3985">
        <v>8</v>
      </c>
      <c r="P51" s="3985">
        <v>8</v>
      </c>
      <c r="Q51" s="3985">
        <v>8</v>
      </c>
      <c r="R51" s="3985">
        <v>8</v>
      </c>
      <c r="S51" s="3985">
        <v>8</v>
      </c>
      <c r="T51" s="4049"/>
      <c r="U51" s="4049"/>
      <c r="V51" s="3985" t="s">
        <v>35</v>
      </c>
      <c r="W51" s="3985" t="s">
        <v>35</v>
      </c>
      <c r="X51" s="3985" t="s">
        <v>35</v>
      </c>
      <c r="Y51" s="3985" t="s">
        <v>35</v>
      </c>
      <c r="Z51" s="3985" t="s">
        <v>35</v>
      </c>
      <c r="AA51" s="3985"/>
      <c r="AB51" s="3985"/>
      <c r="AC51" s="3985">
        <v>1</v>
      </c>
      <c r="AD51" s="3985">
        <v>1</v>
      </c>
      <c r="AE51" s="3985">
        <v>1</v>
      </c>
      <c r="AF51" s="4148">
        <v>1</v>
      </c>
      <c r="AG51" s="4149"/>
      <c r="AH51" s="34"/>
      <c r="AI51" s="25"/>
    </row>
    <row r="52" spans="1:35" ht="24.75" customHeight="1">
      <c r="A52" s="29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"/>
    </row>
    <row r="53" spans="1:35" ht="24.75" customHeight="1">
      <c r="A53" s="36"/>
      <c r="B53" s="37" t="s">
        <v>86</v>
      </c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1"/>
    </row>
    <row r="54" spans="1:35" ht="24.75" customHeight="1">
      <c r="A54" s="4150" t="s">
        <v>28</v>
      </c>
      <c r="B54" s="4150"/>
      <c r="C54" s="4146"/>
      <c r="D54" s="4150" t="s">
        <v>87</v>
      </c>
      <c r="E54" s="4151"/>
      <c r="F54" s="4146"/>
      <c r="G54" s="4150" t="s">
        <v>88</v>
      </c>
      <c r="H54" s="4151"/>
      <c r="I54" s="4146"/>
      <c r="J54" s="4150" t="s">
        <v>89</v>
      </c>
      <c r="K54" s="4151"/>
      <c r="L54" s="4146"/>
      <c r="M54" s="4150" t="s">
        <v>90</v>
      </c>
      <c r="N54" s="4151"/>
      <c r="O54" s="4146"/>
      <c r="P54" s="4150" t="s">
        <v>91</v>
      </c>
      <c r="Q54" s="4151"/>
      <c r="R54" s="4152"/>
      <c r="S54" s="4153" t="s">
        <v>92</v>
      </c>
      <c r="T54" s="4151"/>
      <c r="U54" s="4146"/>
      <c r="V54" s="4150" t="s">
        <v>93</v>
      </c>
      <c r="W54" s="4151"/>
      <c r="X54" s="4154" t="s">
        <v>94</v>
      </c>
      <c r="Y54" s="4151"/>
      <c r="Z54" s="4151"/>
      <c r="AA54" s="4155"/>
      <c r="AB54" s="4033"/>
      <c r="AC54" s="4033"/>
      <c r="AD54" s="4033"/>
      <c r="AE54" s="4033"/>
      <c r="AF54" s="4033"/>
      <c r="AG54" s="4034"/>
      <c r="AH54" s="1"/>
    </row>
    <row r="55" spans="1:35" ht="24.75" customHeight="1">
      <c r="A55" s="4156">
        <v>8517</v>
      </c>
      <c r="B55" s="4068" t="s">
        <v>95</v>
      </c>
      <c r="C55" s="4157" t="s">
        <v>96</v>
      </c>
      <c r="D55" s="4158"/>
      <c r="E55" s="4032"/>
      <c r="F55" s="4157" t="s">
        <v>96</v>
      </c>
      <c r="G55" s="4158"/>
      <c r="H55" s="4032"/>
      <c r="I55" s="4157" t="s">
        <v>96</v>
      </c>
      <c r="J55" s="4158"/>
      <c r="K55" s="4032"/>
      <c r="L55" s="4157" t="s">
        <v>96</v>
      </c>
      <c r="M55" s="4158"/>
      <c r="N55" s="4032"/>
      <c r="O55" s="4157" t="s">
        <v>97</v>
      </c>
      <c r="P55" s="4158"/>
      <c r="Q55" s="4032"/>
      <c r="R55" s="4157" t="s">
        <v>96</v>
      </c>
      <c r="S55" s="4158"/>
      <c r="T55" s="4032"/>
      <c r="U55" s="4157" t="s">
        <v>96</v>
      </c>
      <c r="V55" s="4158"/>
      <c r="W55" s="4032"/>
      <c r="X55" s="4030"/>
      <c r="Y55" s="4033"/>
      <c r="Z55" s="4033"/>
      <c r="AA55" s="4033"/>
      <c r="AB55" s="4033"/>
      <c r="AC55" s="4033"/>
      <c r="AD55" s="4033"/>
      <c r="AE55" s="4033"/>
      <c r="AF55" s="4033"/>
      <c r="AG55" s="4034"/>
      <c r="AH55" s="1"/>
    </row>
    <row r="56" spans="1:35" ht="24.75" customHeight="1">
      <c r="B56" s="4159" t="s">
        <v>98</v>
      </c>
      <c r="C56" s="4160" t="s">
        <v>99</v>
      </c>
      <c r="D56" s="4161"/>
      <c r="E56" s="4162"/>
      <c r="F56" s="4160" t="s">
        <v>99</v>
      </c>
      <c r="G56" s="4163"/>
      <c r="H56" s="4162"/>
      <c r="I56" s="4157" t="s">
        <v>99</v>
      </c>
      <c r="J56" s="4158"/>
      <c r="K56" s="4164"/>
      <c r="L56" s="4157" t="s">
        <v>99</v>
      </c>
      <c r="M56" s="4158"/>
      <c r="N56" s="4164"/>
      <c r="O56" s="4157" t="s">
        <v>100</v>
      </c>
      <c r="P56" s="4158"/>
      <c r="Q56" s="4032"/>
      <c r="R56" s="4165" t="s">
        <v>0</v>
      </c>
      <c r="S56" s="4158"/>
      <c r="T56" s="4164"/>
      <c r="U56" s="4158" t="s">
        <v>0</v>
      </c>
      <c r="V56" s="4158"/>
      <c r="W56" s="4032"/>
      <c r="X56" s="1229" t="s">
        <v>0</v>
      </c>
      <c r="Y56" s="17"/>
      <c r="Z56" s="17"/>
      <c r="AA56" s="17"/>
      <c r="AB56" s="17"/>
      <c r="AC56" s="17"/>
      <c r="AD56" s="17"/>
      <c r="AE56" s="17"/>
      <c r="AF56" s="17"/>
      <c r="AG56" s="39"/>
      <c r="AH56" s="1"/>
    </row>
    <row r="57" spans="1:35" ht="24.75" customHeight="1">
      <c r="A57" s="4166"/>
      <c r="B57" s="4068" t="s">
        <v>101</v>
      </c>
      <c r="C57" s="4157" t="s">
        <v>102</v>
      </c>
      <c r="D57" s="4158"/>
      <c r="E57" s="4032"/>
      <c r="F57" s="4157" t="s">
        <v>102</v>
      </c>
      <c r="G57" s="4158"/>
      <c r="H57" s="4164"/>
      <c r="I57" s="4157" t="s">
        <v>102</v>
      </c>
      <c r="J57" s="4158"/>
      <c r="K57" s="4164"/>
      <c r="L57" s="4157" t="s">
        <v>102</v>
      </c>
      <c r="M57" s="4158"/>
      <c r="N57" s="4164"/>
      <c r="O57" s="4157" t="s">
        <v>103</v>
      </c>
      <c r="P57" s="4158"/>
      <c r="Q57" s="4032"/>
      <c r="R57" s="40"/>
      <c r="S57" s="41"/>
      <c r="T57" s="4164"/>
      <c r="U57" s="4158"/>
      <c r="V57" s="4158"/>
      <c r="W57" s="4032"/>
      <c r="X57" s="4030"/>
      <c r="Y57" s="4033"/>
      <c r="Z57" s="4033"/>
      <c r="AA57" s="4033"/>
      <c r="AB57" s="4033"/>
      <c r="AC57" s="4033"/>
      <c r="AD57" s="4033"/>
      <c r="AE57" s="4033"/>
      <c r="AF57" s="4033"/>
      <c r="AG57" s="4034"/>
      <c r="AH57" s="1"/>
    </row>
    <row r="58" spans="1:35" ht="24.75" customHeight="1">
      <c r="A58" s="4150"/>
      <c r="B58" s="4159" t="s">
        <v>104</v>
      </c>
      <c r="C58" s="4167" t="s">
        <v>105</v>
      </c>
      <c r="D58" s="4167"/>
      <c r="E58" s="4168"/>
      <c r="F58" s="4167" t="s">
        <v>105</v>
      </c>
      <c r="G58" s="4167"/>
      <c r="H58" s="4168"/>
      <c r="I58" s="4167" t="s">
        <v>105</v>
      </c>
      <c r="J58" s="4167"/>
      <c r="K58" s="4168"/>
      <c r="L58" s="4167" t="s">
        <v>105</v>
      </c>
      <c r="M58" s="4167"/>
      <c r="N58" s="4168"/>
      <c r="O58" s="4167" t="s">
        <v>105</v>
      </c>
      <c r="P58" s="4167"/>
      <c r="Q58" s="4168"/>
      <c r="R58" s="4167" t="s">
        <v>105</v>
      </c>
      <c r="S58" s="4167"/>
      <c r="T58" s="4168"/>
      <c r="U58" s="4167" t="s">
        <v>105</v>
      </c>
      <c r="V58" s="4167"/>
      <c r="W58" s="4168"/>
      <c r="X58" s="4030"/>
      <c r="Y58" s="4033"/>
      <c r="Z58" s="4033"/>
      <c r="AA58" s="4033"/>
      <c r="AB58" s="4033"/>
      <c r="AC58" s="4033"/>
      <c r="AD58" s="4033"/>
      <c r="AE58" s="4033"/>
      <c r="AF58" s="4033"/>
      <c r="AG58" s="4034"/>
      <c r="AH58" s="1"/>
    </row>
    <row r="59" spans="1:35" ht="24.75" customHeight="1">
      <c r="A59" s="42"/>
      <c r="B59" s="29"/>
      <c r="C59" s="22"/>
      <c r="D59" s="22"/>
      <c r="E59" s="18"/>
      <c r="F59" s="22"/>
      <c r="G59" s="22"/>
      <c r="H59" s="18"/>
      <c r="I59" s="22"/>
      <c r="J59" s="22"/>
      <c r="K59" s="18"/>
      <c r="L59" s="22"/>
      <c r="M59" s="22"/>
      <c r="N59" s="18"/>
      <c r="O59" s="22"/>
      <c r="P59" s="22"/>
      <c r="Q59" s="18"/>
      <c r="R59" s="22"/>
      <c r="S59" s="22"/>
      <c r="T59" s="18"/>
      <c r="U59" s="22"/>
      <c r="V59" s="22"/>
      <c r="W59" s="18"/>
      <c r="X59" s="18"/>
      <c r="Y59" s="17"/>
      <c r="Z59" s="17"/>
      <c r="AA59" s="17"/>
      <c r="AB59" s="17"/>
      <c r="AC59" s="17"/>
      <c r="AD59" s="17"/>
      <c r="AE59" s="17"/>
      <c r="AF59" s="17"/>
      <c r="AG59" s="17"/>
      <c r="AH59" s="1"/>
    </row>
    <row r="60" spans="1:35" ht="24.75" customHeight="1" thickBot="1">
      <c r="A60" s="4169"/>
      <c r="B60" s="4104" t="s">
        <v>29</v>
      </c>
      <c r="C60" s="4170">
        <v>1</v>
      </c>
      <c r="D60" s="4170">
        <v>2</v>
      </c>
      <c r="E60" s="4170">
        <v>3</v>
      </c>
      <c r="F60" s="4171">
        <v>4</v>
      </c>
      <c r="G60" s="4171">
        <v>5</v>
      </c>
      <c r="H60" s="4170">
        <v>6</v>
      </c>
      <c r="I60" s="4170">
        <v>7</v>
      </c>
      <c r="J60" s="4170">
        <v>8</v>
      </c>
      <c r="K60" s="4171">
        <v>9</v>
      </c>
      <c r="L60" s="4171">
        <v>10</v>
      </c>
      <c r="M60" s="4171">
        <v>11</v>
      </c>
      <c r="N60" s="4171">
        <v>12</v>
      </c>
      <c r="O60" s="4171">
        <v>13</v>
      </c>
      <c r="P60" s="4170">
        <v>14</v>
      </c>
      <c r="Q60" s="4170">
        <v>15</v>
      </c>
      <c r="R60" s="4170">
        <v>16</v>
      </c>
      <c r="S60" s="4170">
        <v>17</v>
      </c>
      <c r="T60" s="4171">
        <v>18</v>
      </c>
      <c r="U60" s="4171">
        <v>19</v>
      </c>
      <c r="V60" s="4170">
        <v>20</v>
      </c>
      <c r="W60" s="4170">
        <v>21</v>
      </c>
      <c r="X60" s="4170">
        <v>22</v>
      </c>
      <c r="Y60" s="4170">
        <v>23</v>
      </c>
      <c r="Z60" s="4170">
        <v>24</v>
      </c>
      <c r="AA60" s="4171">
        <v>25</v>
      </c>
      <c r="AB60" s="4171">
        <v>26</v>
      </c>
      <c r="AC60" s="4170">
        <v>27</v>
      </c>
      <c r="AD60" s="4170">
        <v>28</v>
      </c>
      <c r="AE60" s="4170">
        <v>29</v>
      </c>
      <c r="AF60" s="4170">
        <v>30</v>
      </c>
      <c r="AG60" s="4172"/>
      <c r="AH60" s="1"/>
    </row>
    <row r="61" spans="1:35" ht="24.75" customHeight="1">
      <c r="A61" s="4173"/>
      <c r="B61" s="3719" t="s">
        <v>106</v>
      </c>
      <c r="C61" s="4174" t="s">
        <v>110</v>
      </c>
      <c r="D61" s="4174" t="s">
        <v>110</v>
      </c>
      <c r="E61" s="4174" t="s">
        <v>110</v>
      </c>
      <c r="F61" s="4174" t="s">
        <v>108</v>
      </c>
      <c r="G61" s="4174" t="s">
        <v>108</v>
      </c>
      <c r="H61" s="3730" t="s">
        <v>35</v>
      </c>
      <c r="I61" s="3730" t="s">
        <v>35</v>
      </c>
      <c r="J61" s="3730" t="s">
        <v>35</v>
      </c>
      <c r="K61" s="4175"/>
      <c r="L61" s="4176"/>
      <c r="M61" s="4177"/>
      <c r="N61" s="4177"/>
      <c r="O61" s="4177">
        <v>26</v>
      </c>
      <c r="P61" s="4177">
        <v>26</v>
      </c>
      <c r="Q61" s="4177">
        <v>26</v>
      </c>
      <c r="R61" s="4177">
        <v>26</v>
      </c>
      <c r="S61" s="4177">
        <v>26</v>
      </c>
      <c r="T61" s="4177">
        <v>26</v>
      </c>
      <c r="U61" s="4177">
        <v>26</v>
      </c>
      <c r="V61" s="4121" t="s">
        <v>35</v>
      </c>
      <c r="W61" s="4121" t="s">
        <v>35</v>
      </c>
      <c r="X61" s="4121" t="s">
        <v>35</v>
      </c>
      <c r="Y61" s="4121" t="s">
        <v>35</v>
      </c>
      <c r="Z61" s="4121" t="s">
        <v>35</v>
      </c>
      <c r="AA61" s="3621">
        <v>26</v>
      </c>
      <c r="AB61" s="3621">
        <v>26</v>
      </c>
      <c r="AC61" s="3621" t="s">
        <v>44</v>
      </c>
      <c r="AD61" s="4121" t="s">
        <v>35</v>
      </c>
      <c r="AE61" s="4121" t="s">
        <v>35</v>
      </c>
      <c r="AF61" s="4121" t="s">
        <v>35</v>
      </c>
      <c r="AG61" s="3617"/>
      <c r="AH61" s="1"/>
    </row>
    <row r="62" spans="1:35" ht="24.75" customHeight="1">
      <c r="A62" s="3719"/>
      <c r="B62" s="3418" t="s">
        <v>111</v>
      </c>
      <c r="C62" s="4121" t="s">
        <v>35</v>
      </c>
      <c r="D62" s="4121" t="s">
        <v>35</v>
      </c>
      <c r="E62" s="3621" t="s">
        <v>44</v>
      </c>
      <c r="F62" s="3621" t="s">
        <v>44</v>
      </c>
      <c r="G62" s="3621" t="s">
        <v>44</v>
      </c>
      <c r="H62" s="4121" t="s">
        <v>35</v>
      </c>
      <c r="I62" s="4121" t="s">
        <v>35</v>
      </c>
      <c r="J62" s="4121" t="s">
        <v>35</v>
      </c>
      <c r="K62" s="3621"/>
      <c r="L62" s="3621" t="s">
        <v>44</v>
      </c>
      <c r="M62" s="3621" t="s">
        <v>44</v>
      </c>
      <c r="N62" s="3621" t="s">
        <v>44</v>
      </c>
      <c r="O62" s="3621"/>
      <c r="P62" s="3423" t="s">
        <v>31</v>
      </c>
      <c r="Q62" s="3423" t="s">
        <v>31</v>
      </c>
      <c r="R62" s="3423" t="s">
        <v>31</v>
      </c>
      <c r="S62" s="3423" t="s">
        <v>31</v>
      </c>
      <c r="T62" s="3423"/>
      <c r="U62" s="3423"/>
      <c r="V62" s="3423" t="s">
        <v>31</v>
      </c>
      <c r="W62" s="3423" t="s">
        <v>31</v>
      </c>
      <c r="X62" s="3423" t="s">
        <v>31</v>
      </c>
      <c r="Y62" s="3423" t="s">
        <v>31</v>
      </c>
      <c r="Z62" s="3423" t="s">
        <v>31</v>
      </c>
      <c r="AA62" s="4083" t="s">
        <v>67</v>
      </c>
      <c r="AB62" s="4083" t="s">
        <v>67</v>
      </c>
      <c r="AC62" s="4083">
        <v>7</v>
      </c>
      <c r="AD62" s="4083">
        <v>7</v>
      </c>
      <c r="AE62" s="4083">
        <v>7</v>
      </c>
      <c r="AF62" s="4083">
        <v>7</v>
      </c>
      <c r="AG62" s="3624"/>
      <c r="AH62" s="1"/>
    </row>
    <row r="63" spans="1:35" ht="24.75" customHeight="1">
      <c r="A63" s="3619"/>
      <c r="B63" s="3418" t="s">
        <v>113</v>
      </c>
      <c r="C63" s="4178" t="s">
        <v>114</v>
      </c>
      <c r="D63" s="4178" t="s">
        <v>114</v>
      </c>
      <c r="E63" s="4178" t="s">
        <v>114</v>
      </c>
      <c r="F63" s="4178"/>
      <c r="G63" s="4178"/>
      <c r="H63" s="4121" t="s">
        <v>35</v>
      </c>
      <c r="I63" s="4121" t="s">
        <v>35</v>
      </c>
      <c r="J63" s="4121" t="s">
        <v>35</v>
      </c>
      <c r="K63" s="3621" t="s">
        <v>44</v>
      </c>
      <c r="L63" s="3621" t="s">
        <v>44</v>
      </c>
      <c r="M63" s="3621" t="s">
        <v>0</v>
      </c>
      <c r="N63" s="4178"/>
      <c r="O63" s="4178" t="s">
        <v>225</v>
      </c>
      <c r="P63" s="3430" t="s">
        <v>201</v>
      </c>
      <c r="Q63" s="3430" t="s">
        <v>201</v>
      </c>
      <c r="R63" s="3430" t="s">
        <v>201</v>
      </c>
      <c r="S63" s="3430" t="s">
        <v>201</v>
      </c>
      <c r="T63" s="4178"/>
      <c r="U63" s="4178"/>
      <c r="V63" s="4147" t="s">
        <v>114</v>
      </c>
      <c r="W63" s="4147" t="s">
        <v>114</v>
      </c>
      <c r="X63" s="4147" t="s">
        <v>114</v>
      </c>
      <c r="Y63" s="4147" t="s">
        <v>114</v>
      </c>
      <c r="Z63" s="4147" t="s">
        <v>114</v>
      </c>
      <c r="AA63" s="4147"/>
      <c r="AB63" s="4147"/>
      <c r="AC63" s="4147" t="s">
        <v>115</v>
      </c>
      <c r="AD63" s="4147" t="s">
        <v>115</v>
      </c>
      <c r="AE63" s="4147" t="s">
        <v>115</v>
      </c>
      <c r="AF63" s="4147" t="s">
        <v>115</v>
      </c>
      <c r="AG63" s="3624"/>
      <c r="AH63" s="1"/>
    </row>
    <row r="64" spans="1:35" ht="24.75" customHeight="1" thickBot="1">
      <c r="A64" s="3418"/>
      <c r="B64" s="3726" t="s">
        <v>116</v>
      </c>
      <c r="C64" s="4121" t="s">
        <v>35</v>
      </c>
      <c r="D64" s="4121" t="s">
        <v>35</v>
      </c>
      <c r="E64" s="4121" t="s">
        <v>35</v>
      </c>
      <c r="F64" s="3621" t="s">
        <v>44</v>
      </c>
      <c r="G64" s="3621" t="s">
        <v>44</v>
      </c>
      <c r="H64" s="4121" t="s">
        <v>35</v>
      </c>
      <c r="I64" s="4121" t="s">
        <v>35</v>
      </c>
      <c r="J64" s="4121" t="s">
        <v>35</v>
      </c>
      <c r="K64" s="3621" t="s">
        <v>44</v>
      </c>
      <c r="L64" s="3621" t="s">
        <v>44</v>
      </c>
      <c r="M64" s="3621" t="s">
        <v>44</v>
      </c>
      <c r="N64" s="3722"/>
      <c r="O64" s="3722"/>
      <c r="P64" s="3621" t="s">
        <v>35</v>
      </c>
      <c r="Q64" s="3621" t="s">
        <v>35</v>
      </c>
      <c r="R64" s="3621" t="s">
        <v>44</v>
      </c>
      <c r="S64" s="3621" t="s">
        <v>44</v>
      </c>
      <c r="T64" s="3621" t="s">
        <v>44</v>
      </c>
      <c r="U64" s="3428"/>
      <c r="V64" s="4179" t="s">
        <v>110</v>
      </c>
      <c r="W64" s="4179" t="s">
        <v>110</v>
      </c>
      <c r="X64" s="4179" t="s">
        <v>110</v>
      </c>
      <c r="Y64" s="4179" t="s">
        <v>110</v>
      </c>
      <c r="Z64" s="4179" t="s">
        <v>110</v>
      </c>
      <c r="AA64" s="4179" t="s">
        <v>108</v>
      </c>
      <c r="AB64" s="4179" t="s">
        <v>108</v>
      </c>
      <c r="AC64" s="3621" t="s">
        <v>35</v>
      </c>
      <c r="AD64" s="3621" t="s">
        <v>35</v>
      </c>
      <c r="AE64" s="3621" t="s">
        <v>35</v>
      </c>
      <c r="AF64" s="3621" t="s">
        <v>35</v>
      </c>
      <c r="AG64" s="3624"/>
      <c r="AH64" s="1"/>
    </row>
    <row r="65" spans="1:41" ht="24.75" customHeight="1" thickBot="1">
      <c r="A65" s="3418"/>
      <c r="B65" s="3726" t="s">
        <v>122</v>
      </c>
      <c r="C65" s="4121" t="s">
        <v>35</v>
      </c>
      <c r="D65" s="4121" t="s">
        <v>35</v>
      </c>
      <c r="E65" s="4121" t="s">
        <v>35</v>
      </c>
      <c r="F65" s="3722"/>
      <c r="H65" s="3722" t="s">
        <v>201</v>
      </c>
      <c r="I65" s="3621" t="s">
        <v>201</v>
      </c>
      <c r="J65" s="3430" t="s">
        <v>201</v>
      </c>
      <c r="K65" s="3621"/>
      <c r="L65" s="3722"/>
      <c r="M65" s="4174" t="s">
        <v>0</v>
      </c>
      <c r="N65" s="4174" t="s">
        <v>108</v>
      </c>
      <c r="O65" s="3621" t="s">
        <v>44</v>
      </c>
      <c r="P65" s="4121" t="s">
        <v>35</v>
      </c>
      <c r="Q65" s="4121" t="s">
        <v>35</v>
      </c>
      <c r="R65" s="3430" t="s">
        <v>31</v>
      </c>
      <c r="S65" s="3430" t="s">
        <v>31</v>
      </c>
      <c r="T65" s="3621" t="s">
        <v>45</v>
      </c>
      <c r="U65" s="3722" t="s">
        <v>45</v>
      </c>
      <c r="V65" s="3423" t="s">
        <v>31</v>
      </c>
      <c r="W65" s="3423" t="s">
        <v>31</v>
      </c>
      <c r="X65" s="3423" t="s">
        <v>31</v>
      </c>
      <c r="Y65" s="3423" t="s">
        <v>31</v>
      </c>
      <c r="Z65" s="3423" t="s">
        <v>31</v>
      </c>
      <c r="AA65" s="4180" t="s">
        <v>0</v>
      </c>
      <c r="AB65" s="4180" t="s">
        <v>0</v>
      </c>
      <c r="AC65" s="4177">
        <v>26</v>
      </c>
      <c r="AD65" s="4177">
        <v>26</v>
      </c>
      <c r="AE65" s="4177">
        <v>26</v>
      </c>
      <c r="AF65" s="4177">
        <v>26</v>
      </c>
      <c r="AG65" s="3621" t="s">
        <v>0</v>
      </c>
      <c r="AH65" s="1"/>
    </row>
    <row r="66" spans="1:41" ht="24.75" customHeight="1" thickBot="1">
      <c r="A66" s="3418"/>
      <c r="B66" s="3418" t="s">
        <v>124</v>
      </c>
      <c r="C66" s="3621" t="s">
        <v>31</v>
      </c>
      <c r="D66" s="3621" t="s">
        <v>31</v>
      </c>
      <c r="E66" s="3621" t="s">
        <v>44</v>
      </c>
      <c r="F66" s="3621"/>
      <c r="G66" s="3622"/>
      <c r="H66" s="3621" t="s">
        <v>44</v>
      </c>
      <c r="I66" s="3621" t="s">
        <v>44</v>
      </c>
      <c r="J66" s="3621" t="s">
        <v>44</v>
      </c>
      <c r="K66" s="3905" t="s">
        <v>44</v>
      </c>
      <c r="L66" s="4174" t="s">
        <v>0</v>
      </c>
      <c r="M66" s="3621" t="s">
        <v>0</v>
      </c>
      <c r="N66" s="3621">
        <v>26</v>
      </c>
      <c r="O66" s="4181"/>
      <c r="P66" s="4181" t="s">
        <v>31</v>
      </c>
      <c r="Q66" s="4181" t="s">
        <v>31</v>
      </c>
      <c r="R66" s="4181" t="s">
        <v>31</v>
      </c>
      <c r="S66" s="4181" t="s">
        <v>31</v>
      </c>
      <c r="T66" s="4181"/>
      <c r="U66" s="4181"/>
      <c r="V66" s="3428" t="s">
        <v>35</v>
      </c>
      <c r="W66" s="3905">
        <v>11</v>
      </c>
      <c r="X66" s="3905">
        <v>11</v>
      </c>
      <c r="Y66" s="3905">
        <v>11</v>
      </c>
      <c r="Z66" s="3905">
        <v>21</v>
      </c>
      <c r="AA66" s="3905">
        <v>21</v>
      </c>
      <c r="AB66" s="3905">
        <v>21</v>
      </c>
      <c r="AC66" s="4179" t="s">
        <v>110</v>
      </c>
      <c r="AD66" s="4179" t="s">
        <v>110</v>
      </c>
      <c r="AE66" s="4179" t="s">
        <v>110</v>
      </c>
      <c r="AF66" s="4179" t="s">
        <v>110</v>
      </c>
      <c r="AG66" s="3624"/>
      <c r="AH66" s="1"/>
      <c r="AO66" t="s">
        <v>0</v>
      </c>
    </row>
    <row r="67" spans="1:41" ht="24.75" customHeight="1" thickBot="1">
      <c r="A67" s="3418"/>
      <c r="B67" s="3726" t="s">
        <v>126</v>
      </c>
      <c r="C67" s="3428" t="s">
        <v>31</v>
      </c>
      <c r="D67" s="3722" t="s">
        <v>31</v>
      </c>
      <c r="E67" s="3722" t="s">
        <v>31</v>
      </c>
      <c r="F67" s="4106" t="s">
        <v>69</v>
      </c>
      <c r="G67" s="4106" t="s">
        <v>69</v>
      </c>
      <c r="H67" s="4106">
        <v>8</v>
      </c>
      <c r="I67" s="4106">
        <v>8</v>
      </c>
      <c r="J67" s="3590">
        <v>8</v>
      </c>
      <c r="K67" s="4106">
        <v>8</v>
      </c>
      <c r="L67" s="4106">
        <v>8</v>
      </c>
      <c r="M67" s="3722"/>
      <c r="N67" s="3621"/>
      <c r="O67" s="3621" t="s">
        <v>44</v>
      </c>
      <c r="P67" s="3621" t="s">
        <v>44</v>
      </c>
      <c r="Q67" s="3621" t="s">
        <v>44</v>
      </c>
      <c r="R67" s="4121" t="s">
        <v>35</v>
      </c>
      <c r="S67" s="4121" t="s">
        <v>35</v>
      </c>
      <c r="T67" s="4083" t="s">
        <v>0</v>
      </c>
      <c r="U67" s="4083" t="s">
        <v>0</v>
      </c>
      <c r="V67" s="4121" t="s">
        <v>35</v>
      </c>
      <c r="W67" s="4121" t="s">
        <v>35</v>
      </c>
      <c r="X67" s="4121" t="s">
        <v>35</v>
      </c>
      <c r="Y67" s="4121" t="s">
        <v>35</v>
      </c>
      <c r="Z67" s="3621">
        <v>11</v>
      </c>
      <c r="AA67" s="3985" t="s">
        <v>68</v>
      </c>
      <c r="AB67" s="3985" t="s">
        <v>68</v>
      </c>
      <c r="AC67" s="4121" t="s">
        <v>35</v>
      </c>
      <c r="AD67" s="4121" t="s">
        <v>35</v>
      </c>
      <c r="AE67" s="4121" t="s">
        <v>35</v>
      </c>
      <c r="AF67" s="3621" t="s">
        <v>31</v>
      </c>
      <c r="AG67" s="3624"/>
      <c r="AH67" s="1"/>
    </row>
    <row r="68" spans="1:41" ht="24.75" customHeight="1">
      <c r="A68" s="3418"/>
      <c r="B68" s="3726" t="s">
        <v>129</v>
      </c>
      <c r="C68" s="3621" t="s">
        <v>31</v>
      </c>
      <c r="D68" s="3621" t="s">
        <v>31</v>
      </c>
      <c r="E68" s="3621" t="s">
        <v>31</v>
      </c>
      <c r="F68" s="3621"/>
      <c r="G68" s="3421"/>
      <c r="H68" s="3421" t="s">
        <v>31</v>
      </c>
      <c r="I68" s="3621" t="s">
        <v>31</v>
      </c>
      <c r="J68" s="3621" t="s">
        <v>31</v>
      </c>
      <c r="K68" s="3621"/>
      <c r="L68" s="3720"/>
      <c r="M68" s="3720"/>
      <c r="N68" s="3720"/>
      <c r="O68" s="3430"/>
      <c r="P68" s="3621" t="s">
        <v>31</v>
      </c>
      <c r="Q68" s="3621" t="s">
        <v>31</v>
      </c>
      <c r="R68" s="3621" t="s">
        <v>31</v>
      </c>
      <c r="S68" s="3621" t="s">
        <v>31</v>
      </c>
      <c r="T68" s="3621"/>
      <c r="U68" s="3428"/>
      <c r="V68" s="3621" t="s">
        <v>31</v>
      </c>
      <c r="W68" s="3621" t="s">
        <v>31</v>
      </c>
      <c r="X68" s="3722" t="s">
        <v>31</v>
      </c>
      <c r="Y68" s="3722" t="s">
        <v>31</v>
      </c>
      <c r="Z68" s="3722" t="s">
        <v>31</v>
      </c>
      <c r="AA68" s="3722"/>
      <c r="AB68" s="3621"/>
      <c r="AC68" s="3621" t="s">
        <v>31</v>
      </c>
      <c r="AD68" s="3621" t="s">
        <v>31</v>
      </c>
      <c r="AE68" s="3621" t="s">
        <v>31</v>
      </c>
      <c r="AF68" s="3621" t="s">
        <v>31</v>
      </c>
      <c r="AG68" s="3731"/>
      <c r="AH68" s="1"/>
    </row>
    <row r="69" spans="1:41" ht="24.75" customHeight="1">
      <c r="A69" s="3726"/>
      <c r="B69" s="4182" t="s">
        <v>130</v>
      </c>
      <c r="C69" s="3730" t="s">
        <v>31</v>
      </c>
      <c r="D69" s="3730" t="s">
        <v>31</v>
      </c>
      <c r="E69" s="3621">
        <v>4</v>
      </c>
      <c r="F69" s="3621"/>
      <c r="G69" s="3730"/>
      <c r="H69" s="3730" t="s">
        <v>35</v>
      </c>
      <c r="I69" s="3730" t="s">
        <v>35</v>
      </c>
      <c r="J69" s="3730" t="s">
        <v>35</v>
      </c>
      <c r="K69" s="4183" t="s">
        <v>44</v>
      </c>
      <c r="L69" s="4183" t="s">
        <v>0</v>
      </c>
      <c r="M69" s="4183" t="s">
        <v>0</v>
      </c>
      <c r="N69" s="4183" t="s">
        <v>44</v>
      </c>
      <c r="O69" s="4183" t="s">
        <v>44</v>
      </c>
      <c r="P69" s="4184" t="s">
        <v>351</v>
      </c>
      <c r="Q69" s="3426" t="s">
        <v>35</v>
      </c>
      <c r="R69" s="3623" t="s">
        <v>44</v>
      </c>
      <c r="S69" s="3623" t="s">
        <v>44</v>
      </c>
      <c r="T69" s="3623"/>
      <c r="U69" s="3623"/>
      <c r="V69" s="3429" t="s">
        <v>31</v>
      </c>
      <c r="W69" s="3429" t="s">
        <v>31</v>
      </c>
      <c r="X69" s="3429" t="s">
        <v>31</v>
      </c>
      <c r="Y69" s="3429" t="s">
        <v>31</v>
      </c>
      <c r="Z69" s="3429" t="s">
        <v>31</v>
      </c>
      <c r="AA69" s="3429"/>
      <c r="AB69" s="3429"/>
      <c r="AC69" s="3428" t="s">
        <v>31</v>
      </c>
      <c r="AD69" s="3621" t="s">
        <v>31</v>
      </c>
      <c r="AE69" s="3621" t="s">
        <v>31</v>
      </c>
      <c r="AF69" s="3621" t="s">
        <v>31</v>
      </c>
      <c r="AG69" s="3738"/>
      <c r="AH69" s="1"/>
    </row>
    <row r="70" spans="1:41" ht="24.75" customHeight="1" thickBot="1">
      <c r="A70" s="3726"/>
      <c r="B70" s="4185" t="s">
        <v>132</v>
      </c>
      <c r="C70" s="3621" t="s">
        <v>44</v>
      </c>
      <c r="D70" s="3621" t="s">
        <v>44</v>
      </c>
      <c r="E70" s="3730" t="s">
        <v>35</v>
      </c>
      <c r="F70" s="3426"/>
      <c r="G70" s="3426"/>
      <c r="H70" s="3730" t="s">
        <v>35</v>
      </c>
      <c r="I70" s="3730" t="s">
        <v>35</v>
      </c>
      <c r="J70" s="3730" t="s">
        <v>35</v>
      </c>
      <c r="K70" s="3426"/>
      <c r="L70" s="3621" t="s">
        <v>0</v>
      </c>
      <c r="M70" s="3621" t="s">
        <v>44</v>
      </c>
      <c r="N70" s="3621" t="s">
        <v>44</v>
      </c>
      <c r="O70" s="3621" t="s">
        <v>44</v>
      </c>
      <c r="P70" s="4121" t="s">
        <v>35</v>
      </c>
      <c r="Q70" s="4121" t="s">
        <v>35</v>
      </c>
      <c r="R70" s="4121" t="s">
        <v>35</v>
      </c>
      <c r="S70" s="3621" t="s">
        <v>44</v>
      </c>
      <c r="T70" s="3621" t="s">
        <v>44</v>
      </c>
      <c r="U70" s="3621" t="s">
        <v>44</v>
      </c>
      <c r="V70" s="4121" t="s">
        <v>35</v>
      </c>
      <c r="W70" s="4121" t="s">
        <v>35</v>
      </c>
      <c r="X70" s="4121" t="s">
        <v>35</v>
      </c>
      <c r="Y70" s="4121" t="s">
        <v>35</v>
      </c>
      <c r="Z70" s="4121" t="s">
        <v>35</v>
      </c>
      <c r="AA70" s="4180" t="s">
        <v>69</v>
      </c>
      <c r="AB70" s="4180" t="s">
        <v>69</v>
      </c>
      <c r="AC70" s="4180">
        <v>8</v>
      </c>
      <c r="AD70" s="4180">
        <v>8</v>
      </c>
      <c r="AE70" s="4180">
        <v>8</v>
      </c>
      <c r="AF70" s="4180">
        <v>8</v>
      </c>
      <c r="AG70" s="4186">
        <v>8</v>
      </c>
      <c r="AH70" s="1"/>
    </row>
    <row r="71" spans="1:41" ht="24.75" customHeight="1">
      <c r="A71" s="3623"/>
      <c r="B71" s="3625" t="s">
        <v>133</v>
      </c>
      <c r="C71" s="3426" t="s">
        <v>31</v>
      </c>
      <c r="D71" s="3426" t="s">
        <v>31</v>
      </c>
      <c r="E71" s="3426" t="s">
        <v>31</v>
      </c>
      <c r="F71" s="3426" t="s">
        <v>0</v>
      </c>
      <c r="G71" s="3426" t="s">
        <v>0</v>
      </c>
      <c r="H71" s="3426">
        <v>26</v>
      </c>
      <c r="I71" s="3426">
        <v>26</v>
      </c>
      <c r="J71" s="3426">
        <v>26</v>
      </c>
      <c r="K71" s="3426">
        <v>26</v>
      </c>
      <c r="L71" s="3426">
        <v>26</v>
      </c>
      <c r="M71" s="3426">
        <v>26</v>
      </c>
      <c r="N71" s="3426"/>
      <c r="O71" s="3426"/>
      <c r="P71" s="3621" t="s">
        <v>44</v>
      </c>
      <c r="Q71" s="3621" t="s">
        <v>44</v>
      </c>
      <c r="R71" s="4121" t="s">
        <v>35</v>
      </c>
      <c r="S71" s="3426" t="s">
        <v>31</v>
      </c>
      <c r="T71" s="3426"/>
      <c r="U71" s="3426" t="s">
        <v>45</v>
      </c>
      <c r="V71" s="4121" t="s">
        <v>35</v>
      </c>
      <c r="W71" s="4121" t="s">
        <v>35</v>
      </c>
      <c r="X71" s="4121" t="s">
        <v>35</v>
      </c>
      <c r="Y71" s="4187" t="s">
        <v>31</v>
      </c>
      <c r="Z71" s="3426" t="s">
        <v>31</v>
      </c>
      <c r="AA71" s="3621" t="s">
        <v>44</v>
      </c>
      <c r="AB71" s="3621" t="s">
        <v>44</v>
      </c>
      <c r="AC71" s="4121" t="s">
        <v>35</v>
      </c>
      <c r="AD71" s="4121" t="s">
        <v>35</v>
      </c>
      <c r="AE71" s="4121" t="s">
        <v>35</v>
      </c>
      <c r="AF71" s="4121" t="s">
        <v>35</v>
      </c>
      <c r="AG71" s="3724"/>
      <c r="AH71" s="1"/>
    </row>
    <row r="72" spans="1:41" ht="24.75" customHeight="1">
      <c r="A72" s="3623"/>
      <c r="B72" s="4182" t="s">
        <v>137</v>
      </c>
      <c r="C72" s="3426" t="s">
        <v>31</v>
      </c>
      <c r="D72" s="3621" t="s">
        <v>44</v>
      </c>
      <c r="E72" s="3730" t="s">
        <v>35</v>
      </c>
      <c r="F72" s="3426"/>
      <c r="G72" s="3426"/>
      <c r="H72" s="3621" t="s">
        <v>44</v>
      </c>
      <c r="I72" s="3621" t="s">
        <v>44</v>
      </c>
      <c r="J72" s="3621" t="s">
        <v>44</v>
      </c>
      <c r="K72" s="3426"/>
      <c r="L72" s="3426"/>
      <c r="M72" s="3426"/>
      <c r="N72" s="3426"/>
      <c r="O72" s="3426"/>
      <c r="P72" s="4121" t="s">
        <v>35</v>
      </c>
      <c r="Q72" s="4121" t="s">
        <v>35</v>
      </c>
      <c r="R72" s="4121" t="s">
        <v>35</v>
      </c>
      <c r="S72" s="4121" t="s">
        <v>35</v>
      </c>
      <c r="T72" s="3621" t="s">
        <v>44</v>
      </c>
      <c r="U72" s="3621" t="s">
        <v>44</v>
      </c>
      <c r="V72" s="3621" t="s">
        <v>44</v>
      </c>
      <c r="W72" s="4121" t="s">
        <v>35</v>
      </c>
      <c r="X72" s="4121" t="s">
        <v>35</v>
      </c>
      <c r="Y72" s="4121" t="s">
        <v>35</v>
      </c>
      <c r="Z72" s="4121" t="s">
        <v>35</v>
      </c>
      <c r="AA72" s="3621" t="s">
        <v>44</v>
      </c>
      <c r="AB72" s="3621" t="s">
        <v>44</v>
      </c>
      <c r="AC72" s="4121" t="s">
        <v>35</v>
      </c>
      <c r="AD72" s="4121" t="s">
        <v>35</v>
      </c>
      <c r="AE72" s="4121" t="s">
        <v>35</v>
      </c>
      <c r="AF72" s="4121" t="s">
        <v>35</v>
      </c>
      <c r="AG72" s="3724"/>
      <c r="AH72" s="1"/>
    </row>
    <row r="73" spans="1:41" ht="24.75" customHeight="1" thickBot="1">
      <c r="A73" s="3623"/>
      <c r="B73" s="4182" t="s">
        <v>135</v>
      </c>
      <c r="C73" s="4083">
        <v>6</v>
      </c>
      <c r="D73" s="4083">
        <v>6</v>
      </c>
      <c r="E73" s="4083">
        <v>6</v>
      </c>
      <c r="F73" s="3623"/>
      <c r="G73" s="3623"/>
      <c r="H73" s="3730" t="s">
        <v>35</v>
      </c>
      <c r="I73" s="3730" t="s">
        <v>35</v>
      </c>
      <c r="J73" s="3730" t="s">
        <v>35</v>
      </c>
      <c r="K73" s="3623"/>
      <c r="L73" s="3623"/>
      <c r="M73" s="3623" t="s">
        <v>0</v>
      </c>
      <c r="N73" s="3623">
        <v>22</v>
      </c>
      <c r="O73" s="4083" t="s">
        <v>35</v>
      </c>
      <c r="P73" s="4121" t="s">
        <v>35</v>
      </c>
      <c r="Q73" s="4121" t="s">
        <v>35</v>
      </c>
      <c r="R73" s="4121" t="s">
        <v>35</v>
      </c>
      <c r="S73" s="4121" t="s">
        <v>35</v>
      </c>
      <c r="T73" s="4180" t="s">
        <v>69</v>
      </c>
      <c r="U73" s="4180" t="s">
        <v>69</v>
      </c>
      <c r="V73" s="4180">
        <v>8</v>
      </c>
      <c r="W73" s="4180">
        <v>8</v>
      </c>
      <c r="X73" s="4180">
        <v>8</v>
      </c>
      <c r="Y73" s="4180">
        <v>8</v>
      </c>
      <c r="Z73" s="4180">
        <v>8</v>
      </c>
      <c r="AA73" s="3623"/>
      <c r="AB73" s="3623"/>
      <c r="AC73" s="4121" t="s">
        <v>35</v>
      </c>
      <c r="AD73" s="4121" t="s">
        <v>35</v>
      </c>
      <c r="AE73" s="4121" t="s">
        <v>35</v>
      </c>
      <c r="AF73" s="4121" t="s">
        <v>35</v>
      </c>
      <c r="AG73" s="3724"/>
      <c r="AH73" s="1"/>
    </row>
    <row r="74" spans="1:41" ht="24.75" customHeight="1" thickBot="1">
      <c r="A74" s="423"/>
      <c r="B74" s="4188"/>
      <c r="C74" s="4177" t="s">
        <v>31</v>
      </c>
      <c r="D74" s="4175" t="s">
        <v>31</v>
      </c>
      <c r="E74" s="4175" t="s">
        <v>31</v>
      </c>
      <c r="F74" s="4189"/>
      <c r="G74" s="4189"/>
      <c r="H74" s="4189" t="s">
        <v>31</v>
      </c>
      <c r="I74" s="4189" t="s">
        <v>31</v>
      </c>
      <c r="J74" s="4189" t="s">
        <v>31</v>
      </c>
      <c r="K74" s="4189"/>
      <c r="L74" s="4175"/>
      <c r="M74" s="4175"/>
      <c r="N74" s="4175"/>
      <c r="O74" s="4175"/>
      <c r="P74" s="4175" t="s">
        <v>31</v>
      </c>
      <c r="Q74" s="4175" t="s">
        <v>31</v>
      </c>
      <c r="R74" s="4175" t="s">
        <v>31</v>
      </c>
      <c r="S74" s="4175" t="s">
        <v>31</v>
      </c>
      <c r="T74" s="4180" t="s">
        <v>0</v>
      </c>
      <c r="U74" s="4180" t="s">
        <v>0</v>
      </c>
      <c r="V74" s="4180" t="s">
        <v>0</v>
      </c>
      <c r="W74" s="4180" t="s">
        <v>0</v>
      </c>
      <c r="X74" s="4180" t="s">
        <v>0</v>
      </c>
      <c r="Y74" s="4180" t="s">
        <v>0</v>
      </c>
      <c r="Z74" s="4180" t="s">
        <v>0</v>
      </c>
      <c r="AA74" s="4177"/>
      <c r="AB74" s="4177"/>
      <c r="AC74" s="3623" t="s">
        <v>0</v>
      </c>
      <c r="AD74" s="3623" t="s">
        <v>0</v>
      </c>
      <c r="AE74" s="3623" t="s">
        <v>0</v>
      </c>
      <c r="AF74" s="3623" t="s">
        <v>0</v>
      </c>
      <c r="AG74" s="3617"/>
      <c r="AH74" s="1"/>
    </row>
    <row r="75" spans="1:41" ht="24.75" customHeight="1" thickBot="1">
      <c r="A75" s="2628"/>
      <c r="B75" s="4190"/>
      <c r="C75" s="2328"/>
      <c r="D75" s="2328"/>
      <c r="E75" s="2328"/>
      <c r="F75" s="2328"/>
      <c r="G75" s="2328"/>
      <c r="H75" s="2328"/>
      <c r="I75" s="2328"/>
      <c r="J75" s="2328"/>
      <c r="K75" s="2328"/>
      <c r="L75" s="2328"/>
      <c r="M75" s="2328"/>
      <c r="N75" s="2328"/>
      <c r="O75" s="2328"/>
      <c r="P75" s="2328"/>
      <c r="Q75" s="2328"/>
      <c r="R75" s="2328"/>
      <c r="S75" s="2328"/>
      <c r="T75" s="2328"/>
      <c r="U75" s="2328"/>
      <c r="V75" s="2328"/>
      <c r="W75" s="2328"/>
      <c r="X75" s="2328"/>
      <c r="Y75" s="2328"/>
      <c r="Z75" s="2328"/>
      <c r="AA75" s="2328"/>
      <c r="AB75" s="2328"/>
      <c r="AC75" s="2328"/>
      <c r="AD75" s="2328"/>
      <c r="AE75" s="2328"/>
      <c r="AF75" s="2328"/>
      <c r="AG75" s="4191"/>
      <c r="AH75" s="1"/>
    </row>
    <row r="76" spans="1:41" ht="24.75" customHeight="1" thickBot="1">
      <c r="A76" s="4192"/>
      <c r="B76" s="4193" t="s">
        <v>138</v>
      </c>
      <c r="C76" s="4049">
        <v>1</v>
      </c>
      <c r="D76" s="4049">
        <v>2</v>
      </c>
      <c r="E76" s="4049">
        <v>3</v>
      </c>
      <c r="F76" s="4050">
        <v>4</v>
      </c>
      <c r="G76" s="4050">
        <v>5</v>
      </c>
      <c r="H76" s="4049">
        <v>6</v>
      </c>
      <c r="I76" s="4049">
        <v>7</v>
      </c>
      <c r="J76" s="4049">
        <v>8</v>
      </c>
      <c r="K76" s="4050">
        <v>9</v>
      </c>
      <c r="L76" s="4050">
        <v>10</v>
      </c>
      <c r="M76" s="4050">
        <v>11</v>
      </c>
      <c r="N76" s="4050">
        <v>12</v>
      </c>
      <c r="O76" s="4050">
        <v>13</v>
      </c>
      <c r="P76" s="4049">
        <v>14</v>
      </c>
      <c r="Q76" s="4049">
        <v>15</v>
      </c>
      <c r="R76" s="4049">
        <v>16</v>
      </c>
      <c r="S76" s="4049">
        <v>17</v>
      </c>
      <c r="T76" s="4050">
        <v>18</v>
      </c>
      <c r="U76" s="4050">
        <v>19</v>
      </c>
      <c r="V76" s="4049">
        <v>20</v>
      </c>
      <c r="W76" s="4049">
        <v>21</v>
      </c>
      <c r="X76" s="4049">
        <v>22</v>
      </c>
      <c r="Y76" s="4049">
        <v>23</v>
      </c>
      <c r="Z76" s="4049">
        <v>24</v>
      </c>
      <c r="AA76" s="4050">
        <v>25</v>
      </c>
      <c r="AB76" s="4050">
        <v>26</v>
      </c>
      <c r="AC76" s="4049">
        <v>27</v>
      </c>
      <c r="AD76" s="4049">
        <v>28</v>
      </c>
      <c r="AE76" s="4049">
        <v>29</v>
      </c>
      <c r="AF76" s="4049">
        <v>30</v>
      </c>
      <c r="AG76" s="4051"/>
      <c r="AH76" s="1"/>
    </row>
    <row r="77" spans="1:41" ht="24.75" customHeight="1">
      <c r="A77" s="4188"/>
      <c r="B77" s="3726" t="s">
        <v>139</v>
      </c>
      <c r="C77" s="3623" t="s">
        <v>35</v>
      </c>
      <c r="D77" s="3623" t="s">
        <v>35</v>
      </c>
      <c r="E77" s="3623" t="s">
        <v>35</v>
      </c>
      <c r="F77" s="3426"/>
      <c r="G77" s="3426"/>
      <c r="H77" s="3426" t="s">
        <v>35</v>
      </c>
      <c r="I77" s="3426">
        <v>3</v>
      </c>
      <c r="J77" s="3426" t="s">
        <v>31</v>
      </c>
      <c r="K77" s="3426"/>
      <c r="L77" s="3426"/>
      <c r="M77" s="3426" t="s">
        <v>69</v>
      </c>
      <c r="N77" s="3426"/>
      <c r="O77" s="4083">
        <v>10</v>
      </c>
      <c r="P77" s="4083">
        <v>10</v>
      </c>
      <c r="Q77" s="4083">
        <v>10</v>
      </c>
      <c r="R77" s="4083">
        <v>10</v>
      </c>
      <c r="S77" s="4083">
        <v>10</v>
      </c>
      <c r="T77" s="4083" t="s">
        <v>72</v>
      </c>
      <c r="U77" s="4083" t="s">
        <v>72</v>
      </c>
      <c r="V77" s="3426" t="s">
        <v>35</v>
      </c>
      <c r="W77" s="3426" t="s">
        <v>35</v>
      </c>
      <c r="X77" s="3426" t="s">
        <v>35</v>
      </c>
      <c r="Y77" s="3426" t="s">
        <v>35</v>
      </c>
      <c r="Z77" s="3426" t="s">
        <v>35</v>
      </c>
      <c r="AA77" s="3426"/>
      <c r="AB77" s="3426"/>
      <c r="AC77" s="3426">
        <v>9</v>
      </c>
      <c r="AD77" s="3426">
        <v>9</v>
      </c>
      <c r="AE77" s="3426">
        <v>9</v>
      </c>
      <c r="AF77" s="3426">
        <v>9</v>
      </c>
      <c r="AG77" s="3621"/>
      <c r="AH77" s="1"/>
    </row>
    <row r="78" spans="1:41" ht="24.75" customHeight="1">
      <c r="A78" s="3726"/>
      <c r="B78" s="4194" t="s">
        <v>141</v>
      </c>
      <c r="C78" s="3621">
        <v>3</v>
      </c>
      <c r="D78" s="3621">
        <v>3</v>
      </c>
      <c r="E78" s="3621">
        <v>3</v>
      </c>
      <c r="F78" s="3426"/>
      <c r="G78" s="3426"/>
      <c r="H78" s="3426" t="s">
        <v>35</v>
      </c>
      <c r="I78" s="3426" t="s">
        <v>35</v>
      </c>
      <c r="J78" s="3426" t="s">
        <v>35</v>
      </c>
      <c r="K78" s="3426"/>
      <c r="L78" s="3426"/>
      <c r="M78" s="3426"/>
      <c r="N78" s="3426"/>
      <c r="O78" s="3426"/>
      <c r="P78" s="4195">
        <v>10</v>
      </c>
      <c r="Q78" s="4195">
        <v>10</v>
      </c>
      <c r="R78" s="4195">
        <v>10</v>
      </c>
      <c r="S78" s="4195">
        <v>10</v>
      </c>
      <c r="T78" s="3426"/>
      <c r="U78" s="3426"/>
      <c r="V78" s="4083">
        <v>10</v>
      </c>
      <c r="W78" s="4083">
        <v>10</v>
      </c>
      <c r="X78" s="4083">
        <v>10</v>
      </c>
      <c r="Y78" s="4083">
        <v>10</v>
      </c>
      <c r="Z78" s="4083">
        <v>10</v>
      </c>
      <c r="AA78" s="4083" t="s">
        <v>72</v>
      </c>
      <c r="AB78" s="4083" t="s">
        <v>72</v>
      </c>
      <c r="AC78" s="4121" t="s">
        <v>35</v>
      </c>
      <c r="AD78" s="4121" t="s">
        <v>35</v>
      </c>
      <c r="AE78" s="4121" t="s">
        <v>35</v>
      </c>
      <c r="AF78" s="4121" t="s">
        <v>35</v>
      </c>
      <c r="AG78" s="3731"/>
      <c r="AH78" s="1"/>
    </row>
    <row r="79" spans="1:41" ht="24.75" customHeight="1" thickBot="1">
      <c r="A79" s="3748"/>
      <c r="B79" s="3726" t="s">
        <v>142</v>
      </c>
      <c r="C79" s="3621" t="s">
        <v>107</v>
      </c>
      <c r="D79" s="3621" t="s">
        <v>107</v>
      </c>
      <c r="E79" s="3621" t="s">
        <v>107</v>
      </c>
      <c r="F79" s="3621"/>
      <c r="G79" s="3621"/>
      <c r="H79" s="3621" t="s">
        <v>107</v>
      </c>
      <c r="I79" s="3621" t="s">
        <v>107</v>
      </c>
      <c r="J79" s="3621" t="s">
        <v>107</v>
      </c>
      <c r="K79" s="3621"/>
      <c r="L79" s="3621"/>
      <c r="M79" s="3621"/>
      <c r="N79" s="3621"/>
      <c r="O79" s="3621"/>
      <c r="P79" s="4183" t="s">
        <v>107</v>
      </c>
      <c r="Q79" s="4183" t="s">
        <v>107</v>
      </c>
      <c r="R79" s="4183" t="s">
        <v>107</v>
      </c>
      <c r="S79" s="4183" t="s">
        <v>107</v>
      </c>
      <c r="T79" s="4183"/>
      <c r="U79" s="4183"/>
      <c r="V79" s="4183" t="s">
        <v>107</v>
      </c>
      <c r="W79" s="4183" t="s">
        <v>107</v>
      </c>
      <c r="X79" s="4183" t="s">
        <v>107</v>
      </c>
      <c r="Y79" s="4183" t="s">
        <v>336</v>
      </c>
      <c r="Z79" s="3621" t="s">
        <v>107</v>
      </c>
      <c r="AA79" s="3621"/>
      <c r="AB79" s="3621"/>
      <c r="AC79" s="3621" t="s">
        <v>107</v>
      </c>
      <c r="AD79" s="3621" t="s">
        <v>107</v>
      </c>
      <c r="AE79" s="3621" t="s">
        <v>107</v>
      </c>
      <c r="AF79" s="3621" t="s">
        <v>107</v>
      </c>
      <c r="AG79" s="3738"/>
      <c r="AH79" s="1"/>
    </row>
    <row r="80" spans="1:41" ht="24.75" customHeight="1" thickBot="1">
      <c r="A80" s="401"/>
      <c r="B80" s="402" t="s">
        <v>144</v>
      </c>
      <c r="C80" s="418" t="s">
        <v>35</v>
      </c>
      <c r="D80" s="424" t="s">
        <v>107</v>
      </c>
      <c r="E80" s="3621" t="s">
        <v>44</v>
      </c>
      <c r="F80" s="3621" t="s">
        <v>44</v>
      </c>
      <c r="G80" s="3621" t="s">
        <v>44</v>
      </c>
      <c r="H80" s="424" t="s">
        <v>35</v>
      </c>
      <c r="I80" s="418" t="s">
        <v>35</v>
      </c>
      <c r="J80" s="418" t="s">
        <v>35</v>
      </c>
      <c r="K80" s="424"/>
      <c r="L80" s="424"/>
      <c r="M80" s="426"/>
      <c r="N80" s="426"/>
      <c r="O80" s="426"/>
      <c r="P80" s="426"/>
      <c r="Q80" s="426"/>
      <c r="R80" s="426"/>
      <c r="S80" s="426"/>
      <c r="T80" s="426"/>
      <c r="U80" s="426"/>
      <c r="V80" s="4177">
        <v>26</v>
      </c>
      <c r="W80" s="4177">
        <v>26</v>
      </c>
      <c r="X80" s="4177">
        <v>26</v>
      </c>
      <c r="Y80" s="4177">
        <v>26</v>
      </c>
      <c r="Z80" s="4177">
        <v>26</v>
      </c>
      <c r="AA80" s="4177">
        <v>26</v>
      </c>
      <c r="AB80" s="4177">
        <v>26</v>
      </c>
      <c r="AC80" s="4121" t="s">
        <v>35</v>
      </c>
      <c r="AD80" s="4121" t="s">
        <v>35</v>
      </c>
      <c r="AE80" s="4121" t="s">
        <v>35</v>
      </c>
      <c r="AF80" s="4121" t="s">
        <v>35</v>
      </c>
      <c r="AG80" s="28"/>
      <c r="AH80" s="1"/>
    </row>
    <row r="81" spans="1:35" ht="24.75" customHeight="1" thickBot="1">
      <c r="A81" s="44"/>
      <c r="B81" s="392" t="s">
        <v>145</v>
      </c>
      <c r="C81" s="3720" t="s">
        <v>146</v>
      </c>
      <c r="D81" s="3720" t="s">
        <v>146</v>
      </c>
      <c r="E81" s="3720" t="s">
        <v>146</v>
      </c>
      <c r="F81" s="3720"/>
      <c r="G81" s="3720"/>
      <c r="H81" s="3720" t="s">
        <v>146</v>
      </c>
      <c r="I81" s="3720" t="s">
        <v>146</v>
      </c>
      <c r="J81" s="3720" t="s">
        <v>146</v>
      </c>
      <c r="K81" s="3720"/>
      <c r="L81" s="3720"/>
      <c r="M81" s="3720"/>
      <c r="N81" s="3720"/>
      <c r="O81" s="3720"/>
      <c r="P81" s="3720" t="s">
        <v>146</v>
      </c>
      <c r="Q81" s="3720" t="s">
        <v>146</v>
      </c>
      <c r="R81" s="3720" t="s">
        <v>146</v>
      </c>
      <c r="S81" s="3720" t="s">
        <v>146</v>
      </c>
      <c r="T81" s="3720"/>
      <c r="U81" s="3720"/>
      <c r="V81" s="3720" t="s">
        <v>146</v>
      </c>
      <c r="W81" s="3720" t="s">
        <v>146</v>
      </c>
      <c r="X81" s="3720" t="s">
        <v>146</v>
      </c>
      <c r="Y81" s="3720" t="s">
        <v>146</v>
      </c>
      <c r="Z81" s="3720" t="s">
        <v>146</v>
      </c>
      <c r="AA81" s="3720"/>
      <c r="AB81" s="3720"/>
      <c r="AC81" s="3720" t="s">
        <v>146</v>
      </c>
      <c r="AD81" s="3720" t="s">
        <v>146</v>
      </c>
      <c r="AE81" s="3720" t="s">
        <v>146</v>
      </c>
      <c r="AF81" s="3720" t="s">
        <v>146</v>
      </c>
      <c r="AG81" s="50"/>
      <c r="AH81" s="1"/>
    </row>
    <row r="82" spans="1:35" ht="24.75" customHeight="1" thickBot="1">
      <c r="A82" s="51" t="s">
        <v>147</v>
      </c>
      <c r="B82" s="52" t="s">
        <v>148</v>
      </c>
      <c r="C82" s="4113" t="s">
        <v>35</v>
      </c>
      <c r="D82" s="4113" t="s">
        <v>35</v>
      </c>
      <c r="E82" s="4113" t="s">
        <v>35</v>
      </c>
      <c r="F82" s="4113" t="s">
        <v>75</v>
      </c>
      <c r="G82" s="4113" t="s">
        <v>69</v>
      </c>
      <c r="H82" s="4113">
        <v>6</v>
      </c>
      <c r="I82" s="4113">
        <v>6</v>
      </c>
      <c r="J82" s="4113">
        <v>6</v>
      </c>
      <c r="K82" s="4113">
        <v>6</v>
      </c>
      <c r="L82" s="4113">
        <v>6</v>
      </c>
      <c r="M82" s="4113"/>
      <c r="N82" s="4113"/>
      <c r="O82" s="4113" t="s">
        <v>35</v>
      </c>
      <c r="P82" s="4113" t="s">
        <v>35</v>
      </c>
      <c r="Q82" s="4113" t="s">
        <v>35</v>
      </c>
      <c r="R82" s="4113" t="s">
        <v>35</v>
      </c>
      <c r="S82" s="4113" t="s">
        <v>35</v>
      </c>
      <c r="T82" s="4113"/>
      <c r="U82" s="4113"/>
      <c r="V82" s="4113">
        <v>5</v>
      </c>
      <c r="W82" s="4113">
        <v>5</v>
      </c>
      <c r="X82" s="4113">
        <v>5</v>
      </c>
      <c r="Y82" s="4113">
        <v>5</v>
      </c>
      <c r="Z82" s="4113">
        <v>5</v>
      </c>
      <c r="AA82" s="4113"/>
      <c r="AB82" s="4113"/>
      <c r="AC82" s="4113">
        <v>10</v>
      </c>
      <c r="AD82" s="4113">
        <v>10</v>
      </c>
      <c r="AE82" s="4113">
        <v>10</v>
      </c>
      <c r="AF82" s="4113">
        <v>10</v>
      </c>
      <c r="AG82" s="53"/>
      <c r="AH82" s="1"/>
    </row>
    <row r="83" spans="1:35" ht="24.75" customHeight="1">
      <c r="A83" s="37" t="s">
        <v>149</v>
      </c>
      <c r="AH83" s="1"/>
    </row>
    <row r="84" spans="1:35" ht="24.75" customHeight="1" thickBot="1">
      <c r="A84" s="4169"/>
      <c r="B84" s="4104" t="s">
        <v>29</v>
      </c>
      <c r="C84" s="4049">
        <v>1</v>
      </c>
      <c r="D84" s="4049">
        <v>2</v>
      </c>
      <c r="E84" s="4049">
        <v>3</v>
      </c>
      <c r="F84" s="4050">
        <v>4</v>
      </c>
      <c r="G84" s="4050">
        <v>5</v>
      </c>
      <c r="H84" s="4049">
        <v>6</v>
      </c>
      <c r="I84" s="4049">
        <v>7</v>
      </c>
      <c r="J84" s="4049">
        <v>8</v>
      </c>
      <c r="K84" s="4050">
        <v>9</v>
      </c>
      <c r="L84" s="4050">
        <v>10</v>
      </c>
      <c r="M84" s="4050">
        <v>11</v>
      </c>
      <c r="N84" s="4050">
        <v>12</v>
      </c>
      <c r="O84" s="4050">
        <v>13</v>
      </c>
      <c r="P84" s="4049">
        <v>14</v>
      </c>
      <c r="Q84" s="4049">
        <v>15</v>
      </c>
      <c r="R84" s="4049">
        <v>16</v>
      </c>
      <c r="S84" s="4049">
        <v>17</v>
      </c>
      <c r="T84" s="4050">
        <v>18</v>
      </c>
      <c r="U84" s="4050">
        <v>19</v>
      </c>
      <c r="V84" s="4049">
        <v>20</v>
      </c>
      <c r="W84" s="4049">
        <v>21</v>
      </c>
      <c r="X84" s="4049">
        <v>22</v>
      </c>
      <c r="Y84" s="4049">
        <v>23</v>
      </c>
      <c r="Z84" s="4049">
        <v>24</v>
      </c>
      <c r="AA84" s="4050">
        <v>25</v>
      </c>
      <c r="AB84" s="4050">
        <v>26</v>
      </c>
      <c r="AC84" s="4049">
        <v>27</v>
      </c>
      <c r="AD84" s="4049">
        <v>28</v>
      </c>
      <c r="AE84" s="4049">
        <v>29</v>
      </c>
      <c r="AF84" s="4049">
        <v>30</v>
      </c>
      <c r="AG84" s="4051"/>
      <c r="AH84" s="1"/>
    </row>
    <row r="85" spans="1:35" ht="24.75" customHeight="1" thickBot="1">
      <c r="A85" s="4196"/>
      <c r="B85" s="4197" t="s">
        <v>150</v>
      </c>
      <c r="C85" s="3590"/>
      <c r="D85" s="4130"/>
      <c r="E85" s="3590"/>
      <c r="F85" s="3590"/>
      <c r="G85" s="3590"/>
      <c r="H85" s="3590"/>
      <c r="I85" s="3590"/>
      <c r="J85" s="3590"/>
      <c r="K85" s="3590"/>
      <c r="L85" s="3590"/>
      <c r="M85" s="3590"/>
      <c r="N85" s="3590"/>
      <c r="O85" s="3590"/>
      <c r="P85" s="3590"/>
      <c r="Q85" s="3590"/>
      <c r="R85" s="3590"/>
      <c r="S85" s="3590"/>
      <c r="T85" s="3590"/>
      <c r="U85" s="3590"/>
      <c r="V85" s="3590"/>
      <c r="W85" s="3590"/>
      <c r="X85" s="3590"/>
      <c r="Y85" s="3590"/>
      <c r="Z85" s="3590"/>
      <c r="AA85" s="3590"/>
      <c r="AB85" s="3590"/>
      <c r="AC85" s="3590"/>
      <c r="AD85" s="3590"/>
      <c r="AE85" s="3590"/>
      <c r="AF85" s="3590"/>
      <c r="AG85" s="3591"/>
      <c r="AH85" s="1"/>
    </row>
    <row r="86" spans="1:35" ht="24.75" customHeight="1">
      <c r="A86" s="4198">
        <v>1</v>
      </c>
      <c r="B86" s="396" t="s">
        <v>153</v>
      </c>
      <c r="C86" s="4199">
        <v>26</v>
      </c>
      <c r="D86" s="4199" t="s">
        <v>107</v>
      </c>
      <c r="E86" s="4199"/>
      <c r="F86" s="4199"/>
      <c r="G86" s="4199"/>
      <c r="H86" s="4199"/>
      <c r="I86" s="4199"/>
      <c r="J86" s="4199"/>
      <c r="K86" s="4199"/>
      <c r="L86" s="4199"/>
      <c r="M86" s="4199"/>
      <c r="N86" s="4199"/>
      <c r="O86" s="4199"/>
      <c r="P86" s="4199"/>
      <c r="Q86" s="4199"/>
      <c r="R86" s="4199"/>
      <c r="S86" s="4199"/>
      <c r="T86" s="4199"/>
      <c r="U86" s="4199"/>
      <c r="V86" s="4199"/>
      <c r="W86" s="4199"/>
      <c r="X86" s="4199"/>
      <c r="Y86" s="4199"/>
      <c r="Z86" s="4199"/>
      <c r="AA86" s="4199"/>
      <c r="AB86" s="4199"/>
      <c r="AC86" s="4199"/>
      <c r="AD86" s="4199"/>
      <c r="AE86" s="4199"/>
      <c r="AF86" s="4199"/>
      <c r="AG86" s="4200"/>
      <c r="AH86" s="1"/>
    </row>
    <row r="87" spans="1:35" ht="24.75" customHeight="1">
      <c r="A87" s="4198">
        <v>2</v>
      </c>
      <c r="B87" s="4194"/>
      <c r="C87" s="64"/>
      <c r="D87" s="64"/>
      <c r="E87" s="64"/>
      <c r="F87" s="4121"/>
      <c r="G87" s="4121"/>
      <c r="H87" s="4121"/>
      <c r="I87" s="4121"/>
      <c r="J87" s="4121"/>
      <c r="K87" s="4121"/>
      <c r="L87" s="4121"/>
      <c r="M87" s="4121"/>
      <c r="N87" s="4121"/>
      <c r="O87" s="4121"/>
      <c r="P87" s="4121"/>
      <c r="Q87" s="4121"/>
      <c r="R87" s="4201"/>
      <c r="S87" s="4201"/>
      <c r="T87" s="4201"/>
      <c r="U87" s="4201"/>
      <c r="V87" s="4201"/>
      <c r="W87" s="4121"/>
      <c r="X87" s="4121"/>
      <c r="Y87" s="4201"/>
      <c r="Z87" s="4201"/>
      <c r="AA87" s="4201"/>
      <c r="AB87" s="4201"/>
      <c r="AC87" s="4201"/>
      <c r="AD87" s="4121"/>
      <c r="AE87" s="4121"/>
      <c r="AF87" s="4201"/>
      <c r="AG87" s="4202"/>
      <c r="AH87" s="1"/>
    </row>
    <row r="88" spans="1:35" ht="24.75" customHeight="1">
      <c r="A88" s="4198">
        <v>3</v>
      </c>
      <c r="B88" s="4203"/>
      <c r="C88" s="4204"/>
      <c r="D88" s="4204"/>
      <c r="E88" s="4204"/>
      <c r="F88" s="4121"/>
      <c r="G88" s="4121"/>
      <c r="H88" s="4121"/>
      <c r="I88" s="4121"/>
      <c r="J88" s="4121"/>
      <c r="K88" s="4121"/>
      <c r="L88" s="4121"/>
      <c r="M88" s="4121"/>
      <c r="N88" s="4121"/>
      <c r="O88" s="4121"/>
      <c r="P88" s="4121"/>
      <c r="Q88" s="4121"/>
      <c r="R88" s="4121"/>
      <c r="S88" s="4121"/>
      <c r="T88" s="4121"/>
      <c r="U88" s="4121"/>
      <c r="V88" s="4121"/>
      <c r="W88" s="4121"/>
      <c r="X88" s="4121"/>
      <c r="Y88" s="4121"/>
      <c r="Z88" s="4121"/>
      <c r="AA88" s="4121"/>
      <c r="AB88" s="4121"/>
      <c r="AC88" s="4121"/>
      <c r="AD88" s="4121"/>
      <c r="AE88" s="4121"/>
      <c r="AF88" s="4121"/>
      <c r="AG88" s="4114"/>
      <c r="AH88" s="1"/>
    </row>
    <row r="89" spans="1:35" ht="24.75" customHeight="1" thickBot="1">
      <c r="A89" s="4198">
        <v>4</v>
      </c>
      <c r="B89" s="4116"/>
      <c r="C89" s="4049"/>
      <c r="D89" s="4049"/>
      <c r="E89" s="4049"/>
      <c r="F89" s="4049"/>
      <c r="G89" s="4049"/>
      <c r="H89" s="4049"/>
      <c r="I89" s="4049"/>
      <c r="J89" s="4049"/>
      <c r="K89" s="4049"/>
      <c r="L89" s="4049"/>
      <c r="M89" s="4049"/>
      <c r="N89" s="4049"/>
      <c r="O89" s="4049"/>
      <c r="P89" s="4049"/>
      <c r="Q89" s="4049"/>
      <c r="R89" s="4205"/>
      <c r="S89" s="4205"/>
      <c r="T89" s="4205"/>
      <c r="U89" s="4049"/>
      <c r="V89" s="4049"/>
      <c r="W89" s="4049"/>
      <c r="X89" s="4049"/>
      <c r="Y89" s="4049"/>
      <c r="Z89" s="4049"/>
      <c r="AA89" s="4049"/>
      <c r="AB89" s="4049"/>
      <c r="AC89" s="4049"/>
      <c r="AD89" s="4049"/>
      <c r="AE89" s="4049"/>
      <c r="AF89" s="4049"/>
      <c r="AG89" s="4051"/>
      <c r="AH89" s="1"/>
    </row>
    <row r="90" spans="1:35" ht="24.75" customHeight="1">
      <c r="A90" s="54"/>
      <c r="B90" s="55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56"/>
      <c r="S90" s="56"/>
      <c r="T90" s="56"/>
      <c r="U90" s="30"/>
      <c r="V90" s="30"/>
      <c r="W90" s="30"/>
      <c r="X90" s="30"/>
      <c r="Y90" s="30"/>
      <c r="Z90" s="30"/>
      <c r="AA90" s="30"/>
      <c r="AB90" s="30"/>
      <c r="AC90" s="30"/>
      <c r="AD90" s="30"/>
      <c r="AE90" s="30"/>
      <c r="AF90" s="30"/>
      <c r="AG90" s="30"/>
      <c r="AH90" s="1"/>
    </row>
    <row r="91" spans="1:35" ht="24.75" customHeight="1" thickBot="1">
      <c r="A91" s="57" t="s">
        <v>154</v>
      </c>
      <c r="B91" s="58"/>
      <c r="C91" s="58"/>
      <c r="D91" s="58"/>
      <c r="E91" s="58"/>
      <c r="F91" s="58"/>
      <c r="G91" s="59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8"/>
      <c r="AI91" s="58"/>
    </row>
    <row r="92" spans="1:35" ht="24.75" customHeight="1" thickBot="1">
      <c r="A92" s="60"/>
      <c r="B92" s="3769" t="s">
        <v>155</v>
      </c>
      <c r="C92" s="3770"/>
      <c r="D92" s="3771" t="s">
        <v>87</v>
      </c>
      <c r="E92" s="3772"/>
      <c r="F92" s="3773"/>
      <c r="G92" s="3770"/>
      <c r="H92" s="3771" t="s">
        <v>88</v>
      </c>
      <c r="I92" s="3772"/>
      <c r="J92" s="3773"/>
      <c r="K92" s="3770"/>
      <c r="L92" s="3771" t="s">
        <v>89</v>
      </c>
      <c r="M92" s="3772"/>
      <c r="N92" s="3773"/>
      <c r="O92" s="3770"/>
      <c r="P92" s="3771" t="s">
        <v>90</v>
      </c>
      <c r="Q92" s="3772"/>
      <c r="R92" s="3773"/>
      <c r="S92" s="4206" t="s">
        <v>156</v>
      </c>
      <c r="T92" s="3771"/>
      <c r="U92" s="3772"/>
      <c r="V92" s="3773"/>
      <c r="W92" s="3770" t="s">
        <v>108</v>
      </c>
      <c r="X92" s="3771" t="s">
        <v>157</v>
      </c>
      <c r="Y92" s="3772"/>
      <c r="Z92" s="3773"/>
      <c r="AA92" s="3770" t="s">
        <v>108</v>
      </c>
      <c r="AB92" s="3771" t="s">
        <v>93</v>
      </c>
      <c r="AC92" s="3772"/>
      <c r="AD92" s="3772"/>
      <c r="AE92" s="3774" t="s">
        <v>158</v>
      </c>
      <c r="AF92" s="3772"/>
      <c r="AG92" s="3772"/>
      <c r="AH92" s="3772"/>
      <c r="AI92" s="3775"/>
    </row>
    <row r="93" spans="1:35" ht="24.75" customHeight="1">
      <c r="A93" s="60"/>
      <c r="B93" s="4207" t="s">
        <v>159</v>
      </c>
      <c r="C93" s="3777" t="s">
        <v>160</v>
      </c>
      <c r="D93" s="3772"/>
      <c r="E93" s="3778"/>
      <c r="F93" s="3779"/>
      <c r="G93" s="3777" t="s">
        <v>160</v>
      </c>
      <c r="H93" s="3778"/>
      <c r="I93" s="3778"/>
      <c r="J93" s="3779"/>
      <c r="K93" s="3780" t="s">
        <v>160</v>
      </c>
      <c r="L93" s="3772"/>
      <c r="M93" s="3772"/>
      <c r="N93" s="3781"/>
      <c r="O93" s="3780" t="s">
        <v>161</v>
      </c>
      <c r="P93" s="3772"/>
      <c r="Q93" s="3778"/>
      <c r="R93" s="3779"/>
      <c r="S93" s="3777" t="s">
        <v>162</v>
      </c>
      <c r="T93" s="3778"/>
      <c r="U93" s="3778"/>
      <c r="V93" s="3782"/>
      <c r="W93" s="4208"/>
      <c r="X93" s="4209"/>
      <c r="Y93" s="4209"/>
      <c r="Z93" s="4210"/>
      <c r="AA93" s="3782"/>
      <c r="AB93" s="3778"/>
      <c r="AC93" s="3778"/>
      <c r="AD93" s="3782"/>
      <c r="AE93" s="3786">
        <v>37</v>
      </c>
      <c r="AF93" s="3772"/>
      <c r="AG93" s="3778"/>
      <c r="AH93" s="3782"/>
      <c r="AI93" s="3787"/>
    </row>
    <row r="94" spans="1:35" ht="24.75" customHeight="1">
      <c r="A94" s="60"/>
      <c r="B94" s="4211" t="s">
        <v>163</v>
      </c>
      <c r="C94" s="4212" t="s">
        <v>156</v>
      </c>
      <c r="D94" s="4213"/>
      <c r="E94" s="4213"/>
      <c r="F94" s="4214"/>
      <c r="G94" s="4212" t="s">
        <v>164</v>
      </c>
      <c r="H94" s="4213"/>
      <c r="I94" s="4213"/>
      <c r="J94" s="4214"/>
      <c r="K94" s="4212" t="s">
        <v>165</v>
      </c>
      <c r="L94" s="4215" t="s">
        <v>166</v>
      </c>
      <c r="M94" s="4213"/>
      <c r="N94" s="4214"/>
      <c r="O94" s="4212" t="s">
        <v>165</v>
      </c>
      <c r="P94" s="4215" t="s">
        <v>166</v>
      </c>
      <c r="Q94" s="4213"/>
      <c r="R94" s="4214"/>
      <c r="S94" s="4212" t="s">
        <v>164</v>
      </c>
      <c r="T94" s="4215" t="s">
        <v>167</v>
      </c>
      <c r="U94" s="4213"/>
      <c r="V94" s="4214"/>
      <c r="W94" s="61" t="s">
        <v>168</v>
      </c>
      <c r="X94" s="62" t="s">
        <v>169</v>
      </c>
      <c r="Y94" s="63"/>
      <c r="Z94" s="63"/>
      <c r="AA94" s="4212" t="s">
        <v>170</v>
      </c>
      <c r="AB94" s="4216" t="s">
        <v>157</v>
      </c>
      <c r="AC94" s="4212"/>
      <c r="AD94" s="4212"/>
      <c r="AE94" s="4217">
        <v>68</v>
      </c>
      <c r="AF94" s="4213"/>
      <c r="AG94" s="4218"/>
      <c r="AH94" s="4219"/>
      <c r="AI94" s="4220"/>
    </row>
    <row r="95" spans="1:35" ht="24.75" customHeight="1">
      <c r="A95" s="60"/>
      <c r="B95" s="4211" t="s">
        <v>171</v>
      </c>
      <c r="C95" s="4221" t="s">
        <v>172</v>
      </c>
      <c r="D95" s="4213"/>
      <c r="E95" s="4213"/>
      <c r="F95" s="4214"/>
      <c r="G95" s="4213" t="s">
        <v>172</v>
      </c>
      <c r="H95" s="4213"/>
      <c r="I95" s="4213"/>
      <c r="J95" s="4214"/>
      <c r="K95" s="4213" t="s">
        <v>172</v>
      </c>
      <c r="L95" s="4213"/>
      <c r="M95" s="4213"/>
      <c r="N95" s="4214"/>
      <c r="O95" s="4213" t="s">
        <v>172</v>
      </c>
      <c r="P95" s="4213"/>
      <c r="Q95" s="4213"/>
      <c r="R95" s="4214"/>
      <c r="S95" s="4213" t="s">
        <v>172</v>
      </c>
      <c r="T95" s="4213"/>
      <c r="U95" s="4213"/>
      <c r="V95" s="4214"/>
      <c r="W95" s="4212"/>
      <c r="X95" s="4213"/>
      <c r="Y95" s="4213"/>
      <c r="Z95" s="4214"/>
      <c r="AA95" s="4212"/>
      <c r="AB95" s="4213"/>
      <c r="AC95" s="4213"/>
      <c r="AD95" s="4215"/>
      <c r="AE95" s="4217">
        <v>0</v>
      </c>
      <c r="AF95" s="4218"/>
      <c r="AG95" s="4213"/>
      <c r="AH95" s="4215"/>
      <c r="AI95" s="4222"/>
    </row>
    <row r="96" spans="1:35" ht="24.75" customHeight="1" thickBot="1">
      <c r="A96" s="60"/>
      <c r="B96" s="4223" t="s">
        <v>173</v>
      </c>
      <c r="C96" s="64"/>
      <c r="D96" s="65" t="s">
        <v>174</v>
      </c>
      <c r="E96" s="64"/>
      <c r="F96" s="64"/>
      <c r="G96" s="4224" t="s">
        <v>175</v>
      </c>
      <c r="H96" s="4225"/>
      <c r="I96" s="4226"/>
      <c r="J96" s="4227"/>
      <c r="K96" s="4224" t="s">
        <v>174</v>
      </c>
      <c r="L96" s="4225"/>
      <c r="M96" s="4226"/>
      <c r="N96" s="4227"/>
      <c r="O96" s="4224" t="s">
        <v>174</v>
      </c>
      <c r="P96" s="4225"/>
      <c r="Q96" s="4226"/>
      <c r="R96" s="4227"/>
      <c r="S96" s="4224" t="s">
        <v>174</v>
      </c>
      <c r="T96" s="4225"/>
      <c r="U96" s="4226"/>
      <c r="V96" s="4227"/>
      <c r="W96" s="4228"/>
      <c r="X96" s="4226"/>
      <c r="Y96" s="4226"/>
      <c r="Z96" s="4229"/>
      <c r="AA96" s="4230"/>
      <c r="AB96" s="4226"/>
      <c r="AC96" s="4226"/>
      <c r="AD96" s="4230"/>
      <c r="AE96" s="4231">
        <v>37</v>
      </c>
      <c r="AF96" s="4226"/>
      <c r="AG96" s="4226"/>
      <c r="AH96" s="4230"/>
      <c r="AI96" s="4232"/>
    </row>
    <row r="97" spans="1:35" ht="24.75" customHeight="1">
      <c r="A97" s="66"/>
      <c r="B97" s="60"/>
      <c r="C97" s="58"/>
      <c r="D97" s="63"/>
      <c r="E97" s="58"/>
      <c r="F97" s="58"/>
      <c r="G97" s="58"/>
      <c r="H97" s="58"/>
      <c r="I97" s="58"/>
      <c r="J97" s="58"/>
      <c r="K97" s="58"/>
      <c r="L97" s="58"/>
      <c r="M97" s="58"/>
      <c r="N97" s="58"/>
      <c r="O97" s="58"/>
      <c r="P97" s="58"/>
      <c r="Q97" s="58"/>
      <c r="R97" s="58"/>
      <c r="S97" s="58"/>
      <c r="T97" s="58"/>
      <c r="U97" s="58"/>
      <c r="V97" s="58"/>
      <c r="W97" s="58"/>
      <c r="X97" s="58"/>
      <c r="Y97" s="58"/>
      <c r="Z97" s="58"/>
      <c r="AA97" s="58"/>
      <c r="AB97" s="58"/>
      <c r="AC97" s="58"/>
      <c r="AD97" s="58"/>
      <c r="AE97" s="58"/>
      <c r="AF97" s="58"/>
      <c r="AG97" s="58"/>
      <c r="AH97" s="58"/>
      <c r="AI97" s="58"/>
    </row>
    <row r="98" spans="1:35" ht="24.75" customHeight="1" thickBot="1">
      <c r="A98" s="4233"/>
      <c r="B98" s="4234" t="s">
        <v>29</v>
      </c>
      <c r="C98" s="4049">
        <v>1</v>
      </c>
      <c r="D98" s="4049">
        <v>2</v>
      </c>
      <c r="E98" s="4049">
        <v>3</v>
      </c>
      <c r="F98" s="4050">
        <v>4</v>
      </c>
      <c r="G98" s="4050">
        <v>5</v>
      </c>
      <c r="H98" s="4049">
        <v>6</v>
      </c>
      <c r="I98" s="4049">
        <v>7</v>
      </c>
      <c r="J98" s="4049">
        <v>8</v>
      </c>
      <c r="K98" s="4050">
        <v>9</v>
      </c>
      <c r="L98" s="4050">
        <v>10</v>
      </c>
      <c r="M98" s="4050">
        <v>11</v>
      </c>
      <c r="N98" s="4050">
        <v>12</v>
      </c>
      <c r="O98" s="4050">
        <v>13</v>
      </c>
      <c r="P98" s="4049">
        <v>14</v>
      </c>
      <c r="Q98" s="4049">
        <v>15</v>
      </c>
      <c r="R98" s="4049">
        <v>16</v>
      </c>
      <c r="S98" s="4049">
        <v>17</v>
      </c>
      <c r="T98" s="4050">
        <v>18</v>
      </c>
      <c r="U98" s="4050">
        <v>19</v>
      </c>
      <c r="V98" s="4049">
        <v>20</v>
      </c>
      <c r="W98" s="4049">
        <v>21</v>
      </c>
      <c r="X98" s="4049">
        <v>22</v>
      </c>
      <c r="Y98" s="4049">
        <v>23</v>
      </c>
      <c r="Z98" s="4049">
        <v>24</v>
      </c>
      <c r="AA98" s="4050">
        <v>25</v>
      </c>
      <c r="AB98" s="4050">
        <v>26</v>
      </c>
      <c r="AC98" s="4049">
        <v>27</v>
      </c>
      <c r="AD98" s="4049">
        <v>28</v>
      </c>
      <c r="AE98" s="4049">
        <v>29</v>
      </c>
      <c r="AF98" s="4049">
        <v>30</v>
      </c>
      <c r="AG98" s="4051"/>
      <c r="AH98" s="67"/>
      <c r="AI98" s="68"/>
    </row>
    <row r="99" spans="1:35" ht="24.75" customHeight="1" thickBot="1">
      <c r="A99" s="4235">
        <v>1</v>
      </c>
      <c r="B99" s="4081"/>
      <c r="C99" s="4174" t="s">
        <v>110</v>
      </c>
      <c r="D99" s="4174" t="s">
        <v>110</v>
      </c>
      <c r="E99" s="4174" t="s">
        <v>110</v>
      </c>
      <c r="F99" s="4174" t="s">
        <v>108</v>
      </c>
      <c r="G99" s="4174" t="s">
        <v>108</v>
      </c>
      <c r="H99" s="4174" t="s">
        <v>35</v>
      </c>
      <c r="I99" s="4174" t="s">
        <v>35</v>
      </c>
      <c r="J99" s="4174" t="s">
        <v>35</v>
      </c>
      <c r="K99" s="4174" t="s">
        <v>35</v>
      </c>
      <c r="L99" s="4174" t="s">
        <v>35</v>
      </c>
      <c r="M99" s="4174"/>
      <c r="N99" s="4174"/>
      <c r="O99" s="4174"/>
      <c r="P99" s="4236" t="s">
        <v>176</v>
      </c>
      <c r="Q99" s="4174" t="s">
        <v>176</v>
      </c>
      <c r="R99" s="4174" t="s">
        <v>176</v>
      </c>
      <c r="S99" s="4174" t="s">
        <v>176</v>
      </c>
      <c r="T99" s="4174"/>
      <c r="U99" s="4174"/>
      <c r="V99" s="4174" t="s">
        <v>176</v>
      </c>
      <c r="W99" s="4174" t="s">
        <v>176</v>
      </c>
      <c r="X99" s="4237" t="s">
        <v>176</v>
      </c>
      <c r="Y99" s="4237" t="s">
        <v>176</v>
      </c>
      <c r="Z99" s="4237" t="s">
        <v>176</v>
      </c>
      <c r="AA99" s="4237"/>
      <c r="AB99" s="4174"/>
      <c r="AC99" s="4174" t="s">
        <v>110</v>
      </c>
      <c r="AD99" s="4174" t="s">
        <v>110</v>
      </c>
      <c r="AE99" s="4174" t="s">
        <v>110</v>
      </c>
      <c r="AF99" s="4174" t="s">
        <v>110</v>
      </c>
      <c r="AG99" s="4238"/>
      <c r="AH99" s="69"/>
      <c r="AI99" s="70"/>
    </row>
    <row r="100" spans="1:35" ht="24.75" customHeight="1" thickBot="1">
      <c r="A100" s="4239">
        <v>2</v>
      </c>
      <c r="B100" s="4071" t="s">
        <v>177</v>
      </c>
      <c r="C100" s="4240" t="s">
        <v>48</v>
      </c>
      <c r="D100" s="4240" t="s">
        <v>48</v>
      </c>
      <c r="E100" s="4240" t="s">
        <v>48</v>
      </c>
      <c r="F100" s="4240"/>
      <c r="G100" s="4240"/>
      <c r="H100" s="4240" t="s">
        <v>110</v>
      </c>
      <c r="I100" s="4240" t="s">
        <v>110</v>
      </c>
      <c r="J100" s="4241" t="s">
        <v>110</v>
      </c>
      <c r="K100" s="4242" t="s">
        <v>108</v>
      </c>
      <c r="L100" s="4241" t="s">
        <v>108</v>
      </c>
      <c r="M100" s="4241" t="s">
        <v>108</v>
      </c>
      <c r="N100" s="4241" t="s">
        <v>35</v>
      </c>
      <c r="O100" s="4241" t="s">
        <v>35</v>
      </c>
      <c r="P100" s="4240" t="s">
        <v>35</v>
      </c>
      <c r="Q100" s="4241" t="s">
        <v>35</v>
      </c>
      <c r="R100" s="4241" t="s">
        <v>35</v>
      </c>
      <c r="S100" s="4241" t="s">
        <v>35</v>
      </c>
      <c r="T100" s="4241"/>
      <c r="U100" s="3621" t="s">
        <v>44</v>
      </c>
      <c r="V100" s="3621" t="s">
        <v>44</v>
      </c>
      <c r="W100" s="3621" t="s">
        <v>44</v>
      </c>
      <c r="X100" s="4121" t="s">
        <v>35</v>
      </c>
      <c r="Y100" s="4121" t="s">
        <v>35</v>
      </c>
      <c r="Z100" s="4121" t="s">
        <v>35</v>
      </c>
      <c r="AA100" s="4241"/>
      <c r="AB100" s="4241"/>
      <c r="AC100" s="3621" t="s">
        <v>44</v>
      </c>
      <c r="AD100" s="4237" t="s">
        <v>35</v>
      </c>
      <c r="AE100" s="3621" t="s">
        <v>44</v>
      </c>
      <c r="AF100" s="4237" t="s">
        <v>176</v>
      </c>
      <c r="AG100" s="4243"/>
      <c r="AH100" s="69"/>
      <c r="AI100" s="70"/>
    </row>
    <row r="101" spans="1:35" ht="24.75" customHeight="1">
      <c r="A101" s="4239">
        <v>3</v>
      </c>
      <c r="B101" s="4244" t="s">
        <v>178</v>
      </c>
      <c r="C101" s="4147" t="s">
        <v>176</v>
      </c>
      <c r="D101" s="4147" t="s">
        <v>176</v>
      </c>
      <c r="E101" s="4069" t="s">
        <v>176</v>
      </c>
      <c r="F101" s="4245"/>
      <c r="G101" s="4241"/>
      <c r="H101" s="4246" t="s">
        <v>176</v>
      </c>
      <c r="I101" s="4246" t="s">
        <v>176</v>
      </c>
      <c r="J101" s="4247" t="s">
        <v>176</v>
      </c>
      <c r="K101" s="4240"/>
      <c r="L101" s="4240"/>
      <c r="M101" s="4240"/>
      <c r="N101" s="4083"/>
      <c r="O101" s="4083" t="s">
        <v>108</v>
      </c>
      <c r="P101" s="4083" t="s">
        <v>110</v>
      </c>
      <c r="Q101" s="4083" t="s">
        <v>110</v>
      </c>
      <c r="R101" s="4083" t="s">
        <v>110</v>
      </c>
      <c r="S101" s="4248" t="s">
        <v>110</v>
      </c>
      <c r="T101" s="4241" t="s">
        <v>108</v>
      </c>
      <c r="U101" s="4083" t="s">
        <v>108</v>
      </c>
      <c r="V101" s="4083" t="s">
        <v>35</v>
      </c>
      <c r="W101" s="4083" t="s">
        <v>35</v>
      </c>
      <c r="X101" s="4083" t="s">
        <v>35</v>
      </c>
      <c r="Y101" s="4083" t="s">
        <v>35</v>
      </c>
      <c r="Z101" s="4248" t="s">
        <v>35</v>
      </c>
      <c r="AA101" s="4248"/>
      <c r="AB101" s="4248"/>
      <c r="AC101" s="4237" t="s">
        <v>35</v>
      </c>
      <c r="AD101" s="4237" t="s">
        <v>35</v>
      </c>
      <c r="AE101" s="4237" t="s">
        <v>35</v>
      </c>
      <c r="AF101" s="3621" t="s">
        <v>44</v>
      </c>
      <c r="AG101" s="4249"/>
      <c r="AH101" s="69"/>
      <c r="AI101" s="70"/>
    </row>
    <row r="102" spans="1:35" ht="24.75" customHeight="1" thickBot="1">
      <c r="A102" s="4250">
        <v>4</v>
      </c>
      <c r="B102" s="4251"/>
      <c r="C102" s="4179" t="s">
        <v>35</v>
      </c>
      <c r="D102" s="4179" t="s">
        <v>35</v>
      </c>
      <c r="E102" s="4179" t="s">
        <v>35</v>
      </c>
      <c r="F102" s="4179"/>
      <c r="G102" s="4179"/>
      <c r="H102" s="4179" t="s">
        <v>176</v>
      </c>
      <c r="I102" s="4179" t="s">
        <v>176</v>
      </c>
      <c r="J102" s="4179" t="s">
        <v>176</v>
      </c>
      <c r="K102" s="4179"/>
      <c r="L102" s="4179"/>
      <c r="M102" s="4179"/>
      <c r="N102" s="4179"/>
      <c r="O102" s="4179"/>
      <c r="P102" s="4179" t="s">
        <v>176</v>
      </c>
      <c r="Q102" s="4179" t="s">
        <v>176</v>
      </c>
      <c r="R102" s="4179" t="s">
        <v>176</v>
      </c>
      <c r="S102" s="4179" t="s">
        <v>176</v>
      </c>
      <c r="T102" s="4179" t="s">
        <v>0</v>
      </c>
      <c r="U102" s="4179" t="s">
        <v>0</v>
      </c>
      <c r="V102" s="4179" t="s">
        <v>110</v>
      </c>
      <c r="W102" s="4179" t="s">
        <v>110</v>
      </c>
      <c r="X102" s="4179" t="s">
        <v>110</v>
      </c>
      <c r="Y102" s="4179" t="s">
        <v>110</v>
      </c>
      <c r="Z102" s="4179" t="s">
        <v>110</v>
      </c>
      <c r="AA102" s="4179" t="s">
        <v>108</v>
      </c>
      <c r="AB102" s="4179" t="s">
        <v>108</v>
      </c>
      <c r="AC102" s="4179" t="s">
        <v>35</v>
      </c>
      <c r="AD102" s="4179" t="s">
        <v>35</v>
      </c>
      <c r="AE102" s="4179" t="s">
        <v>35</v>
      </c>
      <c r="AF102" s="4179" t="s">
        <v>35</v>
      </c>
      <c r="AG102" s="4252"/>
      <c r="AH102" s="69"/>
      <c r="AI102" s="70"/>
    </row>
    <row r="103" spans="1:35" ht="24.75" customHeight="1" thickBot="1">
      <c r="A103" s="71"/>
      <c r="B103" s="72"/>
      <c r="C103" s="73"/>
      <c r="D103" s="73"/>
      <c r="E103" s="73"/>
      <c r="F103" s="73"/>
      <c r="G103" s="73"/>
      <c r="H103" s="73"/>
      <c r="I103" s="73"/>
      <c r="J103" s="73"/>
      <c r="K103" s="73"/>
      <c r="L103" s="73"/>
      <c r="M103" s="73"/>
      <c r="N103" s="73"/>
      <c r="O103" s="73"/>
      <c r="P103" s="73"/>
      <c r="Q103" s="73" t="s">
        <v>0</v>
      </c>
      <c r="R103" s="73"/>
      <c r="S103" s="73"/>
      <c r="T103" s="73"/>
      <c r="U103" s="73"/>
      <c r="V103" s="73"/>
      <c r="W103" s="73"/>
      <c r="X103" s="73"/>
      <c r="Y103" s="73"/>
      <c r="Z103" s="73"/>
      <c r="AA103" s="73"/>
      <c r="AB103" s="73"/>
      <c r="AC103" s="73"/>
      <c r="AD103" s="73"/>
      <c r="AE103" s="73"/>
      <c r="AF103" s="73"/>
      <c r="AG103" s="74"/>
      <c r="AH103" s="75"/>
      <c r="AI103" s="70"/>
    </row>
    <row r="104" spans="1:35" ht="24.75" customHeight="1">
      <c r="A104" s="17"/>
      <c r="B104" s="3833" t="s">
        <v>179</v>
      </c>
      <c r="C104" s="3834"/>
      <c r="D104" s="3835" t="s">
        <v>87</v>
      </c>
      <c r="E104" s="3836"/>
      <c r="F104" s="3834"/>
      <c r="G104" s="3837" t="s">
        <v>88</v>
      </c>
      <c r="H104" s="3838"/>
      <c r="I104" s="3839"/>
      <c r="J104" s="3837" t="s">
        <v>89</v>
      </c>
      <c r="K104" s="3840"/>
      <c r="L104" s="3839"/>
      <c r="M104" s="3841" t="s">
        <v>90</v>
      </c>
      <c r="N104" s="3840"/>
      <c r="O104" s="3839"/>
      <c r="P104" s="3837" t="s">
        <v>91</v>
      </c>
      <c r="Q104" s="3842"/>
      <c r="R104" s="3839"/>
      <c r="S104" s="3837" t="s">
        <v>92</v>
      </c>
      <c r="T104" s="3843"/>
      <c r="U104" s="3839"/>
      <c r="V104" s="3837" t="s">
        <v>93</v>
      </c>
      <c r="W104" s="3842"/>
      <c r="X104" s="3844" t="s">
        <v>158</v>
      </c>
      <c r="Y104" s="3845"/>
      <c r="Z104" s="3845"/>
      <c r="AA104" s="3846"/>
      <c r="AB104" s="3847" t="s">
        <v>94</v>
      </c>
      <c r="AC104" s="3848"/>
      <c r="AD104" s="3848"/>
      <c r="AE104" s="3849"/>
      <c r="AF104" s="3849"/>
      <c r="AG104" s="3850"/>
      <c r="AH104" s="75"/>
      <c r="AI104" s="70"/>
    </row>
    <row r="105" spans="1:35" ht="24.75" customHeight="1">
      <c r="A105" s="17"/>
      <c r="B105" s="4253" t="s">
        <v>180</v>
      </c>
      <c r="C105" s="4254" t="s">
        <v>181</v>
      </c>
      <c r="D105" s="4033"/>
      <c r="E105" s="4034"/>
      <c r="F105" s="4254" t="s">
        <v>181</v>
      </c>
      <c r="G105" s="4033"/>
      <c r="H105" s="4034"/>
      <c r="I105" s="4254" t="s">
        <v>181</v>
      </c>
      <c r="J105" s="4033"/>
      <c r="K105" s="4034"/>
      <c r="L105" s="4254" t="s">
        <v>181</v>
      </c>
      <c r="M105" s="4033"/>
      <c r="N105" s="4034"/>
      <c r="O105" s="4254" t="s">
        <v>182</v>
      </c>
      <c r="P105" s="4033"/>
      <c r="Q105" s="4034"/>
      <c r="R105" s="4254"/>
      <c r="S105" s="4033"/>
      <c r="T105" s="4034"/>
      <c r="U105" s="4254"/>
      <c r="V105" s="4033"/>
      <c r="W105" s="4034"/>
      <c r="X105" s="4254"/>
      <c r="Y105" s="4255"/>
      <c r="Z105" s="4255"/>
      <c r="AA105" s="4255"/>
      <c r="AB105" s="4030"/>
      <c r="AC105" s="4255"/>
      <c r="AD105" s="4255"/>
      <c r="AE105" s="4255"/>
      <c r="AF105" s="4255"/>
      <c r="AG105" s="4256"/>
      <c r="AH105" s="75"/>
      <c r="AI105" s="70"/>
    </row>
    <row r="106" spans="1:35" ht="24.75" customHeight="1">
      <c r="A106" s="17"/>
      <c r="B106" s="16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75"/>
      <c r="AI106" s="70"/>
    </row>
    <row r="107" spans="1:35" ht="24.75" customHeight="1" thickBot="1">
      <c r="A107" s="4169" t="s">
        <v>28</v>
      </c>
      <c r="B107" s="4104" t="s">
        <v>29</v>
      </c>
      <c r="C107" s="4049">
        <v>1</v>
      </c>
      <c r="D107" s="4049">
        <v>2</v>
      </c>
      <c r="E107" s="4049">
        <v>3</v>
      </c>
      <c r="F107" s="4050">
        <v>4</v>
      </c>
      <c r="G107" s="4050">
        <v>5</v>
      </c>
      <c r="H107" s="4049">
        <v>6</v>
      </c>
      <c r="I107" s="4049">
        <v>7</v>
      </c>
      <c r="J107" s="4049">
        <v>8</v>
      </c>
      <c r="K107" s="4050">
        <v>9</v>
      </c>
      <c r="L107" s="4050">
        <v>10</v>
      </c>
      <c r="M107" s="4050">
        <v>11</v>
      </c>
      <c r="N107" s="4050">
        <v>12</v>
      </c>
      <c r="O107" s="4050">
        <v>13</v>
      </c>
      <c r="P107" s="4049">
        <v>14</v>
      </c>
      <c r="Q107" s="4049">
        <v>15</v>
      </c>
      <c r="R107" s="4049">
        <v>16</v>
      </c>
      <c r="S107" s="4049">
        <v>17</v>
      </c>
      <c r="T107" s="4050">
        <v>18</v>
      </c>
      <c r="U107" s="4050">
        <v>19</v>
      </c>
      <c r="V107" s="4049">
        <v>20</v>
      </c>
      <c r="W107" s="4049">
        <v>21</v>
      </c>
      <c r="X107" s="4049">
        <v>22</v>
      </c>
      <c r="Y107" s="4049">
        <v>23</v>
      </c>
      <c r="Z107" s="4049">
        <v>24</v>
      </c>
      <c r="AA107" s="4050">
        <v>25</v>
      </c>
      <c r="AB107" s="4050">
        <v>26</v>
      </c>
      <c r="AC107" s="4049">
        <v>27</v>
      </c>
      <c r="AD107" s="4049">
        <v>28</v>
      </c>
      <c r="AE107" s="4049">
        <v>29</v>
      </c>
      <c r="AF107" s="4049">
        <v>30</v>
      </c>
      <c r="AG107" s="4051"/>
      <c r="AH107" s="75"/>
      <c r="AI107" s="70"/>
    </row>
    <row r="108" spans="1:35" ht="24.75" customHeight="1">
      <c r="A108" s="4257">
        <v>8520</v>
      </c>
      <c r="B108" s="4258" t="s">
        <v>183</v>
      </c>
      <c r="C108" s="3590">
        <v>1</v>
      </c>
      <c r="D108" s="3590">
        <v>1</v>
      </c>
      <c r="E108" s="3590">
        <v>1</v>
      </c>
      <c r="F108" s="3590"/>
      <c r="G108" s="3590"/>
      <c r="H108" s="3590" t="s">
        <v>118</v>
      </c>
      <c r="I108" s="3590" t="s">
        <v>118</v>
      </c>
      <c r="J108" s="3590" t="s">
        <v>118</v>
      </c>
      <c r="K108" s="3590"/>
      <c r="L108" s="3590"/>
      <c r="M108" s="3590"/>
      <c r="N108" s="3590"/>
      <c r="O108" s="3590"/>
      <c r="P108" s="3590" t="s">
        <v>118</v>
      </c>
      <c r="Q108" s="3590" t="s">
        <v>118</v>
      </c>
      <c r="R108" s="3590" t="s">
        <v>118</v>
      </c>
      <c r="S108" s="3590" t="s">
        <v>118</v>
      </c>
      <c r="T108" s="3590"/>
      <c r="U108" s="3590"/>
      <c r="V108" s="3590">
        <v>1</v>
      </c>
      <c r="W108" s="3590">
        <v>1</v>
      </c>
      <c r="X108" s="3590">
        <v>1</v>
      </c>
      <c r="Y108" s="3590" t="s">
        <v>107</v>
      </c>
      <c r="Z108" s="3590" t="s">
        <v>107</v>
      </c>
      <c r="AA108" s="3590"/>
      <c r="AB108" s="3590"/>
      <c r="AC108" s="3590">
        <v>4</v>
      </c>
      <c r="AD108" s="3590">
        <v>4</v>
      </c>
      <c r="AE108" s="3590">
        <v>4</v>
      </c>
      <c r="AF108" s="3590">
        <v>4</v>
      </c>
      <c r="AG108" s="3591"/>
      <c r="AH108" s="75"/>
      <c r="AI108" s="70"/>
    </row>
    <row r="109" spans="1:35" ht="24.75" customHeight="1">
      <c r="AH109" s="76"/>
      <c r="AI109" s="76"/>
    </row>
    <row r="110" spans="1:35" ht="24.75" customHeight="1" thickBot="1">
      <c r="A110" s="77" t="s">
        <v>185</v>
      </c>
      <c r="B110" s="78"/>
      <c r="C110" s="78"/>
      <c r="D110" s="79"/>
      <c r="E110" s="79"/>
      <c r="F110" s="79"/>
      <c r="G110" s="80"/>
      <c r="H110" s="79"/>
      <c r="I110" s="79"/>
      <c r="J110" s="79"/>
      <c r="K110" s="79"/>
      <c r="L110" s="79"/>
      <c r="M110" s="79"/>
      <c r="N110" s="79"/>
      <c r="O110" s="79"/>
      <c r="P110" s="79"/>
      <c r="Q110" s="79"/>
      <c r="R110" s="79"/>
      <c r="S110" s="79"/>
      <c r="T110" s="79"/>
      <c r="U110" s="79"/>
      <c r="V110" s="79"/>
      <c r="W110" s="79"/>
      <c r="X110" s="79"/>
      <c r="Y110" s="79"/>
      <c r="Z110" s="79"/>
      <c r="AA110" s="79"/>
      <c r="AB110" s="79"/>
      <c r="AC110" s="79"/>
      <c r="AD110" s="79"/>
      <c r="AE110" s="79"/>
      <c r="AF110" s="79"/>
      <c r="AG110" s="79"/>
      <c r="AH110" s="78"/>
      <c r="AI110" s="78"/>
    </row>
    <row r="111" spans="1:35" ht="24.75" customHeight="1">
      <c r="A111" s="77"/>
      <c r="B111" s="3833" t="s">
        <v>186</v>
      </c>
      <c r="C111" s="3857"/>
      <c r="D111" s="3858" t="s">
        <v>87</v>
      </c>
      <c r="E111" s="3859"/>
      <c r="F111" s="3860"/>
      <c r="G111" s="3857"/>
      <c r="H111" s="3858" t="s">
        <v>88</v>
      </c>
      <c r="I111" s="3859"/>
      <c r="J111" s="3860"/>
      <c r="K111" s="3857"/>
      <c r="L111" s="3858" t="s">
        <v>89</v>
      </c>
      <c r="M111" s="3859"/>
      <c r="N111" s="3860"/>
      <c r="O111" s="3857"/>
      <c r="P111" s="3858" t="s">
        <v>90</v>
      </c>
      <c r="Q111" s="3859"/>
      <c r="R111" s="3860"/>
      <c r="S111" s="3857"/>
      <c r="T111" s="3858" t="s">
        <v>91</v>
      </c>
      <c r="U111" s="3859"/>
      <c r="V111" s="3860"/>
      <c r="W111" s="3857"/>
      <c r="X111" s="3858" t="s">
        <v>92</v>
      </c>
      <c r="Y111" s="3859"/>
      <c r="Z111" s="3860"/>
      <c r="AA111" s="3857"/>
      <c r="AB111" s="3858" t="s">
        <v>93</v>
      </c>
      <c r="AC111" s="3859"/>
      <c r="AD111" s="3859"/>
      <c r="AE111" s="3861" t="s">
        <v>94</v>
      </c>
      <c r="AF111" s="3859"/>
      <c r="AG111" s="3859"/>
      <c r="AH111" s="3859"/>
      <c r="AI111" s="3862"/>
    </row>
    <row r="112" spans="1:35" ht="24.75" customHeight="1">
      <c r="A112" s="77"/>
      <c r="B112" s="4259" t="s">
        <v>159</v>
      </c>
      <c r="C112" s="4260">
        <v>69</v>
      </c>
      <c r="D112" s="4261" t="s">
        <v>187</v>
      </c>
      <c r="E112" s="4261"/>
      <c r="F112" s="4262"/>
      <c r="G112" s="4260">
        <v>69</v>
      </c>
      <c r="H112" s="4261" t="s">
        <v>187</v>
      </c>
      <c r="I112" s="4261"/>
      <c r="J112" s="4262"/>
      <c r="K112" s="4260">
        <v>69</v>
      </c>
      <c r="L112" s="4261" t="s">
        <v>187</v>
      </c>
      <c r="M112" s="4261"/>
      <c r="N112" s="4262"/>
      <c r="O112" s="4260">
        <v>69</v>
      </c>
      <c r="P112" s="4261" t="s">
        <v>187</v>
      </c>
      <c r="Q112" s="4261"/>
      <c r="R112" s="4262"/>
      <c r="S112" s="4260">
        <v>69</v>
      </c>
      <c r="T112" s="4261" t="s">
        <v>187</v>
      </c>
      <c r="U112" s="4261"/>
      <c r="V112" s="4262"/>
      <c r="W112" s="4260"/>
      <c r="X112" s="4263"/>
      <c r="Y112" s="4263"/>
      <c r="Z112" s="4264"/>
      <c r="AA112" s="4260"/>
      <c r="AB112" s="4261"/>
      <c r="AC112" s="4261"/>
      <c r="AD112" s="4158"/>
      <c r="AE112" s="4265">
        <v>35</v>
      </c>
      <c r="AF112" s="4261"/>
      <c r="AG112" s="4261"/>
      <c r="AH112" s="4158"/>
      <c r="AI112" s="4266"/>
    </row>
    <row r="113" spans="1:35" ht="24.75" customHeight="1">
      <c r="A113" s="77"/>
      <c r="B113" s="4259" t="s">
        <v>163</v>
      </c>
      <c r="C113" s="4260">
        <v>79</v>
      </c>
      <c r="D113" s="4261" t="s">
        <v>188</v>
      </c>
      <c r="E113" s="4261"/>
      <c r="F113" s="4262"/>
      <c r="G113" s="4260">
        <v>79</v>
      </c>
      <c r="H113" s="4261" t="s">
        <v>188</v>
      </c>
      <c r="I113" s="4261"/>
      <c r="J113" s="4262"/>
      <c r="K113" s="4260">
        <v>79</v>
      </c>
      <c r="L113" s="4261" t="s">
        <v>188</v>
      </c>
      <c r="M113" s="4261"/>
      <c r="N113" s="4262"/>
      <c r="O113" s="4260">
        <v>79</v>
      </c>
      <c r="P113" s="4261" t="s">
        <v>188</v>
      </c>
      <c r="Q113" s="4261"/>
      <c r="R113" s="4262"/>
      <c r="S113" s="4260">
        <v>79</v>
      </c>
      <c r="T113" s="4261" t="s">
        <v>188</v>
      </c>
      <c r="U113" s="4261"/>
      <c r="V113" s="4262"/>
      <c r="W113" s="4260"/>
      <c r="X113" s="4261"/>
      <c r="Y113" s="4261"/>
      <c r="Z113" s="4262"/>
      <c r="AA113" s="4261"/>
      <c r="AB113" s="4261"/>
      <c r="AC113" s="4261"/>
      <c r="AD113" s="4158"/>
      <c r="AE113" s="4265">
        <v>40</v>
      </c>
      <c r="AF113" s="4261"/>
      <c r="AG113" s="4261"/>
      <c r="AH113" s="4158"/>
      <c r="AI113" s="4266"/>
    </row>
    <row r="114" spans="1:35" ht="24.75" customHeight="1">
      <c r="A114" s="77"/>
      <c r="B114" s="4259" t="s">
        <v>171</v>
      </c>
      <c r="C114" s="4260">
        <v>89</v>
      </c>
      <c r="D114" s="4261" t="s">
        <v>189</v>
      </c>
      <c r="E114" s="4261"/>
      <c r="F114" s="4262"/>
      <c r="G114" s="4260">
        <v>89</v>
      </c>
      <c r="H114" s="4261" t="s">
        <v>189</v>
      </c>
      <c r="I114" s="4261"/>
      <c r="J114" s="4262"/>
      <c r="K114" s="4260">
        <v>89</v>
      </c>
      <c r="L114" s="4261" t="s">
        <v>189</v>
      </c>
      <c r="M114" s="4261"/>
      <c r="N114" s="4262"/>
      <c r="O114" s="4260">
        <v>89</v>
      </c>
      <c r="P114" s="4261" t="s">
        <v>189</v>
      </c>
      <c r="Q114" s="4261"/>
      <c r="R114" s="4262"/>
      <c r="S114" s="4260">
        <v>89</v>
      </c>
      <c r="T114" s="4261" t="s">
        <v>190</v>
      </c>
      <c r="U114" s="4261"/>
      <c r="V114" s="4262"/>
      <c r="W114" s="4267"/>
      <c r="X114" s="4268" t="s">
        <v>191</v>
      </c>
      <c r="Y114" s="4268"/>
      <c r="Z114" s="4269"/>
      <c r="AA114" s="4267"/>
      <c r="AB114" s="4268"/>
      <c r="AC114" s="4268"/>
      <c r="AD114" s="4161"/>
      <c r="AE114" s="4265">
        <v>44</v>
      </c>
      <c r="AF114" s="4261"/>
      <c r="AG114" s="4261"/>
      <c r="AH114" s="4158"/>
      <c r="AI114" s="4266"/>
    </row>
    <row r="115" spans="1:35" ht="24.75" customHeight="1">
      <c r="A115" s="77"/>
      <c r="B115" s="81" t="s">
        <v>173</v>
      </c>
      <c r="C115" s="4267">
        <v>99</v>
      </c>
      <c r="D115" s="4268" t="s">
        <v>192</v>
      </c>
      <c r="E115" s="4268"/>
      <c r="F115" s="4269"/>
      <c r="G115" s="4267">
        <v>99</v>
      </c>
      <c r="H115" s="4268" t="s">
        <v>192</v>
      </c>
      <c r="I115" s="4268"/>
      <c r="J115" s="4269"/>
      <c r="K115" s="4267">
        <v>99</v>
      </c>
      <c r="L115" s="4268" t="s">
        <v>192</v>
      </c>
      <c r="M115" s="4268"/>
      <c r="N115" s="4269"/>
      <c r="O115" s="4267">
        <v>99</v>
      </c>
      <c r="P115" s="4268" t="s">
        <v>192</v>
      </c>
      <c r="Q115" s="4268"/>
      <c r="R115" s="4269"/>
      <c r="S115" s="4267">
        <v>99</v>
      </c>
      <c r="T115" s="4268" t="s">
        <v>172</v>
      </c>
      <c r="U115" s="4268"/>
      <c r="V115" s="4161"/>
      <c r="W115" s="4160"/>
      <c r="X115" s="4161"/>
      <c r="Y115" s="4268"/>
      <c r="Z115" s="4269"/>
      <c r="AA115" s="4160"/>
      <c r="AB115" s="4161"/>
      <c r="AC115" s="4268"/>
      <c r="AD115" s="4269"/>
      <c r="AE115" s="4270">
        <v>28</v>
      </c>
      <c r="AF115" s="4268"/>
      <c r="AG115" s="4268"/>
      <c r="AH115" s="4161"/>
      <c r="AI115" s="4271"/>
    </row>
    <row r="116" spans="1:35" ht="24.75" customHeight="1" thickBot="1">
      <c r="A116" s="77"/>
      <c r="B116" s="4272" t="s">
        <v>193</v>
      </c>
      <c r="C116" s="4273" t="s">
        <v>47</v>
      </c>
      <c r="D116" s="4274" t="s">
        <v>194</v>
      </c>
      <c r="E116" s="4275"/>
      <c r="F116" s="4097"/>
      <c r="G116" s="4273" t="s">
        <v>47</v>
      </c>
      <c r="H116" s="4274" t="s">
        <v>194</v>
      </c>
      <c r="I116" s="4095"/>
      <c r="J116" s="4275"/>
      <c r="K116" s="4273" t="s">
        <v>47</v>
      </c>
      <c r="L116" s="4274" t="s">
        <v>194</v>
      </c>
      <c r="M116" s="4275"/>
      <c r="N116" s="4276"/>
      <c r="O116" s="4273" t="s">
        <v>47</v>
      </c>
      <c r="P116" s="4274" t="s">
        <v>194</v>
      </c>
      <c r="Q116" s="4275"/>
      <c r="R116" s="4274"/>
      <c r="S116" s="4273" t="s">
        <v>47</v>
      </c>
      <c r="T116" s="4099" t="s">
        <v>195</v>
      </c>
      <c r="U116" s="4274"/>
      <c r="V116" s="4276"/>
      <c r="W116" s="4275"/>
      <c r="X116" s="4274"/>
      <c r="Y116" s="4274"/>
      <c r="Z116" s="4274"/>
      <c r="AA116" s="4277"/>
      <c r="AB116" s="4278"/>
      <c r="AC116" s="4274"/>
      <c r="AD116" s="4279"/>
      <c r="AE116" s="4274"/>
      <c r="AF116" s="4274"/>
      <c r="AG116" s="4274"/>
      <c r="AH116" s="4280"/>
      <c r="AI116" s="4281"/>
    </row>
    <row r="117" spans="1:35" ht="24.75" customHeight="1">
      <c r="A117" s="82"/>
      <c r="B117" s="77"/>
      <c r="C117" s="79"/>
      <c r="D117" s="79"/>
      <c r="E117" s="79"/>
      <c r="F117" s="79"/>
      <c r="G117" s="79"/>
      <c r="H117" s="79"/>
      <c r="I117" s="79"/>
      <c r="J117" s="79"/>
      <c r="K117" s="79"/>
      <c r="L117" s="79"/>
      <c r="M117" s="79"/>
      <c r="N117" s="79"/>
      <c r="O117" s="79"/>
      <c r="P117" s="79"/>
      <c r="Q117" s="79"/>
      <c r="R117" s="79"/>
      <c r="S117" s="79"/>
      <c r="T117" s="79"/>
      <c r="U117" s="79"/>
      <c r="V117" s="79"/>
      <c r="W117" s="79"/>
      <c r="X117" s="79"/>
      <c r="Y117" s="79"/>
      <c r="Z117" s="79"/>
      <c r="AA117" s="79"/>
      <c r="AB117" s="79"/>
      <c r="AC117" s="79"/>
      <c r="AD117" s="79"/>
      <c r="AE117" s="79"/>
      <c r="AF117" s="79"/>
      <c r="AG117" s="79"/>
      <c r="AH117" s="78"/>
      <c r="AI117" s="78"/>
    </row>
    <row r="118" spans="1:35" ht="24.75" customHeight="1" thickBot="1">
      <c r="A118" s="4169"/>
      <c r="B118" s="4104" t="s">
        <v>29</v>
      </c>
      <c r="C118" s="4049">
        <v>1</v>
      </c>
      <c r="D118" s="4049">
        <v>2</v>
      </c>
      <c r="E118" s="4049">
        <v>3</v>
      </c>
      <c r="F118" s="4050">
        <v>4</v>
      </c>
      <c r="G118" s="4050">
        <v>5</v>
      </c>
      <c r="H118" s="4049">
        <v>6</v>
      </c>
      <c r="I118" s="4049">
        <v>7</v>
      </c>
      <c r="J118" s="4049">
        <v>8</v>
      </c>
      <c r="K118" s="4050">
        <v>9</v>
      </c>
      <c r="L118" s="4050">
        <v>10</v>
      </c>
      <c r="M118" s="4050">
        <v>11</v>
      </c>
      <c r="N118" s="4050">
        <v>12</v>
      </c>
      <c r="O118" s="4050">
        <v>13</v>
      </c>
      <c r="P118" s="4049">
        <v>14</v>
      </c>
      <c r="Q118" s="4049">
        <v>15</v>
      </c>
      <c r="R118" s="4049">
        <v>16</v>
      </c>
      <c r="S118" s="4049">
        <v>17</v>
      </c>
      <c r="T118" s="4050">
        <v>18</v>
      </c>
      <c r="U118" s="4050">
        <v>19</v>
      </c>
      <c r="V118" s="4049">
        <v>20</v>
      </c>
      <c r="W118" s="4049">
        <v>21</v>
      </c>
      <c r="X118" s="4049">
        <v>22</v>
      </c>
      <c r="Y118" s="4049">
        <v>23</v>
      </c>
      <c r="Z118" s="4049">
        <v>24</v>
      </c>
      <c r="AA118" s="4050">
        <v>25</v>
      </c>
      <c r="AB118" s="4050">
        <v>26</v>
      </c>
      <c r="AC118" s="4049">
        <v>27</v>
      </c>
      <c r="AD118" s="4049">
        <v>28</v>
      </c>
      <c r="AE118" s="4049">
        <v>29</v>
      </c>
      <c r="AF118" s="4049">
        <v>30</v>
      </c>
      <c r="AG118" s="4051"/>
      <c r="AH118" s="23"/>
      <c r="AI118" s="24"/>
    </row>
    <row r="119" spans="1:35" ht="24.75" customHeight="1">
      <c r="A119" s="4282">
        <v>1</v>
      </c>
      <c r="B119" s="4283" t="s">
        <v>196</v>
      </c>
      <c r="C119" s="4106" t="s">
        <v>408</v>
      </c>
      <c r="D119" s="4106" t="s">
        <v>408</v>
      </c>
      <c r="E119" s="3590">
        <v>69</v>
      </c>
      <c r="F119" s="3590"/>
      <c r="G119" s="4108"/>
      <c r="H119" s="4106">
        <v>79</v>
      </c>
      <c r="I119" s="4108">
        <v>79</v>
      </c>
      <c r="J119" s="4108">
        <v>79</v>
      </c>
      <c r="K119" s="4106"/>
      <c r="L119" s="4108"/>
      <c r="M119" s="3590"/>
      <c r="N119" s="4106"/>
      <c r="O119" s="4106"/>
      <c r="P119" s="4106">
        <v>89</v>
      </c>
      <c r="Q119" s="4106">
        <v>89</v>
      </c>
      <c r="R119" s="4106">
        <v>89</v>
      </c>
      <c r="S119" s="3590">
        <v>3</v>
      </c>
      <c r="T119" s="3590">
        <v>89</v>
      </c>
      <c r="U119" s="4106"/>
      <c r="V119" s="4106">
        <v>99</v>
      </c>
      <c r="W119" s="4106">
        <v>99</v>
      </c>
      <c r="X119" s="4106">
        <v>99</v>
      </c>
      <c r="Y119" s="4106" t="s">
        <v>452</v>
      </c>
      <c r="Z119" s="4106" t="s">
        <v>452</v>
      </c>
      <c r="AA119" s="4108"/>
      <c r="AB119" s="4106"/>
      <c r="AC119" s="4106" t="s">
        <v>47</v>
      </c>
      <c r="AD119" s="4106" t="s">
        <v>47</v>
      </c>
      <c r="AE119" s="4106" t="s">
        <v>47</v>
      </c>
      <c r="AF119" s="4106" t="s">
        <v>47</v>
      </c>
      <c r="AG119" s="4111"/>
      <c r="AH119" s="83"/>
      <c r="AI119" s="76"/>
    </row>
    <row r="120" spans="1:35" ht="24.75" customHeight="1">
      <c r="A120" s="4284">
        <v>2</v>
      </c>
      <c r="B120" s="4194" t="s">
        <v>197</v>
      </c>
      <c r="C120" s="4066">
        <v>79</v>
      </c>
      <c r="D120" s="4285">
        <v>79</v>
      </c>
      <c r="E120" s="4286">
        <v>79</v>
      </c>
      <c r="F120" s="4121"/>
      <c r="G120" s="4083"/>
      <c r="H120" s="4285">
        <v>89</v>
      </c>
      <c r="I120" s="4285">
        <v>89</v>
      </c>
      <c r="J120" s="4083">
        <v>89</v>
      </c>
      <c r="K120" s="4083"/>
      <c r="L120" s="4121"/>
      <c r="M120" s="4286">
        <v>89</v>
      </c>
      <c r="N120" s="4083"/>
      <c r="O120" s="4083"/>
      <c r="P120" s="4083">
        <v>99</v>
      </c>
      <c r="Q120" s="4083">
        <v>99</v>
      </c>
      <c r="R120" s="4066">
        <v>99</v>
      </c>
      <c r="S120" s="4083" t="s">
        <v>35</v>
      </c>
      <c r="T120" s="4121"/>
      <c r="U120" s="4083"/>
      <c r="V120" s="4083" t="s">
        <v>47</v>
      </c>
      <c r="W120" s="4083" t="s">
        <v>47</v>
      </c>
      <c r="X120" s="4083" t="s">
        <v>47</v>
      </c>
      <c r="Y120" s="4083" t="s">
        <v>47</v>
      </c>
      <c r="Z120" s="4121" t="s">
        <v>47</v>
      </c>
      <c r="AA120" s="4121"/>
      <c r="AB120" s="4066"/>
      <c r="AC120" s="4083">
        <v>69</v>
      </c>
      <c r="AD120" s="4066">
        <v>69</v>
      </c>
      <c r="AE120" s="4066">
        <v>69</v>
      </c>
      <c r="AF120" s="4083">
        <v>69</v>
      </c>
      <c r="AG120" s="4287"/>
      <c r="AH120" s="84"/>
      <c r="AI120" s="85"/>
    </row>
    <row r="121" spans="1:35" ht="24.75" customHeight="1">
      <c r="A121" s="4284">
        <v>3</v>
      </c>
      <c r="B121" s="4194" t="s">
        <v>198</v>
      </c>
      <c r="C121" s="4062">
        <v>2</v>
      </c>
      <c r="D121" s="4062">
        <v>2</v>
      </c>
      <c r="E121" s="4062">
        <v>2</v>
      </c>
      <c r="F121" s="4069">
        <v>89</v>
      </c>
      <c r="G121" s="4083"/>
      <c r="H121" s="4065">
        <v>99</v>
      </c>
      <c r="I121" s="4065">
        <v>99</v>
      </c>
      <c r="J121" s="4065">
        <v>99</v>
      </c>
      <c r="K121" s="4083"/>
      <c r="L121" s="4066" t="s">
        <v>35</v>
      </c>
      <c r="M121" s="4121"/>
      <c r="N121" s="4083"/>
      <c r="O121" s="4083"/>
      <c r="P121" s="4083" t="s">
        <v>47</v>
      </c>
      <c r="Q121" s="4083" t="s">
        <v>47</v>
      </c>
      <c r="R121" s="4083" t="s">
        <v>47</v>
      </c>
      <c r="S121" s="4121" t="s">
        <v>47</v>
      </c>
      <c r="T121" s="4121"/>
      <c r="U121" s="4066"/>
      <c r="V121" s="3621" t="s">
        <v>44</v>
      </c>
      <c r="W121" s="3621" t="s">
        <v>44</v>
      </c>
      <c r="X121" s="4083" t="s">
        <v>35</v>
      </c>
      <c r="Y121" s="4066">
        <v>69</v>
      </c>
      <c r="Z121" s="4121">
        <v>69</v>
      </c>
      <c r="AA121" s="4121"/>
      <c r="AB121" s="4083"/>
      <c r="AC121" s="4083">
        <v>79</v>
      </c>
      <c r="AD121" s="4083">
        <v>79</v>
      </c>
      <c r="AE121" s="4083">
        <v>79</v>
      </c>
      <c r="AF121" s="4083">
        <v>79</v>
      </c>
      <c r="AG121" s="4123"/>
      <c r="AH121" s="83"/>
      <c r="AI121" s="76"/>
    </row>
    <row r="122" spans="1:35" ht="24.75" customHeight="1">
      <c r="A122" s="4284">
        <v>4</v>
      </c>
      <c r="B122" s="4194"/>
      <c r="C122" s="4201">
        <v>99</v>
      </c>
      <c r="D122" s="4201">
        <v>99</v>
      </c>
      <c r="E122" s="4201" t="s">
        <v>35</v>
      </c>
      <c r="F122" s="4121"/>
      <c r="G122" s="4083"/>
      <c r="H122" s="4083" t="s">
        <v>47</v>
      </c>
      <c r="I122" s="4083" t="s">
        <v>47</v>
      </c>
      <c r="J122" s="4083" t="s">
        <v>47</v>
      </c>
      <c r="K122" s="4083"/>
      <c r="L122" s="4121"/>
      <c r="M122" s="4121"/>
      <c r="N122" s="4201"/>
      <c r="O122" s="4201"/>
      <c r="P122" s="4201">
        <v>69</v>
      </c>
      <c r="Q122" s="4201">
        <v>69</v>
      </c>
      <c r="R122" s="4201">
        <v>69</v>
      </c>
      <c r="S122" s="4121">
        <v>69</v>
      </c>
      <c r="T122" s="4288"/>
      <c r="U122" s="4201"/>
      <c r="V122" s="4201">
        <v>79</v>
      </c>
      <c r="W122" s="4201">
        <v>79</v>
      </c>
      <c r="X122" s="4201">
        <v>79</v>
      </c>
      <c r="Y122" s="4201">
        <v>79</v>
      </c>
      <c r="Z122" s="4289">
        <v>79</v>
      </c>
      <c r="AA122" s="4289"/>
      <c r="AB122" s="4201"/>
      <c r="AC122" s="4201">
        <v>89</v>
      </c>
      <c r="AD122" s="4201">
        <v>89</v>
      </c>
      <c r="AE122" s="4201">
        <v>89</v>
      </c>
      <c r="AF122" s="4201">
        <v>89</v>
      </c>
      <c r="AG122" s="4290"/>
      <c r="AH122" s="83"/>
      <c r="AI122" s="76"/>
    </row>
    <row r="123" spans="1:35" ht="24.75" customHeight="1" thickBot="1">
      <c r="A123" s="4291">
        <v>5</v>
      </c>
      <c r="B123" s="4292" t="s">
        <v>200</v>
      </c>
      <c r="C123" s="4293" t="s">
        <v>47</v>
      </c>
      <c r="D123" s="4293" t="s">
        <v>47</v>
      </c>
      <c r="E123" s="4293" t="s">
        <v>47</v>
      </c>
      <c r="F123" s="4049"/>
      <c r="G123" s="3985"/>
      <c r="H123" s="4294">
        <v>69</v>
      </c>
      <c r="I123" s="4294">
        <v>69</v>
      </c>
      <c r="J123" s="4294">
        <v>69</v>
      </c>
      <c r="K123" s="3985"/>
      <c r="L123" s="4049"/>
      <c r="M123" s="4049"/>
      <c r="N123" s="4293"/>
      <c r="O123" s="4293"/>
      <c r="P123" s="4293">
        <v>79</v>
      </c>
      <c r="Q123" s="4293">
        <v>79</v>
      </c>
      <c r="R123" s="4293" t="s">
        <v>123</v>
      </c>
      <c r="S123" s="4049" t="s">
        <v>123</v>
      </c>
      <c r="T123" s="4295"/>
      <c r="U123" s="4293"/>
      <c r="V123" s="4293">
        <v>4</v>
      </c>
      <c r="W123" s="4293">
        <v>4</v>
      </c>
      <c r="X123" s="4293">
        <v>4</v>
      </c>
      <c r="Y123" s="4293">
        <v>4</v>
      </c>
      <c r="Z123" s="4296">
        <v>4</v>
      </c>
      <c r="AA123" s="4296">
        <v>89</v>
      </c>
      <c r="AB123" s="4293"/>
      <c r="AC123" s="4293" t="s">
        <v>44</v>
      </c>
      <c r="AD123" s="4293" t="s">
        <v>44</v>
      </c>
      <c r="AE123" s="4293" t="s">
        <v>44</v>
      </c>
      <c r="AF123" s="4293" t="s">
        <v>35</v>
      </c>
      <c r="AG123" s="4297"/>
      <c r="AH123" s="83"/>
      <c r="AI123" s="76"/>
    </row>
    <row r="124" spans="1:35" ht="24.75" customHeight="1">
      <c r="A124" s="36"/>
      <c r="B124" s="87"/>
      <c r="C124" s="38"/>
      <c r="D124" s="38"/>
      <c r="E124" s="38"/>
      <c r="F124" s="38"/>
      <c r="G124" s="38"/>
      <c r="H124" s="38"/>
      <c r="I124" s="38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76"/>
      <c r="AI124" s="76"/>
    </row>
    <row r="125" spans="1:35" ht="24.75" customHeight="1" thickBot="1">
      <c r="A125" s="77" t="s">
        <v>202</v>
      </c>
      <c r="B125" s="78"/>
      <c r="C125" s="78"/>
      <c r="D125" s="79"/>
      <c r="E125" s="79"/>
      <c r="F125" s="79"/>
      <c r="G125" s="80"/>
      <c r="H125" s="79"/>
      <c r="I125" s="79"/>
      <c r="J125" s="79"/>
      <c r="K125" s="79"/>
      <c r="L125" s="79"/>
      <c r="M125" s="79"/>
      <c r="N125" s="79"/>
      <c r="O125" s="79"/>
      <c r="P125" s="79"/>
      <c r="Q125" s="79"/>
      <c r="R125" s="79"/>
      <c r="S125" s="79"/>
      <c r="T125" s="79"/>
      <c r="U125" s="79"/>
      <c r="V125" s="79"/>
      <c r="W125" s="79"/>
      <c r="X125" s="79"/>
      <c r="Y125" s="79"/>
      <c r="Z125" s="79"/>
      <c r="AA125" s="79"/>
      <c r="AB125" s="79"/>
      <c r="AC125" s="79"/>
      <c r="AD125" s="79"/>
      <c r="AE125" s="79"/>
      <c r="AF125" s="79"/>
      <c r="AG125" s="79"/>
      <c r="AH125" s="78"/>
      <c r="AI125" s="78"/>
    </row>
    <row r="126" spans="1:35" ht="24.75" customHeight="1">
      <c r="A126" s="77"/>
      <c r="B126" s="3833" t="s">
        <v>186</v>
      </c>
      <c r="C126" s="3857"/>
      <c r="D126" s="3858" t="s">
        <v>87</v>
      </c>
      <c r="E126" s="3859"/>
      <c r="F126" s="3860"/>
      <c r="G126" s="3857"/>
      <c r="H126" s="3858" t="s">
        <v>88</v>
      </c>
      <c r="I126" s="3859"/>
      <c r="J126" s="3860"/>
      <c r="K126" s="3857"/>
      <c r="L126" s="3858" t="s">
        <v>89</v>
      </c>
      <c r="M126" s="3859"/>
      <c r="N126" s="3860"/>
      <c r="O126" s="3857"/>
      <c r="P126" s="3858" t="s">
        <v>90</v>
      </c>
      <c r="Q126" s="3859"/>
      <c r="R126" s="3860"/>
      <c r="S126" s="3857"/>
      <c r="T126" s="3858" t="s">
        <v>91</v>
      </c>
      <c r="U126" s="3859"/>
      <c r="V126" s="3860"/>
      <c r="W126" s="3857"/>
      <c r="X126" s="3858" t="s">
        <v>92</v>
      </c>
      <c r="Y126" s="3859"/>
      <c r="Z126" s="3860"/>
      <c r="AA126" s="3857"/>
      <c r="AB126" s="3858" t="s">
        <v>93</v>
      </c>
      <c r="AC126" s="3859"/>
      <c r="AD126" s="3859"/>
      <c r="AE126" s="3861" t="s">
        <v>94</v>
      </c>
      <c r="AF126" s="3859"/>
      <c r="AG126" s="3859"/>
      <c r="AH126" s="3859"/>
      <c r="AI126" s="3862"/>
    </row>
    <row r="127" spans="1:35" ht="24.75" customHeight="1">
      <c r="A127" s="77"/>
      <c r="B127" s="4259" t="s">
        <v>203</v>
      </c>
      <c r="C127" s="4157" t="s">
        <v>204</v>
      </c>
      <c r="D127" s="4261"/>
      <c r="E127" s="4261"/>
      <c r="F127" s="4262"/>
      <c r="G127" s="4157" t="s">
        <v>204</v>
      </c>
      <c r="H127" s="4261"/>
      <c r="I127" s="4261"/>
      <c r="J127" s="4262"/>
      <c r="K127" s="4157" t="s">
        <v>204</v>
      </c>
      <c r="L127" s="4261"/>
      <c r="M127" s="4261"/>
      <c r="N127" s="4262"/>
      <c r="O127" s="4157" t="s">
        <v>204</v>
      </c>
      <c r="P127" s="4261"/>
      <c r="Q127" s="4261"/>
      <c r="R127" s="4262"/>
      <c r="S127" s="4157" t="s">
        <v>204</v>
      </c>
      <c r="T127" s="4261"/>
      <c r="U127" s="4261"/>
      <c r="V127" s="4262"/>
      <c r="W127" s="4157" t="s">
        <v>205</v>
      </c>
      <c r="X127" s="4263"/>
      <c r="Y127" s="4263"/>
      <c r="Z127" s="4264"/>
      <c r="AA127" s="4157" t="s">
        <v>205</v>
      </c>
      <c r="AB127" s="4261"/>
      <c r="AC127" s="4261"/>
      <c r="AD127" s="4158"/>
      <c r="AE127" s="4265">
        <v>68</v>
      </c>
      <c r="AF127" s="88"/>
      <c r="AG127" s="88"/>
      <c r="AH127" s="88"/>
      <c r="AI127" s="89"/>
    </row>
    <row r="128" spans="1:35" ht="24.75" customHeight="1">
      <c r="A128" s="77"/>
      <c r="B128" s="4259" t="s">
        <v>163</v>
      </c>
      <c r="C128" s="4157" t="s">
        <v>172</v>
      </c>
      <c r="D128" s="4261"/>
      <c r="E128" s="4261"/>
      <c r="F128" s="4262"/>
      <c r="G128" s="4157" t="s">
        <v>172</v>
      </c>
      <c r="H128" s="4261"/>
      <c r="I128" s="4261"/>
      <c r="J128" s="4262"/>
      <c r="K128" s="4157" t="s">
        <v>172</v>
      </c>
      <c r="L128" s="4261"/>
      <c r="M128" s="4261"/>
      <c r="N128" s="4262"/>
      <c r="O128" s="4157" t="s">
        <v>172</v>
      </c>
      <c r="P128" s="4261"/>
      <c r="Q128" s="4261"/>
      <c r="R128" s="4262"/>
      <c r="S128" s="4157" t="s">
        <v>172</v>
      </c>
      <c r="T128" s="4261"/>
      <c r="U128" s="4261"/>
      <c r="V128" s="4262"/>
      <c r="W128" s="4157" t="s">
        <v>172</v>
      </c>
      <c r="X128" s="4261"/>
      <c r="Y128" s="4261"/>
      <c r="Z128" s="4262"/>
      <c r="AA128" s="4261" t="s">
        <v>172</v>
      </c>
      <c r="AB128" s="4261"/>
      <c r="AC128" s="4261"/>
      <c r="AD128" s="4158"/>
      <c r="AE128" s="4265">
        <v>0</v>
      </c>
      <c r="AF128" s="88"/>
      <c r="AG128" s="88"/>
      <c r="AH128" s="88"/>
      <c r="AI128" s="89"/>
    </row>
    <row r="129" spans="1:35" ht="24.75" customHeight="1">
      <c r="A129" s="77"/>
      <c r="B129" s="4259" t="s">
        <v>206</v>
      </c>
      <c r="C129" s="4157" t="s">
        <v>204</v>
      </c>
      <c r="D129" s="4261"/>
      <c r="E129" s="4261"/>
      <c r="F129" s="4262"/>
      <c r="G129" s="4157" t="s">
        <v>204</v>
      </c>
      <c r="H129" s="4261"/>
      <c r="I129" s="4261"/>
      <c r="J129" s="4262"/>
      <c r="K129" s="4157" t="s">
        <v>204</v>
      </c>
      <c r="L129" s="4261"/>
      <c r="M129" s="4261"/>
      <c r="N129" s="4262"/>
      <c r="O129" s="4157" t="s">
        <v>204</v>
      </c>
      <c r="P129" s="4261"/>
      <c r="Q129" s="4261"/>
      <c r="R129" s="4262"/>
      <c r="S129" s="4157" t="s">
        <v>204</v>
      </c>
      <c r="T129" s="4261"/>
      <c r="U129" s="4261"/>
      <c r="V129" s="4262"/>
      <c r="W129" s="4157" t="s">
        <v>205</v>
      </c>
      <c r="X129" s="4263"/>
      <c r="Y129" s="4263"/>
      <c r="Z129" s="4264"/>
      <c r="AA129" s="4157" t="s">
        <v>205</v>
      </c>
      <c r="AB129" s="4261"/>
      <c r="AC129" s="4261"/>
      <c r="AD129" s="4158"/>
      <c r="AE129" s="4265">
        <v>68</v>
      </c>
      <c r="AF129" s="4261"/>
      <c r="AG129" s="4261" t="s">
        <v>0</v>
      </c>
      <c r="AH129" s="4158"/>
      <c r="AI129" s="4266"/>
    </row>
    <row r="130" spans="1:35" ht="24.75" customHeight="1">
      <c r="A130" s="77"/>
      <c r="B130" s="4259" t="s">
        <v>173</v>
      </c>
      <c r="C130" s="4157" t="s">
        <v>172</v>
      </c>
      <c r="D130" s="4261"/>
      <c r="E130" s="4261"/>
      <c r="F130" s="4262"/>
      <c r="G130" s="4157" t="s">
        <v>172</v>
      </c>
      <c r="H130" s="4261"/>
      <c r="I130" s="4261"/>
      <c r="J130" s="4262"/>
      <c r="K130" s="4157" t="s">
        <v>172</v>
      </c>
      <c r="L130" s="4261"/>
      <c r="M130" s="4261"/>
      <c r="N130" s="4262"/>
      <c r="O130" s="4157" t="s">
        <v>172</v>
      </c>
      <c r="P130" s="4261"/>
      <c r="Q130" s="4261"/>
      <c r="R130" s="4262"/>
      <c r="S130" s="4157" t="s">
        <v>172</v>
      </c>
      <c r="T130" s="4261"/>
      <c r="U130" s="4261"/>
      <c r="V130" s="4262"/>
      <c r="W130" s="4157" t="s">
        <v>172</v>
      </c>
      <c r="X130" s="4261"/>
      <c r="Y130" s="4261"/>
      <c r="Z130" s="4262"/>
      <c r="AA130" s="4261" t="s">
        <v>172</v>
      </c>
      <c r="AB130" s="4261"/>
      <c r="AC130" s="4261"/>
      <c r="AD130" s="4158"/>
      <c r="AE130" s="4265">
        <v>0</v>
      </c>
      <c r="AF130" s="4261"/>
      <c r="AG130" s="4261"/>
      <c r="AH130" s="4158"/>
      <c r="AI130" s="4266"/>
    </row>
    <row r="131" spans="1:35" ht="24.75" customHeight="1">
      <c r="A131" s="77"/>
      <c r="B131" s="4259" t="s">
        <v>207</v>
      </c>
      <c r="C131" s="4157" t="s">
        <v>204</v>
      </c>
      <c r="D131" s="4261"/>
      <c r="E131" s="4261"/>
      <c r="F131" s="4262"/>
      <c r="G131" s="4157" t="s">
        <v>204</v>
      </c>
      <c r="H131" s="4261"/>
      <c r="I131" s="4261"/>
      <c r="J131" s="4262"/>
      <c r="K131" s="4157" t="s">
        <v>204</v>
      </c>
      <c r="L131" s="4261"/>
      <c r="M131" s="4261"/>
      <c r="N131" s="4262"/>
      <c r="O131" s="4157" t="s">
        <v>204</v>
      </c>
      <c r="P131" s="4261"/>
      <c r="Q131" s="4261"/>
      <c r="R131" s="4262"/>
      <c r="S131" s="4157" t="s">
        <v>204</v>
      </c>
      <c r="T131" s="4261"/>
      <c r="U131" s="4261"/>
      <c r="V131" s="4262"/>
      <c r="W131" s="4157" t="s">
        <v>208</v>
      </c>
      <c r="X131" s="4268"/>
      <c r="Y131" s="4268"/>
      <c r="Z131" s="4269"/>
      <c r="AA131" s="4157" t="s">
        <v>208</v>
      </c>
      <c r="AB131" s="4268"/>
      <c r="AC131" s="4268"/>
      <c r="AD131" s="4161"/>
      <c r="AE131" s="4265">
        <v>68</v>
      </c>
      <c r="AF131" s="4261"/>
      <c r="AG131" s="4261"/>
      <c r="AH131" s="4158"/>
      <c r="AI131" s="4266"/>
    </row>
    <row r="132" spans="1:35" ht="24.75" customHeight="1" thickBot="1">
      <c r="A132" s="77"/>
      <c r="B132" s="4259" t="s">
        <v>209</v>
      </c>
      <c r="C132" s="4298" t="s">
        <v>172</v>
      </c>
      <c r="D132" s="4299"/>
      <c r="E132" s="4299"/>
      <c r="F132" s="4300"/>
      <c r="G132" s="4298" t="s">
        <v>172</v>
      </c>
      <c r="H132" s="4299"/>
      <c r="I132" s="4299"/>
      <c r="J132" s="4300"/>
      <c r="K132" s="4298" t="s">
        <v>172</v>
      </c>
      <c r="L132" s="4299"/>
      <c r="M132" s="4299"/>
      <c r="N132" s="4300"/>
      <c r="O132" s="4298" t="s">
        <v>172</v>
      </c>
      <c r="P132" s="4299"/>
      <c r="Q132" s="4299"/>
      <c r="R132" s="4300"/>
      <c r="S132" s="4298" t="s">
        <v>172</v>
      </c>
      <c r="T132" s="4299"/>
      <c r="U132" s="4299"/>
      <c r="V132" s="4280"/>
      <c r="W132" s="4298" t="s">
        <v>172</v>
      </c>
      <c r="X132" s="4280"/>
      <c r="Y132" s="4299"/>
      <c r="Z132" s="4300"/>
      <c r="AA132" s="4298" t="s">
        <v>172</v>
      </c>
      <c r="AB132" s="4280"/>
      <c r="AC132" s="4299"/>
      <c r="AD132" s="4300"/>
      <c r="AE132" s="4301" t="s">
        <v>210</v>
      </c>
      <c r="AF132" s="4299"/>
      <c r="AG132" s="4299"/>
      <c r="AH132" s="4280"/>
      <c r="AI132" s="4281"/>
    </row>
    <row r="133" spans="1:35" ht="24.75" customHeight="1">
      <c r="A133" s="82"/>
      <c r="B133" s="77"/>
      <c r="C133" s="79"/>
      <c r="D133" s="79"/>
      <c r="E133" s="79"/>
      <c r="F133" s="79"/>
      <c r="G133" s="79"/>
      <c r="H133" s="79"/>
      <c r="I133" s="79"/>
      <c r="J133" s="79"/>
      <c r="K133" s="79"/>
      <c r="L133" s="79"/>
      <c r="M133" s="79"/>
      <c r="N133" s="79"/>
      <c r="O133" s="79"/>
      <c r="P133" s="79"/>
      <c r="Q133" s="79"/>
      <c r="R133" s="79"/>
      <c r="S133" s="79"/>
      <c r="T133" s="79"/>
      <c r="U133" s="79"/>
      <c r="V133" s="79"/>
      <c r="W133" s="79"/>
      <c r="X133" s="79"/>
      <c r="Y133" s="79"/>
      <c r="Z133" s="79"/>
      <c r="AA133" s="79"/>
      <c r="AB133" s="79"/>
      <c r="AC133" s="79"/>
      <c r="AD133" s="79"/>
      <c r="AE133" s="79"/>
      <c r="AF133" s="79"/>
      <c r="AG133" s="79"/>
      <c r="AH133" s="78"/>
      <c r="AI133" s="78"/>
    </row>
    <row r="134" spans="1:35" ht="24.75" customHeight="1" thickBot="1">
      <c r="A134" s="4169"/>
      <c r="B134" s="4104" t="s">
        <v>29</v>
      </c>
      <c r="C134" s="4049">
        <v>1</v>
      </c>
      <c r="D134" s="4049">
        <v>2</v>
      </c>
      <c r="E134" s="4049">
        <v>3</v>
      </c>
      <c r="F134" s="4050">
        <v>4</v>
      </c>
      <c r="G134" s="4050">
        <v>5</v>
      </c>
      <c r="H134" s="4049">
        <v>6</v>
      </c>
      <c r="I134" s="4049">
        <v>7</v>
      </c>
      <c r="J134" s="4049">
        <v>8</v>
      </c>
      <c r="K134" s="4050">
        <v>9</v>
      </c>
      <c r="L134" s="4050">
        <v>10</v>
      </c>
      <c r="M134" s="4050">
        <v>11</v>
      </c>
      <c r="N134" s="4050">
        <v>12</v>
      </c>
      <c r="O134" s="4050">
        <v>13</v>
      </c>
      <c r="P134" s="4049">
        <v>14</v>
      </c>
      <c r="Q134" s="4049">
        <v>15</v>
      </c>
      <c r="R134" s="4049">
        <v>16</v>
      </c>
      <c r="S134" s="4049">
        <v>17</v>
      </c>
      <c r="T134" s="4050">
        <v>18</v>
      </c>
      <c r="U134" s="4050">
        <v>19</v>
      </c>
      <c r="V134" s="4049">
        <v>20</v>
      </c>
      <c r="W134" s="4049">
        <v>21</v>
      </c>
      <c r="X134" s="4049">
        <v>22</v>
      </c>
      <c r="Y134" s="4049">
        <v>23</v>
      </c>
      <c r="Z134" s="4049">
        <v>24</v>
      </c>
      <c r="AA134" s="4050">
        <v>25</v>
      </c>
      <c r="AB134" s="4050">
        <v>26</v>
      </c>
      <c r="AC134" s="4049">
        <v>27</v>
      </c>
      <c r="AD134" s="4049">
        <v>28</v>
      </c>
      <c r="AE134" s="4049">
        <v>29</v>
      </c>
      <c r="AF134" s="4049">
        <v>30</v>
      </c>
      <c r="AG134" s="4051"/>
      <c r="AH134" s="23"/>
      <c r="AI134" s="24"/>
    </row>
    <row r="135" spans="1:35" ht="24.75" customHeight="1">
      <c r="A135" s="4302">
        <v>1</v>
      </c>
      <c r="B135" s="3750" t="s">
        <v>211</v>
      </c>
      <c r="C135" s="4177">
        <v>22</v>
      </c>
      <c r="D135" s="4177">
        <v>22</v>
      </c>
      <c r="E135" s="4177">
        <v>22</v>
      </c>
      <c r="F135" s="4177">
        <v>22</v>
      </c>
      <c r="G135" s="4303">
        <v>22</v>
      </c>
      <c r="H135" s="4177" t="s">
        <v>35</v>
      </c>
      <c r="I135" s="4304" t="s">
        <v>35</v>
      </c>
      <c r="J135" s="4303" t="s">
        <v>35</v>
      </c>
      <c r="K135" s="4177" t="s">
        <v>35</v>
      </c>
      <c r="L135" s="4304" t="s">
        <v>35</v>
      </c>
      <c r="M135" s="4303"/>
      <c r="N135" s="4303"/>
      <c r="O135" s="4177">
        <v>23</v>
      </c>
      <c r="P135" s="4177">
        <v>23</v>
      </c>
      <c r="Q135" s="4177">
        <v>23</v>
      </c>
      <c r="R135" s="4177">
        <v>23</v>
      </c>
      <c r="S135" s="4305">
        <v>23</v>
      </c>
      <c r="T135" s="4305">
        <v>23</v>
      </c>
      <c r="U135" s="4305">
        <v>23</v>
      </c>
      <c r="V135" s="4177" t="s">
        <v>35</v>
      </c>
      <c r="W135" s="4304" t="s">
        <v>35</v>
      </c>
      <c r="X135" s="4177" t="s">
        <v>35</v>
      </c>
      <c r="Y135" s="4177" t="s">
        <v>35</v>
      </c>
      <c r="Z135" s="4304" t="s">
        <v>35</v>
      </c>
      <c r="AA135" s="4177"/>
      <c r="AB135" s="4177"/>
      <c r="AC135" s="4177">
        <v>21</v>
      </c>
      <c r="AD135" s="4177">
        <v>21</v>
      </c>
      <c r="AE135" s="4177">
        <v>21</v>
      </c>
      <c r="AF135" s="4177">
        <v>21</v>
      </c>
      <c r="AG135" s="3617"/>
      <c r="AH135" s="76"/>
      <c r="AI135" s="76"/>
    </row>
    <row r="136" spans="1:35" ht="24.75" customHeight="1">
      <c r="A136" s="3903">
        <v>2</v>
      </c>
      <c r="B136" s="3619" t="s">
        <v>212</v>
      </c>
      <c r="C136" s="3621">
        <v>23</v>
      </c>
      <c r="D136" s="3621">
        <v>23</v>
      </c>
      <c r="E136" s="3621">
        <v>23</v>
      </c>
      <c r="F136" s="3621">
        <v>23</v>
      </c>
      <c r="G136" s="3621">
        <v>23</v>
      </c>
      <c r="H136" s="3621" t="s">
        <v>35</v>
      </c>
      <c r="I136" s="3720" t="s">
        <v>35</v>
      </c>
      <c r="J136" s="3621" t="s">
        <v>35</v>
      </c>
      <c r="K136" s="3621" t="s">
        <v>35</v>
      </c>
      <c r="L136" s="3720" t="s">
        <v>35</v>
      </c>
      <c r="M136" s="3621"/>
      <c r="N136" s="3621"/>
      <c r="O136" s="3621">
        <v>21</v>
      </c>
      <c r="P136" s="3621">
        <v>21</v>
      </c>
      <c r="Q136" s="3621">
        <v>21</v>
      </c>
      <c r="R136" s="3621">
        <v>21</v>
      </c>
      <c r="S136" s="3621">
        <v>21</v>
      </c>
      <c r="T136" s="3430">
        <v>21</v>
      </c>
      <c r="U136" s="3430">
        <v>21</v>
      </c>
      <c r="V136" s="3430" t="s">
        <v>35</v>
      </c>
      <c r="W136" s="3720" t="s">
        <v>35</v>
      </c>
      <c r="X136" s="3621" t="s">
        <v>35</v>
      </c>
      <c r="Y136" s="3621" t="s">
        <v>35</v>
      </c>
      <c r="Z136" s="3720" t="s">
        <v>35</v>
      </c>
      <c r="AA136" s="3621"/>
      <c r="AB136" s="3621"/>
      <c r="AC136" s="3621">
        <v>22</v>
      </c>
      <c r="AD136" s="3621">
        <v>22</v>
      </c>
      <c r="AE136" s="3621">
        <v>22</v>
      </c>
      <c r="AF136" s="3621">
        <v>22</v>
      </c>
      <c r="AG136" s="3624"/>
      <c r="AH136" s="76"/>
      <c r="AI136" s="76"/>
    </row>
    <row r="137" spans="1:35" ht="24.75" customHeight="1">
      <c r="A137" s="3903">
        <v>3</v>
      </c>
      <c r="B137" s="3619" t="s">
        <v>213</v>
      </c>
      <c r="C137" s="3621">
        <v>21</v>
      </c>
      <c r="D137" s="3621">
        <v>21</v>
      </c>
      <c r="E137" s="3621">
        <v>21</v>
      </c>
      <c r="F137" s="3621">
        <v>21</v>
      </c>
      <c r="G137" s="3430">
        <v>21</v>
      </c>
      <c r="H137" s="3430" t="s">
        <v>35</v>
      </c>
      <c r="I137" s="3720" t="s">
        <v>35</v>
      </c>
      <c r="J137" s="3621" t="s">
        <v>35</v>
      </c>
      <c r="K137" s="3621" t="s">
        <v>35</v>
      </c>
      <c r="L137" s="3720" t="s">
        <v>35</v>
      </c>
      <c r="M137" s="3621"/>
      <c r="N137" s="3621"/>
      <c r="O137" s="3621">
        <v>22</v>
      </c>
      <c r="P137" s="3621">
        <v>22</v>
      </c>
      <c r="Q137" s="58">
        <v>22</v>
      </c>
      <c r="R137" s="58">
        <v>22</v>
      </c>
      <c r="S137" s="58">
        <v>22</v>
      </c>
      <c r="T137" s="58">
        <v>22</v>
      </c>
      <c r="U137" s="58">
        <v>22</v>
      </c>
      <c r="V137" s="3430" t="s">
        <v>35</v>
      </c>
      <c r="W137" s="3720" t="s">
        <v>35</v>
      </c>
      <c r="X137" s="3621" t="s">
        <v>35</v>
      </c>
      <c r="Y137" s="3621" t="s">
        <v>35</v>
      </c>
      <c r="Z137" s="3720" t="s">
        <v>35</v>
      </c>
      <c r="AA137" s="3621"/>
      <c r="AB137" s="3621"/>
      <c r="AC137" s="3426">
        <v>23</v>
      </c>
      <c r="AD137" s="3426">
        <v>23</v>
      </c>
      <c r="AE137" s="3426">
        <v>23</v>
      </c>
      <c r="AF137" s="3426">
        <v>23</v>
      </c>
      <c r="AG137" s="3624"/>
      <c r="AH137" s="76"/>
      <c r="AI137" s="76"/>
    </row>
    <row r="138" spans="1:35" ht="24.75" customHeight="1">
      <c r="A138" s="3903">
        <v>4</v>
      </c>
      <c r="B138" s="3619" t="s">
        <v>214</v>
      </c>
      <c r="C138" s="3621" t="s">
        <v>35</v>
      </c>
      <c r="D138" s="3621" t="s">
        <v>35</v>
      </c>
      <c r="E138" s="3720" t="s">
        <v>35</v>
      </c>
      <c r="F138" s="3621"/>
      <c r="G138" s="3621"/>
      <c r="H138" s="3621">
        <v>22</v>
      </c>
      <c r="I138" s="3621">
        <v>22</v>
      </c>
      <c r="J138" s="3621">
        <v>22</v>
      </c>
      <c r="K138" s="3621">
        <v>22</v>
      </c>
      <c r="L138" s="3621">
        <v>22</v>
      </c>
      <c r="M138" s="4306">
        <v>22</v>
      </c>
      <c r="N138" s="4306">
        <v>22</v>
      </c>
      <c r="O138" s="3904" t="s">
        <v>35</v>
      </c>
      <c r="P138" s="3720" t="s">
        <v>35</v>
      </c>
      <c r="Q138" s="3621" t="s">
        <v>35</v>
      </c>
      <c r="R138" s="3621" t="s">
        <v>35</v>
      </c>
      <c r="S138" s="3720" t="s">
        <v>35</v>
      </c>
      <c r="T138" s="3621"/>
      <c r="U138" s="3621"/>
      <c r="V138" s="3621">
        <v>23</v>
      </c>
      <c r="W138" s="3621">
        <v>23</v>
      </c>
      <c r="X138" s="3621">
        <v>23</v>
      </c>
      <c r="Y138" s="3621">
        <v>23</v>
      </c>
      <c r="Z138" s="3621">
        <v>23</v>
      </c>
      <c r="AA138" s="3621">
        <v>23</v>
      </c>
      <c r="AB138" s="3621">
        <v>23</v>
      </c>
      <c r="AC138" s="3621" t="s">
        <v>35</v>
      </c>
      <c r="AD138" s="3720" t="s">
        <v>35</v>
      </c>
      <c r="AE138" s="3621" t="s">
        <v>35</v>
      </c>
      <c r="AF138" s="3621" t="s">
        <v>35</v>
      </c>
      <c r="AG138" s="3738"/>
      <c r="AH138" s="76"/>
      <c r="AI138" s="76"/>
    </row>
    <row r="139" spans="1:35" ht="24.75" customHeight="1">
      <c r="A139" s="3903">
        <v>5</v>
      </c>
      <c r="B139" s="3619" t="s">
        <v>216</v>
      </c>
      <c r="C139" s="3621" t="s">
        <v>35</v>
      </c>
      <c r="D139" s="3621" t="s">
        <v>35</v>
      </c>
      <c r="E139" s="3720" t="s">
        <v>35</v>
      </c>
      <c r="F139" s="3621"/>
      <c r="G139" s="3621"/>
      <c r="H139" s="3621">
        <v>23</v>
      </c>
      <c r="I139" s="3621">
        <v>23</v>
      </c>
      <c r="J139" s="3621">
        <v>23</v>
      </c>
      <c r="K139" s="3621">
        <v>23</v>
      </c>
      <c r="L139" s="3621">
        <v>23</v>
      </c>
      <c r="M139" s="3621">
        <v>23</v>
      </c>
      <c r="N139" s="3621">
        <v>23</v>
      </c>
      <c r="O139" s="3621" t="s">
        <v>35</v>
      </c>
      <c r="P139" s="3720" t="s">
        <v>35</v>
      </c>
      <c r="Q139" s="3621" t="s">
        <v>35</v>
      </c>
      <c r="R139" s="3621" t="s">
        <v>35</v>
      </c>
      <c r="S139" s="3720" t="s">
        <v>35</v>
      </c>
      <c r="T139" s="3621"/>
      <c r="U139" s="3621"/>
      <c r="V139" s="3621">
        <v>21</v>
      </c>
      <c r="W139" s="3621">
        <v>21</v>
      </c>
      <c r="X139" s="3621">
        <v>21</v>
      </c>
      <c r="Y139" s="3621">
        <v>21</v>
      </c>
      <c r="Z139" s="4183">
        <v>21</v>
      </c>
      <c r="AA139" s="4183">
        <v>21</v>
      </c>
      <c r="AB139" s="4183">
        <v>21</v>
      </c>
      <c r="AC139" s="3430" t="s">
        <v>35</v>
      </c>
      <c r="AD139" s="3430" t="s">
        <v>35</v>
      </c>
      <c r="AE139" s="3430" t="s">
        <v>35</v>
      </c>
      <c r="AF139" s="3621" t="s">
        <v>35</v>
      </c>
      <c r="AG139" s="3738"/>
      <c r="AH139" s="76"/>
      <c r="AI139" s="76"/>
    </row>
    <row r="140" spans="1:35" ht="24.75" customHeight="1" thickBot="1">
      <c r="A140" s="405">
        <v>6</v>
      </c>
      <c r="B140" s="406" t="s">
        <v>217</v>
      </c>
      <c r="C140" s="418" t="s">
        <v>35</v>
      </c>
      <c r="D140" s="418" t="s">
        <v>35</v>
      </c>
      <c r="E140" s="408" t="s">
        <v>35</v>
      </c>
      <c r="F140" s="418"/>
      <c r="G140" s="418"/>
      <c r="H140" s="409">
        <v>21</v>
      </c>
      <c r="I140" s="409">
        <v>21</v>
      </c>
      <c r="J140" s="409">
        <v>21</v>
      </c>
      <c r="K140" s="409">
        <v>21</v>
      </c>
      <c r="L140" s="409">
        <v>21</v>
      </c>
      <c r="M140" s="409">
        <v>21</v>
      </c>
      <c r="N140" s="410">
        <v>21</v>
      </c>
      <c r="O140" s="410" t="s">
        <v>35</v>
      </c>
      <c r="P140" s="408" t="s">
        <v>35</v>
      </c>
      <c r="Q140" s="418" t="s">
        <v>35</v>
      </c>
      <c r="R140" s="418" t="s">
        <v>35</v>
      </c>
      <c r="S140" s="408" t="s">
        <v>35</v>
      </c>
      <c r="T140" s="418"/>
      <c r="U140" s="418"/>
      <c r="V140" s="418">
        <v>22</v>
      </c>
      <c r="W140" s="418">
        <v>22</v>
      </c>
      <c r="X140" s="418">
        <v>22</v>
      </c>
      <c r="Y140" s="418">
        <v>22</v>
      </c>
      <c r="Z140" s="418">
        <v>22</v>
      </c>
      <c r="AA140" s="418">
        <v>22</v>
      </c>
      <c r="AB140" s="410">
        <v>22</v>
      </c>
      <c r="AC140" s="410" t="s">
        <v>35</v>
      </c>
      <c r="AD140" s="408" t="s">
        <v>35</v>
      </c>
      <c r="AE140" s="418" t="s">
        <v>35</v>
      </c>
      <c r="AF140" s="418" t="s">
        <v>35</v>
      </c>
      <c r="AG140" s="90"/>
      <c r="AH140" s="76"/>
      <c r="AI140" s="76"/>
    </row>
    <row r="141" spans="1:35" ht="24.75" customHeight="1">
      <c r="A141" s="36"/>
      <c r="B141" s="87"/>
      <c r="C141" s="91"/>
      <c r="D141" s="91"/>
      <c r="E141" s="85"/>
      <c r="F141" s="91"/>
      <c r="G141" s="91"/>
      <c r="H141" s="91"/>
      <c r="I141" s="91"/>
      <c r="J141" s="91"/>
      <c r="K141" s="91"/>
      <c r="L141" s="91"/>
      <c r="M141" s="91"/>
      <c r="N141" s="91"/>
      <c r="O141" s="91"/>
      <c r="P141" s="85"/>
      <c r="Q141" s="91"/>
      <c r="R141" s="91"/>
      <c r="S141" s="85"/>
      <c r="T141" s="91"/>
      <c r="U141" s="91"/>
      <c r="V141" s="91"/>
      <c r="W141" s="91"/>
      <c r="X141" s="91"/>
      <c r="Y141" s="91"/>
      <c r="Z141" s="91"/>
      <c r="AA141" s="91"/>
      <c r="AB141" s="91"/>
      <c r="AC141" s="92"/>
      <c r="AD141" s="92"/>
      <c r="AE141" s="92"/>
      <c r="AF141" s="91"/>
      <c r="AG141" s="85"/>
      <c r="AH141" s="76"/>
      <c r="AI141" s="76"/>
    </row>
    <row r="142" spans="1:35" ht="24.75" customHeight="1" thickBot="1">
      <c r="A142" s="14" t="s">
        <v>218</v>
      </c>
      <c r="D142" s="17"/>
      <c r="E142" s="17"/>
      <c r="F142" s="17"/>
      <c r="G142" s="80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</row>
    <row r="143" spans="1:35" ht="24.75" customHeight="1">
      <c r="A143" s="1"/>
      <c r="B143" s="3833" t="s">
        <v>186</v>
      </c>
      <c r="C143" s="3834"/>
      <c r="D143" s="3858" t="s">
        <v>87</v>
      </c>
      <c r="E143" s="3640"/>
      <c r="F143" s="3838"/>
      <c r="G143" s="3834"/>
      <c r="H143" s="3858" t="s">
        <v>88</v>
      </c>
      <c r="I143" s="3640"/>
      <c r="J143" s="3838"/>
      <c r="K143" s="3834"/>
      <c r="L143" s="3858" t="s">
        <v>89</v>
      </c>
      <c r="M143" s="3640"/>
      <c r="N143" s="3838"/>
      <c r="O143" s="3834"/>
      <c r="P143" s="3858" t="s">
        <v>90</v>
      </c>
      <c r="Q143" s="3640"/>
      <c r="R143" s="3838"/>
      <c r="S143" s="3834"/>
      <c r="T143" s="3858" t="s">
        <v>91</v>
      </c>
      <c r="U143" s="3640"/>
      <c r="V143" s="3838"/>
      <c r="W143" s="3834"/>
      <c r="X143" s="3858" t="s">
        <v>92</v>
      </c>
      <c r="Y143" s="3640"/>
      <c r="Z143" s="3838"/>
      <c r="AA143" s="3834"/>
      <c r="AB143" s="3858" t="s">
        <v>93</v>
      </c>
      <c r="AC143" s="3640"/>
      <c r="AD143" s="3640"/>
      <c r="AE143" s="3835" t="s">
        <v>94</v>
      </c>
      <c r="AF143" s="3640"/>
      <c r="AG143" s="3640"/>
      <c r="AH143" s="3640"/>
      <c r="AI143" s="3641"/>
    </row>
    <row r="144" spans="1:35" ht="24.75" customHeight="1">
      <c r="A144" s="1"/>
      <c r="B144" s="4259" t="s">
        <v>159</v>
      </c>
      <c r="C144" s="4157" t="s">
        <v>187</v>
      </c>
      <c r="D144" s="4031"/>
      <c r="E144" s="4031"/>
      <c r="F144" s="4262"/>
      <c r="G144" s="4157" t="s">
        <v>187</v>
      </c>
      <c r="H144" s="4031"/>
      <c r="I144" s="4031"/>
      <c r="J144" s="4262"/>
      <c r="K144" s="4157" t="s">
        <v>187</v>
      </c>
      <c r="L144" s="4031"/>
      <c r="M144" s="4031"/>
      <c r="N144" s="4262"/>
      <c r="O144" s="4157" t="s">
        <v>219</v>
      </c>
      <c r="P144" s="4031"/>
      <c r="Q144" s="4031"/>
      <c r="R144" s="4262"/>
      <c r="S144" s="4157" t="s">
        <v>172</v>
      </c>
      <c r="T144" s="4031"/>
      <c r="U144" s="4031"/>
      <c r="V144" s="4262"/>
      <c r="W144" s="4307"/>
      <c r="X144" s="4308"/>
      <c r="Y144" s="4308"/>
      <c r="Z144" s="4264"/>
      <c r="AA144" s="4260"/>
      <c r="AB144" s="4031"/>
      <c r="AC144" s="4031"/>
      <c r="AD144" s="4158"/>
      <c r="AE144" s="4265">
        <v>27</v>
      </c>
      <c r="AF144" s="4031"/>
      <c r="AG144" s="4031"/>
      <c r="AH144" s="4158"/>
      <c r="AI144" s="4040"/>
    </row>
    <row r="145" spans="1:35" ht="24.75" customHeight="1">
      <c r="A145" s="1"/>
      <c r="B145" s="4259" t="s">
        <v>163</v>
      </c>
      <c r="C145" s="4157" t="s">
        <v>220</v>
      </c>
      <c r="D145" s="4031"/>
      <c r="E145" s="4031"/>
      <c r="F145" s="4262"/>
      <c r="G145" s="4157" t="s">
        <v>220</v>
      </c>
      <c r="H145" s="4031"/>
      <c r="I145" s="4031"/>
      <c r="J145" s="4262"/>
      <c r="K145" s="4157" t="s">
        <v>220</v>
      </c>
      <c r="L145" s="4031"/>
      <c r="M145" s="4031"/>
      <c r="N145" s="4262"/>
      <c r="O145" s="4157" t="s">
        <v>220</v>
      </c>
      <c r="P145" s="4031"/>
      <c r="Q145" s="4031"/>
      <c r="R145" s="4262"/>
      <c r="S145" s="4157" t="s">
        <v>187</v>
      </c>
      <c r="T145" s="4031"/>
      <c r="U145" s="4031"/>
      <c r="V145" s="4262"/>
      <c r="W145" s="4157"/>
      <c r="X145" s="4031"/>
      <c r="Y145" s="4031"/>
      <c r="Z145" s="4262"/>
      <c r="AA145" s="4031"/>
      <c r="AB145" s="4031"/>
      <c r="AC145" s="4031"/>
      <c r="AD145" s="4158"/>
      <c r="AE145" s="4265">
        <v>39</v>
      </c>
      <c r="AF145" s="4031"/>
      <c r="AG145" s="4031"/>
      <c r="AH145" s="4158"/>
      <c r="AI145" s="4040"/>
    </row>
    <row r="146" spans="1:35" ht="24.75" customHeight="1">
      <c r="A146" s="1"/>
      <c r="B146" s="4259" t="s">
        <v>171</v>
      </c>
      <c r="C146" s="4157" t="s">
        <v>220</v>
      </c>
      <c r="D146" s="4031"/>
      <c r="E146" s="4031"/>
      <c r="F146" s="4262"/>
      <c r="G146" s="4157" t="s">
        <v>220</v>
      </c>
      <c r="H146" s="4031"/>
      <c r="I146" s="4031"/>
      <c r="J146" s="4262"/>
      <c r="K146" s="4157" t="s">
        <v>220</v>
      </c>
      <c r="L146" s="4031"/>
      <c r="M146" s="4031"/>
      <c r="N146" s="4262"/>
      <c r="O146" s="4157" t="s">
        <v>220</v>
      </c>
      <c r="P146" s="4031"/>
      <c r="Q146" s="4031"/>
      <c r="R146" s="4262"/>
      <c r="S146" s="4157" t="s">
        <v>220</v>
      </c>
      <c r="T146" s="4031"/>
      <c r="U146" s="4031"/>
      <c r="V146" s="4262"/>
      <c r="W146" s="4160" t="s">
        <v>221</v>
      </c>
      <c r="X146" s="4044"/>
      <c r="Y146" s="4044"/>
      <c r="Z146" s="4269"/>
      <c r="AA146" s="4267"/>
      <c r="AB146" s="4044"/>
      <c r="AC146" s="4044"/>
      <c r="AD146" s="4161"/>
      <c r="AE146" s="4265">
        <v>45</v>
      </c>
      <c r="AF146" s="4031"/>
      <c r="AG146" s="4031"/>
      <c r="AH146" s="4158"/>
      <c r="AI146" s="4040"/>
    </row>
    <row r="147" spans="1:35" ht="24.75" customHeight="1" thickBot="1">
      <c r="A147" s="1"/>
      <c r="B147" s="4309" t="s">
        <v>173</v>
      </c>
      <c r="C147" s="4298"/>
      <c r="D147" s="4095"/>
      <c r="E147" s="4095"/>
      <c r="F147" s="4300"/>
      <c r="G147" s="4298"/>
      <c r="H147" s="4095"/>
      <c r="I147" s="4095"/>
      <c r="J147" s="4300"/>
      <c r="K147" s="4298"/>
      <c r="L147" s="4095"/>
      <c r="M147" s="4095"/>
      <c r="N147" s="4300"/>
      <c r="O147" s="4298"/>
      <c r="P147" s="4095"/>
      <c r="Q147" s="4095"/>
      <c r="R147" s="4300"/>
      <c r="S147" s="4298"/>
      <c r="T147" s="4095"/>
      <c r="U147" s="4095"/>
      <c r="V147" s="4280"/>
      <c r="W147" s="4298"/>
      <c r="X147" s="4280"/>
      <c r="Y147" s="4095"/>
      <c r="Z147" s="4300"/>
      <c r="AA147" s="4298"/>
      <c r="AB147" s="4280"/>
      <c r="AC147" s="4095"/>
      <c r="AD147" s="4300"/>
      <c r="AE147" s="4310"/>
      <c r="AF147" s="4095"/>
      <c r="AG147" s="4095"/>
      <c r="AH147" s="4280"/>
      <c r="AI147" s="4102"/>
    </row>
    <row r="148" spans="1:35" ht="24.75" customHeight="1">
      <c r="A148" s="82"/>
      <c r="B148" s="1" t="s">
        <v>472</v>
      </c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</row>
    <row r="149" spans="1:35" ht="24.75" customHeight="1" thickBot="1">
      <c r="A149" s="4169"/>
      <c r="B149" s="4104" t="s">
        <v>29</v>
      </c>
      <c r="C149" s="4049">
        <v>1</v>
      </c>
      <c r="D149" s="4049">
        <v>2</v>
      </c>
      <c r="E149" s="4049">
        <v>3</v>
      </c>
      <c r="F149" s="4050">
        <v>4</v>
      </c>
      <c r="G149" s="4050">
        <v>5</v>
      </c>
      <c r="H149" s="4049">
        <v>6</v>
      </c>
      <c r="I149" s="4049">
        <v>7</v>
      </c>
      <c r="J149" s="4049">
        <v>8</v>
      </c>
      <c r="K149" s="4050">
        <v>9</v>
      </c>
      <c r="L149" s="4050">
        <v>10</v>
      </c>
      <c r="M149" s="4050">
        <v>11</v>
      </c>
      <c r="N149" s="4050">
        <v>12</v>
      </c>
      <c r="O149" s="4050">
        <v>13</v>
      </c>
      <c r="P149" s="4049">
        <v>14</v>
      </c>
      <c r="Q149" s="4049">
        <v>15</v>
      </c>
      <c r="R149" s="4049">
        <v>16</v>
      </c>
      <c r="S149" s="4049">
        <v>17</v>
      </c>
      <c r="T149" s="4050">
        <v>18</v>
      </c>
      <c r="U149" s="4050">
        <v>19</v>
      </c>
      <c r="V149" s="4049">
        <v>20</v>
      </c>
      <c r="W149" s="4049">
        <v>21</v>
      </c>
      <c r="X149" s="4049">
        <v>22</v>
      </c>
      <c r="Y149" s="4049">
        <v>23</v>
      </c>
      <c r="Z149" s="4049">
        <v>24</v>
      </c>
      <c r="AA149" s="4050">
        <v>25</v>
      </c>
      <c r="AB149" s="4050">
        <v>26</v>
      </c>
      <c r="AC149" s="4049">
        <v>27</v>
      </c>
      <c r="AD149" s="4049">
        <v>28</v>
      </c>
      <c r="AE149" s="4049">
        <v>29</v>
      </c>
      <c r="AF149" s="4049">
        <v>30</v>
      </c>
      <c r="AG149" s="4051"/>
      <c r="AH149" s="23"/>
      <c r="AI149" s="24"/>
    </row>
    <row r="150" spans="1:35" ht="24.75" customHeight="1">
      <c r="A150" s="4282">
        <v>1</v>
      </c>
      <c r="B150" s="4311" t="s">
        <v>223</v>
      </c>
      <c r="C150" s="4312" t="s">
        <v>31</v>
      </c>
      <c r="D150" s="4312" t="s">
        <v>31</v>
      </c>
      <c r="E150" s="4312" t="s">
        <v>31</v>
      </c>
      <c r="F150" s="4312"/>
      <c r="G150" s="4312"/>
      <c r="H150" s="3588" t="s">
        <v>31</v>
      </c>
      <c r="I150" s="3588" t="s">
        <v>31</v>
      </c>
      <c r="J150" s="3588" t="s">
        <v>31</v>
      </c>
      <c r="K150" s="4312"/>
      <c r="L150" s="4312"/>
      <c r="M150" s="4312"/>
      <c r="N150" s="4312"/>
      <c r="O150" s="4312" t="s">
        <v>31</v>
      </c>
      <c r="P150" s="4312" t="s">
        <v>31</v>
      </c>
      <c r="Q150" s="4312" t="s">
        <v>31</v>
      </c>
      <c r="R150" s="4312" t="s">
        <v>31</v>
      </c>
      <c r="S150" s="4312" t="s">
        <v>31</v>
      </c>
      <c r="T150" s="4312"/>
      <c r="U150" s="4312"/>
      <c r="V150" s="4312" t="s">
        <v>31</v>
      </c>
      <c r="W150" s="4312" t="s">
        <v>31</v>
      </c>
      <c r="X150" s="4312" t="s">
        <v>31</v>
      </c>
      <c r="Y150" s="4312" t="s">
        <v>31</v>
      </c>
      <c r="Z150" s="4312" t="s">
        <v>31</v>
      </c>
      <c r="AA150" s="4312"/>
      <c r="AB150" s="4312"/>
      <c r="AC150" s="4312" t="s">
        <v>31</v>
      </c>
      <c r="AD150" s="4312" t="s">
        <v>31</v>
      </c>
      <c r="AE150" s="4312" t="s">
        <v>31</v>
      </c>
      <c r="AF150" s="4312" t="s">
        <v>31</v>
      </c>
      <c r="AG150" s="4313"/>
      <c r="AH150" s="34"/>
      <c r="AI150" s="25"/>
    </row>
    <row r="151" spans="1:35" ht="24.75" customHeight="1">
      <c r="A151" s="4284">
        <v>2</v>
      </c>
      <c r="B151" s="4314" t="s">
        <v>224</v>
      </c>
      <c r="C151" s="4178" t="s">
        <v>225</v>
      </c>
      <c r="D151" s="4121" t="s">
        <v>225</v>
      </c>
      <c r="E151" s="4178" t="s">
        <v>35</v>
      </c>
      <c r="F151" s="4178"/>
      <c r="G151" s="4178"/>
      <c r="H151" s="4315" t="s">
        <v>114</v>
      </c>
      <c r="I151" s="4316" t="s">
        <v>114</v>
      </c>
      <c r="J151" s="4069" t="s">
        <v>114</v>
      </c>
      <c r="K151" s="4178"/>
      <c r="L151" s="4178"/>
      <c r="M151" s="4178"/>
      <c r="N151" s="4178"/>
      <c r="O151" s="4178" t="s">
        <v>115</v>
      </c>
      <c r="P151" s="4178" t="s">
        <v>115</v>
      </c>
      <c r="Q151" s="4178" t="s">
        <v>115</v>
      </c>
      <c r="R151" s="4178" t="s">
        <v>115</v>
      </c>
      <c r="S151" s="4178" t="s">
        <v>115</v>
      </c>
      <c r="T151" s="4178" t="s">
        <v>115</v>
      </c>
      <c r="U151" s="4178"/>
      <c r="V151" s="4178" t="s">
        <v>225</v>
      </c>
      <c r="W151" s="4178" t="s">
        <v>225</v>
      </c>
      <c r="X151" s="4178" t="s">
        <v>225</v>
      </c>
      <c r="Y151" s="4121" t="s">
        <v>225</v>
      </c>
      <c r="Z151" s="4121" t="s">
        <v>35</v>
      </c>
      <c r="AA151" s="4178"/>
      <c r="AB151" s="4178"/>
      <c r="AC151" s="4121" t="s">
        <v>114</v>
      </c>
      <c r="AD151" s="4178" t="s">
        <v>114</v>
      </c>
      <c r="AE151" s="4178" t="s">
        <v>114</v>
      </c>
      <c r="AF151" s="4178" t="s">
        <v>114</v>
      </c>
      <c r="AG151" s="4317"/>
      <c r="AH151" s="34"/>
      <c r="AI151" s="25"/>
    </row>
    <row r="152" spans="1:35" ht="24.75" customHeight="1">
      <c r="A152" s="4284">
        <v>3</v>
      </c>
      <c r="B152" s="4314" t="s">
        <v>226</v>
      </c>
      <c r="C152" s="4178" t="s">
        <v>114</v>
      </c>
      <c r="D152" s="4178" t="s">
        <v>114</v>
      </c>
      <c r="E152" s="4178" t="s">
        <v>114</v>
      </c>
      <c r="F152" s="4178"/>
      <c r="G152" s="4178"/>
      <c r="H152" s="4178" t="s">
        <v>115</v>
      </c>
      <c r="I152" s="4178" t="s">
        <v>115</v>
      </c>
      <c r="J152" s="4178" t="s">
        <v>115</v>
      </c>
      <c r="K152" s="4178" t="s">
        <v>115</v>
      </c>
      <c r="L152" s="4178" t="s">
        <v>115</v>
      </c>
      <c r="M152" s="4178" t="s">
        <v>115</v>
      </c>
      <c r="N152" s="4178"/>
      <c r="O152" s="4178" t="s">
        <v>225</v>
      </c>
      <c r="P152" s="4178" t="s">
        <v>225</v>
      </c>
      <c r="Q152" s="4178" t="s">
        <v>225</v>
      </c>
      <c r="R152" s="4178" t="s">
        <v>225</v>
      </c>
      <c r="S152" s="4121" t="s">
        <v>35</v>
      </c>
      <c r="T152" s="4178"/>
      <c r="U152" s="4178"/>
      <c r="V152" s="4178" t="s">
        <v>114</v>
      </c>
      <c r="W152" s="4178" t="s">
        <v>114</v>
      </c>
      <c r="X152" s="4178" t="s">
        <v>114</v>
      </c>
      <c r="Y152" s="4178" t="s">
        <v>114</v>
      </c>
      <c r="Z152" s="4178" t="s">
        <v>114</v>
      </c>
      <c r="AA152" s="4178"/>
      <c r="AB152" s="4178"/>
      <c r="AC152" s="4178" t="s">
        <v>115</v>
      </c>
      <c r="AD152" s="4178" t="s">
        <v>115</v>
      </c>
      <c r="AE152" s="4178" t="s">
        <v>115</v>
      </c>
      <c r="AF152" s="4178" t="s">
        <v>115</v>
      </c>
      <c r="AG152" s="4121"/>
      <c r="AH152" s="34"/>
      <c r="AI152" s="25"/>
    </row>
    <row r="153" spans="1:35" ht="24.75" customHeight="1">
      <c r="A153" s="4284">
        <v>4</v>
      </c>
      <c r="B153" s="4318" t="s">
        <v>227</v>
      </c>
      <c r="C153" s="4178"/>
      <c r="D153" s="4178"/>
      <c r="E153" s="4286" t="s">
        <v>31</v>
      </c>
      <c r="F153" s="4286" t="s">
        <v>115</v>
      </c>
      <c r="G153" s="4178"/>
      <c r="H153" s="4121"/>
      <c r="I153" s="4286" t="s">
        <v>31</v>
      </c>
      <c r="J153" s="4286" t="s">
        <v>31</v>
      </c>
      <c r="K153" s="4121"/>
      <c r="L153" s="4121"/>
      <c r="M153" s="4178"/>
      <c r="N153" s="4178"/>
      <c r="O153" s="4121"/>
      <c r="P153" s="4121" t="s">
        <v>31</v>
      </c>
      <c r="Q153" s="4121" t="s">
        <v>31</v>
      </c>
      <c r="R153" s="4121"/>
      <c r="S153" s="4121" t="s">
        <v>31</v>
      </c>
      <c r="T153" s="4178"/>
      <c r="U153" s="4178"/>
      <c r="V153" s="4121"/>
      <c r="W153" s="4121" t="s">
        <v>31</v>
      </c>
      <c r="X153" s="4121"/>
      <c r="Y153" s="4121"/>
      <c r="Z153" s="4121" t="s">
        <v>31</v>
      </c>
      <c r="AA153" s="4121" t="s">
        <v>115</v>
      </c>
      <c r="AB153" s="4178"/>
      <c r="AC153" s="4121"/>
      <c r="AD153" s="4121" t="s">
        <v>31</v>
      </c>
      <c r="AE153" s="4121" t="s">
        <v>31</v>
      </c>
      <c r="AF153" s="4121"/>
      <c r="AG153" s="4317"/>
      <c r="AH153" s="34"/>
      <c r="AI153" s="25"/>
    </row>
    <row r="154" spans="1:35" ht="24.75" customHeight="1">
      <c r="A154" s="4284">
        <v>5</v>
      </c>
      <c r="B154" s="4318" t="s">
        <v>228</v>
      </c>
      <c r="C154" s="4178"/>
      <c r="D154" s="4178" t="s">
        <v>31</v>
      </c>
      <c r="E154" s="4178"/>
      <c r="F154" s="4178"/>
      <c r="G154" s="4178"/>
      <c r="H154" s="4178"/>
      <c r="I154" s="4178" t="s">
        <v>31</v>
      </c>
      <c r="J154" s="4178"/>
      <c r="K154" s="4178"/>
      <c r="L154" s="4178"/>
      <c r="M154" s="4178"/>
      <c r="N154" s="4178"/>
      <c r="O154" s="4178"/>
      <c r="P154" s="4178" t="s">
        <v>31</v>
      </c>
      <c r="Q154" s="4178"/>
      <c r="R154" s="4178" t="s">
        <v>31</v>
      </c>
      <c r="S154" s="4178"/>
      <c r="T154" s="4178"/>
      <c r="U154" s="4178"/>
      <c r="V154" s="4178"/>
      <c r="W154" s="4178" t="s">
        <v>31</v>
      </c>
      <c r="X154" s="4178"/>
      <c r="Y154" s="4178" t="s">
        <v>31</v>
      </c>
      <c r="Z154" s="4178"/>
      <c r="AA154" s="4178"/>
      <c r="AB154" s="4178"/>
      <c r="AC154" s="4178"/>
      <c r="AD154" s="4178" t="s">
        <v>31</v>
      </c>
      <c r="AE154" s="4178"/>
      <c r="AF154" s="4178" t="s">
        <v>31</v>
      </c>
      <c r="AG154" s="4317"/>
      <c r="AH154" s="34"/>
      <c r="AI154" s="25"/>
    </row>
    <row r="155" spans="1:35" ht="24.75" customHeight="1" thickBot="1">
      <c r="A155" s="4291">
        <v>6</v>
      </c>
      <c r="B155" s="4116" t="s">
        <v>229</v>
      </c>
      <c r="C155" s="4319" t="s">
        <v>31</v>
      </c>
      <c r="D155" s="4319" t="s">
        <v>31</v>
      </c>
      <c r="E155" s="4319" t="s">
        <v>31</v>
      </c>
      <c r="F155" s="4319"/>
      <c r="G155" s="4319"/>
      <c r="H155" s="4319" t="s">
        <v>31</v>
      </c>
      <c r="I155" s="4319" t="s">
        <v>31</v>
      </c>
      <c r="J155" s="4319" t="s">
        <v>31</v>
      </c>
      <c r="K155" s="4319"/>
      <c r="L155" s="4319"/>
      <c r="M155" s="4319"/>
      <c r="N155" s="4319"/>
      <c r="O155" s="4319" t="s">
        <v>31</v>
      </c>
      <c r="P155" s="4180" t="s">
        <v>31</v>
      </c>
      <c r="Q155" s="4320" t="s">
        <v>31</v>
      </c>
      <c r="R155" s="4319" t="s">
        <v>31</v>
      </c>
      <c r="S155" s="4138" t="s">
        <v>31</v>
      </c>
      <c r="T155" s="4138"/>
      <c r="U155" s="4138"/>
      <c r="V155" s="4138" t="s">
        <v>31</v>
      </c>
      <c r="W155" s="4319" t="s">
        <v>31</v>
      </c>
      <c r="X155" s="4319" t="s">
        <v>31</v>
      </c>
      <c r="Y155" s="4319" t="s">
        <v>31</v>
      </c>
      <c r="Z155" s="4319" t="s">
        <v>31</v>
      </c>
      <c r="AA155" s="4319"/>
      <c r="AB155" s="4319"/>
      <c r="AC155" s="4319" t="s">
        <v>31</v>
      </c>
      <c r="AD155" s="4319" t="s">
        <v>31</v>
      </c>
      <c r="AE155" s="4319" t="s">
        <v>31</v>
      </c>
      <c r="AF155" s="4319" t="s">
        <v>31</v>
      </c>
      <c r="AG155" s="4321"/>
      <c r="AH155" s="93"/>
      <c r="AI155" s="76"/>
    </row>
    <row r="156" spans="1:35" ht="24.75" customHeight="1">
      <c r="A156" s="36"/>
      <c r="B156" s="87"/>
      <c r="C156" s="133"/>
      <c r="D156" s="133"/>
      <c r="E156" s="133"/>
      <c r="F156" s="133"/>
      <c r="G156" s="133"/>
      <c r="H156" s="133"/>
      <c r="I156" s="133"/>
      <c r="J156" s="133"/>
      <c r="K156" s="133"/>
      <c r="L156" s="133"/>
      <c r="M156" s="133"/>
      <c r="N156" s="133"/>
      <c r="O156" s="133"/>
      <c r="P156" s="133"/>
      <c r="Q156" s="133"/>
      <c r="R156" s="133"/>
      <c r="S156" s="133"/>
      <c r="T156" s="133"/>
      <c r="U156" s="133"/>
      <c r="V156" s="133"/>
      <c r="W156" s="133"/>
      <c r="X156" s="133"/>
      <c r="Y156" s="133"/>
      <c r="Z156" s="133"/>
      <c r="AA156" s="133"/>
      <c r="AB156" s="133"/>
      <c r="AC156" s="133"/>
      <c r="AD156" s="78"/>
      <c r="AE156" s="78"/>
      <c r="AF156" s="78"/>
      <c r="AG156" s="78"/>
      <c r="AH156" s="76"/>
      <c r="AI156" s="76"/>
    </row>
    <row r="157" spans="1:35" ht="24.75" customHeight="1">
      <c r="A157" s="94" t="s">
        <v>230</v>
      </c>
      <c r="B157" s="17"/>
      <c r="C157" s="38" t="s">
        <v>96</v>
      </c>
      <c r="D157" s="17"/>
      <c r="E157" s="17"/>
      <c r="F157" s="38" t="s">
        <v>96</v>
      </c>
      <c r="G157" s="17"/>
      <c r="H157" s="17"/>
      <c r="I157" s="38" t="s">
        <v>96</v>
      </c>
      <c r="J157" s="38"/>
      <c r="K157" s="17"/>
      <c r="L157" s="38" t="s">
        <v>96</v>
      </c>
      <c r="M157" s="17"/>
      <c r="N157" s="17"/>
      <c r="O157" s="38" t="s">
        <v>96</v>
      </c>
      <c r="P157" s="17"/>
      <c r="Q157" s="38"/>
      <c r="R157" s="38" t="s">
        <v>96</v>
      </c>
      <c r="S157" s="17"/>
      <c r="T157" s="17"/>
      <c r="U157" s="38" t="s">
        <v>96</v>
      </c>
      <c r="V157" s="17"/>
      <c r="W157" s="38"/>
      <c r="X157" s="38"/>
      <c r="Y157" s="17"/>
      <c r="Z157" s="17"/>
      <c r="AA157" s="17"/>
      <c r="AB157" s="17"/>
      <c r="AC157" s="17"/>
      <c r="AD157" s="17"/>
      <c r="AE157" s="38"/>
      <c r="AF157" s="17"/>
      <c r="AG157" s="17"/>
      <c r="AH157" s="76"/>
      <c r="AI157" s="76"/>
    </row>
    <row r="158" spans="1:35" ht="24.75" customHeight="1">
      <c r="A158" s="36"/>
      <c r="B158" s="4322" t="s">
        <v>231</v>
      </c>
      <c r="C158" s="4323"/>
      <c r="D158" s="4324" t="s">
        <v>87</v>
      </c>
      <c r="E158" s="4325"/>
      <c r="F158" s="4326"/>
      <c r="G158" s="4327"/>
      <c r="H158" s="4324" t="s">
        <v>88</v>
      </c>
      <c r="I158" s="4325"/>
      <c r="J158" s="4326"/>
      <c r="K158" s="4327"/>
      <c r="L158" s="4324" t="s">
        <v>89</v>
      </c>
      <c r="M158" s="4325"/>
      <c r="N158" s="4326"/>
      <c r="O158" s="4327"/>
      <c r="P158" s="4324" t="s">
        <v>90</v>
      </c>
      <c r="Q158" s="4325"/>
      <c r="R158" s="4326"/>
      <c r="S158" s="4327"/>
      <c r="T158" s="4324" t="s">
        <v>91</v>
      </c>
      <c r="U158" s="4328"/>
      <c r="V158" s="271"/>
      <c r="W158" s="271"/>
      <c r="X158" s="292"/>
      <c r="Y158" s="271"/>
      <c r="Z158" s="271"/>
      <c r="AA158" s="271"/>
      <c r="AB158" s="292"/>
      <c r="AC158" s="271"/>
      <c r="AD158" s="271"/>
      <c r="AE158" s="292"/>
      <c r="AF158" s="271"/>
      <c r="AG158" s="271"/>
      <c r="AH158" s="271"/>
      <c r="AI158" s="271"/>
    </row>
    <row r="159" spans="1:35" ht="24.75" customHeight="1">
      <c r="A159" s="36"/>
      <c r="B159" s="3522" t="s">
        <v>232</v>
      </c>
      <c r="C159" s="4329" t="s">
        <v>233</v>
      </c>
      <c r="D159" s="4330" t="s">
        <v>234</v>
      </c>
      <c r="E159" s="4331"/>
      <c r="F159" s="4332"/>
      <c r="G159" s="4333"/>
      <c r="H159" s="4330" t="s">
        <v>234</v>
      </c>
      <c r="I159" s="4331"/>
      <c r="J159" s="4332"/>
      <c r="K159" s="4333"/>
      <c r="L159" s="4330" t="s">
        <v>234</v>
      </c>
      <c r="M159" s="4331"/>
      <c r="N159" s="4332"/>
      <c r="O159" s="4333"/>
      <c r="P159" s="4330" t="s">
        <v>235</v>
      </c>
      <c r="Q159" s="4331"/>
      <c r="R159" s="4332"/>
      <c r="S159" s="4333"/>
      <c r="T159" s="4330" t="s">
        <v>236</v>
      </c>
      <c r="U159" s="4332"/>
      <c r="V159" s="287"/>
      <c r="W159" s="288"/>
      <c r="X159" s="287"/>
      <c r="Y159" s="287"/>
      <c r="Z159" s="287"/>
      <c r="AA159" s="288"/>
      <c r="AB159" s="287"/>
      <c r="AC159" s="287"/>
      <c r="AD159" s="287"/>
      <c r="AE159" s="288"/>
      <c r="AF159" s="287"/>
      <c r="AG159" s="287"/>
      <c r="AH159" s="83"/>
      <c r="AI159" s="83"/>
    </row>
    <row r="160" spans="1:35" ht="24.75" customHeight="1">
      <c r="A160" s="36"/>
      <c r="B160" s="3522" t="s">
        <v>232</v>
      </c>
      <c r="C160" s="4329" t="s">
        <v>237</v>
      </c>
      <c r="D160" s="4330" t="s">
        <v>234</v>
      </c>
      <c r="E160" s="4331"/>
      <c r="F160" s="4332"/>
      <c r="G160" s="4333"/>
      <c r="H160" s="4330" t="s">
        <v>234</v>
      </c>
      <c r="I160" s="4331"/>
      <c r="J160" s="4332"/>
      <c r="K160" s="4333"/>
      <c r="L160" s="4330" t="s">
        <v>234</v>
      </c>
      <c r="M160" s="4331"/>
      <c r="N160" s="4332"/>
      <c r="O160" s="4333"/>
      <c r="P160" s="4330" t="s">
        <v>235</v>
      </c>
      <c r="Q160" s="4331"/>
      <c r="R160" s="4332"/>
      <c r="S160" s="4333"/>
      <c r="T160" s="4330" t="s">
        <v>236</v>
      </c>
      <c r="U160" s="4332"/>
      <c r="V160" s="287"/>
      <c r="W160" s="288"/>
      <c r="X160" s="287"/>
      <c r="Y160" s="287"/>
      <c r="Z160" s="287"/>
      <c r="AA160" s="288"/>
      <c r="AB160" s="287"/>
      <c r="AC160" s="287"/>
      <c r="AD160" s="287"/>
      <c r="AE160" s="288"/>
      <c r="AF160" s="287"/>
      <c r="AG160" s="287"/>
      <c r="AH160" s="83"/>
      <c r="AI160" s="83"/>
    </row>
    <row r="161" spans="1:35" ht="24.75" customHeight="1">
      <c r="A161" s="36"/>
      <c r="B161" s="3522" t="s">
        <v>238</v>
      </c>
      <c r="C161" s="4329" t="s">
        <v>201</v>
      </c>
      <c r="D161" s="4330" t="s">
        <v>234</v>
      </c>
      <c r="E161" s="4331"/>
      <c r="F161" s="4332"/>
      <c r="G161" s="4333"/>
      <c r="H161" s="4330" t="s">
        <v>234</v>
      </c>
      <c r="I161" s="4331"/>
      <c r="J161" s="4332"/>
      <c r="K161" s="4333"/>
      <c r="L161" s="4330" t="s">
        <v>234</v>
      </c>
      <c r="M161" s="4331"/>
      <c r="N161" s="4332"/>
      <c r="O161" s="4333"/>
      <c r="P161" s="4330" t="s">
        <v>235</v>
      </c>
      <c r="Q161" s="4331"/>
      <c r="R161" s="4332"/>
      <c r="S161" s="4333"/>
      <c r="T161" s="4330" t="s">
        <v>236</v>
      </c>
      <c r="U161" s="4332"/>
      <c r="V161" s="287"/>
      <c r="W161" s="288"/>
      <c r="X161" s="287"/>
      <c r="Y161" s="287"/>
      <c r="Z161" s="287"/>
      <c r="AA161" s="288"/>
      <c r="AB161" s="287"/>
      <c r="AC161" s="287"/>
      <c r="AD161" s="287"/>
      <c r="AE161" s="288"/>
      <c r="AF161" s="287"/>
      <c r="AG161" s="287"/>
      <c r="AH161" s="83"/>
      <c r="AI161" s="83"/>
    </row>
    <row r="162" spans="1:35" ht="24.75" customHeight="1">
      <c r="A162" s="36"/>
      <c r="B162" s="3522" t="s">
        <v>239</v>
      </c>
      <c r="C162" s="4329" t="s">
        <v>121</v>
      </c>
      <c r="D162" s="4330" t="s">
        <v>240</v>
      </c>
      <c r="E162" s="4331"/>
      <c r="F162" s="4332"/>
      <c r="G162" s="4333"/>
      <c r="H162" s="4330" t="s">
        <v>240</v>
      </c>
      <c r="I162" s="4331"/>
      <c r="J162" s="4332"/>
      <c r="K162" s="4333"/>
      <c r="L162" s="4330" t="s">
        <v>240</v>
      </c>
      <c r="M162" s="4331"/>
      <c r="N162" s="4332"/>
      <c r="O162" s="4333"/>
      <c r="P162" s="4330" t="s">
        <v>241</v>
      </c>
      <c r="Q162" s="4331"/>
      <c r="R162" s="4332"/>
      <c r="S162" s="4333"/>
      <c r="T162" s="4330" t="s">
        <v>242</v>
      </c>
      <c r="U162" s="4332"/>
      <c r="V162" s="287"/>
      <c r="W162" s="288"/>
      <c r="X162" s="287"/>
      <c r="Y162" s="287"/>
      <c r="Z162" s="287"/>
      <c r="AA162" s="288"/>
      <c r="AB162" s="287"/>
      <c r="AC162" s="287"/>
      <c r="AD162" s="287"/>
      <c r="AE162" s="288"/>
      <c r="AF162" s="287"/>
      <c r="AG162" s="287"/>
      <c r="AH162" s="83"/>
      <c r="AI162" s="83"/>
    </row>
    <row r="163" spans="1:35" ht="24.75" customHeight="1">
      <c r="A163" s="36"/>
      <c r="B163" s="3522" t="s">
        <v>243</v>
      </c>
      <c r="C163" s="4329" t="s">
        <v>244</v>
      </c>
      <c r="D163" s="4330" t="s">
        <v>245</v>
      </c>
      <c r="E163" s="4331"/>
      <c r="F163" s="4332"/>
      <c r="G163" s="4333"/>
      <c r="H163" s="4330" t="s">
        <v>245</v>
      </c>
      <c r="I163" s="4331"/>
      <c r="J163" s="4332"/>
      <c r="K163" s="4333"/>
      <c r="L163" s="4330" t="s">
        <v>246</v>
      </c>
      <c r="M163" s="4331"/>
      <c r="N163" s="4332"/>
      <c r="O163" s="4333"/>
      <c r="P163" s="4330" t="s">
        <v>247</v>
      </c>
      <c r="Q163" s="4331"/>
      <c r="R163" s="4332"/>
      <c r="S163" s="4333"/>
      <c r="T163" s="4330" t="s">
        <v>242</v>
      </c>
      <c r="U163" s="4332"/>
      <c r="V163" s="287"/>
      <c r="W163" s="288"/>
      <c r="X163" s="287"/>
      <c r="Y163" s="287"/>
      <c r="Z163" s="287"/>
      <c r="AA163" s="288"/>
      <c r="AB163" s="287"/>
      <c r="AC163" s="287"/>
      <c r="AD163" s="287"/>
      <c r="AE163" s="288"/>
      <c r="AF163" s="287"/>
      <c r="AG163" s="287"/>
      <c r="AH163" s="83"/>
      <c r="AI163" s="83"/>
    </row>
    <row r="164" spans="1:35" ht="24.75" customHeight="1">
      <c r="A164" s="36"/>
      <c r="B164" s="3522" t="s">
        <v>248</v>
      </c>
      <c r="C164" s="4329" t="s">
        <v>128</v>
      </c>
      <c r="D164" s="4330" t="s">
        <v>234</v>
      </c>
      <c r="E164" s="4331"/>
      <c r="F164" s="4332"/>
      <c r="G164" s="4333"/>
      <c r="H164" s="4330" t="s">
        <v>234</v>
      </c>
      <c r="I164" s="4331"/>
      <c r="J164" s="4332"/>
      <c r="K164" s="4333"/>
      <c r="L164" s="4330" t="s">
        <v>234</v>
      </c>
      <c r="M164" s="4331"/>
      <c r="N164" s="4332"/>
      <c r="O164" s="4333"/>
      <c r="P164" s="4330" t="s">
        <v>234</v>
      </c>
      <c r="Q164" s="4331"/>
      <c r="R164" s="4332"/>
      <c r="S164" s="4333"/>
      <c r="T164" s="3180" t="s">
        <v>245</v>
      </c>
      <c r="U164" s="4332"/>
      <c r="V164" s="287"/>
      <c r="W164" s="288"/>
      <c r="X164" s="287"/>
      <c r="Y164" s="287"/>
      <c r="Z164" s="287"/>
      <c r="AA164" s="288"/>
      <c r="AB164" s="287"/>
      <c r="AC164" s="287"/>
      <c r="AD164" s="287"/>
      <c r="AE164" s="288"/>
      <c r="AF164" s="287"/>
      <c r="AG164" s="287"/>
      <c r="AH164" s="83"/>
      <c r="AI164" s="83"/>
    </row>
    <row r="165" spans="1:35" ht="24.75" customHeight="1">
      <c r="A165" s="36"/>
      <c r="B165" s="3522" t="s">
        <v>249</v>
      </c>
      <c r="C165" s="4329" t="s">
        <v>250</v>
      </c>
      <c r="D165" s="4330" t="s">
        <v>234</v>
      </c>
      <c r="E165" s="4331"/>
      <c r="F165" s="4332"/>
      <c r="G165" s="4333"/>
      <c r="H165" s="4330" t="s">
        <v>234</v>
      </c>
      <c r="I165" s="4331"/>
      <c r="J165" s="4332"/>
      <c r="K165" s="4333"/>
      <c r="L165" s="4330" t="s">
        <v>234</v>
      </c>
      <c r="M165" s="4331"/>
      <c r="N165" s="4332"/>
      <c r="O165" s="4333"/>
      <c r="P165" s="4330" t="s">
        <v>235</v>
      </c>
      <c r="Q165" s="4331"/>
      <c r="R165" s="4332"/>
      <c r="S165" s="4333"/>
      <c r="T165" s="4330" t="s">
        <v>236</v>
      </c>
      <c r="U165" s="4332"/>
      <c r="V165" s="287"/>
      <c r="W165" s="288"/>
      <c r="X165" s="287"/>
      <c r="Y165" s="287"/>
      <c r="Z165" s="287"/>
      <c r="AA165" s="288"/>
      <c r="AB165" s="287"/>
      <c r="AC165" s="287"/>
      <c r="AD165" s="287"/>
      <c r="AE165" s="288"/>
      <c r="AF165" s="287"/>
      <c r="AG165" s="287"/>
      <c r="AH165" s="83"/>
      <c r="AI165" s="83"/>
    </row>
    <row r="166" spans="1:35" ht="24.75" customHeight="1">
      <c r="A166" s="36"/>
      <c r="B166" s="3522" t="s">
        <v>249</v>
      </c>
      <c r="C166" s="4329" t="s">
        <v>251</v>
      </c>
      <c r="D166" s="4330" t="s">
        <v>234</v>
      </c>
      <c r="E166" s="4331"/>
      <c r="F166" s="4332"/>
      <c r="G166" s="4333"/>
      <c r="H166" s="4330" t="s">
        <v>234</v>
      </c>
      <c r="I166" s="4331"/>
      <c r="J166" s="4332"/>
      <c r="K166" s="4333"/>
      <c r="L166" s="4330" t="s">
        <v>234</v>
      </c>
      <c r="M166" s="4331"/>
      <c r="N166" s="4332"/>
      <c r="O166" s="4333"/>
      <c r="P166" s="4330" t="s">
        <v>235</v>
      </c>
      <c r="Q166" s="4331"/>
      <c r="R166" s="4332"/>
      <c r="S166" s="4333"/>
      <c r="T166" s="4330" t="s">
        <v>236</v>
      </c>
      <c r="U166" s="4332"/>
      <c r="V166" s="287"/>
      <c r="W166" s="288"/>
      <c r="X166" s="287"/>
      <c r="Y166" s="287"/>
      <c r="Z166" s="287"/>
      <c r="AA166" s="288"/>
      <c r="AB166" s="287"/>
      <c r="AC166" s="287"/>
      <c r="AD166" s="287"/>
      <c r="AE166" s="288"/>
      <c r="AF166" s="287"/>
      <c r="AG166" s="287"/>
      <c r="AH166" s="83"/>
      <c r="AI166" s="83"/>
    </row>
    <row r="167" spans="1:35" ht="24.75" customHeight="1">
      <c r="A167" s="36"/>
      <c r="B167" s="3522" t="s">
        <v>252</v>
      </c>
      <c r="C167" s="4329" t="s">
        <v>253</v>
      </c>
      <c r="D167" s="4330" t="s">
        <v>234</v>
      </c>
      <c r="E167" s="4331"/>
      <c r="F167" s="4332"/>
      <c r="G167" s="4333"/>
      <c r="H167" s="4330" t="s">
        <v>234</v>
      </c>
      <c r="I167" s="4331"/>
      <c r="J167" s="4332"/>
      <c r="K167" s="4333"/>
      <c r="L167" s="4330" t="s">
        <v>234</v>
      </c>
      <c r="M167" s="4331"/>
      <c r="N167" s="4332"/>
      <c r="O167" s="4333"/>
      <c r="P167" s="4330" t="s">
        <v>254</v>
      </c>
      <c r="Q167" s="4331"/>
      <c r="R167" s="4332"/>
      <c r="S167" s="4333"/>
      <c r="T167" s="4330" t="s">
        <v>242</v>
      </c>
      <c r="U167" s="4332"/>
      <c r="V167" s="287"/>
      <c r="W167" s="288"/>
      <c r="X167" s="287"/>
      <c r="Y167" s="287"/>
      <c r="Z167" s="287"/>
      <c r="AA167" s="288"/>
      <c r="AB167" s="287"/>
      <c r="AC167" s="287"/>
      <c r="AD167" s="287"/>
      <c r="AE167" s="288"/>
      <c r="AF167" s="287"/>
      <c r="AG167" s="287"/>
      <c r="AH167" s="83"/>
      <c r="AI167" s="83"/>
    </row>
    <row r="168" spans="1:35" ht="24.75" customHeight="1">
      <c r="A168" s="36"/>
      <c r="B168" s="4334" t="s">
        <v>255</v>
      </c>
      <c r="C168" s="4329" t="s">
        <v>123</v>
      </c>
      <c r="D168" s="4330" t="s">
        <v>234</v>
      </c>
      <c r="E168" s="4331"/>
      <c r="F168" s="4332"/>
      <c r="G168" s="4333"/>
      <c r="H168" s="4330" t="s">
        <v>234</v>
      </c>
      <c r="I168" s="4331"/>
      <c r="J168" s="4332"/>
      <c r="K168" s="4333"/>
      <c r="L168" s="4330" t="s">
        <v>234</v>
      </c>
      <c r="M168" s="4331"/>
      <c r="N168" s="4332"/>
      <c r="O168" s="4333"/>
      <c r="P168" s="4330" t="s">
        <v>235</v>
      </c>
      <c r="Q168" s="4331"/>
      <c r="R168" s="4332"/>
      <c r="S168" s="4333"/>
      <c r="T168" s="4330" t="s">
        <v>236</v>
      </c>
      <c r="U168" s="4332"/>
      <c r="V168" s="287"/>
      <c r="W168" s="288"/>
      <c r="X168" s="287"/>
      <c r="Y168" s="287"/>
      <c r="Z168" s="287"/>
      <c r="AA168" s="288"/>
      <c r="AB168" s="287"/>
      <c r="AC168" s="287"/>
      <c r="AD168" s="287"/>
      <c r="AE168" s="288"/>
      <c r="AF168" s="287"/>
      <c r="AG168" s="287"/>
      <c r="AH168" s="83"/>
      <c r="AI168" s="83"/>
    </row>
    <row r="169" spans="1:35" ht="24.75" customHeight="1">
      <c r="A169" s="36"/>
      <c r="B169" s="3522" t="s">
        <v>256</v>
      </c>
      <c r="C169" s="4329" t="s">
        <v>146</v>
      </c>
      <c r="D169" s="4330" t="s">
        <v>234</v>
      </c>
      <c r="E169" s="4331"/>
      <c r="F169" s="4332"/>
      <c r="G169" s="4333"/>
      <c r="H169" s="4330" t="s">
        <v>234</v>
      </c>
      <c r="I169" s="4331"/>
      <c r="J169" s="4332"/>
      <c r="K169" s="4333"/>
      <c r="L169" s="4330" t="s">
        <v>234</v>
      </c>
      <c r="M169" s="4331"/>
      <c r="N169" s="4332"/>
      <c r="O169" s="4333"/>
      <c r="P169" s="4330" t="s">
        <v>235</v>
      </c>
      <c r="Q169" s="4331"/>
      <c r="R169" s="4332"/>
      <c r="S169" s="4333"/>
      <c r="T169" s="4330" t="s">
        <v>236</v>
      </c>
      <c r="U169" s="4332"/>
      <c r="V169" s="287"/>
      <c r="W169" s="288"/>
      <c r="X169" s="287"/>
      <c r="Y169" s="287"/>
      <c r="Z169" s="287"/>
      <c r="AA169" s="288"/>
      <c r="AB169" s="287"/>
      <c r="AC169" s="287"/>
      <c r="AD169" s="287"/>
      <c r="AE169" s="288"/>
      <c r="AF169" s="287"/>
      <c r="AG169" s="287"/>
      <c r="AH169" s="83"/>
      <c r="AI169" s="83"/>
    </row>
    <row r="170" spans="1:35" ht="24.75" customHeight="1">
      <c r="A170" s="36"/>
      <c r="B170" s="3522" t="s">
        <v>257</v>
      </c>
      <c r="C170" s="4335" t="s">
        <v>136</v>
      </c>
      <c r="D170" s="4330" t="s">
        <v>258</v>
      </c>
      <c r="E170" s="4331"/>
      <c r="F170" s="4332"/>
      <c r="G170" s="4333"/>
      <c r="H170" s="4330" t="s">
        <v>258</v>
      </c>
      <c r="I170" s="4331"/>
      <c r="J170" s="4332"/>
      <c r="K170" s="4333"/>
      <c r="L170" s="4330" t="s">
        <v>258</v>
      </c>
      <c r="M170" s="4331"/>
      <c r="N170" s="4331"/>
      <c r="O170" s="4333"/>
      <c r="P170" s="4330" t="s">
        <v>258</v>
      </c>
      <c r="Q170" s="4331"/>
      <c r="R170" s="4331"/>
      <c r="S170" s="4333"/>
      <c r="T170" s="4330" t="s">
        <v>242</v>
      </c>
      <c r="U170" s="4332"/>
      <c r="V170" s="287"/>
      <c r="W170" s="287"/>
      <c r="X170" s="287"/>
      <c r="Y170" s="287"/>
      <c r="Z170" s="287"/>
      <c r="AA170" s="288"/>
      <c r="AB170" s="287"/>
      <c r="AC170" s="287"/>
      <c r="AD170" s="287"/>
      <c r="AE170" s="288"/>
      <c r="AF170" s="287"/>
      <c r="AG170" s="287"/>
      <c r="AH170" s="83"/>
      <c r="AI170" s="83"/>
    </row>
    <row r="171" spans="1:35" ht="24.75" customHeight="1">
      <c r="A171" s="36"/>
      <c r="B171" s="3522" t="s">
        <v>259</v>
      </c>
      <c r="C171" s="4335" t="s">
        <v>112</v>
      </c>
      <c r="D171" s="4330" t="s">
        <v>258</v>
      </c>
      <c r="E171" s="4331"/>
      <c r="F171" s="4332"/>
      <c r="G171" s="4333"/>
      <c r="H171" s="4330" t="s">
        <v>258</v>
      </c>
      <c r="I171" s="4331"/>
      <c r="J171" s="4332"/>
      <c r="K171" s="4333"/>
      <c r="L171" s="4330" t="s">
        <v>258</v>
      </c>
      <c r="M171" s="4331"/>
      <c r="N171" s="4331"/>
      <c r="O171" s="4333"/>
      <c r="P171" s="4330" t="s">
        <v>258</v>
      </c>
      <c r="Q171" s="4331"/>
      <c r="R171" s="4331"/>
      <c r="S171" s="4333"/>
      <c r="T171" s="4330" t="s">
        <v>242</v>
      </c>
      <c r="U171" s="4332"/>
      <c r="V171" s="287"/>
      <c r="W171" s="287"/>
      <c r="X171" s="287"/>
      <c r="Y171" s="287"/>
      <c r="Z171" s="287"/>
      <c r="AA171" s="288"/>
      <c r="AB171" s="287"/>
      <c r="AC171" s="287"/>
      <c r="AD171" s="287"/>
      <c r="AE171" s="288"/>
      <c r="AF171" s="287"/>
      <c r="AG171" s="287"/>
      <c r="AH171" s="83"/>
      <c r="AI171" s="83"/>
    </row>
    <row r="172" spans="1:35" ht="24.75" customHeight="1">
      <c r="A172" s="36"/>
      <c r="B172" s="3522" t="s">
        <v>260</v>
      </c>
      <c r="C172" s="4335" t="s">
        <v>261</v>
      </c>
      <c r="D172" s="4330" t="s">
        <v>258</v>
      </c>
      <c r="E172" s="4331"/>
      <c r="F172" s="4332"/>
      <c r="G172" s="4333"/>
      <c r="H172" s="4330" t="s">
        <v>258</v>
      </c>
      <c r="I172" s="4331"/>
      <c r="J172" s="4332"/>
      <c r="K172" s="4333"/>
      <c r="L172" s="4330" t="s">
        <v>258</v>
      </c>
      <c r="M172" s="4331"/>
      <c r="N172" s="4331"/>
      <c r="O172" s="4333"/>
      <c r="P172" s="4330" t="s">
        <v>258</v>
      </c>
      <c r="Q172" s="4331"/>
      <c r="R172" s="4331"/>
      <c r="S172" s="4333"/>
      <c r="T172" s="4330" t="s">
        <v>242</v>
      </c>
      <c r="U172" s="4332"/>
      <c r="V172" s="17"/>
      <c r="W172" s="38"/>
      <c r="X172" s="38"/>
      <c r="Y172" s="17"/>
      <c r="Z172" s="17"/>
      <c r="AA172" s="17"/>
      <c r="AB172" s="17"/>
      <c r="AC172" s="17"/>
      <c r="AD172" s="17"/>
      <c r="AE172" s="38"/>
      <c r="AF172" s="17"/>
      <c r="AG172" s="17"/>
      <c r="AH172" s="76"/>
      <c r="AI172" s="76"/>
    </row>
    <row r="173" spans="1:35" ht="24.75" customHeight="1" thickBot="1">
      <c r="A173" s="96"/>
      <c r="B173" s="4336" t="s">
        <v>29</v>
      </c>
      <c r="C173" s="4337">
        <v>1</v>
      </c>
      <c r="D173" s="4337">
        <v>2</v>
      </c>
      <c r="E173" s="4337">
        <v>3</v>
      </c>
      <c r="F173" s="4338">
        <v>4</v>
      </c>
      <c r="G173" s="4338">
        <v>5</v>
      </c>
      <c r="H173" s="4337">
        <v>6</v>
      </c>
      <c r="I173" s="4337">
        <v>7</v>
      </c>
      <c r="J173" s="4337">
        <v>8</v>
      </c>
      <c r="K173" s="4338">
        <v>9</v>
      </c>
      <c r="L173" s="4338">
        <v>10</v>
      </c>
      <c r="M173" s="4338">
        <v>11</v>
      </c>
      <c r="N173" s="4338">
        <v>12</v>
      </c>
      <c r="O173" s="4338">
        <v>13</v>
      </c>
      <c r="P173" s="4337">
        <v>14</v>
      </c>
      <c r="Q173" s="4337">
        <v>15</v>
      </c>
      <c r="R173" s="4337">
        <v>16</v>
      </c>
      <c r="S173" s="4337">
        <v>17</v>
      </c>
      <c r="T173" s="4338">
        <v>18</v>
      </c>
      <c r="U173" s="4338">
        <v>19</v>
      </c>
      <c r="V173" s="4049">
        <v>20</v>
      </c>
      <c r="W173" s="4049">
        <v>21</v>
      </c>
      <c r="X173" s="4049">
        <v>22</v>
      </c>
      <c r="Y173" s="4049">
        <v>23</v>
      </c>
      <c r="Z173" s="4049">
        <v>24</v>
      </c>
      <c r="AA173" s="4050">
        <v>25</v>
      </c>
      <c r="AB173" s="4050">
        <v>26</v>
      </c>
      <c r="AC173" s="4049">
        <v>27</v>
      </c>
      <c r="AD173" s="4049">
        <v>28</v>
      </c>
      <c r="AE173" s="4049">
        <v>29</v>
      </c>
      <c r="AF173" s="4049">
        <v>30</v>
      </c>
      <c r="AG173" s="4051"/>
      <c r="AH173" s="97"/>
      <c r="AI173" s="24"/>
    </row>
    <row r="174" spans="1:35" ht="24.75" customHeight="1">
      <c r="A174" s="36"/>
      <c r="B174" s="4339" t="s">
        <v>262</v>
      </c>
      <c r="C174" s="4304" t="s">
        <v>233</v>
      </c>
      <c r="D174" s="4304" t="s">
        <v>233</v>
      </c>
      <c r="E174" s="4304" t="s">
        <v>233</v>
      </c>
      <c r="F174" s="4304"/>
      <c r="G174" s="4304"/>
      <c r="H174" s="4304" t="s">
        <v>233</v>
      </c>
      <c r="I174" s="4304" t="s">
        <v>233</v>
      </c>
      <c r="J174" s="4304" t="s">
        <v>233</v>
      </c>
      <c r="K174" s="4304"/>
      <c r="L174" s="4304"/>
      <c r="M174" s="4304"/>
      <c r="N174" s="4304"/>
      <c r="O174" s="4304"/>
      <c r="P174" s="4304" t="s">
        <v>233</v>
      </c>
      <c r="Q174" s="4304" t="s">
        <v>233</v>
      </c>
      <c r="R174" s="4304" t="s">
        <v>233</v>
      </c>
      <c r="S174" s="4304" t="s">
        <v>233</v>
      </c>
      <c r="T174" s="4304"/>
      <c r="U174" s="4304"/>
      <c r="V174" s="4340" t="s">
        <v>233</v>
      </c>
      <c r="W174" s="4340" t="s">
        <v>233</v>
      </c>
      <c r="X174" s="4340" t="s">
        <v>233</v>
      </c>
      <c r="Y174" s="4340" t="s">
        <v>233</v>
      </c>
      <c r="Z174" s="4340" t="s">
        <v>233</v>
      </c>
      <c r="AA174" s="4304"/>
      <c r="AB174" s="4304"/>
      <c r="AC174" s="4304" t="s">
        <v>233</v>
      </c>
      <c r="AD174" s="4304" t="s">
        <v>233</v>
      </c>
      <c r="AE174" s="4304" t="s">
        <v>233</v>
      </c>
      <c r="AF174" s="4304" t="s">
        <v>233</v>
      </c>
      <c r="AG174" s="4341"/>
      <c r="AH174" s="25"/>
      <c r="AI174" s="25"/>
    </row>
    <row r="175" spans="1:35" ht="24.75" customHeight="1">
      <c r="A175" s="36"/>
      <c r="B175" s="3413" t="s">
        <v>263</v>
      </c>
      <c r="C175" s="3623" t="s">
        <v>233</v>
      </c>
      <c r="D175" s="3623" t="s">
        <v>233</v>
      </c>
      <c r="E175" s="3623" t="s">
        <v>233</v>
      </c>
      <c r="F175" s="3720"/>
      <c r="G175" s="3720"/>
      <c r="H175" s="3720" t="s">
        <v>233</v>
      </c>
      <c r="I175" s="3720" t="s">
        <v>233</v>
      </c>
      <c r="J175" s="4342" t="s">
        <v>264</v>
      </c>
      <c r="K175" s="3720"/>
      <c r="L175" s="3720"/>
      <c r="M175" s="3720"/>
      <c r="N175" s="3720"/>
      <c r="O175" s="3720"/>
      <c r="P175" s="3720" t="s">
        <v>233</v>
      </c>
      <c r="Q175" s="3720" t="s">
        <v>233</v>
      </c>
      <c r="R175" s="3720" t="s">
        <v>233</v>
      </c>
      <c r="S175" s="3720" t="s">
        <v>233</v>
      </c>
      <c r="T175" s="3720"/>
      <c r="U175" s="3720"/>
      <c r="V175" s="3720" t="s">
        <v>233</v>
      </c>
      <c r="W175" s="3720" t="s">
        <v>233</v>
      </c>
      <c r="X175" s="3720" t="s">
        <v>233</v>
      </c>
      <c r="Y175" s="3720" t="s">
        <v>233</v>
      </c>
      <c r="Z175" s="3720" t="s">
        <v>233</v>
      </c>
      <c r="AA175" s="3720"/>
      <c r="AB175" s="3720"/>
      <c r="AC175" s="3720" t="s">
        <v>233</v>
      </c>
      <c r="AD175" s="3720" t="s">
        <v>233</v>
      </c>
      <c r="AE175" s="3720" t="s">
        <v>233</v>
      </c>
      <c r="AF175" s="3720" t="s">
        <v>233</v>
      </c>
      <c r="AG175" s="3738"/>
      <c r="AH175" s="25"/>
      <c r="AI175" s="25"/>
    </row>
    <row r="176" spans="1:35" ht="24.75" customHeight="1">
      <c r="A176" s="36"/>
      <c r="B176" s="3413" t="s">
        <v>265</v>
      </c>
      <c r="C176" s="3720" t="s">
        <v>35</v>
      </c>
      <c r="D176" s="3720" t="s">
        <v>237</v>
      </c>
      <c r="E176" s="3720" t="s">
        <v>237</v>
      </c>
      <c r="F176" s="3720"/>
      <c r="G176" s="3720"/>
      <c r="H176" s="3720" t="s">
        <v>237</v>
      </c>
      <c r="I176" s="3720" t="s">
        <v>237</v>
      </c>
      <c r="J176" s="3720" t="s">
        <v>237</v>
      </c>
      <c r="K176" s="3720"/>
      <c r="L176" s="3720"/>
      <c r="M176" s="3720"/>
      <c r="N176" s="3905" t="s">
        <v>44</v>
      </c>
      <c r="O176" s="3720"/>
      <c r="P176" s="3720" t="s">
        <v>237</v>
      </c>
      <c r="Q176" s="3720" t="s">
        <v>237</v>
      </c>
      <c r="R176" s="3720" t="s">
        <v>237</v>
      </c>
      <c r="S176" s="3720" t="s">
        <v>237</v>
      </c>
      <c r="T176" s="3720"/>
      <c r="U176" s="3720"/>
      <c r="V176" s="3720" t="s">
        <v>237</v>
      </c>
      <c r="W176" s="3720" t="s">
        <v>237</v>
      </c>
      <c r="X176" s="3720" t="s">
        <v>237</v>
      </c>
      <c r="Y176" s="3720" t="s">
        <v>237</v>
      </c>
      <c r="Z176" s="3720" t="s">
        <v>237</v>
      </c>
      <c r="AA176" s="3720"/>
      <c r="AB176" s="3720"/>
      <c r="AC176" s="3720" t="s">
        <v>237</v>
      </c>
      <c r="AD176" s="3720" t="s">
        <v>237</v>
      </c>
      <c r="AE176" s="3720" t="s">
        <v>237</v>
      </c>
      <c r="AF176" s="3720" t="s">
        <v>237</v>
      </c>
      <c r="AG176" s="3738"/>
      <c r="AH176" s="25"/>
      <c r="AI176" s="25"/>
    </row>
    <row r="177" spans="1:39" ht="24.75" customHeight="1">
      <c r="A177" s="36"/>
      <c r="B177" s="3413" t="s">
        <v>266</v>
      </c>
      <c r="C177" s="3720" t="s">
        <v>201</v>
      </c>
      <c r="D177" s="3732" t="s">
        <v>201</v>
      </c>
      <c r="E177" s="3732" t="s">
        <v>201</v>
      </c>
      <c r="F177" s="3732"/>
      <c r="G177" s="3732"/>
      <c r="H177" s="4343" t="s">
        <v>201</v>
      </c>
      <c r="I177" s="4343" t="s">
        <v>201</v>
      </c>
      <c r="J177" s="4343" t="s">
        <v>201</v>
      </c>
      <c r="K177" s="4343"/>
      <c r="L177" s="4343"/>
      <c r="M177" s="4343"/>
      <c r="N177" s="4343"/>
      <c r="O177" s="3423"/>
      <c r="P177" s="3423" t="s">
        <v>201</v>
      </c>
      <c r="Q177" s="3423" t="s">
        <v>201</v>
      </c>
      <c r="R177" s="3423" t="s">
        <v>201</v>
      </c>
      <c r="S177" s="3423" t="s">
        <v>201</v>
      </c>
      <c r="T177" s="3732"/>
      <c r="U177" s="3732"/>
      <c r="V177" s="3732" t="s">
        <v>201</v>
      </c>
      <c r="W177" s="3732" t="s">
        <v>201</v>
      </c>
      <c r="X177" s="3732" t="s">
        <v>201</v>
      </c>
      <c r="Y177" s="3732" t="s">
        <v>201</v>
      </c>
      <c r="Z177" s="3732" t="s">
        <v>201</v>
      </c>
      <c r="AA177" s="3732"/>
      <c r="AB177" s="3732"/>
      <c r="AC177" s="3732" t="s">
        <v>201</v>
      </c>
      <c r="AD177" s="3720" t="s">
        <v>201</v>
      </c>
      <c r="AE177" s="3720" t="s">
        <v>201</v>
      </c>
      <c r="AF177" s="3720" t="s">
        <v>201</v>
      </c>
      <c r="AG177" s="3738"/>
      <c r="AH177" s="25"/>
      <c r="AI177" s="25"/>
    </row>
    <row r="178" spans="1:39" ht="24.75" customHeight="1">
      <c r="A178" s="36"/>
      <c r="B178" s="3418" t="s">
        <v>267</v>
      </c>
      <c r="C178" s="3720" t="s">
        <v>121</v>
      </c>
      <c r="D178" s="4344" t="s">
        <v>121</v>
      </c>
      <c r="E178" s="4345" t="s">
        <v>121</v>
      </c>
      <c r="F178" s="3720"/>
      <c r="G178" s="3720"/>
      <c r="H178" s="4345" t="s">
        <v>121</v>
      </c>
      <c r="I178" s="4345" t="s">
        <v>121</v>
      </c>
      <c r="J178" s="4345" t="s">
        <v>121</v>
      </c>
      <c r="K178" s="3720"/>
      <c r="L178" s="3720"/>
      <c r="M178" s="3720"/>
      <c r="N178" s="3720"/>
      <c r="O178" s="3720"/>
      <c r="P178" s="3720" t="s">
        <v>121</v>
      </c>
      <c r="Q178" s="3720" t="s">
        <v>121</v>
      </c>
      <c r="R178" s="3720" t="s">
        <v>121</v>
      </c>
      <c r="S178" s="3720" t="s">
        <v>121</v>
      </c>
      <c r="T178" s="3720"/>
      <c r="U178" s="3720"/>
      <c r="V178" s="3423" t="s">
        <v>121</v>
      </c>
      <c r="W178" s="3423" t="s">
        <v>121</v>
      </c>
      <c r="X178" s="3423" t="s">
        <v>121</v>
      </c>
      <c r="Y178" s="3423" t="s">
        <v>121</v>
      </c>
      <c r="Z178" s="3423" t="s">
        <v>121</v>
      </c>
      <c r="AA178" s="3720"/>
      <c r="AB178" s="3720"/>
      <c r="AC178" s="3720" t="s">
        <v>121</v>
      </c>
      <c r="AD178" s="3720" t="s">
        <v>121</v>
      </c>
      <c r="AE178" s="3720" t="s">
        <v>121</v>
      </c>
      <c r="AF178" s="3720" t="s">
        <v>121</v>
      </c>
      <c r="AG178" s="3738"/>
      <c r="AH178" s="25"/>
      <c r="AI178" s="25"/>
    </row>
    <row r="179" spans="1:39" ht="24.75" customHeight="1">
      <c r="A179" s="36"/>
      <c r="B179" s="3413" t="s">
        <v>268</v>
      </c>
      <c r="C179" s="4346" t="s">
        <v>244</v>
      </c>
      <c r="D179" s="4346" t="s">
        <v>244</v>
      </c>
      <c r="E179" s="3720" t="s">
        <v>253</v>
      </c>
      <c r="F179" s="3720"/>
      <c r="G179" s="3720"/>
      <c r="H179" s="3720" t="s">
        <v>121</v>
      </c>
      <c r="I179" s="3720" t="s">
        <v>121</v>
      </c>
      <c r="J179" s="3720" t="s">
        <v>121</v>
      </c>
      <c r="K179" s="3720"/>
      <c r="L179" s="3720"/>
      <c r="M179" s="3720"/>
      <c r="N179" s="3720"/>
      <c r="O179" s="3720"/>
      <c r="P179" s="3720" t="s">
        <v>121</v>
      </c>
      <c r="Q179" s="3720" t="s">
        <v>121</v>
      </c>
      <c r="R179" s="3720" t="s">
        <v>121</v>
      </c>
      <c r="S179" s="3720" t="s">
        <v>121</v>
      </c>
      <c r="T179" s="3720"/>
      <c r="U179" s="3720"/>
      <c r="V179" s="3720" t="s">
        <v>121</v>
      </c>
      <c r="W179" s="3720" t="s">
        <v>121</v>
      </c>
      <c r="X179" s="3720" t="s">
        <v>121</v>
      </c>
      <c r="Y179" s="3720" t="s">
        <v>121</v>
      </c>
      <c r="Z179" s="3720" t="s">
        <v>121</v>
      </c>
      <c r="AA179" s="3720"/>
      <c r="AB179" s="3720"/>
      <c r="AC179" s="3720" t="s">
        <v>121</v>
      </c>
      <c r="AD179" s="3720" t="s">
        <v>121</v>
      </c>
      <c r="AE179" s="3720" t="s">
        <v>121</v>
      </c>
      <c r="AF179" s="3720" t="s">
        <v>121</v>
      </c>
      <c r="AG179" s="3738"/>
      <c r="AH179" s="25"/>
      <c r="AI179" s="25"/>
      <c r="AM179" t="s">
        <v>473</v>
      </c>
    </row>
    <row r="180" spans="1:39" ht="24.75" customHeight="1">
      <c r="A180" s="36"/>
      <c r="B180" s="3413" t="s">
        <v>269</v>
      </c>
      <c r="C180" s="4082" t="s">
        <v>128</v>
      </c>
      <c r="D180" s="3720" t="s">
        <v>128</v>
      </c>
      <c r="E180" s="3720" t="s">
        <v>128</v>
      </c>
      <c r="F180" s="3720"/>
      <c r="G180" s="3720"/>
      <c r="H180" s="3423" t="s">
        <v>128</v>
      </c>
      <c r="I180" s="3423" t="s">
        <v>128</v>
      </c>
      <c r="J180" s="3423" t="s">
        <v>128</v>
      </c>
      <c r="K180" s="3720"/>
      <c r="L180" s="3720"/>
      <c r="M180" s="3720"/>
      <c r="N180" s="3720"/>
      <c r="O180" s="3720"/>
      <c r="P180" s="4082" t="s">
        <v>128</v>
      </c>
      <c r="Q180" s="4082" t="s">
        <v>128</v>
      </c>
      <c r="R180" s="4082" t="s">
        <v>128</v>
      </c>
      <c r="S180" s="4082" t="s">
        <v>128</v>
      </c>
      <c r="T180" s="3720"/>
      <c r="U180" s="3720"/>
      <c r="V180" s="4082" t="s">
        <v>128</v>
      </c>
      <c r="W180" s="4082" t="s">
        <v>128</v>
      </c>
      <c r="X180" s="3720" t="s">
        <v>128</v>
      </c>
      <c r="Y180" s="3720" t="s">
        <v>128</v>
      </c>
      <c r="Z180" s="3720" t="s">
        <v>128</v>
      </c>
      <c r="AA180" s="3720"/>
      <c r="AB180" s="3720"/>
      <c r="AC180" s="3720" t="s">
        <v>128</v>
      </c>
      <c r="AD180" s="3720" t="s">
        <v>128</v>
      </c>
      <c r="AE180" s="3720" t="s">
        <v>128</v>
      </c>
      <c r="AF180" s="4082" t="s">
        <v>128</v>
      </c>
      <c r="AG180" s="3738"/>
      <c r="AH180" s="25"/>
      <c r="AI180" s="25"/>
    </row>
    <row r="181" spans="1:39" ht="24.75" customHeight="1">
      <c r="A181" s="36"/>
      <c r="B181" s="3726" t="s">
        <v>271</v>
      </c>
      <c r="C181" s="3720" t="s">
        <v>121</v>
      </c>
      <c r="D181" s="3720" t="s">
        <v>121</v>
      </c>
      <c r="E181" s="3720" t="s">
        <v>121</v>
      </c>
      <c r="F181" s="3720"/>
      <c r="G181" s="3720"/>
      <c r="H181" s="3419" t="s">
        <v>250</v>
      </c>
      <c r="I181" s="3419" t="s">
        <v>250</v>
      </c>
      <c r="J181" s="3419" t="s">
        <v>250</v>
      </c>
      <c r="K181" s="3419"/>
      <c r="L181" s="3419"/>
      <c r="M181" s="3419"/>
      <c r="N181" s="3419"/>
      <c r="O181" s="3720"/>
      <c r="P181" s="3720" t="s">
        <v>250</v>
      </c>
      <c r="Q181" s="3720" t="s">
        <v>250</v>
      </c>
      <c r="R181" s="3720" t="s">
        <v>250</v>
      </c>
      <c r="S181" s="3720" t="s">
        <v>250</v>
      </c>
      <c r="T181" s="3720"/>
      <c r="U181" s="3720"/>
      <c r="V181" s="3720" t="s">
        <v>250</v>
      </c>
      <c r="W181" s="3720" t="s">
        <v>250</v>
      </c>
      <c r="X181" s="3720" t="s">
        <v>250</v>
      </c>
      <c r="Y181" s="3720" t="s">
        <v>250</v>
      </c>
      <c r="Z181" s="3720" t="s">
        <v>250</v>
      </c>
      <c r="AA181" s="3720"/>
      <c r="AB181" s="3720"/>
      <c r="AC181" s="3720" t="s">
        <v>250</v>
      </c>
      <c r="AD181" s="3720" t="s">
        <v>123</v>
      </c>
      <c r="AE181" s="3720" t="s">
        <v>250</v>
      </c>
      <c r="AF181" s="3720" t="s">
        <v>250</v>
      </c>
      <c r="AG181" s="3738"/>
      <c r="AH181" s="25"/>
      <c r="AI181" s="25"/>
    </row>
    <row r="182" spans="1:39" ht="24.75" customHeight="1">
      <c r="A182" s="36"/>
      <c r="B182" s="3413" t="s">
        <v>273</v>
      </c>
      <c r="C182" s="3720" t="s">
        <v>251</v>
      </c>
      <c r="D182" s="3720" t="s">
        <v>251</v>
      </c>
      <c r="E182" s="3720" t="s">
        <v>251</v>
      </c>
      <c r="F182" s="3720"/>
      <c r="G182" s="3720"/>
      <c r="H182" s="3720" t="s">
        <v>251</v>
      </c>
      <c r="I182" s="3720" t="s">
        <v>251</v>
      </c>
      <c r="J182" s="3720" t="s">
        <v>251</v>
      </c>
      <c r="K182" s="3720"/>
      <c r="L182" s="3720"/>
      <c r="M182" s="3720"/>
      <c r="N182" s="3720"/>
      <c r="O182" s="3720"/>
      <c r="P182" s="3720" t="s">
        <v>251</v>
      </c>
      <c r="Q182" s="3720" t="s">
        <v>251</v>
      </c>
      <c r="R182" s="3720" t="s">
        <v>251</v>
      </c>
      <c r="S182" s="3720" t="s">
        <v>251</v>
      </c>
      <c r="T182" s="3720"/>
      <c r="U182" s="3720"/>
      <c r="V182" s="3720" t="s">
        <v>251</v>
      </c>
      <c r="W182" s="3720" t="s">
        <v>251</v>
      </c>
      <c r="X182" s="3720" t="s">
        <v>251</v>
      </c>
      <c r="Y182" s="3720" t="s">
        <v>251</v>
      </c>
      <c r="Z182" s="3720" t="s">
        <v>251</v>
      </c>
      <c r="AA182" s="3720"/>
      <c r="AB182" s="3720"/>
      <c r="AC182" s="3720" t="s">
        <v>251</v>
      </c>
      <c r="AD182" s="3720" t="s">
        <v>251</v>
      </c>
      <c r="AE182" s="3720" t="s">
        <v>251</v>
      </c>
      <c r="AF182" s="3720" t="s">
        <v>251</v>
      </c>
      <c r="AG182" s="3738"/>
      <c r="AH182" s="25"/>
      <c r="AI182" s="25"/>
    </row>
    <row r="183" spans="1:39" ht="24.75" customHeight="1">
      <c r="A183" s="36"/>
      <c r="B183" s="3413" t="s">
        <v>274</v>
      </c>
      <c r="C183" s="3720" t="s">
        <v>253</v>
      </c>
      <c r="D183" s="3720" t="s">
        <v>253</v>
      </c>
      <c r="E183" s="3720" t="s">
        <v>253</v>
      </c>
      <c r="F183" s="3720"/>
      <c r="G183" s="3720"/>
      <c r="H183" s="3720" t="s">
        <v>253</v>
      </c>
      <c r="I183" s="3720" t="s">
        <v>253</v>
      </c>
      <c r="J183" s="3720" t="s">
        <v>253</v>
      </c>
      <c r="K183" s="3720"/>
      <c r="L183" s="3720"/>
      <c r="M183" s="3720"/>
      <c r="N183" s="3720"/>
      <c r="O183" s="3419"/>
      <c r="P183" s="3419" t="s">
        <v>253</v>
      </c>
      <c r="Q183" s="3419" t="s">
        <v>253</v>
      </c>
      <c r="R183" s="3419" t="s">
        <v>253</v>
      </c>
      <c r="S183" s="3419" t="s">
        <v>253</v>
      </c>
      <c r="T183" s="3419"/>
      <c r="U183" s="3419"/>
      <c r="V183" s="3423" t="s">
        <v>253</v>
      </c>
      <c r="W183" s="3423" t="s">
        <v>253</v>
      </c>
      <c r="X183" s="3423" t="s">
        <v>253</v>
      </c>
      <c r="Y183" s="3423" t="s">
        <v>253</v>
      </c>
      <c r="Z183" s="3423" t="s">
        <v>253</v>
      </c>
      <c r="AA183" s="3720"/>
      <c r="AB183" s="3720"/>
      <c r="AC183" s="3720" t="s">
        <v>253</v>
      </c>
      <c r="AD183" s="3720" t="s">
        <v>253</v>
      </c>
      <c r="AE183" s="3720" t="s">
        <v>253</v>
      </c>
      <c r="AF183" s="3720" t="s">
        <v>253</v>
      </c>
      <c r="AG183" s="3738"/>
      <c r="AH183" s="25"/>
      <c r="AI183" s="25"/>
    </row>
    <row r="184" spans="1:39" ht="24.75" customHeight="1">
      <c r="A184" s="36"/>
      <c r="B184" s="3726" t="s">
        <v>275</v>
      </c>
      <c r="C184" s="3720" t="s">
        <v>123</v>
      </c>
      <c r="D184" s="3720" t="s">
        <v>123</v>
      </c>
      <c r="E184" s="3720" t="s">
        <v>123</v>
      </c>
      <c r="F184" s="3720"/>
      <c r="G184" s="4347"/>
      <c r="H184" s="3720" t="s">
        <v>123</v>
      </c>
      <c r="I184" s="3720" t="s">
        <v>123</v>
      </c>
      <c r="J184" s="3720" t="s">
        <v>123</v>
      </c>
      <c r="K184" s="3720"/>
      <c r="L184" s="3720"/>
      <c r="M184" s="3720"/>
      <c r="N184" s="3720"/>
      <c r="O184" s="3720"/>
      <c r="P184" s="3720" t="s">
        <v>123</v>
      </c>
      <c r="Q184" s="3720" t="s">
        <v>123</v>
      </c>
      <c r="R184" s="3415" t="s">
        <v>474</v>
      </c>
      <c r="S184" s="3466" t="s">
        <v>123</v>
      </c>
      <c r="T184" s="3466"/>
      <c r="U184" s="3466"/>
      <c r="V184" s="3466" t="s">
        <v>123</v>
      </c>
      <c r="W184" s="3466" t="s">
        <v>123</v>
      </c>
      <c r="X184" s="3466" t="s">
        <v>123</v>
      </c>
      <c r="Y184" s="3466" t="s">
        <v>123</v>
      </c>
      <c r="Z184" s="3466" t="s">
        <v>123</v>
      </c>
      <c r="AA184" s="3720"/>
      <c r="AB184" s="3720"/>
      <c r="AC184" s="4335" t="s">
        <v>123</v>
      </c>
      <c r="AD184" s="3414" t="s">
        <v>123</v>
      </c>
      <c r="AE184" s="4348" t="s">
        <v>123</v>
      </c>
      <c r="AF184" s="3414" t="s">
        <v>123</v>
      </c>
      <c r="AG184" s="3738"/>
      <c r="AH184" s="25"/>
      <c r="AI184" s="25"/>
    </row>
    <row r="185" spans="1:39" ht="24.75" customHeight="1" thickBot="1">
      <c r="A185" s="36"/>
      <c r="B185" s="3413" t="s">
        <v>276</v>
      </c>
      <c r="C185" s="3414" t="s">
        <v>146</v>
      </c>
      <c r="D185" s="3414" t="s">
        <v>146</v>
      </c>
      <c r="E185" s="3414" t="s">
        <v>146</v>
      </c>
      <c r="F185" s="3414"/>
      <c r="G185" s="3414"/>
      <c r="H185" s="3414" t="s">
        <v>146</v>
      </c>
      <c r="I185" s="3414" t="s">
        <v>146</v>
      </c>
      <c r="J185" s="3414" t="s">
        <v>146</v>
      </c>
      <c r="K185" s="3414"/>
      <c r="L185" s="3414"/>
      <c r="M185" s="3414"/>
      <c r="N185" s="3414"/>
      <c r="O185" s="3414"/>
      <c r="P185" s="3414" t="s">
        <v>146</v>
      </c>
      <c r="Q185" s="3414" t="s">
        <v>146</v>
      </c>
      <c r="R185" s="3414" t="s">
        <v>146</v>
      </c>
      <c r="S185" s="3414" t="s">
        <v>146</v>
      </c>
      <c r="T185" s="3414"/>
      <c r="U185" s="3414"/>
      <c r="V185" s="3414" t="s">
        <v>146</v>
      </c>
      <c r="W185" s="3414" t="s">
        <v>146</v>
      </c>
      <c r="X185" s="3414" t="s">
        <v>146</v>
      </c>
      <c r="Y185" s="3414" t="s">
        <v>146</v>
      </c>
      <c r="Z185" s="3414" t="s">
        <v>146</v>
      </c>
      <c r="AA185" s="3414"/>
      <c r="AB185" s="3414"/>
      <c r="AC185" s="3414" t="s">
        <v>146</v>
      </c>
      <c r="AD185" s="3414" t="s">
        <v>146</v>
      </c>
      <c r="AE185" s="3414" t="s">
        <v>146</v>
      </c>
      <c r="AF185" s="3414" t="s">
        <v>146</v>
      </c>
      <c r="AG185" s="3738"/>
      <c r="AH185" s="25"/>
      <c r="AI185" s="25"/>
    </row>
    <row r="186" spans="1:39" ht="24.75" customHeight="1" thickBot="1">
      <c r="A186" s="36"/>
      <c r="B186" s="4349" t="s">
        <v>475</v>
      </c>
      <c r="C186" s="4350" t="s">
        <v>136</v>
      </c>
      <c r="D186" s="4350" t="s">
        <v>136</v>
      </c>
      <c r="E186" s="4350" t="s">
        <v>136</v>
      </c>
      <c r="F186" s="4350"/>
      <c r="G186" s="4350"/>
      <c r="H186" s="4350" t="s">
        <v>136</v>
      </c>
      <c r="I186" s="4350" t="s">
        <v>136</v>
      </c>
      <c r="J186" s="4350" t="s">
        <v>136</v>
      </c>
      <c r="K186" s="4350"/>
      <c r="L186" s="4350"/>
      <c r="M186" s="4350"/>
      <c r="N186" s="4350"/>
      <c r="O186" s="4350"/>
      <c r="P186" s="4350" t="s">
        <v>136</v>
      </c>
      <c r="Q186" s="4350" t="s">
        <v>136</v>
      </c>
      <c r="R186" s="4350" t="s">
        <v>136</v>
      </c>
      <c r="S186" s="4350" t="s">
        <v>136</v>
      </c>
      <c r="T186" s="4350"/>
      <c r="U186" s="4350"/>
      <c r="V186" s="4177" t="s">
        <v>35</v>
      </c>
      <c r="W186" s="4177" t="s">
        <v>35</v>
      </c>
      <c r="X186" s="3621" t="s">
        <v>44</v>
      </c>
      <c r="Y186" s="3621" t="s">
        <v>44</v>
      </c>
      <c r="Z186" s="3621" t="s">
        <v>44</v>
      </c>
      <c r="AA186" s="4350"/>
      <c r="AB186" s="4350"/>
      <c r="AC186" s="4177" t="s">
        <v>35</v>
      </c>
      <c r="AD186" s="3621" t="s">
        <v>44</v>
      </c>
      <c r="AE186" s="4177" t="s">
        <v>35</v>
      </c>
      <c r="AF186" s="3621" t="s">
        <v>136</v>
      </c>
      <c r="AG186" s="3187"/>
      <c r="AH186" s="25"/>
      <c r="AI186" s="25"/>
    </row>
    <row r="187" spans="1:39" ht="24.75" customHeight="1">
      <c r="A187" s="37"/>
      <c r="B187" s="3726" t="s">
        <v>278</v>
      </c>
      <c r="C187" s="3720" t="s">
        <v>253</v>
      </c>
      <c r="D187" s="3720" t="s">
        <v>253</v>
      </c>
      <c r="E187" s="3720" t="s">
        <v>253</v>
      </c>
      <c r="F187" s="4351"/>
      <c r="G187" s="4351"/>
      <c r="H187" s="3423" t="s">
        <v>112</v>
      </c>
      <c r="I187" s="3423" t="s">
        <v>112</v>
      </c>
      <c r="J187" s="3423" t="s">
        <v>112</v>
      </c>
      <c r="K187" s="4351"/>
      <c r="L187" s="4351"/>
      <c r="M187" s="4351"/>
      <c r="N187" s="4351"/>
      <c r="O187" s="4351"/>
      <c r="P187" s="3621" t="s">
        <v>44</v>
      </c>
      <c r="Q187" s="3621" t="s">
        <v>44</v>
      </c>
      <c r="R187" s="3621" t="s">
        <v>44</v>
      </c>
      <c r="S187" s="4241" t="s">
        <v>35</v>
      </c>
      <c r="T187" s="4351"/>
      <c r="U187" s="4351"/>
      <c r="V187" s="4177" t="s">
        <v>35</v>
      </c>
      <c r="W187" s="4177" t="s">
        <v>35</v>
      </c>
      <c r="X187" s="3621" t="s">
        <v>44</v>
      </c>
      <c r="Y187" s="3621" t="s">
        <v>44</v>
      </c>
      <c r="Z187" s="3621" t="s">
        <v>44</v>
      </c>
      <c r="AA187" s="4351"/>
      <c r="AB187" s="4351"/>
      <c r="AC187" s="4177" t="s">
        <v>35</v>
      </c>
      <c r="AD187" s="3621" t="s">
        <v>44</v>
      </c>
      <c r="AE187" s="3621" t="s">
        <v>44</v>
      </c>
      <c r="AF187" s="3621" t="s">
        <v>44</v>
      </c>
      <c r="AG187" s="4351"/>
      <c r="AH187" s="76"/>
      <c r="AI187" s="76"/>
    </row>
    <row r="188" spans="1:39" ht="24.75" customHeight="1" thickBot="1">
      <c r="A188" s="4150"/>
      <c r="B188" s="402" t="s">
        <v>279</v>
      </c>
      <c r="C188" s="4346" t="s">
        <v>244</v>
      </c>
      <c r="D188" s="4346" t="s">
        <v>244</v>
      </c>
      <c r="E188" s="4346" t="s">
        <v>244</v>
      </c>
      <c r="F188" s="3426"/>
      <c r="G188" s="3438"/>
      <c r="H188" s="4346" t="s">
        <v>244</v>
      </c>
      <c r="I188" s="4346" t="s">
        <v>244</v>
      </c>
      <c r="J188" s="4346" t="s">
        <v>244</v>
      </c>
      <c r="K188" s="4352"/>
      <c r="L188" s="3426"/>
      <c r="M188" s="3438"/>
      <c r="N188" s="4352"/>
      <c r="O188" s="3426"/>
      <c r="P188" s="4353" t="s">
        <v>261</v>
      </c>
      <c r="Q188" s="4352" t="s">
        <v>261</v>
      </c>
      <c r="R188" s="3426" t="s">
        <v>261</v>
      </c>
      <c r="S188" s="4353" t="s">
        <v>261</v>
      </c>
      <c r="T188" s="4352"/>
      <c r="U188" s="3426"/>
      <c r="V188" s="4353" t="s">
        <v>261</v>
      </c>
      <c r="W188" s="4352" t="s">
        <v>261</v>
      </c>
      <c r="X188" s="4352" t="s">
        <v>261</v>
      </c>
      <c r="Y188" s="4352" t="s">
        <v>261</v>
      </c>
      <c r="Z188" s="4352" t="s">
        <v>261</v>
      </c>
      <c r="AA188" s="4352"/>
      <c r="AB188" s="4352"/>
      <c r="AC188" s="4352" t="s">
        <v>261</v>
      </c>
      <c r="AD188" s="4352" t="s">
        <v>261</v>
      </c>
      <c r="AE188" s="4352" t="s">
        <v>261</v>
      </c>
      <c r="AF188" s="4352" t="s">
        <v>261</v>
      </c>
      <c r="AG188" s="4352"/>
      <c r="AH188" s="99"/>
    </row>
    <row r="189" spans="1:39" ht="24.75" customHeight="1">
      <c r="A189" s="1" t="s">
        <v>291</v>
      </c>
      <c r="B189" s="113"/>
      <c r="C189" s="37"/>
      <c r="D189" s="87"/>
      <c r="E189" s="87"/>
      <c r="F189" s="22"/>
      <c r="G189" s="37"/>
      <c r="H189" s="87"/>
      <c r="I189" s="87"/>
      <c r="J189" s="22"/>
      <c r="K189" s="37"/>
      <c r="L189" s="87"/>
      <c r="M189" s="87"/>
      <c r="N189" s="22"/>
      <c r="O189" s="37"/>
      <c r="P189" s="87"/>
      <c r="Q189" s="87"/>
      <c r="R189" s="22"/>
      <c r="S189" s="37"/>
      <c r="T189" s="87"/>
      <c r="U189" s="87"/>
      <c r="V189" s="22"/>
      <c r="W189" s="22"/>
      <c r="Z189" s="22"/>
      <c r="AA189" s="22"/>
      <c r="AD189" s="22"/>
      <c r="AE189" s="22"/>
      <c r="AH189" s="22"/>
    </row>
    <row r="190" spans="1:39" ht="24.75" customHeight="1" thickBot="1">
      <c r="A190" s="4169"/>
      <c r="B190" s="4104" t="s">
        <v>29</v>
      </c>
      <c r="C190" s="4049">
        <v>1</v>
      </c>
      <c r="D190" s="4049">
        <v>2</v>
      </c>
      <c r="E190" s="4049">
        <v>3</v>
      </c>
      <c r="F190" s="4050">
        <v>4</v>
      </c>
      <c r="G190" s="4050">
        <v>5</v>
      </c>
      <c r="H190" s="4049">
        <v>6</v>
      </c>
      <c r="I190" s="4049">
        <v>7</v>
      </c>
      <c r="J190" s="4049">
        <v>8</v>
      </c>
      <c r="K190" s="4050">
        <v>9</v>
      </c>
      <c r="L190" s="4050">
        <v>10</v>
      </c>
      <c r="M190" s="4050">
        <v>11</v>
      </c>
      <c r="N190" s="4050">
        <v>12</v>
      </c>
      <c r="O190" s="4050">
        <v>13</v>
      </c>
      <c r="P190" s="4049">
        <v>14</v>
      </c>
      <c r="Q190" s="4049">
        <v>15</v>
      </c>
      <c r="R190" s="4049">
        <v>16</v>
      </c>
      <c r="S190" s="4049">
        <v>17</v>
      </c>
      <c r="T190" s="4050">
        <v>18</v>
      </c>
      <c r="U190" s="4050">
        <v>19</v>
      </c>
      <c r="V190" s="4049">
        <v>20</v>
      </c>
      <c r="W190" s="4049">
        <v>21</v>
      </c>
      <c r="X190" s="4049">
        <v>22</v>
      </c>
      <c r="Y190" s="4049">
        <v>23</v>
      </c>
      <c r="Z190" s="4049">
        <v>24</v>
      </c>
      <c r="AA190" s="4050">
        <v>25</v>
      </c>
      <c r="AB190" s="4050">
        <v>26</v>
      </c>
      <c r="AC190" s="4049">
        <v>27</v>
      </c>
      <c r="AD190" s="4049">
        <v>28</v>
      </c>
      <c r="AE190" s="4049">
        <v>29</v>
      </c>
      <c r="AF190" s="4049">
        <v>30</v>
      </c>
      <c r="AG190" s="4051"/>
      <c r="AH190" s="23"/>
      <c r="AI190" s="24"/>
    </row>
    <row r="191" spans="1:39" ht="24.75" customHeight="1">
      <c r="A191" s="4354"/>
      <c r="B191" s="4355" t="s">
        <v>292</v>
      </c>
      <c r="C191" s="3621" t="s">
        <v>31</v>
      </c>
      <c r="D191" s="3621" t="s">
        <v>31</v>
      </c>
      <c r="E191" s="3621" t="s">
        <v>31</v>
      </c>
      <c r="F191" s="3621"/>
      <c r="G191" s="3621"/>
      <c r="H191" s="4356" t="s">
        <v>31</v>
      </c>
      <c r="I191" s="4356" t="s">
        <v>31</v>
      </c>
      <c r="J191" s="4357" t="s">
        <v>31</v>
      </c>
      <c r="K191" s="3621"/>
      <c r="L191" s="3621"/>
      <c r="M191" s="3621"/>
      <c r="N191" s="3621"/>
      <c r="O191" s="3621"/>
      <c r="P191" s="4358" t="s">
        <v>31</v>
      </c>
      <c r="Q191" s="3621" t="s">
        <v>31</v>
      </c>
      <c r="R191" s="3621" t="s">
        <v>31</v>
      </c>
      <c r="S191" s="3621" t="s">
        <v>31</v>
      </c>
      <c r="T191" s="3621"/>
      <c r="U191" s="3621"/>
      <c r="V191" s="3621" t="s">
        <v>31</v>
      </c>
      <c r="W191" s="3621" t="s">
        <v>31</v>
      </c>
      <c r="X191" s="3621" t="s">
        <v>31</v>
      </c>
      <c r="Y191" s="3621" t="s">
        <v>31</v>
      </c>
      <c r="Z191" s="3621" t="s">
        <v>31</v>
      </c>
      <c r="AA191" s="3621"/>
      <c r="AB191" s="3621"/>
      <c r="AC191" s="3621" t="s">
        <v>31</v>
      </c>
      <c r="AD191" s="4359" t="s">
        <v>31</v>
      </c>
      <c r="AE191" s="4359" t="s">
        <v>31</v>
      </c>
      <c r="AF191" s="4360" t="s">
        <v>31</v>
      </c>
      <c r="AG191" s="3621"/>
      <c r="AH191" s="23"/>
      <c r="AI191" s="24"/>
    </row>
    <row r="192" spans="1:39" ht="24.75" customHeight="1">
      <c r="A192" s="3460"/>
      <c r="B192" s="3461" t="s">
        <v>293</v>
      </c>
      <c r="C192" s="3465" t="s">
        <v>31</v>
      </c>
      <c r="D192" s="3465" t="s">
        <v>31</v>
      </c>
      <c r="E192" s="3621" t="s">
        <v>31</v>
      </c>
      <c r="F192" s="3621"/>
      <c r="G192" s="3621"/>
      <c r="H192" s="3621" t="s">
        <v>31</v>
      </c>
      <c r="I192" s="3465" t="s">
        <v>31</v>
      </c>
      <c r="J192" s="3465" t="s">
        <v>31</v>
      </c>
      <c r="K192" s="3621"/>
      <c r="L192" s="3621"/>
      <c r="M192" s="3621"/>
      <c r="N192" s="3621"/>
      <c r="O192" s="3621"/>
      <c r="P192" s="3621" t="s">
        <v>31</v>
      </c>
      <c r="Q192" s="3621" t="s">
        <v>31</v>
      </c>
      <c r="R192" s="3621" t="s">
        <v>31</v>
      </c>
      <c r="S192" s="3621" t="s">
        <v>31</v>
      </c>
      <c r="T192" s="3621"/>
      <c r="U192" s="3621"/>
      <c r="V192" s="3621" t="s">
        <v>31</v>
      </c>
      <c r="W192" s="3621" t="s">
        <v>31</v>
      </c>
      <c r="X192" s="3621" t="s">
        <v>31</v>
      </c>
      <c r="Y192" s="3621" t="s">
        <v>31</v>
      </c>
      <c r="Z192" s="3621" t="s">
        <v>31</v>
      </c>
      <c r="AA192" s="3621"/>
      <c r="AB192" s="3621"/>
      <c r="AC192" s="3621" t="s">
        <v>31</v>
      </c>
      <c r="AD192" s="3621" t="s">
        <v>31</v>
      </c>
      <c r="AE192" s="3621" t="s">
        <v>31</v>
      </c>
      <c r="AF192" s="3621" t="s">
        <v>31</v>
      </c>
      <c r="AG192" s="3621"/>
      <c r="AH192" s="23"/>
      <c r="AI192" s="24"/>
    </row>
    <row r="193" spans="1:35" ht="24.75" customHeight="1">
      <c r="A193" s="3464">
        <v>8514</v>
      </c>
      <c r="B193" s="3418" t="s">
        <v>393</v>
      </c>
      <c r="C193" s="3621" t="s">
        <v>31</v>
      </c>
      <c r="D193" s="3621" t="s">
        <v>31</v>
      </c>
      <c r="E193" s="3465" t="s">
        <v>31</v>
      </c>
      <c r="F193" s="3621"/>
      <c r="G193" s="3621"/>
      <c r="H193" s="4361" t="s">
        <v>31</v>
      </c>
      <c r="I193" s="3429" t="s">
        <v>31</v>
      </c>
      <c r="J193" s="3429" t="s">
        <v>31</v>
      </c>
      <c r="K193" s="3621"/>
      <c r="L193" s="3621"/>
      <c r="M193" s="3621"/>
      <c r="N193" s="3621"/>
      <c r="O193" s="3621"/>
      <c r="P193" s="3621" t="s">
        <v>31</v>
      </c>
      <c r="Q193" s="3621" t="s">
        <v>31</v>
      </c>
      <c r="R193" s="3621" t="s">
        <v>31</v>
      </c>
      <c r="S193" s="3621" t="s">
        <v>31</v>
      </c>
      <c r="T193" s="3621"/>
      <c r="U193" s="3621"/>
      <c r="V193" s="3621" t="s">
        <v>31</v>
      </c>
      <c r="W193" s="3621" t="s">
        <v>31</v>
      </c>
      <c r="X193" s="3621" t="s">
        <v>31</v>
      </c>
      <c r="Y193" s="3621" t="s">
        <v>31</v>
      </c>
      <c r="Z193" s="3465" t="s">
        <v>31</v>
      </c>
      <c r="AA193" s="3621"/>
      <c r="AB193" s="3621"/>
      <c r="AC193" s="3621" t="s">
        <v>31</v>
      </c>
      <c r="AD193" s="3621" t="s">
        <v>31</v>
      </c>
      <c r="AE193" s="3621" t="s">
        <v>31</v>
      </c>
      <c r="AF193" s="3621" t="s">
        <v>31</v>
      </c>
      <c r="AG193" s="3621"/>
      <c r="AH193" s="34"/>
      <c r="AI193" s="25"/>
    </row>
    <row r="194" spans="1:35" ht="24.75" customHeight="1">
      <c r="A194" s="3464">
        <v>3701</v>
      </c>
      <c r="B194" s="3418" t="s">
        <v>295</v>
      </c>
      <c r="C194" s="3621" t="s">
        <v>31</v>
      </c>
      <c r="D194" s="3621" t="s">
        <v>31</v>
      </c>
      <c r="E194" s="3621" t="s">
        <v>31</v>
      </c>
      <c r="F194" s="3621"/>
      <c r="G194" s="3621"/>
      <c r="H194" s="3621" t="s">
        <v>31</v>
      </c>
      <c r="I194" s="3465" t="s">
        <v>31</v>
      </c>
      <c r="J194" s="3465" t="s">
        <v>31</v>
      </c>
      <c r="K194" s="3621"/>
      <c r="L194" s="3621"/>
      <c r="M194" s="3621"/>
      <c r="N194" s="3621"/>
      <c r="O194" s="3621"/>
      <c r="P194" s="3621" t="s">
        <v>31</v>
      </c>
      <c r="Q194" s="3426" t="s">
        <v>31</v>
      </c>
      <c r="R194" s="3621" t="s">
        <v>31</v>
      </c>
      <c r="S194" s="3621" t="s">
        <v>31</v>
      </c>
      <c r="T194" s="3621"/>
      <c r="U194" s="3621"/>
      <c r="V194" s="4183" t="s">
        <v>31</v>
      </c>
      <c r="W194" s="4183" t="s">
        <v>31</v>
      </c>
      <c r="X194" s="4183" t="s">
        <v>31</v>
      </c>
      <c r="Y194" s="4183" t="s">
        <v>31</v>
      </c>
      <c r="Z194" s="4183" t="s">
        <v>304</v>
      </c>
      <c r="AA194" s="3621"/>
      <c r="AB194" s="3621"/>
      <c r="AC194" s="3621" t="s">
        <v>31</v>
      </c>
      <c r="AD194" s="3621" t="s">
        <v>31</v>
      </c>
      <c r="AE194" s="3621" t="s">
        <v>31</v>
      </c>
      <c r="AF194" s="3621" t="s">
        <v>31</v>
      </c>
      <c r="AG194" s="3621"/>
      <c r="AH194" s="34"/>
      <c r="AI194" s="25"/>
    </row>
    <row r="195" spans="1:35" ht="24.75" customHeight="1">
      <c r="A195" s="3464">
        <v>3701</v>
      </c>
      <c r="B195" s="3418" t="s">
        <v>296</v>
      </c>
      <c r="C195" s="3621" t="s">
        <v>31</v>
      </c>
      <c r="D195" s="3621" t="s">
        <v>31</v>
      </c>
      <c r="E195" s="3621" t="s">
        <v>31</v>
      </c>
      <c r="F195" s="3621"/>
      <c r="G195" s="3621"/>
      <c r="H195" s="3621" t="s">
        <v>31</v>
      </c>
      <c r="I195" s="3465" t="s">
        <v>31</v>
      </c>
      <c r="J195" s="3465" t="s">
        <v>31</v>
      </c>
      <c r="K195" s="3621"/>
      <c r="L195" s="3621"/>
      <c r="M195" s="3621"/>
      <c r="N195" s="3621"/>
      <c r="O195" s="3621"/>
      <c r="P195" s="3621">
        <v>19</v>
      </c>
      <c r="Q195" s="3621">
        <v>19</v>
      </c>
      <c r="R195" s="3621">
        <v>19</v>
      </c>
      <c r="S195" s="3621">
        <v>19</v>
      </c>
      <c r="T195" s="3621"/>
      <c r="U195" s="3621"/>
      <c r="V195" s="3621" t="s">
        <v>31</v>
      </c>
      <c r="W195" s="3621" t="s">
        <v>31</v>
      </c>
      <c r="X195" s="3621" t="s">
        <v>31</v>
      </c>
      <c r="Y195" s="3621" t="s">
        <v>31</v>
      </c>
      <c r="Z195" s="3621" t="s">
        <v>31</v>
      </c>
      <c r="AA195" s="3621"/>
      <c r="AB195" s="3621"/>
      <c r="AC195" s="3621" t="s">
        <v>31</v>
      </c>
      <c r="AD195" s="3621" t="s">
        <v>31</v>
      </c>
      <c r="AE195" s="3621" t="s">
        <v>31</v>
      </c>
      <c r="AF195" s="3621" t="s">
        <v>31</v>
      </c>
      <c r="AG195" s="3621"/>
      <c r="AH195" s="34"/>
      <c r="AI195" s="25"/>
    </row>
    <row r="196" spans="1:35" ht="24.75" customHeight="1">
      <c r="A196" s="3464">
        <v>3701</v>
      </c>
      <c r="B196" s="3418" t="s">
        <v>297</v>
      </c>
      <c r="C196" s="3621" t="s">
        <v>31</v>
      </c>
      <c r="D196" s="3621" t="s">
        <v>31</v>
      </c>
      <c r="E196" s="3621" t="s">
        <v>31</v>
      </c>
      <c r="F196" s="4356"/>
      <c r="G196" s="4356"/>
      <c r="H196" s="3621" t="s">
        <v>44</v>
      </c>
      <c r="I196" s="3621" t="s">
        <v>44</v>
      </c>
      <c r="J196" s="3621" t="s">
        <v>44</v>
      </c>
      <c r="K196" s="3621"/>
      <c r="L196" s="3621"/>
      <c r="M196" s="3621"/>
      <c r="N196" s="3621"/>
      <c r="O196" s="3621"/>
      <c r="P196" s="4362" t="s">
        <v>31</v>
      </c>
      <c r="Q196" s="4362" t="s">
        <v>31</v>
      </c>
      <c r="R196" s="4362" t="s">
        <v>31</v>
      </c>
      <c r="S196" s="3621" t="s">
        <v>31</v>
      </c>
      <c r="T196" s="3621"/>
      <c r="U196" s="3621"/>
      <c r="V196" s="3621" t="s">
        <v>31</v>
      </c>
      <c r="W196" s="3621" t="s">
        <v>31</v>
      </c>
      <c r="X196" s="3621" t="s">
        <v>31</v>
      </c>
      <c r="Y196" s="3621" t="s">
        <v>31</v>
      </c>
      <c r="Z196" s="3621" t="s">
        <v>31</v>
      </c>
      <c r="AA196" s="3621"/>
      <c r="AB196" s="3621"/>
      <c r="AC196" s="3621">
        <v>3</v>
      </c>
      <c r="AD196" s="3621">
        <v>3</v>
      </c>
      <c r="AE196" s="3621">
        <v>3</v>
      </c>
      <c r="AF196" s="3621">
        <v>3</v>
      </c>
      <c r="AG196" s="3621"/>
      <c r="AH196" s="34"/>
      <c r="AI196" s="25"/>
    </row>
    <row r="197" spans="1:35" ht="24.75" customHeight="1">
      <c r="A197" s="3464">
        <v>3701</v>
      </c>
      <c r="B197" s="3418" t="s">
        <v>298</v>
      </c>
      <c r="C197" s="3621" t="s">
        <v>31</v>
      </c>
      <c r="D197" s="3519" t="s">
        <v>31</v>
      </c>
      <c r="E197" s="3519" t="s">
        <v>31</v>
      </c>
      <c r="F197" s="3519"/>
      <c r="G197" s="3519"/>
      <c r="H197" s="3519">
        <v>19</v>
      </c>
      <c r="I197" s="3519">
        <v>19</v>
      </c>
      <c r="J197" s="3519">
        <v>19</v>
      </c>
      <c r="K197" s="3621"/>
      <c r="L197" s="3621"/>
      <c r="M197" s="3621"/>
      <c r="N197" s="3621"/>
      <c r="O197" s="3621"/>
      <c r="P197" s="3621" t="s">
        <v>31</v>
      </c>
      <c r="Q197" s="3621" t="s">
        <v>31</v>
      </c>
      <c r="R197" s="3621" t="s">
        <v>31</v>
      </c>
      <c r="S197" s="3621" t="s">
        <v>31</v>
      </c>
      <c r="T197" s="3621"/>
      <c r="U197" s="3621"/>
      <c r="V197" s="4356" t="s">
        <v>31</v>
      </c>
      <c r="W197" s="4363" t="s">
        <v>31</v>
      </c>
      <c r="X197" s="4363" t="s">
        <v>31</v>
      </c>
      <c r="Y197" s="4363" t="s">
        <v>31</v>
      </c>
      <c r="Z197" s="4363" t="s">
        <v>31</v>
      </c>
      <c r="AA197" s="3621"/>
      <c r="AB197" s="3621"/>
      <c r="AC197" s="4181" t="s">
        <v>31</v>
      </c>
      <c r="AD197" s="4181" t="s">
        <v>31</v>
      </c>
      <c r="AE197" s="4181" t="s">
        <v>31</v>
      </c>
      <c r="AF197" s="4181" t="s">
        <v>31</v>
      </c>
      <c r="AG197" s="3621"/>
      <c r="AH197" s="34"/>
      <c r="AI197" s="25"/>
    </row>
    <row r="198" spans="1:35" ht="24.75" customHeight="1">
      <c r="A198" s="3464">
        <v>3701</v>
      </c>
      <c r="B198" s="3418" t="s">
        <v>299</v>
      </c>
      <c r="C198" s="3621">
        <v>19</v>
      </c>
      <c r="D198" s="3465">
        <v>19</v>
      </c>
      <c r="E198" s="3465">
        <v>19</v>
      </c>
      <c r="F198" s="3465"/>
      <c r="G198" s="3465"/>
      <c r="H198" s="3465" t="s">
        <v>31</v>
      </c>
      <c r="I198" s="3465" t="s">
        <v>31</v>
      </c>
      <c r="J198" s="3465" t="s">
        <v>31</v>
      </c>
      <c r="K198" s="3621"/>
      <c r="L198" s="3621"/>
      <c r="M198" s="3621"/>
      <c r="N198" s="3621"/>
      <c r="O198" s="3621"/>
      <c r="P198" s="3621" t="s">
        <v>31</v>
      </c>
      <c r="Q198" s="3621" t="s">
        <v>31</v>
      </c>
      <c r="R198" s="3621" t="s">
        <v>31</v>
      </c>
      <c r="S198" s="3621" t="s">
        <v>31</v>
      </c>
      <c r="T198" s="3621"/>
      <c r="U198" s="3621"/>
      <c r="V198" s="3621" t="s">
        <v>31</v>
      </c>
      <c r="W198" s="3621" t="s">
        <v>31</v>
      </c>
      <c r="X198" s="3621" t="s">
        <v>31</v>
      </c>
      <c r="Y198" s="3621" t="s">
        <v>31</v>
      </c>
      <c r="Z198" s="3621" t="s">
        <v>31</v>
      </c>
      <c r="AA198" s="3621"/>
      <c r="AB198" s="3621"/>
      <c r="AC198" s="3621" t="s">
        <v>31</v>
      </c>
      <c r="AD198" s="3621" t="s">
        <v>31</v>
      </c>
      <c r="AE198" s="3621" t="s">
        <v>31</v>
      </c>
      <c r="AF198" s="3621" t="s">
        <v>31</v>
      </c>
      <c r="AG198" s="3621"/>
      <c r="AH198" s="34"/>
      <c r="AI198" s="25"/>
    </row>
    <row r="199" spans="1:35" ht="24.75" customHeight="1">
      <c r="A199" s="3464">
        <v>3701</v>
      </c>
      <c r="B199" s="3418" t="s">
        <v>300</v>
      </c>
      <c r="C199" s="3621" t="s">
        <v>31</v>
      </c>
      <c r="D199" s="3621" t="s">
        <v>31</v>
      </c>
      <c r="E199" s="3621" t="s">
        <v>31</v>
      </c>
      <c r="F199" s="3621"/>
      <c r="G199" s="3621"/>
      <c r="H199" s="3423" t="s">
        <v>31</v>
      </c>
      <c r="I199" s="3423" t="s">
        <v>31</v>
      </c>
      <c r="J199" s="3423" t="s">
        <v>31</v>
      </c>
      <c r="K199" s="3621"/>
      <c r="L199" s="3621"/>
      <c r="M199" s="3621"/>
      <c r="N199" s="3621"/>
      <c r="O199" s="3621"/>
      <c r="P199" s="3519" t="s">
        <v>31</v>
      </c>
      <c r="Q199" s="3519" t="s">
        <v>31</v>
      </c>
      <c r="R199" s="3621" t="s">
        <v>31</v>
      </c>
      <c r="S199" s="3621" t="s">
        <v>31</v>
      </c>
      <c r="T199" s="3621"/>
      <c r="U199" s="3621"/>
      <c r="V199" s="3621">
        <v>19</v>
      </c>
      <c r="W199" s="3621">
        <v>19</v>
      </c>
      <c r="X199" s="3621">
        <v>19</v>
      </c>
      <c r="Y199" s="3621">
        <v>19</v>
      </c>
      <c r="Z199" s="3621">
        <v>19</v>
      </c>
      <c r="AA199" s="3621"/>
      <c r="AB199" s="3621"/>
      <c r="AC199" s="3621" t="s">
        <v>31</v>
      </c>
      <c r="AD199" s="3621" t="s">
        <v>31</v>
      </c>
      <c r="AE199" s="3621" t="s">
        <v>31</v>
      </c>
      <c r="AF199" s="3621" t="s">
        <v>31</v>
      </c>
      <c r="AG199" s="3621"/>
      <c r="AH199" s="34"/>
      <c r="AI199" s="25"/>
    </row>
    <row r="200" spans="1:35" ht="24.75" customHeight="1">
      <c r="A200" s="3464">
        <v>3701</v>
      </c>
      <c r="B200" s="3418" t="s">
        <v>301</v>
      </c>
      <c r="C200" s="4346" t="s">
        <v>31</v>
      </c>
      <c r="D200" s="4356" t="s">
        <v>31</v>
      </c>
      <c r="E200" s="4356" t="s">
        <v>31</v>
      </c>
      <c r="F200" s="4356"/>
      <c r="G200" s="4356"/>
      <c r="H200" s="4356" t="s">
        <v>31</v>
      </c>
      <c r="I200" s="4356" t="s">
        <v>31</v>
      </c>
      <c r="J200" s="4356" t="s">
        <v>31</v>
      </c>
      <c r="K200" s="3621"/>
      <c r="L200" s="3621"/>
      <c r="M200" s="3621"/>
      <c r="N200" s="3621"/>
      <c r="O200" s="3621"/>
      <c r="P200" s="4362" t="s">
        <v>31</v>
      </c>
      <c r="Q200" s="4362" t="s">
        <v>31</v>
      </c>
      <c r="R200" s="4362" t="s">
        <v>31</v>
      </c>
      <c r="S200" s="3621" t="s">
        <v>31</v>
      </c>
      <c r="T200" s="3621"/>
      <c r="U200" s="3621"/>
      <c r="V200" s="3621" t="s">
        <v>31</v>
      </c>
      <c r="W200" s="3621" t="s">
        <v>31</v>
      </c>
      <c r="X200" s="3621" t="s">
        <v>31</v>
      </c>
      <c r="Y200" s="3621" t="s">
        <v>31</v>
      </c>
      <c r="Z200" s="3621" t="s">
        <v>31</v>
      </c>
      <c r="AA200" s="3621"/>
      <c r="AB200" s="3621"/>
      <c r="AC200" s="3621">
        <v>19</v>
      </c>
      <c r="AD200" s="3621">
        <v>19</v>
      </c>
      <c r="AE200" s="3621">
        <v>19</v>
      </c>
      <c r="AF200" s="3621">
        <v>19</v>
      </c>
      <c r="AG200" s="3621"/>
      <c r="AH200" s="34"/>
      <c r="AI200" s="25"/>
    </row>
    <row r="201" spans="1:35" ht="24.75" customHeight="1">
      <c r="A201" s="3467">
        <v>3701</v>
      </c>
      <c r="B201" s="3418" t="s">
        <v>302</v>
      </c>
      <c r="C201" s="3621" t="s">
        <v>31</v>
      </c>
      <c r="D201" s="3621" t="s">
        <v>31</v>
      </c>
      <c r="E201" s="3621" t="s">
        <v>31</v>
      </c>
      <c r="F201" s="3621"/>
      <c r="G201" s="3621"/>
      <c r="H201" s="3621" t="s">
        <v>31</v>
      </c>
      <c r="I201" s="3621" t="s">
        <v>31</v>
      </c>
      <c r="J201" s="3621" t="s">
        <v>31</v>
      </c>
      <c r="K201" s="3621"/>
      <c r="L201" s="3621"/>
      <c r="M201" s="3621"/>
      <c r="N201" s="3621"/>
      <c r="O201" s="3621"/>
      <c r="P201" s="3621" t="s">
        <v>31</v>
      </c>
      <c r="Q201" s="3621" t="s">
        <v>31</v>
      </c>
      <c r="R201" s="3621" t="s">
        <v>31</v>
      </c>
      <c r="S201" s="3621" t="s">
        <v>31</v>
      </c>
      <c r="T201" s="3621"/>
      <c r="U201" s="3621"/>
      <c r="V201" s="3621" t="s">
        <v>31</v>
      </c>
      <c r="W201" s="3621" t="s">
        <v>31</v>
      </c>
      <c r="X201" s="3621" t="s">
        <v>31</v>
      </c>
      <c r="Y201" s="3621" t="s">
        <v>31</v>
      </c>
      <c r="Z201" s="3621" t="s">
        <v>31</v>
      </c>
      <c r="AA201" s="3621"/>
      <c r="AB201" s="3621"/>
      <c r="AC201" s="3621" t="s">
        <v>31</v>
      </c>
      <c r="AD201" s="3621" t="s">
        <v>31</v>
      </c>
      <c r="AE201" s="3621" t="s">
        <v>31</v>
      </c>
      <c r="AF201" s="3621" t="s">
        <v>31</v>
      </c>
      <c r="AG201" s="3621"/>
      <c r="AH201" s="34"/>
      <c r="AI201" s="25"/>
    </row>
    <row r="202" spans="1:35" ht="24.75" customHeight="1">
      <c r="A202" s="3464">
        <v>3701</v>
      </c>
      <c r="B202" s="3418" t="s">
        <v>303</v>
      </c>
      <c r="C202" s="3621" t="s">
        <v>31</v>
      </c>
      <c r="D202" s="3621" t="s">
        <v>31</v>
      </c>
      <c r="E202" s="3621" t="s">
        <v>31</v>
      </c>
      <c r="F202" s="3621"/>
      <c r="G202" s="3621"/>
      <c r="H202" s="3465" t="s">
        <v>31</v>
      </c>
      <c r="I202" s="3465" t="s">
        <v>31</v>
      </c>
      <c r="J202" s="3465" t="s">
        <v>31</v>
      </c>
      <c r="K202" s="3621"/>
      <c r="L202" s="3621"/>
      <c r="M202" s="3621"/>
      <c r="N202" s="3621"/>
      <c r="O202" s="3621"/>
      <c r="P202" s="3423" t="s">
        <v>31</v>
      </c>
      <c r="Q202" s="3423" t="s">
        <v>31</v>
      </c>
      <c r="R202" s="3429" t="s">
        <v>31</v>
      </c>
      <c r="S202" s="3429" t="s">
        <v>31</v>
      </c>
      <c r="T202" s="3423"/>
      <c r="U202" s="3423"/>
      <c r="V202" s="3423" t="s">
        <v>31</v>
      </c>
      <c r="W202" s="3423" t="s">
        <v>31</v>
      </c>
      <c r="X202" s="3423" t="s">
        <v>31</v>
      </c>
      <c r="Y202" s="3423" t="s">
        <v>31</v>
      </c>
      <c r="Z202" s="3423" t="s">
        <v>31</v>
      </c>
      <c r="AA202" s="3621"/>
      <c r="AB202" s="3621"/>
      <c r="AC202" s="3621" t="s">
        <v>31</v>
      </c>
      <c r="AD202" s="3621" t="s">
        <v>31</v>
      </c>
      <c r="AE202" s="3621" t="s">
        <v>31</v>
      </c>
      <c r="AF202" s="3621" t="s">
        <v>31</v>
      </c>
      <c r="AG202" s="3621"/>
      <c r="AH202" s="34"/>
      <c r="AI202" s="25"/>
    </row>
    <row r="203" spans="1:35" ht="24.75" customHeight="1">
      <c r="A203" s="3464">
        <v>3701</v>
      </c>
      <c r="B203" s="3418" t="s">
        <v>305</v>
      </c>
      <c r="C203" s="3621" t="s">
        <v>31</v>
      </c>
      <c r="D203" s="3621" t="s">
        <v>31</v>
      </c>
      <c r="E203" s="3621" t="s">
        <v>31</v>
      </c>
      <c r="F203" s="3621"/>
      <c r="G203" s="3621"/>
      <c r="H203" s="3621" t="s">
        <v>31</v>
      </c>
      <c r="I203" s="3621" t="s">
        <v>31</v>
      </c>
      <c r="J203" s="3621" t="s">
        <v>31</v>
      </c>
      <c r="K203" s="3621"/>
      <c r="L203" s="3621"/>
      <c r="M203" s="3621"/>
      <c r="N203" s="3621"/>
      <c r="O203" s="3621"/>
      <c r="P203" s="3621" t="s">
        <v>31</v>
      </c>
      <c r="Q203" s="3621" t="s">
        <v>31</v>
      </c>
      <c r="R203" s="3621" t="s">
        <v>31</v>
      </c>
      <c r="S203" s="3621" t="s">
        <v>31</v>
      </c>
      <c r="T203" s="3621"/>
      <c r="U203" s="3621"/>
      <c r="V203" s="3621" t="s">
        <v>31</v>
      </c>
      <c r="W203" s="3621" t="s">
        <v>31</v>
      </c>
      <c r="X203" s="3621" t="s">
        <v>31</v>
      </c>
      <c r="Y203" s="3621" t="s">
        <v>31</v>
      </c>
      <c r="Z203" s="3621" t="s">
        <v>31</v>
      </c>
      <c r="AA203" s="3621"/>
      <c r="AB203" s="3621"/>
      <c r="AC203" s="3621" t="s">
        <v>31</v>
      </c>
      <c r="AD203" s="3621" t="s">
        <v>31</v>
      </c>
      <c r="AE203" s="3621" t="s">
        <v>31</v>
      </c>
      <c r="AF203" s="3621" t="s">
        <v>31</v>
      </c>
      <c r="AG203" s="3621"/>
      <c r="AH203" s="34"/>
      <c r="AI203" s="25"/>
    </row>
    <row r="204" spans="1:35" ht="24.75" customHeight="1">
      <c r="A204" s="3464"/>
      <c r="B204" s="3476"/>
      <c r="C204" s="3621" t="s">
        <v>31</v>
      </c>
      <c r="D204" s="3621" t="s">
        <v>31</v>
      </c>
      <c r="E204" s="3621" t="s">
        <v>31</v>
      </c>
      <c r="F204" s="3621"/>
      <c r="G204" s="3621"/>
      <c r="H204" s="3621" t="s">
        <v>31</v>
      </c>
      <c r="I204" s="3621" t="s">
        <v>31</v>
      </c>
      <c r="J204" s="3621" t="s">
        <v>31</v>
      </c>
      <c r="K204" s="3621"/>
      <c r="L204" s="3621"/>
      <c r="M204" s="3621"/>
      <c r="N204" s="3621"/>
      <c r="O204" s="3621"/>
      <c r="P204" s="3621" t="s">
        <v>31</v>
      </c>
      <c r="Q204" s="3621" t="s">
        <v>31</v>
      </c>
      <c r="R204" s="3621" t="s">
        <v>31</v>
      </c>
      <c r="S204" s="3621" t="s">
        <v>31</v>
      </c>
      <c r="T204" s="3621"/>
      <c r="U204" s="3621"/>
      <c r="V204" s="3621" t="s">
        <v>31</v>
      </c>
      <c r="W204" s="3621" t="s">
        <v>31</v>
      </c>
      <c r="X204" s="3621" t="s">
        <v>31</v>
      </c>
      <c r="Y204" s="3621" t="s">
        <v>31</v>
      </c>
      <c r="Z204" s="3621" t="s">
        <v>31</v>
      </c>
      <c r="AA204" s="3621"/>
      <c r="AB204" s="3621"/>
      <c r="AC204" s="3621" t="s">
        <v>31</v>
      </c>
      <c r="AD204" s="3621" t="s">
        <v>31</v>
      </c>
      <c r="AE204" s="3621" t="s">
        <v>31</v>
      </c>
      <c r="AF204" s="3621" t="s">
        <v>31</v>
      </c>
      <c r="AG204" s="3621"/>
      <c r="AH204" s="34"/>
      <c r="AI204" s="25"/>
    </row>
    <row r="205" spans="1:35" ht="24.75" customHeight="1">
      <c r="A205" s="3464"/>
      <c r="B205" s="3418" t="s">
        <v>306</v>
      </c>
      <c r="C205" s="3621" t="s">
        <v>31</v>
      </c>
      <c r="D205" s="3519" t="s">
        <v>31</v>
      </c>
      <c r="E205" s="3519" t="s">
        <v>31</v>
      </c>
      <c r="F205" s="3519"/>
      <c r="G205" s="3519"/>
      <c r="H205" s="3519" t="s">
        <v>31</v>
      </c>
      <c r="I205" s="3519" t="s">
        <v>31</v>
      </c>
      <c r="J205" s="3519" t="s">
        <v>31</v>
      </c>
      <c r="K205" s="3621"/>
      <c r="L205" s="3621"/>
      <c r="M205" s="3621"/>
      <c r="N205" s="3621"/>
      <c r="O205" s="3621"/>
      <c r="P205" s="3621" t="s">
        <v>31</v>
      </c>
      <c r="Q205" s="3621" t="s">
        <v>31</v>
      </c>
      <c r="R205" s="3621" t="s">
        <v>31</v>
      </c>
      <c r="S205" s="3621" t="s">
        <v>31</v>
      </c>
      <c r="T205" s="3621"/>
      <c r="U205" s="3621"/>
      <c r="V205" s="4356" t="s">
        <v>31</v>
      </c>
      <c r="W205" s="4356" t="s">
        <v>31</v>
      </c>
      <c r="X205" s="4356" t="s">
        <v>31</v>
      </c>
      <c r="Y205" s="4356" t="s">
        <v>31</v>
      </c>
      <c r="Z205" s="4356" t="s">
        <v>31</v>
      </c>
      <c r="AA205" s="3621"/>
      <c r="AB205" s="3621"/>
      <c r="AC205" s="4364" t="s">
        <v>31</v>
      </c>
      <c r="AD205" s="4364" t="s">
        <v>31</v>
      </c>
      <c r="AE205" s="4364" t="s">
        <v>31</v>
      </c>
      <c r="AF205" s="4364" t="s">
        <v>31</v>
      </c>
      <c r="AG205" s="3621"/>
      <c r="AH205" s="34"/>
      <c r="AI205" s="25"/>
    </row>
    <row r="206" spans="1:35" ht="24.75" customHeight="1">
      <c r="A206" s="3464"/>
      <c r="B206" s="3418" t="s">
        <v>307</v>
      </c>
      <c r="C206" s="4183" t="s">
        <v>31</v>
      </c>
      <c r="D206" s="4183" t="s">
        <v>31</v>
      </c>
      <c r="E206" s="4183" t="s">
        <v>31</v>
      </c>
      <c r="F206" s="4183"/>
      <c r="G206" s="4183"/>
      <c r="H206" s="4183" t="s">
        <v>31</v>
      </c>
      <c r="I206" s="4183" t="s">
        <v>31</v>
      </c>
      <c r="J206" s="4183" t="s">
        <v>31</v>
      </c>
      <c r="K206" s="4183"/>
      <c r="L206" s="4183"/>
      <c r="M206" s="4183"/>
      <c r="N206" s="4183"/>
      <c r="O206" s="4183"/>
      <c r="P206" s="4183" t="s">
        <v>31</v>
      </c>
      <c r="Q206" s="4183" t="s">
        <v>31</v>
      </c>
      <c r="R206" s="4183" t="s">
        <v>31</v>
      </c>
      <c r="S206" s="4183" t="s">
        <v>31</v>
      </c>
      <c r="T206" s="4183"/>
      <c r="U206" s="4183"/>
      <c r="V206" s="4183" t="s">
        <v>31</v>
      </c>
      <c r="W206" s="4183" t="s">
        <v>31</v>
      </c>
      <c r="X206" s="4183" t="s">
        <v>31</v>
      </c>
      <c r="Y206" s="4183" t="s">
        <v>31</v>
      </c>
      <c r="Z206" s="4183" t="s">
        <v>31</v>
      </c>
      <c r="AA206" s="4183"/>
      <c r="AB206" s="4183"/>
      <c r="AC206" s="4183" t="s">
        <v>31</v>
      </c>
      <c r="AD206" s="4183" t="s">
        <v>31</v>
      </c>
      <c r="AE206" s="4183" t="s">
        <v>31</v>
      </c>
      <c r="AF206" s="4183" t="s">
        <v>31</v>
      </c>
      <c r="AG206" s="4183"/>
      <c r="AH206" s="34"/>
      <c r="AI206" s="25"/>
    </row>
    <row r="207" spans="1:35" ht="24.75" customHeight="1">
      <c r="A207" s="3464"/>
      <c r="B207" s="3418" t="s">
        <v>308</v>
      </c>
      <c r="C207" s="3621" t="s">
        <v>31</v>
      </c>
      <c r="D207" s="3621" t="s">
        <v>31</v>
      </c>
      <c r="E207" s="3621" t="s">
        <v>31</v>
      </c>
      <c r="F207" s="3621"/>
      <c r="G207" s="3621"/>
      <c r="H207" s="3423" t="s">
        <v>31</v>
      </c>
      <c r="I207" s="3423" t="s">
        <v>31</v>
      </c>
      <c r="J207" s="3423" t="s">
        <v>31</v>
      </c>
      <c r="K207" s="3621"/>
      <c r="L207" s="3621"/>
      <c r="M207" s="3621"/>
      <c r="N207" s="3621"/>
      <c r="O207" s="3621"/>
      <c r="P207" s="3621" t="s">
        <v>31</v>
      </c>
      <c r="Q207" s="3621" t="s">
        <v>31</v>
      </c>
      <c r="R207" s="3621" t="s">
        <v>31</v>
      </c>
      <c r="S207" s="3621" t="s">
        <v>31</v>
      </c>
      <c r="T207" s="3621"/>
      <c r="U207" s="3621"/>
      <c r="V207" s="3621" t="s">
        <v>31</v>
      </c>
      <c r="W207" s="3621" t="s">
        <v>31</v>
      </c>
      <c r="X207" s="3621" t="s">
        <v>31</v>
      </c>
      <c r="Y207" s="3621" t="s">
        <v>31</v>
      </c>
      <c r="Z207" s="3621" t="s">
        <v>31</v>
      </c>
      <c r="AA207" s="3621"/>
      <c r="AB207" s="3621"/>
      <c r="AC207" s="3621" t="s">
        <v>31</v>
      </c>
      <c r="AD207" s="3621" t="s">
        <v>31</v>
      </c>
      <c r="AE207" s="3621" t="s">
        <v>31</v>
      </c>
      <c r="AF207" s="3621" t="s">
        <v>31</v>
      </c>
      <c r="AG207" s="3621"/>
      <c r="AH207" s="34"/>
      <c r="AI207" s="25"/>
    </row>
    <row r="208" spans="1:35" ht="24.75" customHeight="1">
      <c r="A208" s="3464"/>
      <c r="B208" s="3418" t="s">
        <v>309</v>
      </c>
      <c r="C208" s="3465" t="s">
        <v>31</v>
      </c>
      <c r="D208" s="3621" t="s">
        <v>31</v>
      </c>
      <c r="E208" s="3465" t="s">
        <v>31</v>
      </c>
      <c r="F208" s="3621"/>
      <c r="G208" s="3621"/>
      <c r="H208" s="3621" t="s">
        <v>31</v>
      </c>
      <c r="I208" s="3621" t="s">
        <v>31</v>
      </c>
      <c r="J208" s="3465" t="s">
        <v>31</v>
      </c>
      <c r="K208" s="3621"/>
      <c r="L208" s="3621"/>
      <c r="M208" s="3621"/>
      <c r="N208" s="3621"/>
      <c r="O208" s="3621"/>
      <c r="P208" s="3621" t="s">
        <v>31</v>
      </c>
      <c r="Q208" s="3621" t="s">
        <v>31</v>
      </c>
      <c r="R208" s="3621" t="s">
        <v>31</v>
      </c>
      <c r="S208" s="3621" t="s">
        <v>31</v>
      </c>
      <c r="T208" s="3621"/>
      <c r="U208" s="3621"/>
      <c r="V208" s="3621" t="s">
        <v>31</v>
      </c>
      <c r="W208" s="3621" t="s">
        <v>31</v>
      </c>
      <c r="X208" s="3621" t="s">
        <v>31</v>
      </c>
      <c r="Y208" s="3621" t="s">
        <v>31</v>
      </c>
      <c r="Z208" s="3621" t="s">
        <v>31</v>
      </c>
      <c r="AA208" s="3621"/>
      <c r="AB208" s="3621"/>
      <c r="AC208" s="3621" t="s">
        <v>31</v>
      </c>
      <c r="AD208" s="3621" t="s">
        <v>31</v>
      </c>
      <c r="AE208" s="3621" t="s">
        <v>31</v>
      </c>
      <c r="AF208" s="3621" t="s">
        <v>31</v>
      </c>
      <c r="AG208" s="3621"/>
      <c r="AH208" s="34"/>
      <c r="AI208" s="25"/>
    </row>
    <row r="209" spans="1:35" ht="24.75" customHeight="1">
      <c r="A209" s="3464"/>
      <c r="B209" s="3478"/>
      <c r="C209" s="3621"/>
      <c r="D209" s="3621"/>
      <c r="E209" s="3621"/>
      <c r="F209" s="3621"/>
      <c r="G209" s="3621"/>
      <c r="H209" s="3621"/>
      <c r="I209" s="3621"/>
      <c r="J209" s="3621"/>
      <c r="K209" s="3621"/>
      <c r="L209" s="3621"/>
      <c r="M209" s="3621"/>
      <c r="N209" s="3621"/>
      <c r="O209" s="3621"/>
      <c r="P209" s="3621"/>
      <c r="Q209" s="3621"/>
      <c r="R209" s="3621"/>
      <c r="S209" s="3621"/>
      <c r="T209" s="3621"/>
      <c r="U209" s="3621"/>
      <c r="V209" s="3621"/>
      <c r="W209" s="3621"/>
      <c r="X209" s="3621"/>
      <c r="Y209" s="3621"/>
      <c r="Z209" s="3621"/>
      <c r="AA209" s="3621"/>
      <c r="AB209" s="3621"/>
      <c r="AC209" s="3621"/>
      <c r="AD209" s="3621"/>
      <c r="AE209" s="3621"/>
      <c r="AF209" s="3621"/>
      <c r="AG209" s="3463"/>
      <c r="AH209" s="93"/>
      <c r="AI209" s="76"/>
    </row>
    <row r="210" spans="1:35" ht="24.75" customHeight="1">
      <c r="A210" s="3464"/>
      <c r="B210" s="3418"/>
      <c r="C210" s="3621"/>
      <c r="D210" s="3621"/>
      <c r="E210" s="3621"/>
      <c r="F210" s="3621"/>
      <c r="G210" s="3621"/>
      <c r="H210" s="3621"/>
      <c r="I210" s="3621"/>
      <c r="J210" s="3621"/>
      <c r="K210" s="3621"/>
      <c r="L210" s="3621"/>
      <c r="M210" s="3621"/>
      <c r="N210" s="3621"/>
      <c r="O210" s="3621"/>
      <c r="P210" s="3621"/>
      <c r="Q210" s="3621"/>
      <c r="R210" s="3621"/>
      <c r="S210" s="3621"/>
      <c r="T210" s="3621"/>
      <c r="U210" s="3621"/>
      <c r="V210" s="3621"/>
      <c r="W210" s="3621"/>
      <c r="X210" s="3621"/>
      <c r="Y210" s="3621"/>
      <c r="Z210" s="3621"/>
      <c r="AA210" s="3621"/>
      <c r="AB210" s="3621"/>
      <c r="AC210" s="3621"/>
      <c r="AD210" s="3621"/>
      <c r="AE210" s="3621"/>
      <c r="AF210" s="3621"/>
      <c r="AG210" s="3479"/>
      <c r="AH210" s="93"/>
      <c r="AI210" s="76"/>
    </row>
    <row r="211" spans="1:35" ht="24.75" customHeight="1">
      <c r="A211" s="3426"/>
      <c r="B211" s="3426"/>
      <c r="C211" s="3621"/>
      <c r="D211" s="3621"/>
      <c r="E211" s="3621"/>
      <c r="F211" s="3621"/>
      <c r="G211" s="3621"/>
      <c r="H211" s="3621"/>
      <c r="I211" s="3621"/>
      <c r="J211" s="3621"/>
      <c r="K211" s="3621"/>
      <c r="L211" s="3621"/>
      <c r="M211" s="3621"/>
      <c r="N211" s="3621"/>
      <c r="O211" s="3621"/>
      <c r="P211" s="3621"/>
      <c r="Q211" s="3621"/>
      <c r="R211" s="3621"/>
      <c r="S211" s="3621"/>
      <c r="T211" s="3621"/>
      <c r="U211" s="3621"/>
      <c r="V211" s="3621"/>
      <c r="W211" s="3621"/>
      <c r="X211" s="3621"/>
      <c r="Y211" s="3621"/>
      <c r="Z211" s="3621"/>
      <c r="AA211" s="3621"/>
      <c r="AB211" s="3621"/>
      <c r="AC211" s="3621"/>
      <c r="AD211" s="3621"/>
      <c r="AE211" s="3621"/>
      <c r="AF211" s="3621"/>
      <c r="AG211" s="3463"/>
      <c r="AH211" s="93"/>
      <c r="AI211" s="76"/>
    </row>
    <row r="212" spans="1:35" ht="24.75" customHeight="1">
      <c r="A212" s="3426"/>
      <c r="B212" s="3426"/>
      <c r="C212" s="3621"/>
      <c r="D212" s="3621"/>
      <c r="E212" s="3621"/>
      <c r="F212" s="3621"/>
      <c r="G212" s="3621"/>
      <c r="H212" s="3416"/>
      <c r="I212" s="3621"/>
      <c r="J212" s="3621"/>
      <c r="K212" s="3621"/>
      <c r="L212" s="3621"/>
      <c r="M212" s="3621"/>
      <c r="N212" s="3621"/>
      <c r="O212" s="3621"/>
      <c r="P212" s="3621"/>
      <c r="Q212" s="3621"/>
      <c r="R212" s="3621"/>
      <c r="S212" s="3621"/>
      <c r="T212" s="3621"/>
      <c r="U212" s="3621"/>
      <c r="V212" s="3621"/>
      <c r="W212" s="3621"/>
      <c r="X212" s="3621"/>
      <c r="Y212" s="3621"/>
      <c r="Z212" s="3621"/>
      <c r="AA212" s="3621"/>
      <c r="AB212" s="3621"/>
      <c r="AC212" s="3621"/>
      <c r="AD212" s="3621"/>
      <c r="AE212" s="3621"/>
      <c r="AF212" s="3621"/>
      <c r="AG212" s="3479"/>
      <c r="AH212" s="93"/>
      <c r="AI212" s="76"/>
    </row>
    <row r="213" spans="1:35" ht="24.75" customHeight="1">
      <c r="A213" s="3426"/>
      <c r="B213" s="3426"/>
      <c r="C213" s="3621"/>
      <c r="D213" s="3621"/>
      <c r="E213" s="3621"/>
      <c r="F213" s="3621"/>
      <c r="G213" s="3621"/>
      <c r="H213" s="3621"/>
      <c r="I213" s="3621"/>
      <c r="J213" s="3621"/>
      <c r="K213" s="3621"/>
      <c r="L213" s="3621"/>
      <c r="M213" s="3621"/>
      <c r="N213" s="3621"/>
      <c r="O213" s="3621"/>
      <c r="P213" s="3621"/>
      <c r="Q213" s="3621"/>
      <c r="R213" s="3621"/>
      <c r="S213" s="3621"/>
      <c r="T213" s="3621"/>
      <c r="U213" s="3621"/>
      <c r="V213" s="3621"/>
      <c r="W213" s="3621"/>
      <c r="X213" s="3621"/>
      <c r="Y213" s="3621"/>
      <c r="Z213" s="3621"/>
      <c r="AA213" s="3621"/>
      <c r="AB213" s="3621"/>
      <c r="AC213" s="3621"/>
      <c r="AD213" s="3621"/>
      <c r="AE213" s="3621"/>
      <c r="AF213" s="3621"/>
      <c r="AG213" s="3463"/>
      <c r="AH213" s="93"/>
      <c r="AI213" s="76"/>
    </row>
    <row r="214" spans="1:35" ht="24.75" customHeight="1">
      <c r="A214" s="3426"/>
      <c r="B214" s="3426"/>
      <c r="C214" s="3621"/>
      <c r="D214" s="3621"/>
      <c r="E214" s="3621"/>
      <c r="F214" s="3621"/>
      <c r="G214" s="3621"/>
      <c r="H214" s="3416"/>
      <c r="I214" s="3621"/>
      <c r="J214" s="3621"/>
      <c r="K214" s="3621"/>
      <c r="L214" s="3621"/>
      <c r="M214" s="3621"/>
      <c r="N214" s="3621"/>
      <c r="O214" s="3621"/>
      <c r="P214" s="3621"/>
      <c r="Q214" s="3621"/>
      <c r="R214" s="3621"/>
      <c r="S214" s="3621"/>
      <c r="T214" s="3621"/>
      <c r="U214" s="3621"/>
      <c r="V214" s="3621"/>
      <c r="W214" s="3621"/>
      <c r="X214" s="3621"/>
      <c r="Y214" s="3621"/>
      <c r="Z214" s="3621"/>
      <c r="AA214" s="3621"/>
      <c r="AB214" s="3621"/>
      <c r="AC214" s="3621"/>
      <c r="AD214" s="3621"/>
      <c r="AE214" s="3621"/>
      <c r="AF214" s="3621"/>
      <c r="AG214" s="3479"/>
      <c r="AH214" s="93"/>
      <c r="AI214" s="76"/>
    </row>
    <row r="215" spans="1:35" ht="24.75" customHeight="1">
      <c r="A215" s="3464"/>
      <c r="B215" s="3476"/>
      <c r="C215" s="3621"/>
      <c r="D215" s="3621"/>
      <c r="E215" s="3621"/>
      <c r="F215" s="3621"/>
      <c r="G215" s="3621"/>
      <c r="H215" s="3621"/>
      <c r="I215" s="3621"/>
      <c r="J215" s="3621"/>
      <c r="K215" s="3621"/>
      <c r="L215" s="3621"/>
      <c r="M215" s="3621"/>
      <c r="N215" s="3621"/>
      <c r="O215" s="3621"/>
      <c r="P215" s="3621"/>
      <c r="Q215" s="3621"/>
      <c r="R215" s="3621"/>
      <c r="S215" s="3621"/>
      <c r="T215" s="3621"/>
      <c r="U215" s="3621"/>
      <c r="V215" s="3621"/>
      <c r="W215" s="3621"/>
      <c r="X215" s="3621"/>
      <c r="Y215" s="3621"/>
      <c r="Z215" s="3621"/>
      <c r="AA215" s="3621"/>
      <c r="AB215" s="3621"/>
      <c r="AC215" s="3621"/>
      <c r="AD215" s="3621"/>
      <c r="AE215" s="3621"/>
      <c r="AF215" s="3621"/>
      <c r="AG215" s="3479"/>
      <c r="AH215" s="93"/>
      <c r="AI215" s="76"/>
    </row>
    <row r="216" spans="1:35" ht="24.75" customHeight="1">
      <c r="A216" s="3464"/>
      <c r="B216" s="3480"/>
      <c r="C216" s="3621"/>
      <c r="D216" s="3621"/>
      <c r="E216" s="3621"/>
      <c r="F216" s="3621"/>
      <c r="G216" s="3621"/>
      <c r="H216" s="3621"/>
      <c r="I216" s="3621"/>
      <c r="J216" s="3621"/>
      <c r="K216" s="3621"/>
      <c r="L216" s="3621"/>
      <c r="M216" s="3621"/>
      <c r="N216" s="3621"/>
      <c r="O216" s="3621"/>
      <c r="P216" s="3621"/>
      <c r="Q216" s="3621"/>
      <c r="R216" s="3621"/>
      <c r="S216" s="3621"/>
      <c r="T216" s="3621"/>
      <c r="U216" s="3621"/>
      <c r="V216" s="3621"/>
      <c r="W216" s="3621"/>
      <c r="X216" s="3621"/>
      <c r="Y216" s="3621"/>
      <c r="Z216" s="3621"/>
      <c r="AA216" s="3621"/>
      <c r="AB216" s="3621"/>
      <c r="AC216" s="3621"/>
      <c r="AD216" s="3621"/>
      <c r="AE216" s="3621"/>
      <c r="AF216" s="3621"/>
      <c r="AG216" s="3479"/>
      <c r="AH216" s="93"/>
      <c r="AI216" s="76"/>
    </row>
    <row r="217" spans="1:35" ht="24.75" customHeight="1">
      <c r="A217" s="82"/>
      <c r="B217" s="115"/>
      <c r="C217" s="38"/>
      <c r="D217" s="38"/>
      <c r="E217" s="38"/>
      <c r="F217" s="38"/>
      <c r="G217" s="38"/>
      <c r="H217" s="38"/>
      <c r="I217" s="38"/>
      <c r="J217" s="38"/>
      <c r="L217" s="38"/>
      <c r="M217" s="38"/>
      <c r="N217" s="38"/>
      <c r="O217" s="38"/>
      <c r="P217" s="17"/>
      <c r="Q217" s="17"/>
      <c r="R217" s="17"/>
      <c r="S217" s="38"/>
      <c r="T217" s="38"/>
      <c r="U217" s="38"/>
      <c r="V217" s="38"/>
      <c r="W217" s="38"/>
      <c r="X217" s="38"/>
      <c r="Y217" s="38"/>
      <c r="Z217" s="38"/>
      <c r="AA217" s="38"/>
      <c r="AB217" s="38"/>
      <c r="AC217" s="38"/>
      <c r="AD217" s="38"/>
      <c r="AE217" s="38"/>
      <c r="AF217" s="38"/>
      <c r="AG217" s="38"/>
      <c r="AH217" s="76"/>
      <c r="AI217" s="76"/>
    </row>
    <row r="218" spans="1:35" ht="24.75" customHeight="1"/>
    <row r="219" spans="1:35" ht="24.75" customHeight="1"/>
    <row r="220" spans="1:35" ht="24.75" customHeight="1"/>
    <row r="221" spans="1:35" ht="24.75" customHeight="1" thickBot="1">
      <c r="A221" s="14" t="s">
        <v>311</v>
      </c>
    </row>
    <row r="222" spans="1:35" ht="24.75" customHeight="1">
      <c r="B222" s="4365" t="s">
        <v>281</v>
      </c>
      <c r="C222" s="3834"/>
      <c r="D222" s="3858" t="s">
        <v>87</v>
      </c>
      <c r="E222" s="3640"/>
      <c r="F222" s="3838"/>
      <c r="G222" s="3834"/>
      <c r="H222" s="3858" t="s">
        <v>88</v>
      </c>
      <c r="I222" s="3640"/>
      <c r="J222" s="3838"/>
      <c r="K222" s="3834"/>
      <c r="L222" s="3858" t="s">
        <v>89</v>
      </c>
      <c r="M222" s="3640"/>
      <c r="N222" s="3838"/>
      <c r="O222" s="3834"/>
      <c r="P222" s="3858" t="s">
        <v>90</v>
      </c>
      <c r="Q222" s="3640"/>
      <c r="R222" s="3838"/>
      <c r="S222" s="3834"/>
      <c r="T222" s="3858" t="s">
        <v>91</v>
      </c>
      <c r="U222" s="3640"/>
      <c r="V222" s="3838"/>
      <c r="W222" s="3834"/>
      <c r="X222" s="3858" t="s">
        <v>92</v>
      </c>
      <c r="Y222" s="3640"/>
      <c r="Z222" s="3838"/>
      <c r="AA222" s="3834"/>
      <c r="AB222" s="3858" t="s">
        <v>93</v>
      </c>
      <c r="AC222" s="3640"/>
      <c r="AD222" s="3640"/>
      <c r="AE222" s="3861" t="s">
        <v>94</v>
      </c>
      <c r="AF222" s="3640"/>
      <c r="AG222" s="3640"/>
      <c r="AH222" s="3640"/>
      <c r="AI222" s="3641"/>
    </row>
    <row r="223" spans="1:35" ht="24.75" customHeight="1">
      <c r="B223" s="116"/>
      <c r="C223" s="110"/>
      <c r="D223" s="111"/>
      <c r="E223" s="101"/>
      <c r="F223" s="109"/>
      <c r="G223" s="110"/>
      <c r="H223" s="111"/>
      <c r="I223" s="101"/>
      <c r="J223" s="109"/>
      <c r="K223" s="110"/>
      <c r="L223" s="111"/>
      <c r="M223" s="101"/>
      <c r="N223" s="109"/>
      <c r="O223" s="110"/>
      <c r="P223" s="111"/>
      <c r="Q223" s="101"/>
      <c r="R223" s="109"/>
      <c r="S223" s="110"/>
      <c r="T223" s="111"/>
      <c r="U223" s="101"/>
      <c r="V223" s="109"/>
      <c r="W223" s="110"/>
      <c r="X223" s="111"/>
      <c r="Y223" s="101"/>
      <c r="Z223" s="109"/>
      <c r="AA223" s="110"/>
      <c r="AB223" s="111"/>
      <c r="AC223" s="101"/>
      <c r="AD223" s="101"/>
      <c r="AE223" s="112"/>
      <c r="AF223" s="101"/>
      <c r="AG223" s="8"/>
      <c r="AH223" s="8"/>
      <c r="AI223" s="105"/>
    </row>
    <row r="224" spans="1:35" ht="24.75" customHeight="1">
      <c r="A224" s="87"/>
      <c r="B224" s="3967">
        <v>3701</v>
      </c>
      <c r="C224" s="4157" t="s">
        <v>286</v>
      </c>
      <c r="D224" s="4158"/>
      <c r="E224" s="101"/>
      <c r="F224" s="109"/>
      <c r="G224" s="4157" t="s">
        <v>286</v>
      </c>
      <c r="H224" s="111"/>
      <c r="I224" s="101"/>
      <c r="J224" s="109"/>
      <c r="K224" s="4157" t="s">
        <v>286</v>
      </c>
      <c r="L224" s="111"/>
      <c r="M224" s="101"/>
      <c r="N224" s="109"/>
      <c r="O224" s="4157" t="s">
        <v>286</v>
      </c>
      <c r="P224" s="111"/>
      <c r="Q224" s="101"/>
      <c r="R224" s="109"/>
      <c r="S224" s="110" t="s">
        <v>287</v>
      </c>
      <c r="T224" s="111"/>
      <c r="U224" s="101"/>
      <c r="V224" s="109"/>
      <c r="W224" s="110"/>
      <c r="X224" s="111"/>
      <c r="Y224" s="101"/>
      <c r="Z224" s="109"/>
      <c r="AA224" s="110"/>
      <c r="AB224" s="111"/>
      <c r="AC224" s="101"/>
      <c r="AD224" s="101"/>
      <c r="AE224" s="112"/>
      <c r="AF224" s="101"/>
      <c r="AG224" s="8"/>
      <c r="AH224" s="8"/>
      <c r="AI224" s="105"/>
    </row>
    <row r="225" spans="1:35" ht="24.75" customHeight="1">
      <c r="B225" s="3967"/>
      <c r="C225" s="4157"/>
      <c r="D225" s="4158"/>
      <c r="E225" s="101"/>
      <c r="F225" s="109"/>
      <c r="G225" s="4157"/>
      <c r="H225" s="111"/>
      <c r="I225" s="101"/>
      <c r="J225" s="109"/>
      <c r="K225" s="4157"/>
      <c r="L225" s="111"/>
      <c r="M225" s="101"/>
      <c r="N225" s="109"/>
      <c r="O225" s="4157"/>
      <c r="P225" s="111"/>
      <c r="Q225" s="101"/>
      <c r="R225" s="109"/>
      <c r="S225" s="4157"/>
      <c r="T225" s="111"/>
      <c r="U225" s="101"/>
      <c r="V225" s="109"/>
      <c r="W225" s="110"/>
      <c r="X225" s="111"/>
      <c r="Y225" s="101"/>
      <c r="Z225" s="109"/>
      <c r="AA225" s="110"/>
      <c r="AB225" s="111"/>
      <c r="AC225" s="101"/>
      <c r="AD225" s="101"/>
      <c r="AE225" s="112"/>
      <c r="AF225" s="101"/>
      <c r="AG225" s="8"/>
      <c r="AH225" s="8"/>
      <c r="AI225" s="105"/>
    </row>
    <row r="226" spans="1:35" ht="24.75" customHeight="1">
      <c r="B226" s="3967">
        <v>3702</v>
      </c>
      <c r="C226" s="4157" t="s">
        <v>312</v>
      </c>
      <c r="D226" s="4158"/>
      <c r="E226" s="101"/>
      <c r="F226" s="109"/>
      <c r="G226" s="4157" t="s">
        <v>312</v>
      </c>
      <c r="H226" s="4158"/>
      <c r="I226" s="101"/>
      <c r="J226" s="109"/>
      <c r="K226" s="4157" t="s">
        <v>312</v>
      </c>
      <c r="L226" s="4158"/>
      <c r="M226" s="101"/>
      <c r="N226" s="109"/>
      <c r="O226" s="4157" t="s">
        <v>312</v>
      </c>
      <c r="P226" s="4158"/>
      <c r="Q226" s="101"/>
      <c r="R226" s="109"/>
      <c r="S226" s="4157" t="s">
        <v>313</v>
      </c>
      <c r="T226" s="4158"/>
      <c r="U226" s="101"/>
      <c r="V226" s="109"/>
      <c r="W226" s="110"/>
      <c r="X226" s="111"/>
      <c r="Y226" s="101"/>
      <c r="Z226" s="109"/>
      <c r="AA226" s="110"/>
      <c r="AB226" s="111"/>
      <c r="AC226" s="101"/>
      <c r="AD226" s="101"/>
      <c r="AE226" s="112"/>
      <c r="AF226" s="101"/>
      <c r="AG226" s="8"/>
      <c r="AH226" s="8"/>
      <c r="AI226" s="105"/>
    </row>
    <row r="227" spans="1:35" ht="24.75" customHeight="1">
      <c r="B227" s="3967"/>
      <c r="C227" s="4260"/>
      <c r="D227" s="4158"/>
      <c r="E227" s="101"/>
      <c r="F227" s="109"/>
      <c r="G227" s="111"/>
      <c r="H227" s="111"/>
      <c r="I227" s="101"/>
      <c r="J227" s="109"/>
      <c r="K227" s="111"/>
      <c r="L227" s="111"/>
      <c r="M227" s="101"/>
      <c r="N227" s="109"/>
      <c r="O227" s="111"/>
      <c r="P227" s="111"/>
      <c r="Q227" s="101"/>
      <c r="R227" s="109"/>
      <c r="S227" s="111"/>
      <c r="T227" s="111"/>
      <c r="U227" s="101"/>
      <c r="V227" s="109"/>
      <c r="W227" s="110"/>
      <c r="X227" s="111"/>
      <c r="Y227" s="101"/>
      <c r="Z227" s="109"/>
      <c r="AA227" s="110"/>
      <c r="AB227" s="111"/>
      <c r="AC227" s="101"/>
      <c r="AD227" s="101"/>
      <c r="AE227" s="112"/>
      <c r="AF227" s="101"/>
      <c r="AG227" s="8"/>
      <c r="AH227" s="8"/>
      <c r="AI227" s="105"/>
    </row>
    <row r="228" spans="1:35" ht="24.75" customHeight="1">
      <c r="B228" s="3967" t="s">
        <v>159</v>
      </c>
      <c r="C228" s="4260" t="s">
        <v>314</v>
      </c>
      <c r="D228" s="4158"/>
      <c r="E228" s="101"/>
      <c r="F228" s="109"/>
      <c r="G228" s="4260" t="s">
        <v>314</v>
      </c>
      <c r="H228" s="4158"/>
      <c r="I228" s="101"/>
      <c r="J228" s="109"/>
      <c r="K228" s="4260" t="s">
        <v>314</v>
      </c>
      <c r="L228" s="4158"/>
      <c r="M228" s="101"/>
      <c r="N228" s="109"/>
      <c r="O228" s="4260" t="s">
        <v>314</v>
      </c>
      <c r="P228" s="4158"/>
      <c r="Q228" s="101"/>
      <c r="R228" s="109"/>
      <c r="S228" s="111" t="s">
        <v>315</v>
      </c>
      <c r="T228" s="111"/>
      <c r="U228" s="101"/>
      <c r="V228" s="109"/>
      <c r="W228" s="110"/>
      <c r="X228" s="111"/>
      <c r="Y228" s="101"/>
      <c r="Z228" s="109"/>
      <c r="AA228" s="110"/>
      <c r="AB228" s="111"/>
      <c r="AC228" s="101"/>
      <c r="AD228" s="101"/>
      <c r="AE228" s="112"/>
      <c r="AF228" s="101"/>
      <c r="AG228" s="8"/>
      <c r="AH228" s="8"/>
      <c r="AI228" s="105"/>
    </row>
    <row r="229" spans="1:35" ht="24.75" customHeight="1">
      <c r="B229" s="3967" t="s">
        <v>163</v>
      </c>
      <c r="C229" s="4260" t="s">
        <v>316</v>
      </c>
      <c r="D229" s="4158"/>
      <c r="E229" s="101"/>
      <c r="F229" s="109"/>
      <c r="G229" s="4260" t="s">
        <v>316</v>
      </c>
      <c r="H229" s="4158"/>
      <c r="I229" s="101"/>
      <c r="J229" s="109"/>
      <c r="K229" s="4260" t="s">
        <v>316</v>
      </c>
      <c r="L229" s="4158"/>
      <c r="M229" s="101"/>
      <c r="N229" s="109"/>
      <c r="O229" s="4260" t="s">
        <v>316</v>
      </c>
      <c r="P229" s="4158"/>
      <c r="Q229" s="101"/>
      <c r="R229" s="109"/>
      <c r="S229" s="111" t="s">
        <v>317</v>
      </c>
      <c r="T229" s="111"/>
      <c r="U229" s="101"/>
      <c r="V229" s="109"/>
      <c r="W229" s="110"/>
      <c r="X229" s="111"/>
      <c r="Y229" s="101"/>
      <c r="Z229" s="109"/>
      <c r="AA229" s="110"/>
      <c r="AB229" s="111"/>
      <c r="AC229" s="101"/>
      <c r="AD229" s="101"/>
      <c r="AE229" s="112"/>
      <c r="AF229" s="101"/>
      <c r="AG229" s="8"/>
      <c r="AH229" s="8"/>
      <c r="AI229" s="105"/>
    </row>
    <row r="230" spans="1:35" ht="24.75" customHeight="1" thickBot="1">
      <c r="B230" s="3968" t="s">
        <v>171</v>
      </c>
      <c r="C230" s="4273" t="s">
        <v>318</v>
      </c>
      <c r="D230" s="3969"/>
      <c r="E230" s="4366"/>
      <c r="F230" s="4367"/>
      <c r="G230" s="4273" t="s">
        <v>318</v>
      </c>
      <c r="H230" s="3969"/>
      <c r="I230" s="4366"/>
      <c r="J230" s="4367"/>
      <c r="K230" s="4273" t="s">
        <v>318</v>
      </c>
      <c r="L230" s="3969"/>
      <c r="M230" s="4366"/>
      <c r="N230" s="4367"/>
      <c r="O230" s="4273" t="s">
        <v>318</v>
      </c>
      <c r="P230" s="3969"/>
      <c r="Q230" s="4366"/>
      <c r="R230" s="4367"/>
      <c r="S230" s="4368" t="s">
        <v>319</v>
      </c>
      <c r="T230" s="4368"/>
      <c r="U230" s="4366"/>
      <c r="V230" s="4367"/>
      <c r="W230" s="4369"/>
      <c r="X230" s="4368"/>
      <c r="Y230" s="4370"/>
      <c r="Z230" s="4371"/>
      <c r="AA230" s="4372"/>
      <c r="AB230" s="4368"/>
      <c r="AC230" s="4370"/>
      <c r="AD230" s="4370"/>
      <c r="AE230" s="4373"/>
      <c r="AF230" s="4370"/>
      <c r="AG230" s="4366"/>
      <c r="AH230" s="4366"/>
      <c r="AI230" s="4374"/>
    </row>
    <row r="231" spans="1:35" ht="24.75" customHeight="1">
      <c r="B231" s="42"/>
      <c r="C231" s="37"/>
      <c r="D231" s="113"/>
      <c r="G231" s="37"/>
      <c r="H231" s="113"/>
      <c r="K231" s="37"/>
      <c r="L231" s="113"/>
      <c r="O231" s="37"/>
      <c r="P231" s="113"/>
      <c r="S231" s="37"/>
      <c r="T231" s="37"/>
      <c r="X231" s="37"/>
      <c r="AB231" s="37"/>
      <c r="AE231" s="37"/>
    </row>
    <row r="232" spans="1:35" ht="24.75" customHeight="1">
      <c r="A232" s="117" t="s">
        <v>320</v>
      </c>
    </row>
    <row r="233" spans="1:35" ht="24.75" customHeight="1" thickBot="1">
      <c r="A233" s="3970"/>
      <c r="B233" s="3971" t="s">
        <v>29</v>
      </c>
      <c r="C233" s="4049">
        <v>1</v>
      </c>
      <c r="D233" s="4049">
        <v>2</v>
      </c>
      <c r="E233" s="4049">
        <v>3</v>
      </c>
      <c r="F233" s="4050">
        <v>4</v>
      </c>
      <c r="G233" s="4050">
        <v>5</v>
      </c>
      <c r="H233" s="4049">
        <v>6</v>
      </c>
      <c r="I233" s="4049">
        <v>7</v>
      </c>
      <c r="J233" s="4049">
        <v>8</v>
      </c>
      <c r="K233" s="4050">
        <v>9</v>
      </c>
      <c r="L233" s="4050">
        <v>10</v>
      </c>
      <c r="M233" s="4050">
        <v>11</v>
      </c>
      <c r="N233" s="4050">
        <v>12</v>
      </c>
      <c r="O233" s="4050">
        <v>13</v>
      </c>
      <c r="P233" s="4049">
        <v>14</v>
      </c>
      <c r="Q233" s="4049">
        <v>15</v>
      </c>
      <c r="R233" s="4049">
        <v>16</v>
      </c>
      <c r="S233" s="4049">
        <v>17</v>
      </c>
      <c r="T233" s="4050">
        <v>18</v>
      </c>
      <c r="U233" s="4050">
        <v>19</v>
      </c>
      <c r="V233" s="4049">
        <v>20</v>
      </c>
      <c r="W233" s="4049">
        <v>21</v>
      </c>
      <c r="X233" s="4049">
        <v>22</v>
      </c>
      <c r="Y233" s="4049">
        <v>23</v>
      </c>
      <c r="Z233" s="4049">
        <v>24</v>
      </c>
      <c r="AA233" s="4050">
        <v>25</v>
      </c>
      <c r="AB233" s="4050">
        <v>26</v>
      </c>
      <c r="AC233" s="4049">
        <v>27</v>
      </c>
      <c r="AD233" s="4049">
        <v>28</v>
      </c>
      <c r="AE233" s="4049">
        <v>29</v>
      </c>
      <c r="AF233" s="4049">
        <v>30</v>
      </c>
      <c r="AG233" s="4051"/>
      <c r="AH233" s="23"/>
      <c r="AI233" s="24"/>
    </row>
    <row r="234" spans="1:35" ht="24.75" customHeight="1">
      <c r="A234" s="3972"/>
      <c r="B234" s="4071"/>
      <c r="C234" s="3621" t="s">
        <v>31</v>
      </c>
      <c r="D234" s="3621" t="s">
        <v>31</v>
      </c>
      <c r="E234" s="3621" t="s">
        <v>31</v>
      </c>
      <c r="F234" s="3621"/>
      <c r="G234" s="3621"/>
      <c r="H234" s="3621" t="s">
        <v>31</v>
      </c>
      <c r="I234" s="3621" t="s">
        <v>31</v>
      </c>
      <c r="J234" s="3621" t="s">
        <v>31</v>
      </c>
      <c r="K234" s="3621"/>
      <c r="L234" s="3621"/>
      <c r="M234" s="3621"/>
      <c r="N234" s="3621"/>
      <c r="O234" s="3621"/>
      <c r="P234" s="3621" t="s">
        <v>31</v>
      </c>
      <c r="Q234" s="3621" t="s">
        <v>31</v>
      </c>
      <c r="R234" s="3621" t="s">
        <v>31</v>
      </c>
      <c r="S234" s="3621" t="s">
        <v>31</v>
      </c>
      <c r="T234" s="3621"/>
      <c r="U234" s="3621"/>
      <c r="V234" s="3621" t="s">
        <v>31</v>
      </c>
      <c r="W234" s="3621" t="s">
        <v>31</v>
      </c>
      <c r="X234" s="3621" t="s">
        <v>31</v>
      </c>
      <c r="Y234" s="3621" t="s">
        <v>31</v>
      </c>
      <c r="Z234" s="3621" t="s">
        <v>31</v>
      </c>
      <c r="AA234" s="3621"/>
      <c r="AB234" s="3621"/>
      <c r="AC234" s="3621" t="s">
        <v>31</v>
      </c>
      <c r="AD234" s="3621" t="s">
        <v>31</v>
      </c>
      <c r="AE234" s="3621" t="s">
        <v>31</v>
      </c>
      <c r="AF234" s="3621" t="s">
        <v>31</v>
      </c>
      <c r="AG234" s="3976"/>
      <c r="AH234" s="34"/>
      <c r="AI234" s="25"/>
    </row>
    <row r="235" spans="1:35" ht="24.75" customHeight="1">
      <c r="A235" s="3972">
        <v>3702</v>
      </c>
      <c r="B235" s="4071" t="s">
        <v>321</v>
      </c>
      <c r="C235" s="3621" t="s">
        <v>31</v>
      </c>
      <c r="D235" s="3621" t="s">
        <v>31</v>
      </c>
      <c r="E235" s="3621" t="s">
        <v>31</v>
      </c>
      <c r="F235" s="3621"/>
      <c r="G235" s="3621"/>
      <c r="H235" s="3621" t="s">
        <v>31</v>
      </c>
      <c r="I235" s="3621" t="s">
        <v>31</v>
      </c>
      <c r="J235" s="3621" t="s">
        <v>31</v>
      </c>
      <c r="K235" s="3621"/>
      <c r="L235" s="3621"/>
      <c r="M235" s="3621"/>
      <c r="N235" s="3621"/>
      <c r="O235" s="3621"/>
      <c r="P235" s="3423" t="s">
        <v>31</v>
      </c>
      <c r="Q235" s="3423" t="s">
        <v>31</v>
      </c>
      <c r="R235" s="3423" t="s">
        <v>31</v>
      </c>
      <c r="S235" s="3423" t="s">
        <v>31</v>
      </c>
      <c r="T235" s="3423"/>
      <c r="U235" s="3423"/>
      <c r="V235" s="3423" t="s">
        <v>31</v>
      </c>
      <c r="W235" s="3621" t="s">
        <v>31</v>
      </c>
      <c r="X235" s="3621" t="s">
        <v>31</v>
      </c>
      <c r="Y235" s="3621" t="s">
        <v>31</v>
      </c>
      <c r="Z235" s="3621" t="s">
        <v>31</v>
      </c>
      <c r="AA235" s="3621"/>
      <c r="AB235" s="3621"/>
      <c r="AC235" s="3621" t="s">
        <v>31</v>
      </c>
      <c r="AD235" s="3621" t="s">
        <v>31</v>
      </c>
      <c r="AE235" s="3621" t="s">
        <v>31</v>
      </c>
      <c r="AF235" s="3621" t="s">
        <v>31</v>
      </c>
      <c r="AG235" s="3976"/>
      <c r="AH235" s="34"/>
      <c r="AI235" s="25"/>
    </row>
    <row r="236" spans="1:35" ht="24.75" customHeight="1">
      <c r="A236" s="3972"/>
      <c r="B236" s="4071"/>
      <c r="C236" s="4083"/>
      <c r="D236" s="4083"/>
      <c r="E236" s="4083"/>
      <c r="F236" s="4083"/>
      <c r="G236" s="4083"/>
      <c r="H236" s="4083"/>
      <c r="I236" s="4083"/>
      <c r="J236" s="4083"/>
      <c r="K236" s="4083"/>
      <c r="L236" s="4083"/>
      <c r="M236" s="3977"/>
      <c r="N236" s="4083"/>
      <c r="O236" s="4083"/>
      <c r="P236" s="4083"/>
      <c r="Q236" s="4083"/>
      <c r="R236" s="4083"/>
      <c r="S236" s="4083"/>
      <c r="T236" s="4083"/>
      <c r="U236" s="4083"/>
      <c r="V236" s="4083"/>
      <c r="W236" s="4083"/>
      <c r="X236" s="4083"/>
      <c r="Y236" s="4083"/>
      <c r="Z236" s="4083"/>
      <c r="AA236" s="4083"/>
      <c r="AB236" s="4083"/>
      <c r="AC236" s="4083"/>
      <c r="AD236" s="4083"/>
      <c r="AE236" s="4083"/>
      <c r="AF236" s="4083"/>
      <c r="AG236" s="3976"/>
      <c r="AH236" s="34"/>
      <c r="AI236" s="25"/>
    </row>
    <row r="237" spans="1:35" ht="24.75" customHeight="1">
      <c r="A237" s="3978"/>
      <c r="B237" s="118"/>
      <c r="C237" s="4121"/>
      <c r="D237" s="4121"/>
      <c r="E237" s="4121"/>
      <c r="F237" s="4121"/>
      <c r="G237" s="4121"/>
      <c r="H237" s="4121"/>
      <c r="I237" s="4121"/>
      <c r="J237" s="4121"/>
      <c r="K237" s="4121"/>
      <c r="L237" s="4121"/>
      <c r="M237" s="4121"/>
      <c r="N237" s="4121"/>
      <c r="O237" s="4121"/>
      <c r="P237" s="4121"/>
      <c r="Q237" s="4121"/>
      <c r="R237" s="4121"/>
      <c r="S237" s="4121"/>
      <c r="T237" s="4121"/>
      <c r="U237" s="4121"/>
      <c r="V237" s="4121"/>
      <c r="W237" s="4121"/>
      <c r="X237" s="4121"/>
      <c r="Y237" s="4121"/>
      <c r="Z237" s="4121"/>
      <c r="AA237" s="4121"/>
      <c r="AB237" s="4121"/>
      <c r="AC237" s="4121"/>
      <c r="AD237" s="4121"/>
      <c r="AE237" s="4121"/>
      <c r="AF237" s="4121"/>
      <c r="AG237" s="3979"/>
      <c r="AH237" s="34"/>
      <c r="AI237" s="25"/>
    </row>
    <row r="238" spans="1:35" ht="24.75" customHeight="1">
      <c r="A238" s="3980"/>
      <c r="B238" s="4076" t="s">
        <v>322</v>
      </c>
      <c r="C238" s="3981"/>
      <c r="D238" s="3981"/>
      <c r="E238" s="3981"/>
      <c r="F238" s="3981"/>
      <c r="G238" s="3981"/>
      <c r="H238" s="3981"/>
      <c r="I238" s="3981"/>
      <c r="J238" s="3981"/>
      <c r="K238" s="3981"/>
      <c r="L238" s="3981"/>
      <c r="M238" s="3981"/>
      <c r="N238" s="3981"/>
      <c r="O238" s="3981"/>
      <c r="P238" s="3981"/>
      <c r="Q238" s="3981"/>
      <c r="R238" s="3981"/>
      <c r="S238" s="3981"/>
      <c r="T238" s="3981"/>
      <c r="U238" s="3981"/>
      <c r="V238" s="3981"/>
      <c r="W238" s="3981"/>
      <c r="X238" s="3981"/>
      <c r="Y238" s="3981"/>
      <c r="Z238" s="3981"/>
      <c r="AA238" s="3981"/>
      <c r="AB238" s="3981"/>
      <c r="AC238" s="3981"/>
      <c r="AD238" s="3981"/>
      <c r="AE238" s="3981"/>
      <c r="AF238" s="3981"/>
      <c r="AG238" s="3982"/>
      <c r="AH238" s="119"/>
      <c r="AI238" s="26"/>
    </row>
    <row r="239" spans="1:35" ht="24.75" customHeight="1">
      <c r="A239" s="3972">
        <v>3702</v>
      </c>
      <c r="B239" s="3439" t="s">
        <v>323</v>
      </c>
      <c r="C239" s="3621" t="s">
        <v>44</v>
      </c>
      <c r="D239" s="3621" t="s">
        <v>44</v>
      </c>
      <c r="E239" s="3621" t="s">
        <v>44</v>
      </c>
      <c r="F239" s="4083"/>
      <c r="G239" s="4083"/>
      <c r="H239" s="4375" t="s">
        <v>152</v>
      </c>
      <c r="I239" s="4083" t="s">
        <v>152</v>
      </c>
      <c r="J239" s="4083" t="s">
        <v>152</v>
      </c>
      <c r="K239" s="4083"/>
      <c r="L239" s="4083"/>
      <c r="M239" s="4083"/>
      <c r="N239" s="4083"/>
      <c r="O239" s="4083"/>
      <c r="P239" s="4065" t="s">
        <v>152</v>
      </c>
      <c r="Q239" s="4065" t="s">
        <v>152</v>
      </c>
      <c r="R239" s="4065" t="s">
        <v>152</v>
      </c>
      <c r="S239" s="4065" t="s">
        <v>152</v>
      </c>
      <c r="T239" s="4065"/>
      <c r="U239" s="4065"/>
      <c r="V239" s="4065" t="s">
        <v>152</v>
      </c>
      <c r="W239" s="4083" t="s">
        <v>152</v>
      </c>
      <c r="X239" s="4083" t="s">
        <v>152</v>
      </c>
      <c r="Y239" s="4083" t="s">
        <v>152</v>
      </c>
      <c r="Z239" s="4083" t="s">
        <v>152</v>
      </c>
      <c r="AA239" s="4083"/>
      <c r="AB239" s="4083"/>
      <c r="AC239" s="4083" t="s">
        <v>152</v>
      </c>
      <c r="AD239" s="4083" t="s">
        <v>152</v>
      </c>
      <c r="AE239" s="4083" t="s">
        <v>152</v>
      </c>
      <c r="AF239" s="4083" t="s">
        <v>152</v>
      </c>
      <c r="AG239" s="3976"/>
      <c r="AH239" s="34"/>
      <c r="AI239" s="25"/>
    </row>
    <row r="240" spans="1:35" ht="24.75" customHeight="1">
      <c r="A240" s="3972"/>
      <c r="B240" s="3191" t="s">
        <v>325</v>
      </c>
      <c r="C240" s="4083" t="s">
        <v>326</v>
      </c>
      <c r="D240" s="4375" t="s">
        <v>326</v>
      </c>
      <c r="E240" s="4375" t="s">
        <v>326</v>
      </c>
      <c r="F240" s="4375"/>
      <c r="G240" s="4375"/>
      <c r="H240" s="4375" t="s">
        <v>326</v>
      </c>
      <c r="I240" s="4083" t="s">
        <v>326</v>
      </c>
      <c r="J240" s="4083" t="s">
        <v>326</v>
      </c>
      <c r="K240" s="4083"/>
      <c r="L240" s="4083"/>
      <c r="M240" s="4083"/>
      <c r="N240" s="4083"/>
      <c r="O240" s="4083"/>
      <c r="P240" s="4083" t="s">
        <v>326</v>
      </c>
      <c r="Q240" s="4083" t="s">
        <v>326</v>
      </c>
      <c r="R240" s="4083" t="s">
        <v>326</v>
      </c>
      <c r="S240" s="4083" t="s">
        <v>326</v>
      </c>
      <c r="T240" s="4083"/>
      <c r="U240" s="4083"/>
      <c r="V240" s="4083" t="s">
        <v>326</v>
      </c>
      <c r="W240" s="4083" t="s">
        <v>326</v>
      </c>
      <c r="X240" s="4083" t="s">
        <v>326</v>
      </c>
      <c r="Y240" s="4083" t="s">
        <v>326</v>
      </c>
      <c r="Z240" s="4083" t="s">
        <v>326</v>
      </c>
      <c r="AA240" s="4083"/>
      <c r="AB240" s="4083"/>
      <c r="AC240" s="4083" t="s">
        <v>326</v>
      </c>
      <c r="AD240" s="4083" t="s">
        <v>326</v>
      </c>
      <c r="AE240" s="4083" t="s">
        <v>326</v>
      </c>
      <c r="AF240" s="4083" t="s">
        <v>326</v>
      </c>
      <c r="AG240" s="3976"/>
      <c r="AH240" s="34"/>
      <c r="AI240" s="25"/>
    </row>
    <row r="241" spans="1:35" ht="24.75" customHeight="1" thickBot="1">
      <c r="A241" s="3984"/>
      <c r="B241" s="4376" t="s">
        <v>327</v>
      </c>
      <c r="C241" s="3621" t="s">
        <v>44</v>
      </c>
      <c r="D241" s="3985" t="s">
        <v>35</v>
      </c>
      <c r="E241" s="3985" t="s">
        <v>35</v>
      </c>
      <c r="F241" s="3985"/>
      <c r="G241" s="3985"/>
      <c r="H241" s="4138" t="s">
        <v>328</v>
      </c>
      <c r="I241" s="4138" t="s">
        <v>328</v>
      </c>
      <c r="J241" s="4138" t="s">
        <v>328</v>
      </c>
      <c r="K241" s="3985"/>
      <c r="L241" s="3985"/>
      <c r="M241" s="3985"/>
      <c r="N241" s="3985"/>
      <c r="O241" s="3985"/>
      <c r="P241" s="3985" t="s">
        <v>328</v>
      </c>
      <c r="Q241" s="3985" t="s">
        <v>328</v>
      </c>
      <c r="R241" s="4136" t="s">
        <v>328</v>
      </c>
      <c r="S241" s="4136" t="s">
        <v>328</v>
      </c>
      <c r="T241" s="3985"/>
      <c r="U241" s="3985"/>
      <c r="V241" s="3985" t="s">
        <v>328</v>
      </c>
      <c r="W241" s="3985" t="s">
        <v>328</v>
      </c>
      <c r="X241" s="3985" t="s">
        <v>328</v>
      </c>
      <c r="Y241" s="4136" t="s">
        <v>328</v>
      </c>
      <c r="Z241" s="4136" t="s">
        <v>328</v>
      </c>
      <c r="AA241" s="3985"/>
      <c r="AB241" s="3985"/>
      <c r="AC241" s="3985" t="s">
        <v>328</v>
      </c>
      <c r="AD241" s="3985" t="s">
        <v>328</v>
      </c>
      <c r="AE241" s="3985" t="s">
        <v>328</v>
      </c>
      <c r="AF241" s="3985" t="s">
        <v>328</v>
      </c>
      <c r="AG241" s="4377"/>
      <c r="AH241" s="34"/>
      <c r="AI241" s="25"/>
    </row>
    <row r="242" spans="1:35" ht="24.75" customHeight="1"/>
    <row r="243" spans="1:35" ht="24.75" customHeight="1"/>
    <row r="244" spans="1:35" ht="24.75" customHeight="1" thickBot="1">
      <c r="A244" s="14" t="s">
        <v>329</v>
      </c>
    </row>
    <row r="245" spans="1:35" ht="24.75" customHeight="1">
      <c r="B245" s="4365" t="s">
        <v>281</v>
      </c>
      <c r="C245" s="3834"/>
      <c r="D245" s="3858" t="s">
        <v>87</v>
      </c>
      <c r="E245" s="3640"/>
      <c r="F245" s="3838"/>
      <c r="G245" s="3834"/>
      <c r="H245" s="3858" t="s">
        <v>88</v>
      </c>
      <c r="I245" s="3640"/>
      <c r="J245" s="3838"/>
      <c r="K245" s="3834"/>
      <c r="L245" s="3858" t="s">
        <v>89</v>
      </c>
      <c r="M245" s="3640"/>
      <c r="N245" s="3838"/>
      <c r="O245" s="3834"/>
      <c r="P245" s="3858" t="s">
        <v>90</v>
      </c>
      <c r="Q245" s="3640"/>
      <c r="R245" s="3838"/>
      <c r="S245" s="3834"/>
      <c r="T245" s="3858" t="s">
        <v>91</v>
      </c>
      <c r="U245" s="3640"/>
      <c r="V245" s="3838"/>
      <c r="W245" s="3834"/>
      <c r="X245" s="3858" t="s">
        <v>92</v>
      </c>
      <c r="Y245" s="3640"/>
      <c r="Z245" s="3838"/>
      <c r="AA245" s="3834"/>
      <c r="AB245" s="3858" t="s">
        <v>93</v>
      </c>
      <c r="AC245" s="3640"/>
      <c r="AD245" s="3640"/>
      <c r="AE245" s="3861" t="s">
        <v>94</v>
      </c>
      <c r="AF245" s="3640"/>
      <c r="AG245" s="3640"/>
      <c r="AH245" s="3640"/>
      <c r="AI245" s="3641"/>
    </row>
    <row r="246" spans="1:35" ht="24.75" customHeight="1">
      <c r="B246" s="116">
        <v>8500</v>
      </c>
      <c r="C246" s="4157" t="s">
        <v>330</v>
      </c>
      <c r="D246" s="111"/>
      <c r="E246" s="8"/>
      <c r="F246" s="120"/>
      <c r="G246" s="4157" t="s">
        <v>330</v>
      </c>
      <c r="H246" s="111"/>
      <c r="I246" s="8"/>
      <c r="J246" s="120"/>
      <c r="K246" s="4157" t="s">
        <v>330</v>
      </c>
      <c r="L246" s="111"/>
      <c r="M246" s="8"/>
      <c r="N246" s="120"/>
      <c r="O246" s="4157" t="s">
        <v>330</v>
      </c>
      <c r="P246" s="111"/>
      <c r="Q246" s="8"/>
      <c r="R246" s="120"/>
      <c r="S246" s="4157" t="s">
        <v>331</v>
      </c>
      <c r="T246" s="111"/>
      <c r="U246" s="8"/>
      <c r="V246" s="120"/>
      <c r="W246" s="121"/>
      <c r="X246" s="111"/>
      <c r="Y246" s="8"/>
      <c r="Z246" s="120"/>
      <c r="AA246" s="121"/>
      <c r="AB246" s="111"/>
      <c r="AC246" s="8"/>
      <c r="AD246" s="8"/>
      <c r="AE246" s="112"/>
      <c r="AF246" s="8"/>
      <c r="AG246" s="8"/>
      <c r="AH246" s="8"/>
      <c r="AI246" s="105"/>
    </row>
    <row r="247" spans="1:35" ht="24.75" customHeight="1" thickBot="1">
      <c r="A247" s="87"/>
      <c r="B247" s="3986"/>
      <c r="C247" s="4378"/>
      <c r="D247" s="4379"/>
      <c r="E247" s="4366"/>
      <c r="F247" s="4367"/>
      <c r="G247" s="4378"/>
      <c r="H247" s="4368"/>
      <c r="I247" s="4366"/>
      <c r="J247" s="4367"/>
      <c r="K247" s="4378"/>
      <c r="L247" s="4368"/>
      <c r="M247" s="4366"/>
      <c r="N247" s="4367"/>
      <c r="O247" s="4378"/>
      <c r="P247" s="4368"/>
      <c r="Q247" s="4366"/>
      <c r="R247" s="4367"/>
      <c r="S247" s="4378"/>
      <c r="T247" s="4368"/>
      <c r="U247" s="4366"/>
      <c r="V247" s="4367"/>
      <c r="W247" s="4369"/>
      <c r="X247" s="4368"/>
      <c r="Y247" s="4366"/>
      <c r="Z247" s="4367"/>
      <c r="AA247" s="4369"/>
      <c r="AB247" s="4368"/>
      <c r="AC247" s="4366"/>
      <c r="AD247" s="4366"/>
      <c r="AE247" s="4373"/>
      <c r="AF247" s="4366"/>
      <c r="AG247" s="4366"/>
      <c r="AH247" s="4366"/>
      <c r="AI247" s="4374"/>
    </row>
    <row r="248" spans="1:35" ht="24.75" customHeight="1">
      <c r="A248" s="122" t="s">
        <v>332</v>
      </c>
    </row>
    <row r="249" spans="1:35" ht="24.75" customHeight="1" thickBot="1">
      <c r="A249" s="4380"/>
      <c r="B249" s="3971" t="s">
        <v>29</v>
      </c>
      <c r="C249" s="4049">
        <v>1</v>
      </c>
      <c r="D249" s="4049">
        <v>2</v>
      </c>
      <c r="E249" s="4049">
        <v>3</v>
      </c>
      <c r="F249" s="4050">
        <v>4</v>
      </c>
      <c r="G249" s="4050">
        <v>5</v>
      </c>
      <c r="H249" s="4049">
        <v>6</v>
      </c>
      <c r="I249" s="4049">
        <v>7</v>
      </c>
      <c r="J249" s="4049">
        <v>8</v>
      </c>
      <c r="K249" s="4050">
        <v>9</v>
      </c>
      <c r="L249" s="4050">
        <v>10</v>
      </c>
      <c r="M249" s="4050">
        <v>11</v>
      </c>
      <c r="N249" s="4050">
        <v>12</v>
      </c>
      <c r="O249" s="4050">
        <v>13</v>
      </c>
      <c r="P249" s="4049">
        <v>14</v>
      </c>
      <c r="Q249" s="4049">
        <v>15</v>
      </c>
      <c r="R249" s="4049">
        <v>16</v>
      </c>
      <c r="S249" s="4049">
        <v>17</v>
      </c>
      <c r="T249" s="4050">
        <v>18</v>
      </c>
      <c r="U249" s="4050">
        <v>19</v>
      </c>
      <c r="V249" s="4049">
        <v>20</v>
      </c>
      <c r="W249" s="4049">
        <v>21</v>
      </c>
      <c r="X249" s="4049">
        <v>22</v>
      </c>
      <c r="Y249" s="4049">
        <v>23</v>
      </c>
      <c r="Z249" s="4049">
        <v>24</v>
      </c>
      <c r="AA249" s="4050">
        <v>25</v>
      </c>
      <c r="AB249" s="4050">
        <v>26</v>
      </c>
      <c r="AC249" s="4049">
        <v>27</v>
      </c>
      <c r="AD249" s="4049">
        <v>28</v>
      </c>
      <c r="AE249" s="4049">
        <v>29</v>
      </c>
      <c r="AF249" s="4049">
        <v>30</v>
      </c>
      <c r="AG249" s="4051"/>
      <c r="AH249" s="23"/>
      <c r="AI249" s="24"/>
    </row>
    <row r="250" spans="1:35" ht="24.75" customHeight="1">
      <c r="A250" s="121">
        <v>8500</v>
      </c>
      <c r="B250" s="123" t="s">
        <v>333</v>
      </c>
      <c r="C250" s="3621" t="s">
        <v>31</v>
      </c>
      <c r="D250" s="3519" t="s">
        <v>31</v>
      </c>
      <c r="E250" s="3519" t="s">
        <v>31</v>
      </c>
      <c r="F250" s="3519"/>
      <c r="G250" s="3519"/>
      <c r="H250" s="3519" t="s">
        <v>31</v>
      </c>
      <c r="I250" s="3519" t="s">
        <v>31</v>
      </c>
      <c r="J250" s="3621" t="s">
        <v>31</v>
      </c>
      <c r="K250" s="3621"/>
      <c r="L250" s="3621"/>
      <c r="M250" s="3621"/>
      <c r="N250" s="3621"/>
      <c r="O250" s="3621"/>
      <c r="P250" s="3621" t="s">
        <v>31</v>
      </c>
      <c r="Q250" s="3621" t="s">
        <v>31</v>
      </c>
      <c r="R250" s="3621" t="s">
        <v>31</v>
      </c>
      <c r="S250" s="3621" t="s">
        <v>31</v>
      </c>
      <c r="T250" s="3621"/>
      <c r="U250" s="3621"/>
      <c r="V250" s="3621" t="s">
        <v>31</v>
      </c>
      <c r="W250" s="3621" t="s">
        <v>31</v>
      </c>
      <c r="X250" s="3621" t="s">
        <v>31</v>
      </c>
      <c r="Y250" s="3621" t="s">
        <v>31</v>
      </c>
      <c r="Z250" s="3621" t="s">
        <v>31</v>
      </c>
      <c r="AA250" s="3621"/>
      <c r="AB250" s="3621"/>
      <c r="AC250" s="3519" t="s">
        <v>31</v>
      </c>
      <c r="AD250" s="3519" t="s">
        <v>31</v>
      </c>
      <c r="AE250" s="3621" t="s">
        <v>31</v>
      </c>
      <c r="AF250" s="3519" t="s">
        <v>31</v>
      </c>
      <c r="AG250" s="3621"/>
      <c r="AH250" s="124"/>
      <c r="AI250" s="125"/>
    </row>
    <row r="251" spans="1:35" ht="24.75" customHeight="1">
      <c r="A251" s="4159"/>
      <c r="B251" s="3988" t="s">
        <v>334</v>
      </c>
      <c r="C251" s="3621" t="s">
        <v>31</v>
      </c>
      <c r="D251" s="3621" t="s">
        <v>31</v>
      </c>
      <c r="E251" s="3621" t="s">
        <v>31</v>
      </c>
      <c r="F251" s="3621"/>
      <c r="G251" s="3621"/>
      <c r="H251" s="4181" t="s">
        <v>31</v>
      </c>
      <c r="I251" s="4181" t="s">
        <v>31</v>
      </c>
      <c r="J251" s="3426" t="s">
        <v>31</v>
      </c>
      <c r="K251" s="3621"/>
      <c r="L251" s="3621"/>
      <c r="M251" s="3621"/>
      <c r="N251" s="3621"/>
      <c r="O251" s="3621"/>
      <c r="P251" s="3621" t="s">
        <v>31</v>
      </c>
      <c r="Q251" s="3621" t="s">
        <v>31</v>
      </c>
      <c r="R251" s="3621" t="s">
        <v>31</v>
      </c>
      <c r="S251" s="3621" t="s">
        <v>31</v>
      </c>
      <c r="T251" s="3621"/>
      <c r="U251" s="3621"/>
      <c r="V251" s="3621" t="s">
        <v>31</v>
      </c>
      <c r="W251" s="3621" t="s">
        <v>31</v>
      </c>
      <c r="X251" s="3621" t="s">
        <v>31</v>
      </c>
      <c r="Y251" s="3621" t="s">
        <v>31</v>
      </c>
      <c r="Z251" s="3621" t="s">
        <v>31</v>
      </c>
      <c r="AA251" s="3621"/>
      <c r="AB251" s="3621"/>
      <c r="AC251" s="3621" t="s">
        <v>31</v>
      </c>
      <c r="AD251" s="3621" t="s">
        <v>31</v>
      </c>
      <c r="AE251" s="3621" t="s">
        <v>31</v>
      </c>
      <c r="AF251" s="3621" t="s">
        <v>31</v>
      </c>
      <c r="AG251" s="3621"/>
      <c r="AH251" s="124"/>
      <c r="AI251" s="125"/>
    </row>
    <row r="252" spans="1:35" ht="24.75" customHeight="1">
      <c r="A252" s="3989"/>
      <c r="B252" s="3988" t="s">
        <v>335</v>
      </c>
      <c r="C252" s="3621" t="s">
        <v>31</v>
      </c>
      <c r="D252" s="3519" t="s">
        <v>31</v>
      </c>
      <c r="E252" s="3519" t="s">
        <v>31</v>
      </c>
      <c r="F252" s="3621"/>
      <c r="G252" s="3621"/>
      <c r="H252" s="3519" t="s">
        <v>31</v>
      </c>
      <c r="I252" s="3519" t="s">
        <v>31</v>
      </c>
      <c r="J252" s="3519" t="s">
        <v>31</v>
      </c>
      <c r="K252" s="3621"/>
      <c r="L252" s="3621"/>
      <c r="M252" s="3621"/>
      <c r="N252" s="3621"/>
      <c r="O252" s="3621"/>
      <c r="P252" s="3519" t="s">
        <v>31</v>
      </c>
      <c r="Q252" s="3519" t="s">
        <v>31</v>
      </c>
      <c r="R252" s="3519" t="s">
        <v>31</v>
      </c>
      <c r="S252" s="3519" t="s">
        <v>31</v>
      </c>
      <c r="T252" s="3621"/>
      <c r="U252" s="3621"/>
      <c r="V252" s="3519" t="s">
        <v>31</v>
      </c>
      <c r="W252" s="3519" t="s">
        <v>31</v>
      </c>
      <c r="X252" s="3621" t="s">
        <v>31</v>
      </c>
      <c r="Y252" s="3519" t="s">
        <v>31</v>
      </c>
      <c r="Z252" s="3621" t="s">
        <v>31</v>
      </c>
      <c r="AA252" s="3621"/>
      <c r="AB252" s="3621"/>
      <c r="AC252" s="3535" t="s">
        <v>31</v>
      </c>
      <c r="AD252" s="3535" t="s">
        <v>31</v>
      </c>
      <c r="AE252" s="3621" t="s">
        <v>31</v>
      </c>
      <c r="AF252" s="3535" t="s">
        <v>31</v>
      </c>
      <c r="AG252" s="3621"/>
      <c r="AH252" s="124"/>
      <c r="AI252" s="125"/>
    </row>
    <row r="253" spans="1:35" ht="24.75" customHeight="1">
      <c r="A253" s="29"/>
      <c r="B253" s="3990"/>
      <c r="C253" s="3621"/>
      <c r="D253" s="3621"/>
      <c r="E253" s="3621"/>
      <c r="F253" s="3621"/>
      <c r="G253" s="3621"/>
      <c r="H253" s="3621"/>
      <c r="I253" s="3621"/>
      <c r="J253" s="3621"/>
      <c r="K253" s="3621"/>
      <c r="L253" s="3621"/>
      <c r="M253" s="3621"/>
      <c r="N253" s="3621"/>
      <c r="O253" s="3621"/>
      <c r="P253" s="3621"/>
      <c r="Q253" s="3621"/>
      <c r="R253" s="3621"/>
      <c r="S253" s="3621"/>
      <c r="T253" s="3621"/>
      <c r="U253" s="3621"/>
      <c r="V253" s="3621"/>
      <c r="W253" s="3621"/>
      <c r="X253" s="3621"/>
      <c r="Y253" s="3621"/>
      <c r="Z253" s="3621"/>
      <c r="AA253" s="3621"/>
      <c r="AB253" s="3621"/>
      <c r="AC253" s="3621"/>
      <c r="AD253" s="3621"/>
      <c r="AE253" s="3621"/>
      <c r="AF253" s="3621"/>
      <c r="AG253" s="4381"/>
      <c r="AH253" s="124"/>
      <c r="AI253" s="125"/>
    </row>
    <row r="254" spans="1:35" ht="24.75" customHeight="1">
      <c r="A254" s="4382"/>
      <c r="B254" s="3990"/>
      <c r="C254" s="4083"/>
      <c r="D254" s="4083"/>
      <c r="E254" s="4083"/>
      <c r="F254" s="4083"/>
      <c r="G254" s="4083"/>
      <c r="H254" s="4083"/>
      <c r="I254" s="4083"/>
      <c r="J254" s="4083"/>
      <c r="K254" s="4083"/>
      <c r="L254" s="4083"/>
      <c r="M254" s="4083"/>
      <c r="N254" s="4121"/>
      <c r="O254" s="4121"/>
      <c r="P254" s="4083"/>
      <c r="Q254" s="4083"/>
      <c r="R254" s="4083"/>
      <c r="S254" s="4083"/>
      <c r="T254" s="4083"/>
      <c r="U254" s="4083"/>
      <c r="V254" s="4083"/>
      <c r="W254" s="4083"/>
      <c r="X254" s="4083"/>
      <c r="Y254" s="4083"/>
      <c r="Z254" s="4083"/>
      <c r="AA254" s="4083"/>
      <c r="AB254" s="4121"/>
      <c r="AC254" s="4121"/>
      <c r="AD254" s="4083"/>
      <c r="AE254" s="4083"/>
      <c r="AF254" s="4083"/>
      <c r="AG254" s="4083"/>
      <c r="AH254" s="126"/>
      <c r="AI254" s="127"/>
    </row>
    <row r="255" spans="1:35" ht="24.75" customHeight="1">
      <c r="A255" s="4383"/>
      <c r="B255" s="4384"/>
      <c r="C255" s="4083"/>
      <c r="D255" s="4083"/>
      <c r="E255" s="4083"/>
      <c r="F255" s="4083"/>
      <c r="G255" s="4083"/>
      <c r="H255" s="4083"/>
      <c r="I255" s="4083"/>
      <c r="J255" s="4083"/>
      <c r="K255" s="4083"/>
      <c r="L255" s="4083"/>
      <c r="M255" s="4083"/>
      <c r="N255" s="4121"/>
      <c r="O255" s="4121"/>
      <c r="P255" s="4083"/>
      <c r="Q255" s="4083"/>
      <c r="R255" s="4083"/>
      <c r="S255" s="4083"/>
      <c r="T255" s="4083"/>
      <c r="U255" s="4083"/>
      <c r="V255" s="4083"/>
      <c r="W255" s="4083"/>
      <c r="X255" s="4083"/>
      <c r="Y255" s="4083"/>
      <c r="Z255" s="4083"/>
      <c r="AA255" s="4083"/>
      <c r="AB255" s="4121"/>
      <c r="AC255" s="4121"/>
      <c r="AD255" s="4083"/>
      <c r="AE255" s="4083"/>
      <c r="AF255" s="4083"/>
      <c r="AG255" s="4083"/>
      <c r="AH255" s="126"/>
      <c r="AI255" s="127"/>
    </row>
    <row r="256" spans="1:35" ht="24.75" customHeight="1" thickBot="1">
      <c r="A256" s="416"/>
      <c r="B256" s="413"/>
      <c r="C256" s="3992"/>
      <c r="D256" s="3993"/>
      <c r="E256" s="3993"/>
      <c r="F256" s="3993"/>
      <c r="G256" s="3993"/>
      <c r="H256" s="3993"/>
      <c r="I256" s="3993"/>
      <c r="J256" s="3993"/>
      <c r="K256" s="3993"/>
      <c r="L256" s="3993"/>
      <c r="M256" s="3993"/>
      <c r="N256" s="3994"/>
      <c r="O256" s="3994"/>
      <c r="P256" s="3993"/>
      <c r="Q256" s="3993"/>
      <c r="R256" s="3993"/>
      <c r="S256" s="3993"/>
      <c r="T256" s="3993"/>
      <c r="U256" s="3993"/>
      <c r="V256" s="3993"/>
      <c r="W256" s="3993"/>
      <c r="X256" s="3993"/>
      <c r="Y256" s="3993"/>
      <c r="Z256" s="3993"/>
      <c r="AA256" s="3993"/>
      <c r="AB256" s="3994"/>
      <c r="AC256" s="3994"/>
      <c r="AD256" s="3993"/>
      <c r="AE256" s="3993"/>
      <c r="AF256" s="3993"/>
      <c r="AG256" s="3995"/>
      <c r="AH256" s="126"/>
      <c r="AI256" s="127"/>
    </row>
    <row r="257" spans="1:35" ht="24.75" customHeight="1"/>
    <row r="258" spans="1:35" ht="24.75" customHeight="1" thickBot="1">
      <c r="A258" s="14" t="s">
        <v>337</v>
      </c>
    </row>
    <row r="259" spans="1:35" ht="24.75" customHeight="1">
      <c r="A259" s="1"/>
      <c r="B259" s="4365" t="s">
        <v>281</v>
      </c>
      <c r="C259" s="3834"/>
      <c r="D259" s="3858" t="s">
        <v>87</v>
      </c>
      <c r="E259" s="3640"/>
      <c r="F259" s="3838"/>
      <c r="G259" s="3834"/>
      <c r="H259" s="3858" t="s">
        <v>88</v>
      </c>
      <c r="I259" s="3640"/>
      <c r="J259" s="3838"/>
      <c r="K259" s="3834"/>
      <c r="L259" s="3858" t="s">
        <v>89</v>
      </c>
      <c r="M259" s="3640"/>
      <c r="N259" s="3838"/>
      <c r="O259" s="3834"/>
      <c r="P259" s="3858" t="s">
        <v>90</v>
      </c>
      <c r="Q259" s="3640"/>
      <c r="R259" s="3838"/>
      <c r="S259" s="3834"/>
      <c r="T259" s="3858" t="s">
        <v>91</v>
      </c>
      <c r="U259" s="3640"/>
      <c r="V259" s="3838"/>
      <c r="W259" s="3834"/>
      <c r="X259" s="3858" t="s">
        <v>92</v>
      </c>
      <c r="Y259" s="3640"/>
      <c r="Z259" s="3838"/>
      <c r="AA259" s="3834"/>
      <c r="AB259" s="3858" t="s">
        <v>93</v>
      </c>
      <c r="AC259" s="3640"/>
      <c r="AD259" s="3640"/>
      <c r="AE259" s="3861" t="s">
        <v>94</v>
      </c>
      <c r="AF259" s="3640"/>
      <c r="AG259" s="3640"/>
      <c r="AH259" s="3640"/>
      <c r="AI259" s="3641"/>
    </row>
    <row r="260" spans="1:35" ht="24.75" customHeight="1">
      <c r="A260" s="1"/>
      <c r="B260" s="116"/>
      <c r="C260" s="121"/>
      <c r="D260" s="111"/>
      <c r="E260" s="8"/>
      <c r="F260" s="120"/>
      <c r="G260" s="121"/>
      <c r="H260" s="111"/>
      <c r="I260" s="8"/>
      <c r="J260" s="120"/>
      <c r="K260" s="121"/>
      <c r="L260" s="111"/>
      <c r="M260" s="8"/>
      <c r="N260" s="120"/>
      <c r="O260" s="121"/>
      <c r="P260" s="111"/>
      <c r="Q260" s="8"/>
      <c r="R260" s="120"/>
      <c r="S260" s="121"/>
      <c r="T260" s="111"/>
      <c r="U260" s="8"/>
      <c r="V260" s="120"/>
      <c r="W260" s="121"/>
      <c r="X260" s="111"/>
      <c r="Y260" s="8"/>
      <c r="Z260" s="120"/>
      <c r="AA260" s="121"/>
      <c r="AB260" s="111"/>
      <c r="AC260" s="8"/>
      <c r="AD260" s="8"/>
      <c r="AE260" s="112"/>
      <c r="AF260" s="8"/>
      <c r="AG260" s="8"/>
      <c r="AH260" s="8"/>
      <c r="AI260" s="105"/>
    </row>
    <row r="261" spans="1:35" ht="24.75" customHeight="1">
      <c r="A261" s="87"/>
      <c r="B261" s="3967"/>
      <c r="C261" s="4157"/>
      <c r="D261" s="4031"/>
      <c r="E261" s="4031"/>
      <c r="F261" s="4262"/>
      <c r="G261" s="4157"/>
      <c r="H261" s="4031"/>
      <c r="I261" s="4031"/>
      <c r="J261" s="4262"/>
      <c r="K261" s="4157"/>
      <c r="L261" s="4031"/>
      <c r="M261" s="4031"/>
      <c r="N261" s="4262"/>
      <c r="O261" s="4157"/>
      <c r="P261" s="4031"/>
      <c r="Q261" s="4031"/>
      <c r="R261" s="4262"/>
      <c r="S261" s="4157"/>
      <c r="T261" s="4031"/>
      <c r="U261" s="4031"/>
      <c r="V261" s="4262"/>
      <c r="W261" s="4157"/>
      <c r="X261" s="4031"/>
      <c r="Y261" s="4031"/>
      <c r="Z261" s="4262"/>
      <c r="AA261" s="4260"/>
      <c r="AB261" s="4031"/>
      <c r="AC261" s="4031"/>
      <c r="AD261" s="4158"/>
      <c r="AE261" s="4385"/>
      <c r="AF261" s="4031"/>
      <c r="AG261" s="4031"/>
      <c r="AH261" s="4158"/>
      <c r="AI261" s="4040"/>
    </row>
    <row r="262" spans="1:35" ht="24.75" customHeight="1" thickBot="1">
      <c r="A262" s="1"/>
      <c r="B262" s="4272"/>
      <c r="C262" s="4273"/>
      <c r="D262" s="4095"/>
      <c r="E262" s="4095"/>
      <c r="F262" s="4300"/>
      <c r="G262" s="4273"/>
      <c r="H262" s="4095"/>
      <c r="I262" s="4095"/>
      <c r="J262" s="4300"/>
      <c r="K262" s="4273"/>
      <c r="L262" s="4095"/>
      <c r="M262" s="4095"/>
      <c r="N262" s="4300"/>
      <c r="O262" s="4273"/>
      <c r="P262" s="4095"/>
      <c r="Q262" s="4095"/>
      <c r="R262" s="4300"/>
      <c r="S262" s="4273"/>
      <c r="T262" s="4095"/>
      <c r="U262" s="4095"/>
      <c r="V262" s="4300"/>
      <c r="W262" s="4298"/>
      <c r="X262" s="4095"/>
      <c r="Y262" s="4095"/>
      <c r="Z262" s="4300"/>
      <c r="AA262" s="4298"/>
      <c r="AB262" s="4095"/>
      <c r="AC262" s="4095"/>
      <c r="AD262" s="4280"/>
      <c r="AE262" s="4298"/>
      <c r="AF262" s="4095"/>
      <c r="AG262" s="4095"/>
      <c r="AH262" s="4280"/>
      <c r="AI262" s="4102"/>
    </row>
    <row r="263" spans="1:35" ht="24.75" customHeight="1">
      <c r="A263" s="1"/>
      <c r="B263" s="113"/>
      <c r="C263" s="37"/>
      <c r="F263" s="22"/>
      <c r="G263" s="37"/>
      <c r="J263" s="22"/>
      <c r="K263" s="37"/>
      <c r="N263" s="22"/>
      <c r="O263" s="37"/>
      <c r="R263" s="22"/>
      <c r="S263" s="37"/>
      <c r="V263" s="22"/>
      <c r="W263" s="22"/>
      <c r="Z263" s="22"/>
      <c r="AA263" s="22"/>
      <c r="AD263" s="22"/>
      <c r="AE263" s="22"/>
      <c r="AH263" s="22"/>
    </row>
    <row r="264" spans="1:35" ht="24.75" customHeight="1">
      <c r="A264" s="14" t="s">
        <v>338</v>
      </c>
      <c r="B264" s="113"/>
      <c r="C264" s="37"/>
      <c r="F264" s="22"/>
      <c r="G264" s="37"/>
      <c r="J264" s="22"/>
      <c r="K264" s="37"/>
      <c r="N264" s="22"/>
      <c r="O264" s="37"/>
      <c r="R264" s="22"/>
      <c r="S264" s="37"/>
      <c r="V264" s="22"/>
      <c r="W264" s="22"/>
      <c r="Z264" s="22"/>
      <c r="AA264" s="22"/>
      <c r="AD264" s="22"/>
      <c r="AE264" s="22"/>
      <c r="AH264" s="22"/>
    </row>
    <row r="265" spans="1:35" ht="24.75" customHeight="1" thickBot="1">
      <c r="A265" s="3970" t="s">
        <v>28</v>
      </c>
      <c r="B265" s="3971" t="s">
        <v>29</v>
      </c>
      <c r="C265" s="4049">
        <v>1</v>
      </c>
      <c r="D265" s="4049">
        <v>2</v>
      </c>
      <c r="E265" s="4049">
        <v>3</v>
      </c>
      <c r="F265" s="4050">
        <v>4</v>
      </c>
      <c r="G265" s="4050">
        <v>5</v>
      </c>
      <c r="H265" s="4049">
        <v>6</v>
      </c>
      <c r="I265" s="4049">
        <v>7</v>
      </c>
      <c r="J265" s="4049">
        <v>8</v>
      </c>
      <c r="K265" s="4050">
        <v>9</v>
      </c>
      <c r="L265" s="4050">
        <v>10</v>
      </c>
      <c r="M265" s="4050">
        <v>11</v>
      </c>
      <c r="N265" s="4050">
        <v>12</v>
      </c>
      <c r="O265" s="4050">
        <v>13</v>
      </c>
      <c r="P265" s="4049">
        <v>14</v>
      </c>
      <c r="Q265" s="4049">
        <v>15</v>
      </c>
      <c r="R265" s="4049">
        <v>16</v>
      </c>
      <c r="S265" s="4049">
        <v>17</v>
      </c>
      <c r="T265" s="4050">
        <v>18</v>
      </c>
      <c r="U265" s="4050">
        <v>19</v>
      </c>
      <c r="V265" s="4049">
        <v>20</v>
      </c>
      <c r="W265" s="4049">
        <v>21</v>
      </c>
      <c r="X265" s="4049">
        <v>22</v>
      </c>
      <c r="Y265" s="4049">
        <v>23</v>
      </c>
      <c r="Z265" s="4049">
        <v>24</v>
      </c>
      <c r="AA265" s="4050">
        <v>25</v>
      </c>
      <c r="AB265" s="4050">
        <v>26</v>
      </c>
      <c r="AC265" s="4049">
        <v>27</v>
      </c>
      <c r="AD265" s="4049">
        <v>28</v>
      </c>
      <c r="AE265" s="4049">
        <v>29</v>
      </c>
      <c r="AF265" s="4049">
        <v>30</v>
      </c>
      <c r="AG265" s="4051"/>
      <c r="AH265" s="128"/>
      <c r="AI265" s="24"/>
    </row>
    <row r="266" spans="1:35" ht="24.75" customHeight="1">
      <c r="A266" s="129"/>
      <c r="B266" s="130" t="s">
        <v>339</v>
      </c>
      <c r="C266" s="3519" t="s">
        <v>31</v>
      </c>
      <c r="D266" s="3519" t="s">
        <v>31</v>
      </c>
      <c r="E266" s="3519" t="s">
        <v>31</v>
      </c>
      <c r="F266" s="3621"/>
      <c r="G266" s="3621"/>
      <c r="H266" s="3621" t="s">
        <v>31</v>
      </c>
      <c r="I266" s="3621" t="s">
        <v>31</v>
      </c>
      <c r="J266" s="3621" t="s">
        <v>31</v>
      </c>
      <c r="K266" s="3621"/>
      <c r="L266" s="3621"/>
      <c r="M266" s="3621"/>
      <c r="N266" s="3621"/>
      <c r="O266" s="3621"/>
      <c r="P266" s="3621" t="s">
        <v>31</v>
      </c>
      <c r="Q266" s="3621" t="s">
        <v>31</v>
      </c>
      <c r="R266" s="3621" t="s">
        <v>31</v>
      </c>
      <c r="S266" s="3621" t="s">
        <v>31</v>
      </c>
      <c r="T266" s="3621"/>
      <c r="U266" s="3621"/>
      <c r="V266" s="3621" t="s">
        <v>31</v>
      </c>
      <c r="W266" s="3621" t="s">
        <v>31</v>
      </c>
      <c r="X266" s="3621" t="s">
        <v>31</v>
      </c>
      <c r="Y266" s="3621" t="s">
        <v>31</v>
      </c>
      <c r="Z266" s="3621" t="s">
        <v>31</v>
      </c>
      <c r="AA266" s="3621"/>
      <c r="AB266" s="3621"/>
      <c r="AC266" s="3621" t="s">
        <v>31</v>
      </c>
      <c r="AD266" s="3621" t="s">
        <v>31</v>
      </c>
      <c r="AE266" s="3621" t="s">
        <v>31</v>
      </c>
      <c r="AF266" s="3621" t="s">
        <v>31</v>
      </c>
      <c r="AG266" s="3621"/>
      <c r="AH266" s="131"/>
      <c r="AI266" s="125"/>
    </row>
    <row r="267" spans="1:35" ht="24.75" customHeight="1">
      <c r="A267" s="4386"/>
      <c r="B267" s="4387" t="s">
        <v>340</v>
      </c>
      <c r="C267" s="4388" t="s">
        <v>31</v>
      </c>
      <c r="D267" s="4388" t="s">
        <v>31</v>
      </c>
      <c r="E267" s="4388" t="s">
        <v>31</v>
      </c>
      <c r="F267" s="3621"/>
      <c r="G267" s="3621"/>
      <c r="H267" s="3621" t="s">
        <v>31</v>
      </c>
      <c r="I267" s="3621" t="s">
        <v>31</v>
      </c>
      <c r="J267" s="3621" t="s">
        <v>31</v>
      </c>
      <c r="K267" s="3621"/>
      <c r="L267" s="3621"/>
      <c r="M267" s="3621"/>
      <c r="N267" s="3621"/>
      <c r="O267" s="3621"/>
      <c r="P267" s="3621" t="s">
        <v>31</v>
      </c>
      <c r="Q267" s="3621" t="s">
        <v>31</v>
      </c>
      <c r="R267" s="3621" t="s">
        <v>31</v>
      </c>
      <c r="S267" s="3621" t="s">
        <v>31</v>
      </c>
      <c r="T267" s="3621"/>
      <c r="U267" s="3621"/>
      <c r="V267" s="3426" t="s">
        <v>31</v>
      </c>
      <c r="W267" s="3621" t="s">
        <v>31</v>
      </c>
      <c r="X267" s="3621" t="s">
        <v>31</v>
      </c>
      <c r="Y267" s="3621" t="s">
        <v>31</v>
      </c>
      <c r="Z267" s="3621" t="s">
        <v>31</v>
      </c>
      <c r="AA267" s="3621"/>
      <c r="AB267" s="3621"/>
      <c r="AC267" s="3621" t="s">
        <v>31</v>
      </c>
      <c r="AD267" s="3621" t="s">
        <v>31</v>
      </c>
      <c r="AE267" s="3621" t="s">
        <v>31</v>
      </c>
      <c r="AF267" s="3621" t="s">
        <v>31</v>
      </c>
      <c r="AG267" s="3621"/>
      <c r="AH267" s="131"/>
      <c r="AI267" s="125"/>
    </row>
    <row r="268" spans="1:35" ht="24.75" customHeight="1">
      <c r="A268" s="3972"/>
      <c r="B268" s="4387" t="s">
        <v>341</v>
      </c>
      <c r="C268" s="3621" t="s">
        <v>31</v>
      </c>
      <c r="D268" s="3621" t="s">
        <v>31</v>
      </c>
      <c r="E268" s="3621" t="s">
        <v>31</v>
      </c>
      <c r="F268" s="3621"/>
      <c r="G268" s="3621"/>
      <c r="H268" s="3423" t="s">
        <v>31</v>
      </c>
      <c r="I268" s="3423" t="s">
        <v>31</v>
      </c>
      <c r="J268" s="3423" t="s">
        <v>31</v>
      </c>
      <c r="K268" s="3423"/>
      <c r="L268" s="3423"/>
      <c r="M268" s="3423"/>
      <c r="N268" s="3423"/>
      <c r="O268" s="3423"/>
      <c r="P268" s="3423" t="s">
        <v>31</v>
      </c>
      <c r="Q268" s="3423" t="s">
        <v>31</v>
      </c>
      <c r="R268" s="3423" t="s">
        <v>31</v>
      </c>
      <c r="S268" s="3423" t="s">
        <v>31</v>
      </c>
      <c r="T268" s="3621"/>
      <c r="U268" s="3621"/>
      <c r="V268" s="3621" t="s">
        <v>31</v>
      </c>
      <c r="W268" s="3621" t="s">
        <v>31</v>
      </c>
      <c r="X268" s="3621" t="s">
        <v>31</v>
      </c>
      <c r="Y268" s="3621" t="s">
        <v>31</v>
      </c>
      <c r="Z268" s="3621" t="s">
        <v>31</v>
      </c>
      <c r="AA268" s="3621"/>
      <c r="AB268" s="3621"/>
      <c r="AC268" s="3621" t="s">
        <v>31</v>
      </c>
      <c r="AD268" s="3621" t="s">
        <v>31</v>
      </c>
      <c r="AE268" s="3621" t="s">
        <v>31</v>
      </c>
      <c r="AF268" s="3621" t="s">
        <v>31</v>
      </c>
      <c r="AG268" s="3621"/>
      <c r="AH268" s="131"/>
      <c r="AI268" s="125"/>
    </row>
    <row r="269" spans="1:35" ht="24.75" customHeight="1">
      <c r="A269" s="3972"/>
      <c r="B269" s="4387" t="s">
        <v>342</v>
      </c>
      <c r="C269" s="3621" t="s">
        <v>31</v>
      </c>
      <c r="D269" s="3621" t="s">
        <v>31</v>
      </c>
      <c r="E269" s="3621" t="s">
        <v>31</v>
      </c>
      <c r="F269" s="3621"/>
      <c r="G269" s="3621"/>
      <c r="H269" s="3621" t="s">
        <v>31</v>
      </c>
      <c r="I269" s="3621" t="s">
        <v>31</v>
      </c>
      <c r="J269" s="3519" t="s">
        <v>31</v>
      </c>
      <c r="K269" s="3621"/>
      <c r="L269" s="3621"/>
      <c r="M269" s="3621"/>
      <c r="N269" s="3621"/>
      <c r="O269" s="3621"/>
      <c r="P269" s="3423" t="s">
        <v>31</v>
      </c>
      <c r="Q269" s="3423" t="s">
        <v>31</v>
      </c>
      <c r="R269" s="3423" t="s">
        <v>31</v>
      </c>
      <c r="S269" s="3423" t="s">
        <v>31</v>
      </c>
      <c r="T269" s="3423"/>
      <c r="U269" s="3423"/>
      <c r="V269" s="4356" t="s">
        <v>31</v>
      </c>
      <c r="W269" s="3621" t="s">
        <v>31</v>
      </c>
      <c r="X269" s="3621" t="s">
        <v>31</v>
      </c>
      <c r="Y269" s="3621" t="s">
        <v>31</v>
      </c>
      <c r="Z269" s="3621" t="s">
        <v>31</v>
      </c>
      <c r="AA269" s="3621"/>
      <c r="AB269" s="3621"/>
      <c r="AC269" s="3621" t="s">
        <v>31</v>
      </c>
      <c r="AD269" s="3621" t="s">
        <v>31</v>
      </c>
      <c r="AE269" s="3621" t="s">
        <v>31</v>
      </c>
      <c r="AF269" s="3621" t="s">
        <v>31</v>
      </c>
      <c r="AG269" s="3621"/>
      <c r="AH269" s="131"/>
      <c r="AI269" s="125"/>
    </row>
    <row r="270" spans="1:35" ht="24.75" customHeight="1">
      <c r="A270" s="3972"/>
      <c r="B270" s="4387" t="s">
        <v>343</v>
      </c>
      <c r="C270" s="3621" t="s">
        <v>31</v>
      </c>
      <c r="D270" s="3621" t="s">
        <v>31</v>
      </c>
      <c r="E270" s="4389" t="s">
        <v>31</v>
      </c>
      <c r="F270" s="4389"/>
      <c r="G270" s="4389"/>
      <c r="H270" s="4389" t="s">
        <v>31</v>
      </c>
      <c r="I270" s="4389" t="s">
        <v>31</v>
      </c>
      <c r="J270" s="4389" t="s">
        <v>31</v>
      </c>
      <c r="K270" s="3621"/>
      <c r="L270" s="3621"/>
      <c r="M270" s="3621"/>
      <c r="N270" s="3621"/>
      <c r="O270" s="3621"/>
      <c r="P270" s="3621" t="s">
        <v>31</v>
      </c>
      <c r="Q270" s="3621" t="s">
        <v>31</v>
      </c>
      <c r="R270" s="3621" t="s">
        <v>31</v>
      </c>
      <c r="S270" s="3621" t="s">
        <v>31</v>
      </c>
      <c r="T270" s="3621"/>
      <c r="U270" s="3621"/>
      <c r="V270" s="3621" t="s">
        <v>31</v>
      </c>
      <c r="W270" s="3621" t="s">
        <v>31</v>
      </c>
      <c r="X270" s="3621" t="s">
        <v>31</v>
      </c>
      <c r="Y270" s="3621" t="s">
        <v>31</v>
      </c>
      <c r="Z270" s="3621" t="s">
        <v>31</v>
      </c>
      <c r="AA270" s="3621"/>
      <c r="AB270" s="3621"/>
      <c r="AC270" s="3621" t="s">
        <v>31</v>
      </c>
      <c r="AD270" s="3621" t="s">
        <v>31</v>
      </c>
      <c r="AE270" s="3621" t="s">
        <v>31</v>
      </c>
      <c r="AF270" s="3621" t="s">
        <v>31</v>
      </c>
      <c r="AG270" s="4083"/>
      <c r="AH270" s="131"/>
      <c r="AI270" s="125"/>
    </row>
    <row r="271" spans="1:35" ht="24.75" customHeight="1">
      <c r="A271" s="3972"/>
      <c r="B271" s="4387" t="s">
        <v>344</v>
      </c>
      <c r="C271" s="4181" t="s">
        <v>31</v>
      </c>
      <c r="D271" s="4181" t="s">
        <v>31</v>
      </c>
      <c r="E271" s="4181" t="s">
        <v>31</v>
      </c>
      <c r="F271" s="3621"/>
      <c r="G271" s="3621"/>
      <c r="H271" s="3621" t="s">
        <v>31</v>
      </c>
      <c r="I271" s="3621" t="s">
        <v>31</v>
      </c>
      <c r="J271" s="3621" t="s">
        <v>31</v>
      </c>
      <c r="K271" s="3621"/>
      <c r="L271" s="3621"/>
      <c r="M271" s="3621"/>
      <c r="N271" s="3621"/>
      <c r="O271" s="3621"/>
      <c r="P271" s="3621" t="s">
        <v>31</v>
      </c>
      <c r="Q271" s="3621" t="s">
        <v>31</v>
      </c>
      <c r="R271" s="3621" t="s">
        <v>31</v>
      </c>
      <c r="S271" s="3621" t="s">
        <v>31</v>
      </c>
      <c r="T271" s="3621"/>
      <c r="U271" s="3621"/>
      <c r="V271" s="3621" t="s">
        <v>31</v>
      </c>
      <c r="W271" s="3621" t="s">
        <v>31</v>
      </c>
      <c r="X271" s="3423" t="s">
        <v>31</v>
      </c>
      <c r="Y271" s="3423" t="s">
        <v>31</v>
      </c>
      <c r="Z271" s="3423" t="s">
        <v>31</v>
      </c>
      <c r="AA271" s="3621"/>
      <c r="AB271" s="3621"/>
      <c r="AC271" s="3621" t="s">
        <v>31</v>
      </c>
      <c r="AD271" s="3621" t="s">
        <v>31</v>
      </c>
      <c r="AE271" s="3621" t="s">
        <v>31</v>
      </c>
      <c r="AF271" s="3423" t="s">
        <v>31</v>
      </c>
      <c r="AG271" s="4083"/>
      <c r="AH271" s="131"/>
      <c r="AI271" s="125"/>
    </row>
    <row r="272" spans="1:35" ht="24.75" customHeight="1">
      <c r="A272" s="3972"/>
      <c r="B272" s="4387" t="s">
        <v>345</v>
      </c>
      <c r="C272" s="3621" t="s">
        <v>31</v>
      </c>
      <c r="D272" s="3621" t="s">
        <v>31</v>
      </c>
      <c r="E272" s="3621" t="s">
        <v>31</v>
      </c>
      <c r="F272" s="3621"/>
      <c r="G272" s="3621"/>
      <c r="H272" s="3423" t="s">
        <v>31</v>
      </c>
      <c r="I272" s="3423" t="s">
        <v>31</v>
      </c>
      <c r="J272" s="3423" t="s">
        <v>31</v>
      </c>
      <c r="K272" s="3621"/>
      <c r="L272" s="3621"/>
      <c r="M272" s="3621"/>
      <c r="N272" s="3621"/>
      <c r="O272" s="3621"/>
      <c r="P272" s="3621" t="s">
        <v>31</v>
      </c>
      <c r="Q272" s="3621" t="s">
        <v>31</v>
      </c>
      <c r="R272" s="3621" t="s">
        <v>31</v>
      </c>
      <c r="S272" s="3621" t="s">
        <v>31</v>
      </c>
      <c r="T272" s="3621"/>
      <c r="U272" s="3621"/>
      <c r="V272" s="3423" t="s">
        <v>31</v>
      </c>
      <c r="W272" s="3621" t="s">
        <v>31</v>
      </c>
      <c r="X272" s="3621" t="s">
        <v>31</v>
      </c>
      <c r="Y272" s="3621" t="s">
        <v>31</v>
      </c>
      <c r="Z272" s="3621" t="s">
        <v>31</v>
      </c>
      <c r="AA272" s="3621"/>
      <c r="AB272" s="3621"/>
      <c r="AC272" s="3621" t="s">
        <v>31</v>
      </c>
      <c r="AD272" s="3621" t="s">
        <v>31</v>
      </c>
      <c r="AE272" s="3621" t="s">
        <v>31</v>
      </c>
      <c r="AF272" s="3621" t="s">
        <v>31</v>
      </c>
      <c r="AG272" s="4083"/>
      <c r="AH272" s="131"/>
      <c r="AI272" s="125"/>
    </row>
    <row r="273" spans="1:35" ht="24.75" customHeight="1">
      <c r="A273" s="3972"/>
      <c r="B273" s="4387" t="s">
        <v>346</v>
      </c>
      <c r="C273" s="3621" t="s">
        <v>31</v>
      </c>
      <c r="D273" s="3621" t="s">
        <v>31</v>
      </c>
      <c r="E273" s="3621" t="s">
        <v>31</v>
      </c>
      <c r="F273" s="3621"/>
      <c r="G273" s="3621"/>
      <c r="H273" s="3621" t="s">
        <v>31</v>
      </c>
      <c r="I273" s="3621" t="s">
        <v>31</v>
      </c>
      <c r="J273" s="3621" t="s">
        <v>31</v>
      </c>
      <c r="K273" s="3621"/>
      <c r="L273" s="3621"/>
      <c r="M273" s="3621"/>
      <c r="N273" s="3621"/>
      <c r="O273" s="3621"/>
      <c r="P273" s="3621" t="s">
        <v>31</v>
      </c>
      <c r="Q273" s="3621" t="s">
        <v>31</v>
      </c>
      <c r="R273" s="3621" t="s">
        <v>31</v>
      </c>
      <c r="S273" s="3621" t="s">
        <v>31</v>
      </c>
      <c r="T273" s="3621"/>
      <c r="U273" s="3621"/>
      <c r="V273" s="3621" t="s">
        <v>31</v>
      </c>
      <c r="W273" s="3621" t="s">
        <v>31</v>
      </c>
      <c r="X273" s="3621" t="s">
        <v>31</v>
      </c>
      <c r="Y273" s="3621" t="s">
        <v>31</v>
      </c>
      <c r="Z273" s="3621" t="s">
        <v>31</v>
      </c>
      <c r="AA273" s="3621"/>
      <c r="AB273" s="3621"/>
      <c r="AC273" s="3621" t="s">
        <v>31</v>
      </c>
      <c r="AD273" s="3621" t="s">
        <v>31</v>
      </c>
      <c r="AE273" s="3621" t="s">
        <v>31</v>
      </c>
      <c r="AF273" s="3621" t="s">
        <v>31</v>
      </c>
      <c r="AG273" s="4083"/>
      <c r="AH273" s="131"/>
      <c r="AI273" s="125"/>
    </row>
    <row r="274" spans="1:35" ht="24.75" customHeight="1">
      <c r="A274" s="3972"/>
      <c r="B274" s="3988"/>
      <c r="C274" s="3621" t="s">
        <v>31</v>
      </c>
      <c r="D274" s="3621" t="s">
        <v>31</v>
      </c>
      <c r="E274" s="3621" t="s">
        <v>31</v>
      </c>
      <c r="F274" s="3621"/>
      <c r="G274" s="3621"/>
      <c r="H274" s="3621" t="s">
        <v>31</v>
      </c>
      <c r="I274" s="3621" t="s">
        <v>31</v>
      </c>
      <c r="J274" s="3621" t="s">
        <v>31</v>
      </c>
      <c r="K274" s="3621"/>
      <c r="L274" s="3621"/>
      <c r="M274" s="3621"/>
      <c r="N274" s="3621"/>
      <c r="O274" s="3621"/>
      <c r="P274" s="3621" t="s">
        <v>31</v>
      </c>
      <c r="Q274" s="3621" t="s">
        <v>31</v>
      </c>
      <c r="R274" s="3621" t="s">
        <v>31</v>
      </c>
      <c r="S274" s="3621" t="s">
        <v>31</v>
      </c>
      <c r="T274" s="3621"/>
      <c r="U274" s="3621"/>
      <c r="V274" s="3621" t="s">
        <v>31</v>
      </c>
      <c r="W274" s="3621" t="s">
        <v>31</v>
      </c>
      <c r="X274" s="3621" t="s">
        <v>31</v>
      </c>
      <c r="Y274" s="3621" t="s">
        <v>31</v>
      </c>
      <c r="Z274" s="3621" t="s">
        <v>31</v>
      </c>
      <c r="AA274" s="3621"/>
      <c r="AB274" s="3621"/>
      <c r="AC274" s="3621" t="s">
        <v>31</v>
      </c>
      <c r="AD274" s="3621" t="s">
        <v>31</v>
      </c>
      <c r="AE274" s="3621" t="s">
        <v>31</v>
      </c>
      <c r="AF274" s="3621" t="s">
        <v>31</v>
      </c>
      <c r="AG274" s="4083"/>
      <c r="AH274" s="131"/>
      <c r="AI274" s="125"/>
    </row>
    <row r="275" spans="1:35" ht="24.75" customHeight="1">
      <c r="A275" s="3972"/>
      <c r="B275" s="4390" t="s">
        <v>348</v>
      </c>
      <c r="C275" s="3621" t="s">
        <v>31</v>
      </c>
      <c r="D275" s="3621" t="s">
        <v>31</v>
      </c>
      <c r="E275" s="3621" t="s">
        <v>31</v>
      </c>
      <c r="F275" s="3621"/>
      <c r="G275" s="3621"/>
      <c r="H275" s="3423" t="s">
        <v>31</v>
      </c>
      <c r="I275" s="4181" t="s">
        <v>31</v>
      </c>
      <c r="J275" s="4181" t="s">
        <v>31</v>
      </c>
      <c r="K275" s="3621"/>
      <c r="L275" s="3621"/>
      <c r="M275" s="3621"/>
      <c r="N275" s="3621"/>
      <c r="O275" s="3621"/>
      <c r="P275" s="3621" t="s">
        <v>31</v>
      </c>
      <c r="Q275" s="3621" t="s">
        <v>31</v>
      </c>
      <c r="R275" s="3621" t="s">
        <v>31</v>
      </c>
      <c r="S275" s="3621" t="s">
        <v>31</v>
      </c>
      <c r="T275" s="3621"/>
      <c r="U275" s="3621"/>
      <c r="V275" s="3621" t="s">
        <v>31</v>
      </c>
      <c r="W275" s="3621" t="s">
        <v>31</v>
      </c>
      <c r="X275" s="3621" t="s">
        <v>31</v>
      </c>
      <c r="Y275" s="4181" t="s">
        <v>31</v>
      </c>
      <c r="Z275" s="4181" t="s">
        <v>31</v>
      </c>
      <c r="AA275" s="3621"/>
      <c r="AB275" s="3621"/>
      <c r="AC275" s="3621" t="s">
        <v>31</v>
      </c>
      <c r="AD275" s="3621" t="s">
        <v>31</v>
      </c>
      <c r="AE275" s="3621" t="s">
        <v>31</v>
      </c>
      <c r="AF275" s="3621" t="s">
        <v>31</v>
      </c>
      <c r="AG275" s="4083"/>
      <c r="AH275" s="131"/>
      <c r="AI275" s="125"/>
    </row>
    <row r="276" spans="1:35" ht="24.75" customHeight="1">
      <c r="A276" s="3972"/>
      <c r="B276" s="3418" t="s">
        <v>349</v>
      </c>
      <c r="C276" s="3621" t="s">
        <v>31</v>
      </c>
      <c r="D276" s="3621" t="s">
        <v>31</v>
      </c>
      <c r="E276" s="3621" t="s">
        <v>31</v>
      </c>
      <c r="F276" s="3621"/>
      <c r="G276" s="3621"/>
      <c r="H276" s="3519" t="s">
        <v>31</v>
      </c>
      <c r="I276" s="3519" t="s">
        <v>31</v>
      </c>
      <c r="J276" s="3519" t="s">
        <v>31</v>
      </c>
      <c r="K276" s="3519"/>
      <c r="L276" s="3519"/>
      <c r="M276" s="3519"/>
      <c r="N276" s="3519"/>
      <c r="O276" s="3519"/>
      <c r="P276" s="3519" t="s">
        <v>31</v>
      </c>
      <c r="Q276" s="3519" t="s">
        <v>31</v>
      </c>
      <c r="R276" s="3621" t="s">
        <v>31</v>
      </c>
      <c r="S276" s="3621" t="s">
        <v>31</v>
      </c>
      <c r="T276" s="3621"/>
      <c r="U276" s="3621"/>
      <c r="V276" s="3621" t="s">
        <v>31</v>
      </c>
      <c r="W276" s="3621" t="s">
        <v>31</v>
      </c>
      <c r="X276" s="3621" t="s">
        <v>31</v>
      </c>
      <c r="Y276" s="3621" t="s">
        <v>31</v>
      </c>
      <c r="Z276" s="3621" t="s">
        <v>31</v>
      </c>
      <c r="AA276" s="3621"/>
      <c r="AB276" s="3621"/>
      <c r="AC276" s="3621" t="s">
        <v>31</v>
      </c>
      <c r="AD276" s="3621" t="s">
        <v>31</v>
      </c>
      <c r="AE276" s="3621" t="s">
        <v>31</v>
      </c>
      <c r="AF276" s="3519" t="s">
        <v>31</v>
      </c>
      <c r="AG276" s="4083"/>
      <c r="AH276" s="131"/>
      <c r="AI276" s="125"/>
    </row>
    <row r="277" spans="1:35" ht="24.75" customHeight="1">
      <c r="A277" s="3972"/>
      <c r="B277" s="4390"/>
      <c r="C277" s="3621"/>
      <c r="D277" s="4391"/>
      <c r="E277" s="3621"/>
      <c r="F277" s="3621"/>
      <c r="G277" s="3621"/>
      <c r="H277" s="3621"/>
      <c r="I277" s="3621"/>
      <c r="J277" s="3621"/>
      <c r="K277" s="3621"/>
      <c r="L277" s="3621"/>
      <c r="M277" s="3621"/>
      <c r="N277" s="3621"/>
      <c r="O277" s="3621"/>
      <c r="P277" s="3621"/>
      <c r="Q277" s="3621"/>
      <c r="R277" s="3621"/>
      <c r="S277" s="3621"/>
      <c r="T277" s="3621"/>
      <c r="U277" s="3621"/>
      <c r="V277" s="3621"/>
      <c r="W277" s="3621"/>
      <c r="X277" s="3621"/>
      <c r="Y277" s="3621"/>
      <c r="Z277" s="3621"/>
      <c r="AA277" s="3621"/>
      <c r="AB277" s="3621"/>
      <c r="AC277" s="3621"/>
      <c r="AD277" s="3621"/>
      <c r="AE277" s="3621"/>
      <c r="AF277" s="3621"/>
      <c r="AG277" s="4083"/>
      <c r="AH277" s="131"/>
      <c r="AI277" s="125"/>
    </row>
    <row r="278" spans="1:35" ht="24.75" customHeight="1">
      <c r="A278" s="4152"/>
      <c r="B278" s="4390"/>
      <c r="C278" s="4083"/>
      <c r="D278" s="4083"/>
      <c r="E278" s="4083"/>
      <c r="F278" s="4083"/>
      <c r="G278" s="4083"/>
      <c r="H278" s="4083"/>
      <c r="I278" s="4083"/>
      <c r="J278" s="4083"/>
      <c r="K278" s="4083"/>
      <c r="L278" s="4083"/>
      <c r="M278" s="4083"/>
      <c r="N278" s="4121"/>
      <c r="O278" s="4121"/>
      <c r="P278" s="4083"/>
      <c r="Q278" s="4083"/>
      <c r="R278" s="4083"/>
      <c r="S278" s="4083"/>
      <c r="T278" s="4083"/>
      <c r="U278" s="4083"/>
      <c r="V278" s="4083"/>
      <c r="W278" s="4083"/>
      <c r="X278" s="4083"/>
      <c r="Y278" s="4083"/>
      <c r="Z278" s="4083"/>
      <c r="AA278" s="4083"/>
      <c r="AB278" s="4121"/>
      <c r="AC278" s="4121"/>
      <c r="AD278" s="4083"/>
      <c r="AE278" s="4083"/>
      <c r="AF278" s="4083"/>
      <c r="AG278" s="4083"/>
      <c r="AH278" s="131"/>
      <c r="AI278" s="127"/>
    </row>
    <row r="279" spans="1:35" ht="24.75" customHeight="1" thickBot="1">
      <c r="A279" s="414"/>
      <c r="B279" s="415"/>
      <c r="C279" s="3992"/>
      <c r="D279" s="3993"/>
      <c r="E279" s="3993"/>
      <c r="F279" s="3993"/>
      <c r="G279" s="3993"/>
      <c r="H279" s="3993"/>
      <c r="I279" s="3993"/>
      <c r="J279" s="3993"/>
      <c r="K279" s="3993"/>
      <c r="L279" s="3993"/>
      <c r="M279" s="3993"/>
      <c r="N279" s="3994"/>
      <c r="O279" s="3994"/>
      <c r="P279" s="3993"/>
      <c r="Q279" s="3993"/>
      <c r="R279" s="3993"/>
      <c r="S279" s="3993"/>
      <c r="T279" s="3993"/>
      <c r="U279" s="3993"/>
      <c r="V279" s="3993"/>
      <c r="W279" s="3993"/>
      <c r="X279" s="3993"/>
      <c r="Y279" s="3993"/>
      <c r="Z279" s="3993"/>
      <c r="AA279" s="3993"/>
      <c r="AB279" s="3994"/>
      <c r="AC279" s="3994"/>
      <c r="AD279" s="3993"/>
      <c r="AE279" s="3993"/>
      <c r="AF279" s="3993"/>
      <c r="AG279" s="3993"/>
      <c r="AH279" s="131"/>
      <c r="AI279" s="127"/>
    </row>
    <row r="280" spans="1:35" ht="18" customHeight="1"/>
    <row r="281" spans="1:35" ht="18" customHeight="1"/>
    <row r="282" spans="1:35" ht="18" customHeight="1"/>
    <row r="283" spans="1:35" ht="18" customHeight="1"/>
    <row r="284" spans="1:35" ht="18" customHeight="1"/>
    <row r="285" spans="1:35" ht="18" customHeight="1"/>
    <row r="286" spans="1:35" ht="18" customHeight="1"/>
    <row r="287" spans="1:35" ht="18" customHeight="1"/>
    <row r="288" spans="1:35" ht="18" customHeight="1"/>
  </sheetData>
  <protectedRanges>
    <protectedRange sqref="B119:B120" name="Område1_3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22:B123" name="Område1_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205" name="Område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</protectedRanges>
  <mergeCells count="1">
    <mergeCell ref="T31:Z31"/>
  </mergeCells>
  <pageMargins left="0.7" right="0.7" top="0.75" bottom="0.75" header="0.3" footer="0.3"/>
  <pageSetup paperSize="9" scale="10" orientation="landscape" r:id="rId1"/>
  <drawing r:id="rId2"/>
  <legacy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D5559-323D-42D7-AB5A-839633C0A3C1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F03E-C2E9-4A97-A6F3-600404D58EE2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FCCC5-22B6-4EBA-A89A-649850A73448}">
  <dimension ref="A1"/>
  <sheetViews>
    <sheetView tabSelected="1" workbookViewId="0"/>
  </sheetViews>
  <sheetFormatPr defaultRowHeight="1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C64433-51C0-4F00-B8C2-5C6D186EABD4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0490F-1100-45D7-B116-10806584332B}">
  <sheetPr codeName="Ark14"/>
  <dimension ref="A1:D24"/>
  <sheetViews>
    <sheetView topLeftCell="A19" workbookViewId="0">
      <selection activeCell="C6" sqref="C6"/>
    </sheetView>
  </sheetViews>
  <sheetFormatPr defaultRowHeight="15"/>
  <cols>
    <col min="1" max="1" width="49.5703125" customWidth="1"/>
    <col min="2" max="2" width="16.28515625" customWidth="1"/>
    <col min="3" max="3" width="20" customWidth="1"/>
    <col min="4" max="4" width="22.85546875" customWidth="1"/>
  </cols>
  <sheetData>
    <row r="1" spans="1:4" ht="35.25" customHeight="1">
      <c r="A1" s="4392" t="s">
        <v>476</v>
      </c>
      <c r="B1" s="4393" t="s">
        <v>477</v>
      </c>
      <c r="C1" s="4394" t="s">
        <v>478</v>
      </c>
      <c r="D1" s="4395" t="s">
        <v>479</v>
      </c>
    </row>
    <row r="2" spans="1:4" ht="35.25" customHeight="1">
      <c r="A2" s="137" t="s">
        <v>480</v>
      </c>
      <c r="B2" s="4396">
        <v>350</v>
      </c>
      <c r="C2" s="4396">
        <v>350</v>
      </c>
      <c r="D2" s="4396">
        <v>350</v>
      </c>
    </row>
    <row r="3" spans="1:4" ht="35.25" customHeight="1">
      <c r="A3" s="4397" t="s">
        <v>481</v>
      </c>
      <c r="B3" s="4396">
        <v>450</v>
      </c>
      <c r="C3" s="4398">
        <v>525</v>
      </c>
      <c r="D3" s="4399">
        <v>525</v>
      </c>
    </row>
    <row r="4" spans="1:4" ht="35.25" customHeight="1">
      <c r="A4" s="4397" t="s">
        <v>482</v>
      </c>
      <c r="B4" s="4396">
        <v>600</v>
      </c>
      <c r="C4" s="4400">
        <v>525</v>
      </c>
      <c r="D4" s="4398">
        <v>525</v>
      </c>
    </row>
    <row r="5" spans="1:4" ht="35.25" customHeight="1">
      <c r="A5" s="4397" t="s">
        <v>483</v>
      </c>
      <c r="B5" s="4396">
        <v>375</v>
      </c>
      <c r="C5" s="4401"/>
      <c r="D5" s="138"/>
    </row>
    <row r="6" spans="1:4" ht="35.25" customHeight="1">
      <c r="A6" s="4402" t="s">
        <v>484</v>
      </c>
      <c r="B6" s="4396">
        <v>450</v>
      </c>
      <c r="C6" s="139"/>
    </row>
    <row r="7" spans="1:4" ht="35.25" customHeight="1">
      <c r="A7" s="4403" t="s">
        <v>485</v>
      </c>
      <c r="B7" s="4404">
        <v>340</v>
      </c>
      <c r="C7" s="140"/>
    </row>
    <row r="8" spans="1:4" ht="35.25" customHeight="1">
      <c r="A8" s="4405" t="s">
        <v>486</v>
      </c>
      <c r="B8" s="4404">
        <v>501652</v>
      </c>
      <c r="C8" s="140"/>
    </row>
    <row r="9" spans="1:4" ht="35.25" customHeight="1">
      <c r="A9" s="4403" t="s">
        <v>487</v>
      </c>
      <c r="B9" s="4404">
        <v>450</v>
      </c>
    </row>
    <row r="10" spans="1:4" ht="35.25" customHeight="1">
      <c r="A10" s="4397" t="s">
        <v>488</v>
      </c>
      <c r="B10" s="4396">
        <v>500</v>
      </c>
    </row>
    <row r="11" spans="1:4" ht="35.25" customHeight="1">
      <c r="A11" s="4406" t="s">
        <v>489</v>
      </c>
      <c r="B11" s="4407">
        <v>220</v>
      </c>
    </row>
    <row r="12" spans="1:4" ht="18">
      <c r="A12" s="4408"/>
      <c r="B12" s="4396"/>
    </row>
    <row r="13" spans="1:4" ht="18">
      <c r="A13" s="4409" t="s">
        <v>490</v>
      </c>
      <c r="B13" s="4410">
        <v>250</v>
      </c>
    </row>
    <row r="14" spans="1:4" ht="18">
      <c r="A14" s="4411" t="s">
        <v>491</v>
      </c>
      <c r="B14" s="4412">
        <v>350</v>
      </c>
    </row>
    <row r="15" spans="1:4" ht="18">
      <c r="A15" s="4411" t="s">
        <v>492</v>
      </c>
      <c r="B15" s="4412">
        <v>0.6</v>
      </c>
    </row>
    <row r="16" spans="1:4" ht="18">
      <c r="A16" s="4411" t="s">
        <v>493</v>
      </c>
      <c r="B16" s="4410">
        <v>250</v>
      </c>
      <c r="C16" s="4413" t="s">
        <v>494</v>
      </c>
    </row>
    <row r="17" spans="1:3" ht="18">
      <c r="A17" s="4414" t="s">
        <v>495</v>
      </c>
      <c r="B17" s="4415">
        <v>125</v>
      </c>
      <c r="C17" s="4413" t="s">
        <v>496</v>
      </c>
    </row>
    <row r="18" spans="1:3" ht="18">
      <c r="A18" s="4416" t="s">
        <v>497</v>
      </c>
      <c r="B18" s="538">
        <v>62.5</v>
      </c>
      <c r="C18" s="4417" t="s">
        <v>498</v>
      </c>
    </row>
    <row r="19" spans="1:3" ht="18">
      <c r="A19" s="4418" t="s">
        <v>499</v>
      </c>
      <c r="B19" s="4415">
        <v>350</v>
      </c>
    </row>
    <row r="20" spans="1:3" ht="18">
      <c r="A20" s="4419"/>
      <c r="B20" s="141"/>
    </row>
    <row r="21" spans="1:3" ht="18">
      <c r="A21" s="4420" t="s">
        <v>500</v>
      </c>
      <c r="B21" s="4421">
        <v>310</v>
      </c>
    </row>
    <row r="22" spans="1:3" ht="18">
      <c r="A22" s="4422" t="s">
        <v>501</v>
      </c>
      <c r="B22" s="4423">
        <v>100</v>
      </c>
    </row>
    <row r="23" spans="1:3" ht="18">
      <c r="A23" s="4422" t="s">
        <v>502</v>
      </c>
      <c r="B23" s="142">
        <v>20</v>
      </c>
    </row>
    <row r="24" spans="1:3" ht="18">
      <c r="A24" s="4422" t="s">
        <v>503</v>
      </c>
      <c r="B24" s="4424">
        <v>20</v>
      </c>
    </row>
  </sheetData>
  <sheetProtection algorithmName="SHA-512" hashValue="7SPm86zMVY6JE7CUxU2joP9zeFhHZOplMNDMqpJqcrM3B+ZWhQN/sfBj7Y8aAveLNQ/tghlOIoyC/zfwrBOisQ==" saltValue="Ot6sEObYB9VXbAl+DPXR9Q==" spinCount="100000" sheet="1" objects="1" scenarios="1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8B9D8-A49E-4CDA-9D3E-E430565EE394}">
  <sheetPr codeName="Ark9">
    <pageSetUpPr fitToPage="1"/>
  </sheetPr>
  <dimension ref="A1:AJ294"/>
  <sheetViews>
    <sheetView topLeftCell="A68" zoomScale="70" zoomScaleNormal="90" workbookViewId="0">
      <selection activeCell="C204" sqref="C204"/>
    </sheetView>
  </sheetViews>
  <sheetFormatPr defaultColWidth="9.140625" defaultRowHeight="12"/>
  <cols>
    <col min="1" max="1" width="9.140625" style="295"/>
    <col min="2" max="2" width="27.28515625" style="295" customWidth="1"/>
    <col min="3" max="35" width="5.28515625" style="295" customWidth="1"/>
    <col min="36" max="16384" width="9.140625" style="295"/>
  </cols>
  <sheetData>
    <row r="1" spans="1:35" ht="24.75" customHeight="1">
      <c r="A1" s="295" t="s">
        <v>0</v>
      </c>
      <c r="B1" s="16" t="s">
        <v>1</v>
      </c>
    </row>
    <row r="2" spans="1:35" ht="24.75" customHeight="1">
      <c r="B2" s="4425" t="s">
        <v>2</v>
      </c>
      <c r="C2" s="4426" t="s">
        <v>3</v>
      </c>
      <c r="D2" s="4427"/>
      <c r="E2" s="4428" t="s">
        <v>4</v>
      </c>
      <c r="F2" s="4429"/>
      <c r="G2" s="4430"/>
      <c r="H2" s="4430"/>
      <c r="I2" s="4430"/>
      <c r="J2" s="4430"/>
      <c r="K2" s="4431"/>
      <c r="L2" s="4432" t="s">
        <v>5</v>
      </c>
      <c r="M2" s="4433"/>
      <c r="N2" s="4434"/>
      <c r="O2" s="4435" t="s">
        <v>6</v>
      </c>
      <c r="P2" s="4436"/>
      <c r="Q2" s="4437"/>
      <c r="R2" s="4438"/>
      <c r="S2" s="4439" t="s">
        <v>7</v>
      </c>
      <c r="T2" s="4440"/>
      <c r="U2" s="4441"/>
      <c r="V2" s="4440"/>
      <c r="W2" s="4442" t="s">
        <v>8</v>
      </c>
      <c r="X2" s="4443"/>
      <c r="Y2" s="4444"/>
      <c r="Z2" s="296" t="s">
        <v>9</v>
      </c>
      <c r="AA2" s="4445"/>
      <c r="AB2" s="1368"/>
      <c r="AC2" s="1369"/>
      <c r="AD2" s="1370" t="s">
        <v>504</v>
      </c>
      <c r="AE2" s="1371"/>
      <c r="AF2" s="1371"/>
      <c r="AG2" s="1372"/>
    </row>
    <row r="3" spans="1:35" ht="24.75" customHeight="1">
      <c r="A3" s="16"/>
      <c r="B3" s="4446" t="s">
        <v>505</v>
      </c>
      <c r="C3" s="4447" t="s">
        <v>506</v>
      </c>
      <c r="D3" s="4448"/>
      <c r="E3" s="3"/>
      <c r="F3" s="4"/>
      <c r="G3" s="4"/>
      <c r="H3" s="5" t="s">
        <v>507</v>
      </c>
      <c r="I3" s="6"/>
      <c r="J3" s="6"/>
      <c r="K3" s="7"/>
      <c r="L3" s="4449" t="s">
        <v>14</v>
      </c>
      <c r="M3" s="4450"/>
      <c r="N3" s="4451"/>
      <c r="O3" s="6"/>
      <c r="P3" s="6"/>
      <c r="Q3" s="6"/>
      <c r="R3" s="6"/>
      <c r="S3" s="297"/>
      <c r="T3" s="9" t="s">
        <v>15</v>
      </c>
      <c r="U3" s="10"/>
      <c r="V3" s="298"/>
      <c r="W3" s="12"/>
      <c r="X3" s="13"/>
      <c r="Y3" s="5" t="s">
        <v>508</v>
      </c>
      <c r="Z3" s="4450"/>
      <c r="AA3" s="4450"/>
      <c r="AB3" s="4452"/>
      <c r="AC3" s="4453"/>
      <c r="AD3" s="4454" t="s">
        <v>17</v>
      </c>
      <c r="AE3" s="4455"/>
      <c r="AF3" s="4455"/>
      <c r="AG3" s="4456"/>
    </row>
    <row r="4" spans="1:35" ht="24.75" customHeight="1">
      <c r="A4" s="299" t="s">
        <v>18</v>
      </c>
      <c r="B4" s="15"/>
      <c r="C4" s="16"/>
      <c r="D4" s="17"/>
      <c r="E4" s="17"/>
      <c r="F4" s="17"/>
      <c r="G4" s="17"/>
      <c r="H4" s="16"/>
      <c r="I4" s="17"/>
      <c r="J4" s="17"/>
      <c r="K4" s="18"/>
      <c r="L4" s="17"/>
      <c r="M4" s="18"/>
      <c r="N4" s="18"/>
      <c r="O4" s="17"/>
      <c r="P4" s="17"/>
      <c r="Q4" s="17"/>
      <c r="R4" s="17"/>
      <c r="T4" s="18"/>
      <c r="U4" s="16"/>
      <c r="W4" s="17"/>
      <c r="X4" s="17"/>
      <c r="Y4" s="16"/>
      <c r="Z4" s="17"/>
      <c r="AB4" s="17"/>
      <c r="AC4" s="17"/>
      <c r="AD4" s="17"/>
      <c r="AE4" s="17"/>
      <c r="AF4" s="17"/>
      <c r="AG4" s="17"/>
    </row>
    <row r="5" spans="1:35" ht="24.75" customHeight="1">
      <c r="A5" s="299" t="s">
        <v>19</v>
      </c>
      <c r="B5" s="16"/>
    </row>
    <row r="6" spans="1:35" ht="24.75" customHeight="1">
      <c r="A6" s="4457" t="s">
        <v>509</v>
      </c>
      <c r="B6" s="4450"/>
      <c r="C6" s="4458"/>
      <c r="D6" s="4457" t="s">
        <v>510</v>
      </c>
      <c r="E6" s="4450"/>
      <c r="F6" s="4450"/>
      <c r="G6" s="4450"/>
      <c r="H6" s="4459"/>
      <c r="I6" s="4450"/>
      <c r="J6" s="4450"/>
      <c r="K6" s="4450"/>
      <c r="L6" s="4460" t="s">
        <v>511</v>
      </c>
      <c r="M6" s="4450"/>
      <c r="N6" s="4450"/>
      <c r="O6" s="4450"/>
      <c r="P6" s="4450"/>
      <c r="Q6" s="4450"/>
      <c r="R6" s="4450"/>
      <c r="S6" s="4458"/>
      <c r="T6" s="4461"/>
      <c r="U6" s="4450"/>
      <c r="V6" s="4450"/>
      <c r="W6" s="4450"/>
      <c r="X6" s="4450"/>
      <c r="Y6" s="4450"/>
      <c r="Z6" s="4450"/>
      <c r="AA6" s="4458"/>
      <c r="AB6" s="4462"/>
      <c r="AC6" s="4463"/>
      <c r="AD6" s="4463"/>
      <c r="AE6" s="4463"/>
      <c r="AF6" s="4463"/>
      <c r="AG6" s="4464"/>
    </row>
    <row r="7" spans="1:35" ht="24.75" customHeight="1">
      <c r="A7" s="4457" t="s">
        <v>512</v>
      </c>
      <c r="B7" s="4450"/>
      <c r="C7" s="4450"/>
      <c r="D7" s="4450"/>
      <c r="E7" s="4450"/>
      <c r="F7" s="4450"/>
      <c r="G7" s="4450"/>
      <c r="H7" s="4450"/>
      <c r="I7" s="4450"/>
      <c r="J7" s="4450"/>
      <c r="K7" s="4458"/>
      <c r="L7" s="300" t="s">
        <v>513</v>
      </c>
      <c r="M7" s="297"/>
      <c r="N7" s="297"/>
      <c r="O7" s="297"/>
      <c r="P7" s="297"/>
      <c r="Q7" s="297"/>
      <c r="R7" s="297"/>
      <c r="S7" s="297"/>
      <c r="T7" s="297"/>
      <c r="U7" s="4450"/>
      <c r="V7" s="4450"/>
      <c r="W7" s="4450"/>
      <c r="X7" s="4450"/>
      <c r="Y7" s="4450"/>
      <c r="Z7" s="4450"/>
      <c r="AA7" s="4450"/>
      <c r="AB7" s="4465"/>
      <c r="AC7" s="4450"/>
      <c r="AD7" s="4450"/>
      <c r="AE7" s="4450"/>
      <c r="AF7" s="4450"/>
      <c r="AG7" s="4458"/>
    </row>
    <row r="8" spans="1:35" ht="24.75" customHeight="1">
      <c r="A8" s="299" t="s">
        <v>514</v>
      </c>
      <c r="L8" s="16"/>
      <c r="AB8" s="16"/>
    </row>
    <row r="9" spans="1:35" ht="24.75" customHeight="1">
      <c r="A9" s="299" t="s">
        <v>515</v>
      </c>
      <c r="L9" s="16"/>
      <c r="AB9" s="16"/>
    </row>
    <row r="10" spans="1:35" ht="24.75" customHeight="1">
      <c r="B10" s="301" t="s">
        <v>27</v>
      </c>
      <c r="C10" s="302"/>
      <c r="D10" s="302"/>
      <c r="E10" s="302"/>
      <c r="F10" s="302"/>
      <c r="G10" s="302"/>
      <c r="H10" s="302"/>
      <c r="I10" s="302"/>
      <c r="J10" s="302"/>
      <c r="K10" s="302"/>
      <c r="L10" s="302"/>
      <c r="M10" s="302"/>
      <c r="N10" s="302"/>
      <c r="O10" s="302"/>
      <c r="P10" s="302"/>
      <c r="Q10" s="302"/>
      <c r="R10" s="302"/>
      <c r="S10" s="302"/>
      <c r="T10" s="302"/>
      <c r="U10" s="302"/>
      <c r="V10" s="302"/>
      <c r="W10" s="302"/>
      <c r="X10" s="302"/>
      <c r="Y10" s="302"/>
      <c r="Z10" s="302"/>
      <c r="AA10" s="302"/>
      <c r="AB10" s="302"/>
      <c r="AC10" s="302"/>
      <c r="AD10" s="302"/>
      <c r="AE10" s="302"/>
      <c r="AF10" s="302"/>
      <c r="AG10" s="302"/>
    </row>
    <row r="11" spans="1:35" ht="24.75" customHeight="1" thickBot="1">
      <c r="A11" s="4466" t="s">
        <v>28</v>
      </c>
      <c r="B11" s="4467" t="s">
        <v>29</v>
      </c>
      <c r="C11" s="4468">
        <v>1</v>
      </c>
      <c r="D11" s="4469">
        <v>2</v>
      </c>
      <c r="E11" s="4469">
        <v>3</v>
      </c>
      <c r="F11" s="4468">
        <v>4</v>
      </c>
      <c r="G11" s="4468">
        <v>5</v>
      </c>
      <c r="H11" s="4469">
        <v>6</v>
      </c>
      <c r="I11" s="4469">
        <v>7</v>
      </c>
      <c r="J11" s="4469">
        <v>8</v>
      </c>
      <c r="K11" s="4469">
        <v>9</v>
      </c>
      <c r="L11" s="4469">
        <v>10</v>
      </c>
      <c r="M11" s="4468">
        <v>11</v>
      </c>
      <c r="N11" s="4468">
        <v>12</v>
      </c>
      <c r="O11" s="4469">
        <v>13</v>
      </c>
      <c r="P11" s="4469">
        <v>14</v>
      </c>
      <c r="Q11" s="4469">
        <v>15</v>
      </c>
      <c r="R11" s="4469">
        <v>16</v>
      </c>
      <c r="S11" s="4469">
        <v>17</v>
      </c>
      <c r="T11" s="4468">
        <v>18</v>
      </c>
      <c r="U11" s="4468">
        <v>19</v>
      </c>
      <c r="V11" s="4469">
        <v>20</v>
      </c>
      <c r="W11" s="4469">
        <v>21</v>
      </c>
      <c r="X11" s="4469">
        <v>22</v>
      </c>
      <c r="Y11" s="4469">
        <v>23</v>
      </c>
      <c r="Z11" s="4469">
        <v>24</v>
      </c>
      <c r="AA11" s="4468">
        <v>25</v>
      </c>
      <c r="AB11" s="4468">
        <v>26</v>
      </c>
      <c r="AC11" s="4469">
        <v>27</v>
      </c>
      <c r="AD11" s="4469">
        <v>28</v>
      </c>
      <c r="AE11" s="4469">
        <v>29</v>
      </c>
      <c r="AF11" s="4469">
        <v>30</v>
      </c>
      <c r="AG11" s="4470">
        <v>31</v>
      </c>
      <c r="AH11" s="303"/>
      <c r="AI11" s="304"/>
    </row>
    <row r="12" spans="1:35" ht="24.75" customHeight="1">
      <c r="A12" s="4471">
        <v>8500</v>
      </c>
      <c r="B12" s="4472" t="s">
        <v>30</v>
      </c>
      <c r="C12" s="4473"/>
      <c r="D12" s="4474" t="s">
        <v>31</v>
      </c>
      <c r="E12" s="4474" t="s">
        <v>31</v>
      </c>
      <c r="F12" s="4473"/>
      <c r="G12" s="4473"/>
      <c r="H12" s="4473" t="s">
        <v>31</v>
      </c>
      <c r="I12" s="4473" t="s">
        <v>31</v>
      </c>
      <c r="J12" s="4473" t="s">
        <v>31</v>
      </c>
      <c r="K12" s="4473" t="s">
        <v>31</v>
      </c>
      <c r="L12" s="4473" t="s">
        <v>31</v>
      </c>
      <c r="M12" s="4473"/>
      <c r="N12" s="4473"/>
      <c r="O12" s="4473" t="s">
        <v>31</v>
      </c>
      <c r="P12" s="4473" t="s">
        <v>31</v>
      </c>
      <c r="Q12" s="4473" t="s">
        <v>31</v>
      </c>
      <c r="R12" s="4473" t="s">
        <v>31</v>
      </c>
      <c r="S12" s="4473" t="s">
        <v>31</v>
      </c>
      <c r="T12" s="4473"/>
      <c r="U12" s="4473"/>
      <c r="V12" s="4475" t="s">
        <v>31</v>
      </c>
      <c r="W12" s="4473" t="s">
        <v>31</v>
      </c>
      <c r="X12" s="4473" t="s">
        <v>31</v>
      </c>
      <c r="Y12" s="4476" t="s">
        <v>31</v>
      </c>
      <c r="Z12" s="4473" t="s">
        <v>31</v>
      </c>
      <c r="AA12" s="4473"/>
      <c r="AB12" s="4473"/>
      <c r="AC12" s="4473">
        <v>1</v>
      </c>
      <c r="AD12" s="4473" t="s">
        <v>31</v>
      </c>
      <c r="AE12" s="4473" t="s">
        <v>31</v>
      </c>
      <c r="AF12" s="4473" t="s">
        <v>31</v>
      </c>
      <c r="AG12" s="4477">
        <v>1</v>
      </c>
      <c r="AH12" s="305"/>
      <c r="AI12" s="305"/>
    </row>
    <row r="13" spans="1:35" ht="24.75" customHeight="1">
      <c r="A13" s="4478" t="s">
        <v>32</v>
      </c>
      <c r="B13" s="4479"/>
      <c r="C13" s="4479"/>
      <c r="D13" s="4479"/>
      <c r="E13" s="4479"/>
      <c r="F13" s="4479"/>
      <c r="G13" s="4479"/>
      <c r="H13" s="4479"/>
      <c r="I13" s="4479"/>
      <c r="J13" s="4479"/>
      <c r="K13" s="4479"/>
      <c r="L13" s="4479"/>
      <c r="M13" s="4479"/>
      <c r="N13" s="4479"/>
      <c r="O13" s="4479"/>
      <c r="P13" s="4479"/>
      <c r="Q13" s="4479"/>
      <c r="R13" s="4479"/>
      <c r="S13" s="4479"/>
      <c r="T13" s="4479"/>
      <c r="U13" s="4479"/>
      <c r="V13" s="4479"/>
      <c r="W13" s="4479"/>
      <c r="X13" s="4479"/>
      <c r="Y13" s="4479"/>
      <c r="Z13" s="4479"/>
      <c r="AA13" s="4479"/>
      <c r="AB13" s="4479"/>
      <c r="AC13" s="4479"/>
      <c r="AD13" s="4479"/>
      <c r="AE13" s="4479"/>
      <c r="AF13" s="4479"/>
      <c r="AG13" s="4480"/>
      <c r="AH13" s="306"/>
      <c r="AI13" s="306"/>
    </row>
    <row r="14" spans="1:35" ht="24.75" customHeight="1" thickBot="1">
      <c r="A14" s="307">
        <v>8546</v>
      </c>
      <c r="B14" s="4481" t="s">
        <v>516</v>
      </c>
      <c r="C14" s="4482" t="s">
        <v>35</v>
      </c>
      <c r="D14" s="4483" t="s">
        <v>35</v>
      </c>
      <c r="E14" s="4484" t="s">
        <v>35</v>
      </c>
      <c r="F14" s="4485"/>
      <c r="G14" s="4484"/>
      <c r="H14" s="4484">
        <v>4</v>
      </c>
      <c r="I14" s="4484">
        <v>4</v>
      </c>
      <c r="J14" s="4484">
        <v>4</v>
      </c>
      <c r="K14" s="4482">
        <v>4</v>
      </c>
      <c r="L14" s="4484">
        <v>4</v>
      </c>
      <c r="M14" s="4484" t="s">
        <v>36</v>
      </c>
      <c r="N14" s="4484" t="s">
        <v>36</v>
      </c>
      <c r="O14" s="4484" t="s">
        <v>35</v>
      </c>
      <c r="P14" s="4484" t="s">
        <v>35</v>
      </c>
      <c r="Q14" s="4484" t="s">
        <v>35</v>
      </c>
      <c r="R14" s="4484" t="s">
        <v>35</v>
      </c>
      <c r="S14" s="4485" t="s">
        <v>35</v>
      </c>
      <c r="T14" s="4485"/>
      <c r="U14" s="4484"/>
      <c r="V14" s="4484">
        <v>1</v>
      </c>
      <c r="W14" s="4484">
        <v>1</v>
      </c>
      <c r="X14" s="4484">
        <v>1</v>
      </c>
      <c r="Y14" s="4484">
        <v>1</v>
      </c>
      <c r="Z14" s="4484">
        <v>1</v>
      </c>
      <c r="AA14" s="4484"/>
      <c r="AB14" s="4484"/>
      <c r="AC14" s="4484">
        <v>2</v>
      </c>
      <c r="AD14" s="4483">
        <v>2</v>
      </c>
      <c r="AE14" s="4484">
        <v>2</v>
      </c>
      <c r="AF14" s="4484">
        <v>2</v>
      </c>
      <c r="AG14" s="4486">
        <v>2</v>
      </c>
      <c r="AH14" s="305"/>
      <c r="AI14" s="305"/>
    </row>
    <row r="15" spans="1:35" ht="24.75" customHeight="1">
      <c r="A15" s="4487">
        <v>8546</v>
      </c>
      <c r="B15" s="4488" t="s">
        <v>37</v>
      </c>
      <c r="C15" s="4482">
        <v>2</v>
      </c>
      <c r="D15" s="4484">
        <v>2</v>
      </c>
      <c r="E15" s="4484">
        <v>2</v>
      </c>
      <c r="F15" s="4483" t="s">
        <v>34</v>
      </c>
      <c r="G15" s="4483" t="s">
        <v>34</v>
      </c>
      <c r="H15" s="4483" t="s">
        <v>35</v>
      </c>
      <c r="I15" s="4484" t="s">
        <v>35</v>
      </c>
      <c r="J15" s="4482" t="s">
        <v>35</v>
      </c>
      <c r="K15" s="4483" t="s">
        <v>35</v>
      </c>
      <c r="L15" s="4484" t="s">
        <v>35</v>
      </c>
      <c r="M15" s="4484"/>
      <c r="N15" s="4484"/>
      <c r="O15" s="4484">
        <v>4</v>
      </c>
      <c r="P15" s="4484">
        <v>4</v>
      </c>
      <c r="Q15" s="4484">
        <v>4</v>
      </c>
      <c r="R15" s="4484">
        <v>4</v>
      </c>
      <c r="S15" s="4484">
        <v>4</v>
      </c>
      <c r="T15" s="4484" t="s">
        <v>36</v>
      </c>
      <c r="U15" s="4484" t="s">
        <v>36</v>
      </c>
      <c r="V15" s="4484" t="s">
        <v>35</v>
      </c>
      <c r="W15" s="4484" t="s">
        <v>35</v>
      </c>
      <c r="X15" s="4484" t="s">
        <v>35</v>
      </c>
      <c r="Y15" s="4484" t="s">
        <v>35</v>
      </c>
      <c r="Z15" s="4484" t="s">
        <v>35</v>
      </c>
      <c r="AA15" s="4484"/>
      <c r="AB15" s="4484"/>
      <c r="AC15" s="4489">
        <v>1</v>
      </c>
      <c r="AD15" s="4489">
        <v>1</v>
      </c>
      <c r="AE15" s="4489">
        <v>1</v>
      </c>
      <c r="AF15" s="4489">
        <v>1</v>
      </c>
      <c r="AG15" s="4490">
        <v>1</v>
      </c>
      <c r="AH15" s="305"/>
      <c r="AI15" s="305"/>
    </row>
    <row r="16" spans="1:35" ht="24.75" customHeight="1">
      <c r="A16" s="4487">
        <v>8546</v>
      </c>
      <c r="B16" s="4481" t="s">
        <v>517</v>
      </c>
      <c r="C16" s="4484" t="s">
        <v>35</v>
      </c>
      <c r="D16" s="4484" t="s">
        <v>35</v>
      </c>
      <c r="E16" s="4484" t="s">
        <v>35</v>
      </c>
      <c r="F16" s="4484"/>
      <c r="G16" s="4484"/>
      <c r="H16" s="4489">
        <v>1</v>
      </c>
      <c r="I16" s="4489">
        <v>1</v>
      </c>
      <c r="J16" s="4489">
        <v>1</v>
      </c>
      <c r="K16" s="4489">
        <v>1</v>
      </c>
      <c r="L16" s="4489">
        <v>1</v>
      </c>
      <c r="M16" s="4484"/>
      <c r="N16" s="4483"/>
      <c r="O16" s="4483">
        <v>2</v>
      </c>
      <c r="P16" s="4483">
        <v>2</v>
      </c>
      <c r="Q16" s="4483">
        <v>2</v>
      </c>
      <c r="R16" s="4483">
        <v>2</v>
      </c>
      <c r="S16" s="4491">
        <v>2</v>
      </c>
      <c r="T16" s="4491" t="s">
        <v>34</v>
      </c>
      <c r="U16" s="4491" t="s">
        <v>34</v>
      </c>
      <c r="V16" s="4491" t="s">
        <v>351</v>
      </c>
      <c r="W16" s="4482" t="s">
        <v>35</v>
      </c>
      <c r="X16" s="4484" t="s">
        <v>35</v>
      </c>
      <c r="Y16" s="4483" t="s">
        <v>35</v>
      </c>
      <c r="Z16" s="4483" t="s">
        <v>35</v>
      </c>
      <c r="AA16" s="4483"/>
      <c r="AB16" s="4483"/>
      <c r="AC16" s="4483">
        <v>4</v>
      </c>
      <c r="AD16" s="4484">
        <v>4</v>
      </c>
      <c r="AE16" s="4484">
        <v>4</v>
      </c>
      <c r="AF16" s="4484">
        <v>4</v>
      </c>
      <c r="AG16" s="4486">
        <v>4</v>
      </c>
      <c r="AH16" s="305"/>
      <c r="AI16" s="305"/>
    </row>
    <row r="17" spans="1:35" ht="24.75" customHeight="1">
      <c r="A17" s="4487">
        <v>8546</v>
      </c>
      <c r="B17" s="4492" t="s">
        <v>39</v>
      </c>
      <c r="C17" s="4484">
        <v>4</v>
      </c>
      <c r="D17" s="4482">
        <v>4</v>
      </c>
      <c r="E17" s="4484">
        <v>4</v>
      </c>
      <c r="F17" s="4483" t="s">
        <v>36</v>
      </c>
      <c r="G17" s="4484" t="s">
        <v>36</v>
      </c>
      <c r="H17" s="4484" t="s">
        <v>35</v>
      </c>
      <c r="I17" s="4484" t="s">
        <v>35</v>
      </c>
      <c r="J17" s="4484" t="s">
        <v>35</v>
      </c>
      <c r="K17" s="4484" t="s">
        <v>35</v>
      </c>
      <c r="L17" s="4484" t="s">
        <v>35</v>
      </c>
      <c r="M17" s="4484"/>
      <c r="N17" s="4484"/>
      <c r="O17" s="4484">
        <v>1</v>
      </c>
      <c r="P17" s="4484">
        <v>1</v>
      </c>
      <c r="Q17" s="4484">
        <v>1</v>
      </c>
      <c r="R17" s="4484">
        <v>1</v>
      </c>
      <c r="S17" s="4493">
        <v>1</v>
      </c>
      <c r="T17" s="4484"/>
      <c r="U17" s="4484"/>
      <c r="V17" s="4484">
        <v>2</v>
      </c>
      <c r="W17" s="4484">
        <v>2</v>
      </c>
      <c r="X17" s="4482">
        <v>2</v>
      </c>
      <c r="Y17" s="4484">
        <v>2</v>
      </c>
      <c r="Z17" s="4484">
        <v>2</v>
      </c>
      <c r="AA17" s="4484" t="s">
        <v>34</v>
      </c>
      <c r="AB17" s="4484" t="s">
        <v>34</v>
      </c>
      <c r="AC17" s="4484" t="s">
        <v>35</v>
      </c>
      <c r="AD17" s="4484" t="s">
        <v>35</v>
      </c>
      <c r="AE17" s="4484" t="s">
        <v>35</v>
      </c>
      <c r="AF17" s="4484" t="s">
        <v>35</v>
      </c>
      <c r="AG17" s="4486" t="s">
        <v>35</v>
      </c>
      <c r="AH17" s="305"/>
      <c r="AI17" s="305"/>
    </row>
    <row r="18" spans="1:35" ht="24.75" customHeight="1">
      <c r="A18" s="4487">
        <v>8546</v>
      </c>
      <c r="B18" s="4481" t="s">
        <v>518</v>
      </c>
      <c r="C18" s="4484">
        <v>1</v>
      </c>
      <c r="D18" s="4494">
        <v>1</v>
      </c>
      <c r="E18" s="4495">
        <v>1</v>
      </c>
      <c r="F18" s="4484"/>
      <c r="G18" s="4484"/>
      <c r="H18" s="4484">
        <v>2</v>
      </c>
      <c r="I18" s="4484">
        <v>2</v>
      </c>
      <c r="J18" s="4483">
        <v>2</v>
      </c>
      <c r="K18" s="4483">
        <v>2</v>
      </c>
      <c r="L18" s="4484">
        <v>2</v>
      </c>
      <c r="M18" s="4483" t="s">
        <v>34</v>
      </c>
      <c r="N18" s="4483" t="s">
        <v>34</v>
      </c>
      <c r="O18" s="4484" t="s">
        <v>35</v>
      </c>
      <c r="P18" s="4484" t="s">
        <v>35</v>
      </c>
      <c r="Q18" s="4484" t="s">
        <v>35</v>
      </c>
      <c r="R18" s="4484" t="s">
        <v>35</v>
      </c>
      <c r="S18" s="4484" t="s">
        <v>35</v>
      </c>
      <c r="T18" s="4484"/>
      <c r="U18" s="4483"/>
      <c r="V18" s="4483">
        <v>4</v>
      </c>
      <c r="W18" s="4484">
        <v>4</v>
      </c>
      <c r="X18" s="4484">
        <v>4</v>
      </c>
      <c r="Y18" s="4484">
        <v>4</v>
      </c>
      <c r="Z18" s="4484">
        <v>4</v>
      </c>
      <c r="AA18" s="4484" t="s">
        <v>36</v>
      </c>
      <c r="AB18" s="4484" t="s">
        <v>36</v>
      </c>
      <c r="AC18" s="4496" t="s">
        <v>35</v>
      </c>
      <c r="AD18" s="4484" t="s">
        <v>35</v>
      </c>
      <c r="AE18" s="4484" t="s">
        <v>35</v>
      </c>
      <c r="AF18" s="4484" t="s">
        <v>35</v>
      </c>
      <c r="AG18" s="4486" t="s">
        <v>35</v>
      </c>
      <c r="AH18" s="305"/>
      <c r="AI18" s="305"/>
    </row>
    <row r="19" spans="1:35" ht="24.75" customHeight="1" thickBot="1">
      <c r="A19" s="4497" t="s">
        <v>41</v>
      </c>
      <c r="B19" s="4498"/>
      <c r="C19" s="4499"/>
      <c r="D19" s="4499"/>
      <c r="E19" s="4499"/>
      <c r="F19" s="4499"/>
      <c r="G19" s="4499"/>
      <c r="H19" s="4499"/>
      <c r="I19" s="4499"/>
      <c r="J19" s="4499"/>
      <c r="K19" s="4499"/>
      <c r="L19" s="4499"/>
      <c r="M19" s="4499"/>
      <c r="N19" s="4499"/>
      <c r="O19" s="4499"/>
      <c r="P19" s="4499"/>
      <c r="Q19" s="4499"/>
      <c r="R19" s="4499"/>
      <c r="S19" s="4499"/>
      <c r="T19" s="4499"/>
      <c r="U19" s="4499"/>
      <c r="V19" s="4499"/>
      <c r="W19" s="4499"/>
      <c r="X19" s="4499"/>
      <c r="Y19" s="4499"/>
      <c r="Z19" s="4499"/>
      <c r="AA19" s="4499"/>
      <c r="AB19" s="4499"/>
      <c r="AC19" s="4499"/>
      <c r="AD19" s="4499"/>
      <c r="AE19" s="4499"/>
      <c r="AF19" s="4499"/>
      <c r="AG19" s="4500"/>
      <c r="AH19" s="306"/>
      <c r="AI19" s="306"/>
    </row>
    <row r="20" spans="1:35" ht="24.75" customHeight="1">
      <c r="A20" s="4501">
        <v>8500</v>
      </c>
      <c r="B20" s="4488"/>
      <c r="C20" s="4502"/>
      <c r="D20" s="4502" t="s">
        <v>31</v>
      </c>
      <c r="E20" s="4502" t="s">
        <v>31</v>
      </c>
      <c r="F20" s="4502"/>
      <c r="G20" s="4502"/>
      <c r="H20" s="4502" t="s">
        <v>31</v>
      </c>
      <c r="I20" s="4503" t="s">
        <v>31</v>
      </c>
      <c r="J20" s="4502" t="s">
        <v>31</v>
      </c>
      <c r="K20" s="4502" t="s">
        <v>31</v>
      </c>
      <c r="L20" s="4502" t="s">
        <v>31</v>
      </c>
      <c r="M20" s="4502"/>
      <c r="N20" s="4502"/>
      <c r="O20" s="4502" t="s">
        <v>31</v>
      </c>
      <c r="P20" s="4502" t="s">
        <v>31</v>
      </c>
      <c r="Q20" s="4502" t="s">
        <v>31</v>
      </c>
      <c r="R20" s="4502" t="s">
        <v>31</v>
      </c>
      <c r="S20" s="4502" t="s">
        <v>31</v>
      </c>
      <c r="T20" s="4502"/>
      <c r="U20" s="4503"/>
      <c r="V20" s="4503" t="s">
        <v>31</v>
      </c>
      <c r="W20" s="4502" t="s">
        <v>31</v>
      </c>
      <c r="X20" s="4502" t="s">
        <v>31</v>
      </c>
      <c r="Y20" s="4502" t="s">
        <v>31</v>
      </c>
      <c r="Z20" s="4504" t="s">
        <v>31</v>
      </c>
      <c r="AA20" s="4504"/>
      <c r="AB20" s="4503"/>
      <c r="AC20" s="4503" t="s">
        <v>31</v>
      </c>
      <c r="AD20" s="4503" t="s">
        <v>31</v>
      </c>
      <c r="AE20" s="4503" t="s">
        <v>31</v>
      </c>
      <c r="AF20" s="4503" t="s">
        <v>31</v>
      </c>
      <c r="AG20" s="4505" t="s">
        <v>31</v>
      </c>
      <c r="AH20" s="305"/>
      <c r="AI20" s="305"/>
    </row>
    <row r="21" spans="1:35" ht="24.75" customHeight="1">
      <c r="A21" s="4506">
        <v>8500</v>
      </c>
      <c r="B21" s="4507" t="s">
        <v>42</v>
      </c>
      <c r="C21" s="4508"/>
      <c r="D21" s="4508">
        <v>1</v>
      </c>
      <c r="E21" s="4508">
        <v>1</v>
      </c>
      <c r="F21" s="4508"/>
      <c r="G21" s="4509"/>
      <c r="H21" s="4484">
        <v>1</v>
      </c>
      <c r="I21" s="4484">
        <v>1</v>
      </c>
      <c r="J21" s="4484">
        <v>1</v>
      </c>
      <c r="K21" s="4484">
        <v>1</v>
      </c>
      <c r="L21" s="4510">
        <v>1</v>
      </c>
      <c r="M21" s="4508"/>
      <c r="N21" s="4509"/>
      <c r="O21" s="4508" t="s">
        <v>31</v>
      </c>
      <c r="P21" s="4508" t="s">
        <v>31</v>
      </c>
      <c r="Q21" s="4508" t="s">
        <v>31</v>
      </c>
      <c r="R21" s="4508" t="s">
        <v>31</v>
      </c>
      <c r="S21" s="4508" t="s">
        <v>118</v>
      </c>
      <c r="T21" s="4508"/>
      <c r="U21" s="4511"/>
      <c r="V21" s="4510" t="s">
        <v>31</v>
      </c>
      <c r="W21" s="4512" t="s">
        <v>31</v>
      </c>
      <c r="X21" s="4510" t="s">
        <v>31</v>
      </c>
      <c r="Y21" s="4510" t="s">
        <v>31</v>
      </c>
      <c r="Z21" s="4510" t="s">
        <v>31</v>
      </c>
      <c r="AA21" s="4513"/>
      <c r="AB21" s="4513"/>
      <c r="AC21" s="4513" t="s">
        <v>31</v>
      </c>
      <c r="AD21" s="4513" t="s">
        <v>251</v>
      </c>
      <c r="AE21" s="4513">
        <v>1</v>
      </c>
      <c r="AF21" s="4513">
        <v>1</v>
      </c>
      <c r="AG21" s="4514" t="s">
        <v>31</v>
      </c>
      <c r="AH21" s="305"/>
      <c r="AI21" s="305"/>
    </row>
    <row r="22" spans="1:35" ht="24.75" customHeight="1" thickBot="1">
      <c r="A22" s="4506">
        <v>8500</v>
      </c>
      <c r="B22" s="4515" t="s">
        <v>43</v>
      </c>
      <c r="C22" s="4508"/>
      <c r="D22" s="4516" t="s">
        <v>31</v>
      </c>
      <c r="E22" s="4516" t="s">
        <v>31</v>
      </c>
      <c r="F22" s="4517"/>
      <c r="G22" s="4508"/>
      <c r="H22" s="4510" t="s">
        <v>31</v>
      </c>
      <c r="I22" s="4510" t="s">
        <v>31</v>
      </c>
      <c r="J22" s="4510" t="s">
        <v>31</v>
      </c>
      <c r="K22" s="4510" t="s">
        <v>31</v>
      </c>
      <c r="L22" s="4512" t="s">
        <v>31</v>
      </c>
      <c r="M22" s="4508"/>
      <c r="N22" s="4511"/>
      <c r="O22" s="4510" t="s">
        <v>31</v>
      </c>
      <c r="P22" s="4510" t="s">
        <v>31</v>
      </c>
      <c r="Q22" s="4510" t="s">
        <v>31</v>
      </c>
      <c r="R22" s="4510" t="s">
        <v>31</v>
      </c>
      <c r="S22" s="4510" t="s">
        <v>31</v>
      </c>
      <c r="T22" s="4509" t="s">
        <v>34</v>
      </c>
      <c r="U22" s="4513"/>
      <c r="V22" s="4510" t="s">
        <v>31</v>
      </c>
      <c r="W22" s="4510" t="s">
        <v>31</v>
      </c>
      <c r="X22" s="4510" t="s">
        <v>31</v>
      </c>
      <c r="Y22" s="4510" t="s">
        <v>31</v>
      </c>
      <c r="Z22" s="4510" t="s">
        <v>31</v>
      </c>
      <c r="AA22" s="4508"/>
      <c r="AB22" s="4508"/>
      <c r="AC22" s="4510" t="s">
        <v>31</v>
      </c>
      <c r="AD22" s="4510">
        <v>1</v>
      </c>
      <c r="AE22" s="4510" t="s">
        <v>31</v>
      </c>
      <c r="AF22" s="4510" t="s">
        <v>31</v>
      </c>
      <c r="AG22" s="4510" t="s">
        <v>31</v>
      </c>
      <c r="AH22" s="305"/>
      <c r="AI22" s="305"/>
    </row>
    <row r="23" spans="1:35" ht="24.75" customHeight="1">
      <c r="A23" s="4506"/>
      <c r="B23" s="4518" t="s">
        <v>46</v>
      </c>
      <c r="C23" s="4517"/>
      <c r="D23" s="4510" t="s">
        <v>31</v>
      </c>
      <c r="E23" s="4510" t="s">
        <v>31</v>
      </c>
      <c r="F23" s="4508"/>
      <c r="G23" s="4508"/>
      <c r="H23" s="4510" t="s">
        <v>31</v>
      </c>
      <c r="I23" s="4510" t="s">
        <v>31</v>
      </c>
      <c r="J23" s="4510" t="s">
        <v>31</v>
      </c>
      <c r="K23" s="4510" t="s">
        <v>31</v>
      </c>
      <c r="L23" s="4517">
        <v>5</v>
      </c>
      <c r="M23" s="4517"/>
      <c r="N23" s="4517"/>
      <c r="O23" s="4510" t="s">
        <v>31</v>
      </c>
      <c r="P23" s="4510" t="s">
        <v>31</v>
      </c>
      <c r="Q23" s="4510" t="s">
        <v>31</v>
      </c>
      <c r="R23" s="4510" t="s">
        <v>31</v>
      </c>
      <c r="S23" s="4510" t="s">
        <v>31</v>
      </c>
      <c r="T23" s="4517"/>
      <c r="U23" s="4509" t="s">
        <v>34</v>
      </c>
      <c r="V23" s="4519" t="s">
        <v>31</v>
      </c>
      <c r="W23" s="4519" t="s">
        <v>31</v>
      </c>
      <c r="X23" s="4519" t="s">
        <v>31</v>
      </c>
      <c r="Y23" s="4519" t="s">
        <v>31</v>
      </c>
      <c r="Z23" s="4519" t="s">
        <v>31</v>
      </c>
      <c r="AA23" s="4519"/>
      <c r="AB23" s="4519"/>
      <c r="AC23" s="4510" t="s">
        <v>31</v>
      </c>
      <c r="AD23" s="4510" t="s">
        <v>31</v>
      </c>
      <c r="AE23" s="4510" t="s">
        <v>31</v>
      </c>
      <c r="AF23" s="4510" t="s">
        <v>31</v>
      </c>
      <c r="AG23" s="4510" t="s">
        <v>31</v>
      </c>
    </row>
    <row r="24" spans="1:35" ht="24.75" customHeight="1" thickBot="1">
      <c r="A24" s="446"/>
      <c r="B24" s="447"/>
      <c r="C24" s="448"/>
      <c r="D24" s="448"/>
      <c r="E24" s="448"/>
      <c r="F24" s="448"/>
      <c r="G24" s="448" t="s">
        <v>0</v>
      </c>
      <c r="H24" s="448"/>
      <c r="I24" s="448"/>
      <c r="J24" s="448"/>
      <c r="K24" s="448"/>
      <c r="L24" s="448" t="s">
        <v>0</v>
      </c>
      <c r="M24" s="448"/>
      <c r="N24" s="448" t="s">
        <v>0</v>
      </c>
      <c r="O24" s="448" t="s">
        <v>0</v>
      </c>
      <c r="P24" s="448"/>
      <c r="Q24" s="448"/>
      <c r="R24" s="448"/>
      <c r="S24" s="448"/>
      <c r="T24" s="448"/>
      <c r="U24" s="448" t="s">
        <v>0</v>
      </c>
      <c r="V24" s="448"/>
      <c r="W24" s="448"/>
      <c r="X24" s="448"/>
      <c r="Y24" s="448"/>
      <c r="Z24" s="448"/>
      <c r="AA24" s="448"/>
      <c r="AB24" s="448"/>
      <c r="AC24" s="448"/>
      <c r="AD24" s="448"/>
      <c r="AE24" s="448"/>
      <c r="AF24" s="448"/>
      <c r="AG24" s="308"/>
    </row>
    <row r="25" spans="1:35" ht="24.75" customHeight="1">
      <c r="A25" s="309"/>
      <c r="O25" s="295" t="s">
        <v>0</v>
      </c>
      <c r="P25" s="295" t="s">
        <v>0</v>
      </c>
      <c r="Q25" s="295" t="s">
        <v>0</v>
      </c>
      <c r="R25" s="295" t="s">
        <v>0</v>
      </c>
      <c r="S25" s="295" t="s">
        <v>0</v>
      </c>
      <c r="T25" s="295" t="s">
        <v>0</v>
      </c>
      <c r="AC25" s="295" t="s">
        <v>0</v>
      </c>
      <c r="AD25" s="295" t="s">
        <v>0</v>
      </c>
      <c r="AE25" s="295" t="s">
        <v>0</v>
      </c>
      <c r="AF25" s="295" t="s">
        <v>0</v>
      </c>
      <c r="AG25" s="295" t="s">
        <v>0</v>
      </c>
    </row>
    <row r="26" spans="1:35" ht="24.75" customHeight="1">
      <c r="A26" s="309"/>
      <c r="AE26" s="295" t="s">
        <v>0</v>
      </c>
      <c r="AF26" s="295" t="s">
        <v>0</v>
      </c>
      <c r="AG26" s="295" t="s">
        <v>0</v>
      </c>
    </row>
    <row r="27" spans="1:35" ht="24.75" customHeight="1">
      <c r="A27" s="309"/>
    </row>
    <row r="28" spans="1:35" ht="24.75" customHeight="1">
      <c r="A28" s="309"/>
    </row>
    <row r="29" spans="1:35" ht="24.75" customHeight="1">
      <c r="A29" s="309"/>
    </row>
    <row r="30" spans="1:35" ht="24.75" customHeight="1" thickBot="1">
      <c r="A30" s="299" t="s">
        <v>49</v>
      </c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</row>
    <row r="31" spans="1:35" ht="24.75" customHeight="1">
      <c r="A31" s="4520" t="s">
        <v>519</v>
      </c>
      <c r="B31" s="4521"/>
      <c r="C31" s="4521"/>
      <c r="D31" s="4522" t="s">
        <v>520</v>
      </c>
      <c r="E31" s="4523"/>
      <c r="F31" s="4523"/>
      <c r="G31" s="4523"/>
      <c r="H31" s="4523"/>
      <c r="I31" s="4523"/>
      <c r="J31" s="4523"/>
      <c r="K31" s="4523"/>
      <c r="L31" s="4523"/>
      <c r="M31" s="4524" t="s">
        <v>521</v>
      </c>
      <c r="N31" s="4523"/>
      <c r="O31" s="4523"/>
      <c r="P31" s="4523"/>
      <c r="Q31" s="4523"/>
      <c r="R31" s="4523"/>
      <c r="S31" s="4525"/>
      <c r="T31" s="4526" t="s">
        <v>522</v>
      </c>
      <c r="U31" s="4527"/>
      <c r="V31" s="4527"/>
      <c r="W31" s="4527"/>
      <c r="X31" s="4527"/>
      <c r="Y31" s="4527"/>
      <c r="Z31" s="4528"/>
      <c r="AA31" s="4529" t="s">
        <v>523</v>
      </c>
      <c r="AB31" s="4530"/>
      <c r="AC31" s="4530"/>
      <c r="AD31" s="4530"/>
      <c r="AE31" s="4530"/>
      <c r="AF31" s="4530"/>
      <c r="AG31" s="4531"/>
    </row>
    <row r="32" spans="1:35" ht="24.75" customHeight="1">
      <c r="A32" s="4532" t="s">
        <v>524</v>
      </c>
      <c r="B32" s="4463"/>
      <c r="C32" s="4463"/>
      <c r="D32" s="4533" t="s">
        <v>525</v>
      </c>
      <c r="E32" s="4534"/>
      <c r="F32" s="4450"/>
      <c r="G32" s="4450"/>
      <c r="H32" s="4450"/>
      <c r="I32" s="4450"/>
      <c r="J32" s="4450"/>
      <c r="K32" s="4450"/>
      <c r="L32" s="4458"/>
      <c r="M32" s="1370" t="s">
        <v>526</v>
      </c>
      <c r="N32" s="4463"/>
      <c r="O32" s="4535"/>
      <c r="P32" s="4463"/>
      <c r="Q32" s="4463"/>
      <c r="R32" s="4463"/>
      <c r="S32" s="4535"/>
      <c r="T32" s="4533" t="s">
        <v>527</v>
      </c>
      <c r="U32" s="4450"/>
      <c r="V32" s="4534"/>
      <c r="W32" s="4450"/>
      <c r="X32" s="4450"/>
      <c r="Y32" s="4450"/>
      <c r="Z32" s="4458"/>
      <c r="AA32" s="310" t="s">
        <v>528</v>
      </c>
      <c r="AD32" s="16"/>
      <c r="AG32" s="311"/>
    </row>
    <row r="33" spans="1:35" ht="24.75" customHeight="1">
      <c r="A33" s="4536" t="s">
        <v>529</v>
      </c>
      <c r="B33" s="4450"/>
      <c r="C33" s="4450"/>
      <c r="D33" s="4537"/>
      <c r="E33" s="4450"/>
      <c r="F33" s="4450"/>
      <c r="G33" s="4458"/>
      <c r="H33" s="4465" t="s">
        <v>530</v>
      </c>
      <c r="I33" s="4450"/>
      <c r="J33" s="4450"/>
      <c r="K33" s="4450"/>
      <c r="L33" s="4450"/>
      <c r="M33" s="4538"/>
      <c r="N33" s="4450"/>
      <c r="O33" s="4450"/>
      <c r="P33" s="4450"/>
      <c r="Q33" s="4450"/>
      <c r="R33" s="4450"/>
      <c r="S33" s="4450"/>
      <c r="T33" s="4537"/>
      <c r="U33" s="299" t="s">
        <v>531</v>
      </c>
      <c r="AA33" s="4535"/>
      <c r="AB33" s="4463"/>
      <c r="AC33" s="4463"/>
      <c r="AD33" s="4463"/>
      <c r="AE33" s="4463"/>
      <c r="AF33" s="4463"/>
      <c r="AG33" s="4539"/>
    </row>
    <row r="34" spans="1:35" ht="24.75" customHeight="1" thickBot="1">
      <c r="A34" s="4540" t="s">
        <v>532</v>
      </c>
      <c r="B34" s="4541"/>
      <c r="C34" s="4541"/>
      <c r="D34" s="4542"/>
      <c r="E34" s="4541"/>
      <c r="F34" s="4541"/>
      <c r="G34" s="4543"/>
      <c r="H34" s="4544" t="s">
        <v>533</v>
      </c>
      <c r="I34" s="4543"/>
      <c r="J34" s="4541"/>
      <c r="K34" s="4541"/>
      <c r="L34" s="4541"/>
      <c r="M34" s="4545"/>
      <c r="N34" s="4541"/>
      <c r="O34" s="4541"/>
      <c r="P34" s="4541"/>
      <c r="Q34" s="4546"/>
      <c r="R34" s="4546"/>
      <c r="S34" s="4546"/>
      <c r="T34" s="4542"/>
      <c r="U34" s="4547" t="s">
        <v>534</v>
      </c>
      <c r="V34" s="4541"/>
      <c r="W34" s="4541"/>
      <c r="X34" s="4541"/>
      <c r="Y34" s="4541"/>
      <c r="Z34" s="4541"/>
      <c r="AA34" s="4541"/>
      <c r="AB34" s="4541"/>
      <c r="AC34" s="4541"/>
      <c r="AD34" s="4541"/>
      <c r="AE34" s="4541"/>
      <c r="AF34" s="4541"/>
      <c r="AG34" s="4548"/>
    </row>
    <row r="35" spans="1:35" ht="24.75" customHeight="1">
      <c r="B35" s="312" t="s">
        <v>27</v>
      </c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6"/>
    </row>
    <row r="36" spans="1:35" ht="24.75" customHeight="1" thickBot="1">
      <c r="A36" s="4549" t="s">
        <v>28</v>
      </c>
      <c r="B36" s="1456" t="s">
        <v>29</v>
      </c>
      <c r="C36" s="4468">
        <v>1</v>
      </c>
      <c r="D36" s="4469">
        <v>2</v>
      </c>
      <c r="E36" s="4469">
        <v>3</v>
      </c>
      <c r="F36" s="4468">
        <v>4</v>
      </c>
      <c r="G36" s="4468">
        <v>5</v>
      </c>
      <c r="H36" s="4469">
        <v>6</v>
      </c>
      <c r="I36" s="4469">
        <v>7</v>
      </c>
      <c r="J36" s="4469">
        <v>8</v>
      </c>
      <c r="K36" s="4469">
        <v>9</v>
      </c>
      <c r="L36" s="4469">
        <v>10</v>
      </c>
      <c r="M36" s="4468">
        <v>11</v>
      </c>
      <c r="N36" s="4468">
        <v>12</v>
      </c>
      <c r="O36" s="4469">
        <v>13</v>
      </c>
      <c r="P36" s="4469">
        <v>14</v>
      </c>
      <c r="Q36" s="4469">
        <v>15</v>
      </c>
      <c r="R36" s="4469">
        <v>16</v>
      </c>
      <c r="S36" s="4469">
        <v>17</v>
      </c>
      <c r="T36" s="4468">
        <v>18</v>
      </c>
      <c r="U36" s="4468">
        <v>19</v>
      </c>
      <c r="V36" s="4469">
        <v>20</v>
      </c>
      <c r="W36" s="4469">
        <v>21</v>
      </c>
      <c r="X36" s="4469">
        <v>22</v>
      </c>
      <c r="Y36" s="4469">
        <v>23</v>
      </c>
      <c r="Z36" s="4469">
        <v>24</v>
      </c>
      <c r="AA36" s="4468">
        <v>25</v>
      </c>
      <c r="AB36" s="4468">
        <v>26</v>
      </c>
      <c r="AC36" s="4469">
        <v>27</v>
      </c>
      <c r="AD36" s="4469">
        <v>28</v>
      </c>
      <c r="AE36" s="4469">
        <v>29</v>
      </c>
      <c r="AF36" s="4469">
        <v>30</v>
      </c>
      <c r="AG36" s="4470">
        <v>31</v>
      </c>
      <c r="AH36" s="303"/>
      <c r="AI36" s="304"/>
    </row>
    <row r="37" spans="1:35" ht="24.75" customHeight="1">
      <c r="A37" s="4550">
        <v>1</v>
      </c>
      <c r="B37" s="4518" t="s">
        <v>66</v>
      </c>
      <c r="C37" s="4551" t="s">
        <v>35</v>
      </c>
      <c r="D37" s="4473" t="s">
        <v>35</v>
      </c>
      <c r="E37" s="4551" t="s">
        <v>35</v>
      </c>
      <c r="F37" s="4551"/>
      <c r="G37" s="4551"/>
      <c r="H37" s="4551">
        <v>1</v>
      </c>
      <c r="I37" s="4551">
        <v>1</v>
      </c>
      <c r="J37" s="4473">
        <v>1</v>
      </c>
      <c r="K37" s="4551">
        <v>1</v>
      </c>
      <c r="L37" s="4551">
        <v>1</v>
      </c>
      <c r="M37" s="4551"/>
      <c r="N37" s="4552"/>
      <c r="O37" s="4473">
        <v>9</v>
      </c>
      <c r="P37" s="4551">
        <v>9</v>
      </c>
      <c r="Q37" s="4476">
        <v>9</v>
      </c>
      <c r="R37" s="4473">
        <v>9</v>
      </c>
      <c r="S37" s="4551">
        <v>9</v>
      </c>
      <c r="T37" s="4551" t="s">
        <v>70</v>
      </c>
      <c r="U37" s="4551" t="s">
        <v>70</v>
      </c>
      <c r="V37" s="4551" t="s">
        <v>35</v>
      </c>
      <c r="W37" s="4551" t="s">
        <v>35</v>
      </c>
      <c r="X37" s="4476" t="s">
        <v>35</v>
      </c>
      <c r="Y37" s="4552" t="s">
        <v>35</v>
      </c>
      <c r="Z37" s="4551" t="s">
        <v>35</v>
      </c>
      <c r="AA37" s="4551" t="s">
        <v>75</v>
      </c>
      <c r="AB37" s="4476" t="s">
        <v>69</v>
      </c>
      <c r="AC37" s="4476">
        <v>6</v>
      </c>
      <c r="AD37" s="4476">
        <v>6</v>
      </c>
      <c r="AE37" s="4551">
        <v>6</v>
      </c>
      <c r="AF37" s="4551">
        <v>6</v>
      </c>
      <c r="AG37" s="4553">
        <v>6</v>
      </c>
      <c r="AH37" s="313"/>
      <c r="AI37" s="305"/>
    </row>
    <row r="38" spans="1:35" ht="24.75" customHeight="1">
      <c r="A38" s="4554">
        <v>6</v>
      </c>
      <c r="B38" s="4555" t="s">
        <v>355</v>
      </c>
      <c r="C38" s="4556" t="s">
        <v>35</v>
      </c>
      <c r="D38" s="4556" t="s">
        <v>35</v>
      </c>
      <c r="E38" s="4556" t="s">
        <v>35</v>
      </c>
      <c r="F38" s="4556"/>
      <c r="G38" s="4556"/>
      <c r="H38" s="4556">
        <v>5</v>
      </c>
      <c r="I38" s="4556">
        <v>5</v>
      </c>
      <c r="J38" s="4556">
        <v>5</v>
      </c>
      <c r="K38" s="4556">
        <v>5</v>
      </c>
      <c r="L38" s="4556">
        <v>5</v>
      </c>
      <c r="N38" s="4556"/>
      <c r="O38" s="4556">
        <v>10</v>
      </c>
      <c r="P38" s="4556">
        <v>10</v>
      </c>
      <c r="Q38" s="4556">
        <v>10</v>
      </c>
      <c r="R38" s="4556">
        <v>10</v>
      </c>
      <c r="S38" s="4556">
        <v>10</v>
      </c>
      <c r="T38" s="4556" t="s">
        <v>72</v>
      </c>
      <c r="U38" s="4556" t="s">
        <v>72</v>
      </c>
      <c r="V38" s="4556" t="s">
        <v>35</v>
      </c>
      <c r="W38" s="4556" t="s">
        <v>35</v>
      </c>
      <c r="X38" s="4556" t="s">
        <v>35</v>
      </c>
      <c r="Y38" s="4556" t="s">
        <v>35</v>
      </c>
      <c r="Z38" s="4556" t="s">
        <v>35</v>
      </c>
      <c r="AA38" s="4556" t="s">
        <v>67</v>
      </c>
      <c r="AB38" s="4556" t="s">
        <v>67</v>
      </c>
      <c r="AC38" s="4556">
        <v>7</v>
      </c>
      <c r="AD38" s="4556">
        <v>7</v>
      </c>
      <c r="AE38" s="4556">
        <v>7</v>
      </c>
      <c r="AF38" s="4556">
        <v>7</v>
      </c>
      <c r="AG38" s="4557">
        <v>7</v>
      </c>
      <c r="AH38" s="313"/>
      <c r="AI38" s="305"/>
    </row>
    <row r="39" spans="1:35" ht="24.75" customHeight="1" thickBot="1">
      <c r="A39" s="4558">
        <v>11</v>
      </c>
      <c r="B39" s="4559" t="s">
        <v>71</v>
      </c>
      <c r="C39" s="4469">
        <v>4</v>
      </c>
      <c r="D39" s="4560">
        <v>4</v>
      </c>
      <c r="E39" s="4560">
        <v>4</v>
      </c>
      <c r="F39" s="4560"/>
      <c r="G39" s="4560"/>
      <c r="H39" s="4560">
        <v>3</v>
      </c>
      <c r="I39" s="4560">
        <v>3</v>
      </c>
      <c r="J39" s="4560">
        <v>3</v>
      </c>
      <c r="K39" s="4560">
        <v>3</v>
      </c>
      <c r="L39" s="4560">
        <v>3</v>
      </c>
      <c r="M39" s="4509"/>
      <c r="N39" s="4560"/>
      <c r="O39" s="4469">
        <v>11</v>
      </c>
      <c r="P39" s="4560">
        <v>11</v>
      </c>
      <c r="Q39" s="4469">
        <v>11</v>
      </c>
      <c r="R39" s="4469">
        <v>11</v>
      </c>
      <c r="S39" s="4560">
        <v>11</v>
      </c>
      <c r="T39" s="4560" t="s">
        <v>68</v>
      </c>
      <c r="U39" s="4560" t="s">
        <v>68</v>
      </c>
      <c r="V39" s="4560" t="s">
        <v>35</v>
      </c>
      <c r="W39" s="4560" t="s">
        <v>35</v>
      </c>
      <c r="X39" s="4469" t="s">
        <v>35</v>
      </c>
      <c r="Y39" s="4560" t="s">
        <v>35</v>
      </c>
      <c r="Z39" s="4560" t="s">
        <v>35</v>
      </c>
      <c r="AA39" s="4560" t="s">
        <v>69</v>
      </c>
      <c r="AB39" s="4561" t="s">
        <v>69</v>
      </c>
      <c r="AC39" s="4562">
        <v>8</v>
      </c>
      <c r="AD39" s="4562">
        <v>8</v>
      </c>
      <c r="AE39" s="4562">
        <v>8</v>
      </c>
      <c r="AF39" s="4562">
        <v>8</v>
      </c>
      <c r="AG39" s="4563">
        <v>8</v>
      </c>
      <c r="AH39" s="313"/>
      <c r="AI39" s="305"/>
    </row>
    <row r="40" spans="1:35" ht="24.75" customHeight="1">
      <c r="A40" s="4550">
        <v>2</v>
      </c>
      <c r="B40" s="314" t="s">
        <v>73</v>
      </c>
      <c r="C40" s="4473">
        <v>1</v>
      </c>
      <c r="D40" s="4473">
        <v>1</v>
      </c>
      <c r="E40" s="4473">
        <v>1</v>
      </c>
      <c r="F40" s="4473"/>
      <c r="G40" s="4473"/>
      <c r="H40" s="4551">
        <v>9</v>
      </c>
      <c r="I40" s="4551">
        <v>9</v>
      </c>
      <c r="J40" s="4473">
        <v>9</v>
      </c>
      <c r="K40" s="4473">
        <v>9</v>
      </c>
      <c r="L40" s="4551">
        <v>9</v>
      </c>
      <c r="M40" s="4551" t="s">
        <v>70</v>
      </c>
      <c r="N40" s="4551" t="s">
        <v>70</v>
      </c>
      <c r="O40" s="4476" t="s">
        <v>35</v>
      </c>
      <c r="P40" s="4551" t="s">
        <v>35</v>
      </c>
      <c r="Q40" s="4476" t="s">
        <v>35</v>
      </c>
      <c r="R40" s="4476" t="s">
        <v>35</v>
      </c>
      <c r="S40" s="4473" t="s">
        <v>35</v>
      </c>
      <c r="T40" s="4473" t="s">
        <v>75</v>
      </c>
      <c r="U40" s="4476" t="s">
        <v>69</v>
      </c>
      <c r="V40" s="4476">
        <v>6</v>
      </c>
      <c r="W40" s="4476">
        <v>6</v>
      </c>
      <c r="X40" s="4551">
        <v>6</v>
      </c>
      <c r="Y40" s="4551">
        <v>6</v>
      </c>
      <c r="Z40" s="4551">
        <v>6</v>
      </c>
      <c r="AA40" s="4551"/>
      <c r="AB40" s="4551"/>
      <c r="AC40" s="4476" t="s">
        <v>35</v>
      </c>
      <c r="AD40" s="4476" t="s">
        <v>35</v>
      </c>
      <c r="AE40" s="4551" t="s">
        <v>35</v>
      </c>
      <c r="AF40" s="4551" t="s">
        <v>35</v>
      </c>
      <c r="AG40" s="4553" t="s">
        <v>35</v>
      </c>
      <c r="AH40" s="313"/>
      <c r="AI40" s="305"/>
    </row>
    <row r="41" spans="1:35" ht="24.75" customHeight="1">
      <c r="A41" s="4554">
        <v>7</v>
      </c>
      <c r="B41" s="4492" t="s">
        <v>74</v>
      </c>
      <c r="C41" s="4564"/>
      <c r="D41" s="4565">
        <v>5</v>
      </c>
      <c r="E41" s="4564">
        <v>5</v>
      </c>
      <c r="F41" s="4564"/>
      <c r="G41" s="4564"/>
      <c r="H41" s="4564">
        <v>10</v>
      </c>
      <c r="I41" s="4564">
        <v>10</v>
      </c>
      <c r="J41" s="4565">
        <v>10</v>
      </c>
      <c r="K41" s="4566">
        <v>10</v>
      </c>
      <c r="L41" s="4566">
        <v>10</v>
      </c>
      <c r="M41" s="4566" t="s">
        <v>72</v>
      </c>
      <c r="N41" s="4564" t="s">
        <v>72</v>
      </c>
      <c r="O41" s="4564" t="s">
        <v>35</v>
      </c>
      <c r="P41" s="4564" t="s">
        <v>35</v>
      </c>
      <c r="Q41" s="4565" t="s">
        <v>35</v>
      </c>
      <c r="R41" s="4564" t="s">
        <v>35</v>
      </c>
      <c r="S41" s="4564" t="s">
        <v>35</v>
      </c>
      <c r="T41" s="4567" t="s">
        <v>67</v>
      </c>
      <c r="U41" s="4568" t="s">
        <v>67</v>
      </c>
      <c r="V41" s="4568">
        <v>7</v>
      </c>
      <c r="W41" s="4568">
        <v>7</v>
      </c>
      <c r="X41" s="4568">
        <v>7</v>
      </c>
      <c r="Y41" s="4568">
        <v>7</v>
      </c>
      <c r="Z41" s="4568">
        <v>7</v>
      </c>
      <c r="AA41" s="4564"/>
      <c r="AB41" s="4564"/>
      <c r="AC41" s="4489">
        <v>4</v>
      </c>
      <c r="AD41" s="4489">
        <v>4</v>
      </c>
      <c r="AE41" s="4489">
        <v>4</v>
      </c>
      <c r="AF41" s="4489">
        <v>4</v>
      </c>
      <c r="AG41" s="4490">
        <v>4</v>
      </c>
      <c r="AH41" s="313"/>
      <c r="AI41" s="305"/>
    </row>
    <row r="42" spans="1:35" ht="24.75" customHeight="1" thickBot="1">
      <c r="A42" s="4558">
        <v>12</v>
      </c>
      <c r="B42" s="4569" t="s">
        <v>76</v>
      </c>
      <c r="C42" s="4560">
        <v>3</v>
      </c>
      <c r="D42" s="4561">
        <v>3</v>
      </c>
      <c r="E42" s="4560">
        <v>3</v>
      </c>
      <c r="F42" s="4560"/>
      <c r="G42" s="4560"/>
      <c r="H42" s="4560">
        <v>11</v>
      </c>
      <c r="I42" s="4560">
        <v>11</v>
      </c>
      <c r="J42" s="4560">
        <v>11</v>
      </c>
      <c r="K42" s="4469">
        <v>11</v>
      </c>
      <c r="L42" s="4560">
        <v>11</v>
      </c>
      <c r="M42" s="4560" t="s">
        <v>68</v>
      </c>
      <c r="N42" s="4560" t="s">
        <v>68</v>
      </c>
      <c r="O42" s="4560" t="s">
        <v>35</v>
      </c>
      <c r="P42" s="4560" t="s">
        <v>35</v>
      </c>
      <c r="Q42" s="4469" t="s">
        <v>35</v>
      </c>
      <c r="R42" s="4560" t="s">
        <v>35</v>
      </c>
      <c r="S42" s="4560" t="s">
        <v>35</v>
      </c>
      <c r="T42" s="4560" t="s">
        <v>69</v>
      </c>
      <c r="U42" s="4561" t="s">
        <v>69</v>
      </c>
      <c r="V42" s="4561">
        <v>8</v>
      </c>
      <c r="W42" s="4570">
        <v>8</v>
      </c>
      <c r="X42" s="4560">
        <v>8</v>
      </c>
      <c r="Y42" s="4562">
        <v>8</v>
      </c>
      <c r="Z42" s="4560">
        <v>8</v>
      </c>
      <c r="AA42" s="4560"/>
      <c r="AB42" s="4560"/>
      <c r="AC42" s="4469" t="s">
        <v>35</v>
      </c>
      <c r="AD42" s="4469" t="s">
        <v>35</v>
      </c>
      <c r="AE42" s="4469" t="s">
        <v>35</v>
      </c>
      <c r="AF42" s="4469" t="s">
        <v>35</v>
      </c>
      <c r="AG42" s="4571">
        <v>3</v>
      </c>
      <c r="AH42" s="313"/>
      <c r="AI42" s="305"/>
    </row>
    <row r="43" spans="1:35" ht="24.75" customHeight="1">
      <c r="A43" s="4550">
        <v>3</v>
      </c>
      <c r="B43" s="4572" t="s">
        <v>77</v>
      </c>
      <c r="C43" s="4476">
        <v>9</v>
      </c>
      <c r="D43" s="4476">
        <v>9</v>
      </c>
      <c r="E43" s="4551">
        <v>9</v>
      </c>
      <c r="F43" s="4551" t="s">
        <v>70</v>
      </c>
      <c r="G43" s="4551" t="s">
        <v>70</v>
      </c>
      <c r="H43" s="4551" t="s">
        <v>35</v>
      </c>
      <c r="I43" s="4551" t="s">
        <v>35</v>
      </c>
      <c r="J43" s="4476" t="s">
        <v>35</v>
      </c>
      <c r="K43" s="4476" t="s">
        <v>35</v>
      </c>
      <c r="L43" s="4476" t="s">
        <v>35</v>
      </c>
      <c r="M43" s="4476" t="s">
        <v>75</v>
      </c>
      <c r="N43" s="4476" t="s">
        <v>69</v>
      </c>
      <c r="O43" s="4476">
        <v>6</v>
      </c>
      <c r="P43" s="4476">
        <v>6</v>
      </c>
      <c r="Q43" s="4551">
        <v>6</v>
      </c>
      <c r="R43" s="4551">
        <v>6</v>
      </c>
      <c r="S43" s="4551">
        <v>6</v>
      </c>
      <c r="T43" s="4551"/>
      <c r="U43" s="4551"/>
      <c r="V43" s="4476" t="s">
        <v>35</v>
      </c>
      <c r="W43" s="4476" t="s">
        <v>35</v>
      </c>
      <c r="X43" s="4473" t="s">
        <v>35</v>
      </c>
      <c r="Y43" s="4551" t="s">
        <v>35</v>
      </c>
      <c r="Z43" s="4551" t="s">
        <v>35</v>
      </c>
      <c r="AA43" s="4551"/>
      <c r="AB43" s="4551"/>
      <c r="AC43" s="4573">
        <v>5</v>
      </c>
      <c r="AD43" s="4574">
        <v>5</v>
      </c>
      <c r="AE43" s="4574">
        <v>5</v>
      </c>
      <c r="AF43" s="4574">
        <v>5</v>
      </c>
      <c r="AG43" s="4575">
        <v>5</v>
      </c>
      <c r="AH43" s="313"/>
      <c r="AI43" s="305"/>
    </row>
    <row r="44" spans="1:35" ht="24.75" customHeight="1">
      <c r="A44" s="4554">
        <v>8</v>
      </c>
      <c r="B44" s="4492" t="s">
        <v>358</v>
      </c>
      <c r="C44" s="4489">
        <v>10</v>
      </c>
      <c r="D44" s="4489">
        <v>10</v>
      </c>
      <c r="E44" s="4489">
        <v>10</v>
      </c>
      <c r="F44" s="4489" t="s">
        <v>72</v>
      </c>
      <c r="G44" s="4489" t="s">
        <v>72</v>
      </c>
      <c r="H44" s="4489" t="s">
        <v>35</v>
      </c>
      <c r="I44" s="4489" t="s">
        <v>35</v>
      </c>
      <c r="J44" s="4489" t="s">
        <v>35</v>
      </c>
      <c r="K44" s="4489" t="s">
        <v>35</v>
      </c>
      <c r="L44" s="4489" t="s">
        <v>35</v>
      </c>
      <c r="M44" s="4489" t="s">
        <v>67</v>
      </c>
      <c r="N44" s="4489" t="s">
        <v>67</v>
      </c>
      <c r="O44" s="4489">
        <v>7</v>
      </c>
      <c r="P44" s="4489">
        <v>7</v>
      </c>
      <c r="Q44" s="4489">
        <v>7</v>
      </c>
      <c r="R44" s="4489">
        <v>7</v>
      </c>
      <c r="S44" s="4489">
        <v>7</v>
      </c>
      <c r="T44" s="4489"/>
      <c r="U44" s="4489"/>
      <c r="V44" s="4489">
        <v>4</v>
      </c>
      <c r="W44" s="4489">
        <v>4</v>
      </c>
      <c r="X44" s="4489">
        <v>4</v>
      </c>
      <c r="Y44" s="4489">
        <v>4</v>
      </c>
      <c r="Z44" s="4489">
        <v>4</v>
      </c>
      <c r="AA44" s="4489"/>
      <c r="AB44" s="4489"/>
      <c r="AC44" s="4489">
        <v>3</v>
      </c>
      <c r="AD44" s="4489">
        <v>3</v>
      </c>
      <c r="AE44" s="4489">
        <v>3</v>
      </c>
      <c r="AF44" s="4489">
        <v>3</v>
      </c>
      <c r="AG44" s="4490">
        <v>3</v>
      </c>
      <c r="AH44" s="313"/>
      <c r="AI44" s="305"/>
    </row>
    <row r="45" spans="1:35" ht="24.75" customHeight="1" thickBot="1">
      <c r="A45" s="4558">
        <v>13</v>
      </c>
      <c r="B45" s="4559" t="s">
        <v>79</v>
      </c>
      <c r="C45" s="4469">
        <v>11</v>
      </c>
      <c r="D45" s="4469">
        <v>11</v>
      </c>
      <c r="E45" s="4560">
        <v>11</v>
      </c>
      <c r="F45" s="4560" t="s">
        <v>68</v>
      </c>
      <c r="G45" s="4560" t="s">
        <v>359</v>
      </c>
      <c r="H45" s="4560" t="s">
        <v>35</v>
      </c>
      <c r="I45" s="4560" t="s">
        <v>35</v>
      </c>
      <c r="J45" s="4469" t="s">
        <v>35</v>
      </c>
      <c r="K45" s="4560" t="s">
        <v>35</v>
      </c>
      <c r="L45" s="4561" t="s">
        <v>35</v>
      </c>
      <c r="M45" s="4560" t="s">
        <v>69</v>
      </c>
      <c r="N45" s="4561" t="s">
        <v>69</v>
      </c>
      <c r="O45" s="4561">
        <v>8</v>
      </c>
      <c r="P45" s="4561">
        <v>8</v>
      </c>
      <c r="Q45" s="4560">
        <v>8</v>
      </c>
      <c r="R45" s="4560">
        <v>8</v>
      </c>
      <c r="S45" s="4560">
        <v>8</v>
      </c>
      <c r="T45" s="4560"/>
      <c r="U45" s="4560"/>
      <c r="V45" s="4560" t="s">
        <v>35</v>
      </c>
      <c r="W45" s="4560" t="s">
        <v>35</v>
      </c>
      <c r="X45" s="4560" t="s">
        <v>35</v>
      </c>
      <c r="Y45" s="4469" t="s">
        <v>35</v>
      </c>
      <c r="Z45" s="4560" t="s">
        <v>35</v>
      </c>
      <c r="AA45" s="4560"/>
      <c r="AB45" s="4560"/>
      <c r="AC45" s="4560">
        <v>1</v>
      </c>
      <c r="AD45" s="4560">
        <v>1</v>
      </c>
      <c r="AE45" s="4469">
        <v>1</v>
      </c>
      <c r="AF45" s="4560">
        <v>1</v>
      </c>
      <c r="AG45" s="4576">
        <v>1</v>
      </c>
      <c r="AH45" s="313"/>
      <c r="AI45" s="305"/>
    </row>
    <row r="46" spans="1:35" ht="24.75" customHeight="1">
      <c r="A46" s="4550">
        <v>4</v>
      </c>
      <c r="B46" s="4518" t="s">
        <v>80</v>
      </c>
      <c r="C46" s="4476" t="s">
        <v>35</v>
      </c>
      <c r="D46" s="4476" t="s">
        <v>35</v>
      </c>
      <c r="E46" s="4551" t="s">
        <v>35</v>
      </c>
      <c r="F46" s="4551" t="s">
        <v>75</v>
      </c>
      <c r="G46" s="4476" t="s">
        <v>69</v>
      </c>
      <c r="H46" s="4476">
        <v>6</v>
      </c>
      <c r="I46" s="4476">
        <v>6</v>
      </c>
      <c r="J46" s="4551">
        <v>6</v>
      </c>
      <c r="K46" s="4551">
        <v>6</v>
      </c>
      <c r="L46" s="4476">
        <v>6</v>
      </c>
      <c r="M46" s="4476"/>
      <c r="N46" s="4551"/>
      <c r="O46" s="4476" t="s">
        <v>35</v>
      </c>
      <c r="P46" s="4476" t="s">
        <v>35</v>
      </c>
      <c r="Q46" s="4473" t="s">
        <v>35</v>
      </c>
      <c r="R46" s="4551" t="s">
        <v>35</v>
      </c>
      <c r="S46" s="4551" t="s">
        <v>35</v>
      </c>
      <c r="T46" s="4551"/>
      <c r="U46" s="4551"/>
      <c r="V46" s="4577">
        <v>7</v>
      </c>
      <c r="W46" s="4551" t="s">
        <v>465</v>
      </c>
      <c r="X46" s="4551" t="s">
        <v>465</v>
      </c>
      <c r="Y46" s="4473">
        <v>7</v>
      </c>
      <c r="Z46" s="4551" t="s">
        <v>465</v>
      </c>
      <c r="AA46" s="4551"/>
      <c r="AB46" s="4551"/>
      <c r="AC46" s="4475">
        <v>10</v>
      </c>
      <c r="AD46" s="4475">
        <v>10</v>
      </c>
      <c r="AE46" s="4475">
        <v>10</v>
      </c>
      <c r="AF46" s="4475">
        <v>10</v>
      </c>
      <c r="AG46" s="4578">
        <v>10</v>
      </c>
      <c r="AH46" s="313"/>
      <c r="AI46" s="305"/>
    </row>
    <row r="47" spans="1:35" ht="24.75" customHeight="1">
      <c r="A47" s="4554">
        <v>9</v>
      </c>
      <c r="B47" s="4492" t="s">
        <v>81</v>
      </c>
      <c r="C47" s="4565" t="s">
        <v>35</v>
      </c>
      <c r="D47" s="4564" t="s">
        <v>35</v>
      </c>
      <c r="E47" s="4564" t="s">
        <v>35</v>
      </c>
      <c r="F47" s="4564" t="s">
        <v>67</v>
      </c>
      <c r="G47" s="4564" t="s">
        <v>67</v>
      </c>
      <c r="H47" s="4564">
        <v>7</v>
      </c>
      <c r="I47" s="4564">
        <v>7</v>
      </c>
      <c r="J47" s="4564">
        <v>7</v>
      </c>
      <c r="K47" s="4564">
        <v>7</v>
      </c>
      <c r="L47" s="4564">
        <v>7</v>
      </c>
      <c r="M47" s="4564"/>
      <c r="N47" s="4564"/>
      <c r="O47" s="4568">
        <v>4</v>
      </c>
      <c r="P47" s="4567">
        <v>4</v>
      </c>
      <c r="Q47" s="4567">
        <v>4</v>
      </c>
      <c r="R47" s="4567">
        <v>4</v>
      </c>
      <c r="S47" s="4567">
        <v>4</v>
      </c>
      <c r="T47" s="4564"/>
      <c r="U47" s="4564"/>
      <c r="V47" s="4489">
        <v>3</v>
      </c>
      <c r="W47" s="4489">
        <v>3</v>
      </c>
      <c r="X47" s="4489">
        <v>3</v>
      </c>
      <c r="Y47" s="4489">
        <v>3</v>
      </c>
      <c r="Z47" s="4489">
        <v>3</v>
      </c>
      <c r="AA47" s="4564"/>
      <c r="AB47" s="4564"/>
      <c r="AC47" s="4564">
        <v>11</v>
      </c>
      <c r="AD47" s="4564">
        <v>11</v>
      </c>
      <c r="AE47" s="4564">
        <v>11</v>
      </c>
      <c r="AF47" s="4564">
        <v>11</v>
      </c>
      <c r="AG47" s="4579">
        <v>11</v>
      </c>
      <c r="AH47" s="313"/>
      <c r="AI47" s="305"/>
    </row>
    <row r="48" spans="1:35" ht="24.75" customHeight="1" thickBot="1">
      <c r="A48" s="4558">
        <v>14</v>
      </c>
      <c r="B48" s="4559" t="s">
        <v>82</v>
      </c>
      <c r="C48" s="4469" t="s">
        <v>35</v>
      </c>
      <c r="D48" s="4560" t="s">
        <v>35</v>
      </c>
      <c r="E48" s="4560" t="s">
        <v>35</v>
      </c>
      <c r="F48" s="4560" t="s">
        <v>69</v>
      </c>
      <c r="G48" s="4561" t="s">
        <v>69</v>
      </c>
      <c r="H48" s="4561">
        <v>8</v>
      </c>
      <c r="I48" s="4561">
        <v>8</v>
      </c>
      <c r="J48" s="4560">
        <v>8</v>
      </c>
      <c r="K48" s="4560">
        <v>8</v>
      </c>
      <c r="L48" s="4560">
        <v>8</v>
      </c>
      <c r="M48" s="4560"/>
      <c r="N48" s="4560"/>
      <c r="O48" s="4469" t="s">
        <v>35</v>
      </c>
      <c r="P48" s="4560" t="s">
        <v>35</v>
      </c>
      <c r="Q48" s="4560" t="s">
        <v>35</v>
      </c>
      <c r="R48" s="4469" t="s">
        <v>35</v>
      </c>
      <c r="S48" s="4560" t="s">
        <v>35</v>
      </c>
      <c r="T48" s="4560"/>
      <c r="U48" s="4560"/>
      <c r="V48" s="4560">
        <v>1</v>
      </c>
      <c r="W48" s="4560">
        <v>1</v>
      </c>
      <c r="X48" s="4469">
        <v>1</v>
      </c>
      <c r="Y48" s="4560">
        <v>1</v>
      </c>
      <c r="Z48" s="4560">
        <v>1</v>
      </c>
      <c r="AA48" s="4560"/>
      <c r="AB48" s="4560"/>
      <c r="AC48" s="4469">
        <v>9</v>
      </c>
      <c r="AD48" s="4560">
        <v>9</v>
      </c>
      <c r="AE48" s="4560">
        <v>9</v>
      </c>
      <c r="AF48" s="4469">
        <v>9</v>
      </c>
      <c r="AG48" s="4470">
        <v>9</v>
      </c>
      <c r="AH48" s="313"/>
      <c r="AI48" s="305"/>
    </row>
    <row r="49" spans="1:35" ht="24.75" customHeight="1">
      <c r="A49" s="4550">
        <v>5</v>
      </c>
      <c r="B49" s="4492" t="s">
        <v>83</v>
      </c>
      <c r="C49" s="4551">
        <v>6</v>
      </c>
      <c r="D49" s="4551">
        <v>6</v>
      </c>
      <c r="E49" s="4551">
        <v>6</v>
      </c>
      <c r="F49" s="4551"/>
      <c r="G49" s="4551"/>
      <c r="H49" s="4476" t="s">
        <v>35</v>
      </c>
      <c r="I49" s="4476" t="s">
        <v>35</v>
      </c>
      <c r="J49" s="4473" t="s">
        <v>35</v>
      </c>
      <c r="K49" s="4551" t="s">
        <v>35</v>
      </c>
      <c r="L49" s="4551" t="s">
        <v>35</v>
      </c>
      <c r="M49" s="4551"/>
      <c r="N49" s="4551"/>
      <c r="O49" s="4580">
        <v>5</v>
      </c>
      <c r="P49" s="4574">
        <v>5</v>
      </c>
      <c r="Q49" s="4574">
        <v>5</v>
      </c>
      <c r="R49" s="4580">
        <v>5</v>
      </c>
      <c r="S49" s="4574">
        <v>5</v>
      </c>
      <c r="T49" s="4574"/>
      <c r="U49" s="4581"/>
      <c r="V49" s="4476">
        <v>10</v>
      </c>
      <c r="W49" s="4476">
        <v>10</v>
      </c>
      <c r="X49" s="4476">
        <v>10</v>
      </c>
      <c r="Y49" s="4476">
        <v>10</v>
      </c>
      <c r="Z49" s="4476">
        <v>10</v>
      </c>
      <c r="AA49" s="4476" t="s">
        <v>72</v>
      </c>
      <c r="AB49" s="4476" t="s">
        <v>72</v>
      </c>
      <c r="AC49" s="4476" t="s">
        <v>35</v>
      </c>
      <c r="AD49" s="4551" t="s">
        <v>35</v>
      </c>
      <c r="AE49" s="4551" t="s">
        <v>35</v>
      </c>
      <c r="AF49" s="4582" t="s">
        <v>35</v>
      </c>
      <c r="AG49" s="4583" t="s">
        <v>35</v>
      </c>
      <c r="AH49" s="313"/>
      <c r="AI49" s="305"/>
    </row>
    <row r="50" spans="1:35" ht="24.75" customHeight="1" thickBot="1">
      <c r="A50" s="4554">
        <v>10</v>
      </c>
      <c r="B50" s="4492" t="s">
        <v>84</v>
      </c>
      <c r="C50" s="4564">
        <v>7</v>
      </c>
      <c r="D50" s="4564">
        <v>7</v>
      </c>
      <c r="E50" s="4564">
        <v>7</v>
      </c>
      <c r="F50" s="4483"/>
      <c r="G50" s="4556"/>
      <c r="H50" s="4556">
        <v>4</v>
      </c>
      <c r="I50" s="4556">
        <v>4</v>
      </c>
      <c r="J50" s="4556">
        <v>4</v>
      </c>
      <c r="K50" s="4556">
        <v>4</v>
      </c>
      <c r="L50" s="4489">
        <v>4</v>
      </c>
      <c r="M50" s="4556"/>
      <c r="N50" s="4556"/>
      <c r="O50" s="4556">
        <v>3</v>
      </c>
      <c r="P50" s="4556">
        <v>3</v>
      </c>
      <c r="Q50" s="4556">
        <v>3</v>
      </c>
      <c r="R50" s="4556">
        <v>3</v>
      </c>
      <c r="S50" s="4556">
        <v>3</v>
      </c>
      <c r="T50" s="4556"/>
      <c r="U50" s="4556"/>
      <c r="V50" s="4556">
        <v>11</v>
      </c>
      <c r="W50" s="4483">
        <v>11</v>
      </c>
      <c r="X50" s="4564">
        <v>11</v>
      </c>
      <c r="Y50" s="4565">
        <v>11</v>
      </c>
      <c r="Z50" s="4564">
        <v>11</v>
      </c>
      <c r="AA50" s="4564" t="s">
        <v>68</v>
      </c>
      <c r="AB50" s="4564" t="s">
        <v>68</v>
      </c>
      <c r="AC50" s="4564" t="s">
        <v>35</v>
      </c>
      <c r="AD50" s="4564" t="s">
        <v>35</v>
      </c>
      <c r="AE50" s="4564" t="s">
        <v>35</v>
      </c>
      <c r="AF50" s="4564" t="s">
        <v>35</v>
      </c>
      <c r="AG50" s="4579" t="s">
        <v>35</v>
      </c>
      <c r="AH50" s="313"/>
      <c r="AI50" s="305"/>
    </row>
    <row r="51" spans="1:35" ht="24.75" customHeight="1" thickBot="1">
      <c r="A51" s="4558">
        <v>15</v>
      </c>
      <c r="B51" s="4559" t="s">
        <v>85</v>
      </c>
      <c r="C51" s="4560">
        <v>8</v>
      </c>
      <c r="D51" s="4560">
        <v>8</v>
      </c>
      <c r="E51" s="4560">
        <v>8</v>
      </c>
      <c r="F51" s="4560"/>
      <c r="G51" s="4560"/>
      <c r="H51" s="4469" t="s">
        <v>35</v>
      </c>
      <c r="I51" s="4469" t="s">
        <v>35</v>
      </c>
      <c r="J51" s="4560" t="s">
        <v>35</v>
      </c>
      <c r="K51" s="4469" t="s">
        <v>35</v>
      </c>
      <c r="L51" s="4560" t="s">
        <v>35</v>
      </c>
      <c r="M51" s="4560"/>
      <c r="N51" s="4560"/>
      <c r="O51" s="4560">
        <v>1</v>
      </c>
      <c r="P51" s="4560">
        <v>1</v>
      </c>
      <c r="Q51" s="4469">
        <v>1</v>
      </c>
      <c r="R51" s="4560">
        <v>1</v>
      </c>
      <c r="S51" s="4560">
        <v>1</v>
      </c>
      <c r="T51" s="4560"/>
      <c r="U51" s="4560"/>
      <c r="V51" s="4560">
        <v>9</v>
      </c>
      <c r="W51" s="4560">
        <v>9</v>
      </c>
      <c r="X51" s="4560">
        <v>9</v>
      </c>
      <c r="Y51" s="4469">
        <v>9</v>
      </c>
      <c r="Z51" s="4560">
        <v>9</v>
      </c>
      <c r="AA51" s="4560" t="s">
        <v>70</v>
      </c>
      <c r="AB51" s="4551" t="s">
        <v>70</v>
      </c>
      <c r="AC51" s="4560" t="s">
        <v>35</v>
      </c>
      <c r="AD51" s="4560" t="s">
        <v>35</v>
      </c>
      <c r="AE51" s="4469" t="s">
        <v>35</v>
      </c>
      <c r="AF51" s="4561" t="s">
        <v>35</v>
      </c>
      <c r="AG51" s="4584" t="s">
        <v>35</v>
      </c>
      <c r="AH51" s="313"/>
      <c r="AI51" s="305"/>
    </row>
    <row r="52" spans="1:35" ht="24.75" customHeight="1">
      <c r="A52" s="309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6"/>
    </row>
    <row r="53" spans="1:35" ht="24.75" customHeight="1">
      <c r="A53" s="315"/>
      <c r="B53" s="15" t="s">
        <v>86</v>
      </c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16"/>
    </row>
    <row r="54" spans="1:35" ht="24.75" customHeight="1">
      <c r="A54" s="4585" t="s">
        <v>28</v>
      </c>
      <c r="B54" s="4585"/>
      <c r="C54" s="4586"/>
      <c r="D54" s="4585" t="s">
        <v>87</v>
      </c>
      <c r="E54" s="4587"/>
      <c r="F54" s="4586"/>
      <c r="G54" s="4585" t="s">
        <v>88</v>
      </c>
      <c r="H54" s="4587"/>
      <c r="I54" s="4586"/>
      <c r="J54" s="4585" t="s">
        <v>89</v>
      </c>
      <c r="K54" s="4587"/>
      <c r="L54" s="4586"/>
      <c r="M54" s="4585" t="s">
        <v>90</v>
      </c>
      <c r="N54" s="4587"/>
      <c r="O54" s="4586"/>
      <c r="P54" s="4585" t="s">
        <v>91</v>
      </c>
      <c r="Q54" s="4587"/>
      <c r="R54" s="4588"/>
      <c r="S54" s="1456" t="s">
        <v>92</v>
      </c>
      <c r="T54" s="4587"/>
      <c r="U54" s="4586"/>
      <c r="V54" s="4585" t="s">
        <v>93</v>
      </c>
      <c r="W54" s="4587"/>
      <c r="X54" s="4589" t="s">
        <v>94</v>
      </c>
      <c r="Y54" s="4587"/>
      <c r="Z54" s="4587"/>
      <c r="AA54" s="4590"/>
      <c r="AB54" s="4452"/>
      <c r="AC54" s="4452"/>
      <c r="AD54" s="4452"/>
      <c r="AE54" s="4452"/>
      <c r="AF54" s="4452"/>
      <c r="AG54" s="4453"/>
      <c r="AH54" s="16"/>
    </row>
    <row r="55" spans="1:35" ht="24.75" customHeight="1">
      <c r="A55" s="4591">
        <v>8517</v>
      </c>
      <c r="B55" s="4487" t="s">
        <v>95</v>
      </c>
      <c r="C55" s="4592" t="s">
        <v>96</v>
      </c>
      <c r="D55" s="4593"/>
      <c r="E55" s="4451"/>
      <c r="F55" s="4592" t="s">
        <v>96</v>
      </c>
      <c r="G55" s="4593"/>
      <c r="H55" s="4451"/>
      <c r="I55" s="4592" t="s">
        <v>96</v>
      </c>
      <c r="J55" s="4593"/>
      <c r="K55" s="4451"/>
      <c r="L55" s="4592" t="s">
        <v>96</v>
      </c>
      <c r="M55" s="4593"/>
      <c r="N55" s="4451"/>
      <c r="O55" s="4592" t="s">
        <v>97</v>
      </c>
      <c r="P55" s="4593"/>
      <c r="Q55" s="4451"/>
      <c r="R55" s="4592" t="s">
        <v>96</v>
      </c>
      <c r="S55" s="4593"/>
      <c r="T55" s="4451"/>
      <c r="U55" s="4592" t="s">
        <v>96</v>
      </c>
      <c r="V55" s="4593"/>
      <c r="W55" s="4451"/>
      <c r="X55" s="4449"/>
      <c r="Y55" s="4452"/>
      <c r="Z55" s="4452"/>
      <c r="AA55" s="4452"/>
      <c r="AB55" s="4452"/>
      <c r="AC55" s="4452"/>
      <c r="AD55" s="4452"/>
      <c r="AE55" s="4452"/>
      <c r="AF55" s="4452"/>
      <c r="AG55" s="4453"/>
      <c r="AH55" s="16"/>
    </row>
    <row r="56" spans="1:35" ht="24.75" customHeight="1">
      <c r="B56" s="4594" t="s">
        <v>98</v>
      </c>
      <c r="C56" s="4595" t="s">
        <v>99</v>
      </c>
      <c r="D56" s="4596"/>
      <c r="E56" s="1225"/>
      <c r="F56" s="4595" t="s">
        <v>99</v>
      </c>
      <c r="G56" s="1226"/>
      <c r="H56" s="1225"/>
      <c r="I56" s="4592" t="s">
        <v>99</v>
      </c>
      <c r="J56" s="4593"/>
      <c r="K56" s="4597"/>
      <c r="L56" s="4592" t="s">
        <v>99</v>
      </c>
      <c r="M56" s="4593"/>
      <c r="N56" s="4597"/>
      <c r="O56" s="4592" t="s">
        <v>100</v>
      </c>
      <c r="P56" s="4593"/>
      <c r="Q56" s="4451"/>
      <c r="R56" s="4598" t="s">
        <v>0</v>
      </c>
      <c r="S56" s="4593"/>
      <c r="T56" s="4597"/>
      <c r="U56" s="4593" t="s">
        <v>0</v>
      </c>
      <c r="V56" s="4593"/>
      <c r="W56" s="4451"/>
      <c r="X56" s="1229" t="s">
        <v>0</v>
      </c>
      <c r="Y56" s="17"/>
      <c r="Z56" s="17"/>
      <c r="AA56" s="17"/>
      <c r="AB56" s="17"/>
      <c r="AC56" s="17"/>
      <c r="AD56" s="17"/>
      <c r="AE56" s="17"/>
      <c r="AF56" s="17"/>
      <c r="AG56" s="39"/>
      <c r="AH56" s="16"/>
    </row>
    <row r="57" spans="1:35" ht="24.75" customHeight="1">
      <c r="A57" s="4599"/>
      <c r="B57" s="4487" t="s">
        <v>101</v>
      </c>
      <c r="C57" s="4592" t="s">
        <v>102</v>
      </c>
      <c r="D57" s="4593"/>
      <c r="E57" s="4451"/>
      <c r="F57" s="4592" t="s">
        <v>102</v>
      </c>
      <c r="G57" s="4593"/>
      <c r="H57" s="4597"/>
      <c r="I57" s="4592" t="s">
        <v>102</v>
      </c>
      <c r="J57" s="4593"/>
      <c r="K57" s="4597"/>
      <c r="L57" s="4592" t="s">
        <v>102</v>
      </c>
      <c r="M57" s="4593"/>
      <c r="N57" s="4597"/>
      <c r="O57" s="4592" t="s">
        <v>103</v>
      </c>
      <c r="P57" s="4593"/>
      <c r="Q57" s="4451"/>
      <c r="R57" s="40"/>
      <c r="S57" s="316"/>
      <c r="T57" s="4597"/>
      <c r="U57" s="4593"/>
      <c r="V57" s="4593"/>
      <c r="W57" s="4451"/>
      <c r="X57" s="4449"/>
      <c r="Y57" s="4452"/>
      <c r="Z57" s="4452"/>
      <c r="AA57" s="4452"/>
      <c r="AB57" s="4452"/>
      <c r="AC57" s="4452"/>
      <c r="AD57" s="4452"/>
      <c r="AE57" s="4452"/>
      <c r="AF57" s="4452"/>
      <c r="AG57" s="4453"/>
      <c r="AH57" s="16"/>
    </row>
    <row r="58" spans="1:35" ht="24.75" customHeight="1">
      <c r="A58" s="4585"/>
      <c r="B58" s="4594" t="s">
        <v>104</v>
      </c>
      <c r="C58" s="4600" t="s">
        <v>105</v>
      </c>
      <c r="D58" s="4600"/>
      <c r="E58" s="4601"/>
      <c r="F58" s="4600" t="s">
        <v>105</v>
      </c>
      <c r="G58" s="4600"/>
      <c r="H58" s="4601"/>
      <c r="I58" s="4600" t="s">
        <v>105</v>
      </c>
      <c r="J58" s="4600"/>
      <c r="K58" s="4601"/>
      <c r="L58" s="4600" t="s">
        <v>105</v>
      </c>
      <c r="M58" s="4600"/>
      <c r="N58" s="4601"/>
      <c r="O58" s="4600" t="s">
        <v>105</v>
      </c>
      <c r="P58" s="4600"/>
      <c r="Q58" s="4601"/>
      <c r="R58" s="4600" t="s">
        <v>105</v>
      </c>
      <c r="S58" s="4600"/>
      <c r="T58" s="4601"/>
      <c r="U58" s="4600" t="s">
        <v>105</v>
      </c>
      <c r="V58" s="4600"/>
      <c r="W58" s="4601"/>
      <c r="X58" s="4449"/>
      <c r="Y58" s="4452"/>
      <c r="Z58" s="4452"/>
      <c r="AA58" s="4452"/>
      <c r="AB58" s="4452"/>
      <c r="AC58" s="4452"/>
      <c r="AD58" s="4452"/>
      <c r="AE58" s="4452"/>
      <c r="AF58" s="4452"/>
      <c r="AG58" s="4453"/>
      <c r="AH58" s="16"/>
    </row>
    <row r="59" spans="1:35" ht="24.75" customHeight="1">
      <c r="A59" s="195"/>
      <c r="B59" s="309"/>
      <c r="C59" s="302"/>
      <c r="D59" s="302"/>
      <c r="E59" s="18"/>
      <c r="F59" s="302"/>
      <c r="G59" s="302"/>
      <c r="H59" s="18"/>
      <c r="I59" s="302"/>
      <c r="J59" s="302"/>
      <c r="K59" s="18"/>
      <c r="L59" s="302"/>
      <c r="M59" s="302"/>
      <c r="N59" s="18"/>
      <c r="O59" s="302"/>
      <c r="P59" s="302"/>
      <c r="Q59" s="18"/>
      <c r="R59" s="302"/>
      <c r="S59" s="302"/>
      <c r="T59" s="18"/>
      <c r="U59" s="302"/>
      <c r="V59" s="302"/>
      <c r="W59" s="18"/>
      <c r="X59" s="18"/>
      <c r="Y59" s="17"/>
      <c r="Z59" s="17"/>
      <c r="AA59" s="17"/>
      <c r="AB59" s="17"/>
      <c r="AC59" s="17"/>
      <c r="AD59" s="17"/>
      <c r="AE59" s="17"/>
      <c r="AF59" s="17"/>
      <c r="AG59" s="17"/>
      <c r="AH59" s="16"/>
    </row>
    <row r="60" spans="1:35" ht="24.75" customHeight="1" thickBot="1">
      <c r="A60" s="4602"/>
      <c r="B60" s="1456" t="s">
        <v>29</v>
      </c>
      <c r="C60" s="4603">
        <v>1</v>
      </c>
      <c r="D60" s="4604">
        <v>2</v>
      </c>
      <c r="E60" s="4604">
        <v>3</v>
      </c>
      <c r="F60" s="4603">
        <v>4</v>
      </c>
      <c r="G60" s="4603">
        <v>5</v>
      </c>
      <c r="H60" s="4604">
        <v>6</v>
      </c>
      <c r="I60" s="4604">
        <v>7</v>
      </c>
      <c r="J60" s="4604">
        <v>8</v>
      </c>
      <c r="K60" s="4604">
        <v>9</v>
      </c>
      <c r="L60" s="4604">
        <v>10</v>
      </c>
      <c r="M60" s="4603">
        <v>11</v>
      </c>
      <c r="N60" s="4603">
        <v>12</v>
      </c>
      <c r="O60" s="4604">
        <v>13</v>
      </c>
      <c r="P60" s="4604">
        <v>14</v>
      </c>
      <c r="Q60" s="4604">
        <v>15</v>
      </c>
      <c r="R60" s="4604">
        <v>16</v>
      </c>
      <c r="S60" s="4604">
        <v>17</v>
      </c>
      <c r="T60" s="4603">
        <v>18</v>
      </c>
      <c r="U60" s="4603">
        <v>19</v>
      </c>
      <c r="V60" s="4604">
        <v>20</v>
      </c>
      <c r="W60" s="4604">
        <v>21</v>
      </c>
      <c r="X60" s="4604">
        <v>22</v>
      </c>
      <c r="Y60" s="4604">
        <v>23</v>
      </c>
      <c r="Z60" s="4604">
        <v>24</v>
      </c>
      <c r="AA60" s="4603">
        <v>25</v>
      </c>
      <c r="AB60" s="4603">
        <v>26</v>
      </c>
      <c r="AC60" s="4604">
        <v>27</v>
      </c>
      <c r="AD60" s="4604">
        <v>28</v>
      </c>
      <c r="AE60" s="4604">
        <v>29</v>
      </c>
      <c r="AF60" s="4604">
        <v>30</v>
      </c>
      <c r="AG60" s="4605">
        <v>31</v>
      </c>
      <c r="AH60" s="16"/>
    </row>
    <row r="61" spans="1:35" ht="24.75" customHeight="1">
      <c r="A61" s="4606"/>
      <c r="B61" s="4607" t="s">
        <v>106</v>
      </c>
      <c r="C61" s="4502"/>
      <c r="D61" s="4502">
        <v>26</v>
      </c>
      <c r="E61" s="4502">
        <v>26</v>
      </c>
      <c r="F61" s="4502">
        <v>26</v>
      </c>
      <c r="G61" s="4502">
        <v>26</v>
      </c>
      <c r="H61" s="4502" t="s">
        <v>35</v>
      </c>
      <c r="I61" s="4502" t="s">
        <v>35</v>
      </c>
      <c r="J61" s="4502">
        <v>5</v>
      </c>
      <c r="K61" s="4502">
        <v>5</v>
      </c>
      <c r="L61" s="4502">
        <v>25</v>
      </c>
      <c r="M61" s="4502"/>
      <c r="N61" s="4502"/>
      <c r="O61" s="4517">
        <v>26</v>
      </c>
      <c r="P61" s="4517">
        <v>26</v>
      </c>
      <c r="Q61" s="4517">
        <v>26</v>
      </c>
      <c r="R61" s="4608">
        <v>26</v>
      </c>
      <c r="S61" s="4609">
        <v>26</v>
      </c>
      <c r="T61" s="4609">
        <v>26</v>
      </c>
      <c r="U61" s="4517">
        <v>26</v>
      </c>
      <c r="V61" s="4517" t="s">
        <v>35</v>
      </c>
      <c r="W61" s="4610">
        <v>25</v>
      </c>
      <c r="X61" s="4610">
        <v>25</v>
      </c>
      <c r="Y61" s="4517">
        <v>25</v>
      </c>
      <c r="Z61" s="4610">
        <v>25</v>
      </c>
      <c r="AA61" s="4502" t="s">
        <v>108</v>
      </c>
      <c r="AB61" s="4502"/>
      <c r="AC61" s="4582">
        <v>25</v>
      </c>
      <c r="AD61" s="4582">
        <v>25</v>
      </c>
      <c r="AE61" s="4582">
        <v>25</v>
      </c>
      <c r="AF61" s="4582">
        <v>25</v>
      </c>
      <c r="AG61" s="4582">
        <v>25</v>
      </c>
      <c r="AH61" s="16"/>
    </row>
    <row r="62" spans="1:35" ht="24.75" customHeight="1" thickBot="1">
      <c r="A62" s="4607"/>
      <c r="B62" s="4555" t="s">
        <v>111</v>
      </c>
      <c r="C62" s="4517">
        <v>26</v>
      </c>
      <c r="D62" s="4610" t="s">
        <v>123</v>
      </c>
      <c r="E62" s="4517" t="s">
        <v>123</v>
      </c>
      <c r="F62" s="4517"/>
      <c r="G62" s="4517"/>
      <c r="H62" s="4517">
        <v>5</v>
      </c>
      <c r="I62" s="4517">
        <v>5</v>
      </c>
      <c r="J62" s="4611" t="s">
        <v>31</v>
      </c>
      <c r="K62" s="4517" t="s">
        <v>35</v>
      </c>
      <c r="L62" s="4517" t="s">
        <v>35</v>
      </c>
      <c r="M62" s="4517" t="s">
        <v>67</v>
      </c>
      <c r="N62" s="4517" t="s">
        <v>67</v>
      </c>
      <c r="O62" s="4517">
        <v>7</v>
      </c>
      <c r="P62" s="4517">
        <v>7</v>
      </c>
      <c r="Q62" s="4517">
        <v>7</v>
      </c>
      <c r="R62" s="4517">
        <v>7</v>
      </c>
      <c r="S62" s="4517">
        <v>7</v>
      </c>
      <c r="T62" s="4517"/>
      <c r="U62" s="4517"/>
      <c r="V62" s="4517">
        <v>5</v>
      </c>
      <c r="W62" s="4517">
        <v>5</v>
      </c>
      <c r="X62" s="4517">
        <v>5</v>
      </c>
      <c r="Y62" s="4517">
        <v>5</v>
      </c>
      <c r="Z62" s="4509">
        <v>5</v>
      </c>
      <c r="AA62" s="4517"/>
      <c r="AB62" s="4517"/>
      <c r="AC62" s="4517">
        <v>5</v>
      </c>
      <c r="AD62" s="4517">
        <v>4</v>
      </c>
      <c r="AE62" s="4517" t="s">
        <v>253</v>
      </c>
      <c r="AF62" s="4517" t="s">
        <v>233</v>
      </c>
      <c r="AG62" s="4612">
        <v>4</v>
      </c>
      <c r="AH62" s="16"/>
    </row>
    <row r="63" spans="1:35" ht="24.75" customHeight="1">
      <c r="A63" s="4507"/>
      <c r="B63" s="4555" t="s">
        <v>113</v>
      </c>
      <c r="C63" s="4476" t="s">
        <v>35</v>
      </c>
      <c r="D63" s="4476" t="s">
        <v>35</v>
      </c>
      <c r="E63" s="4551" t="s">
        <v>35</v>
      </c>
      <c r="F63" s="4613" t="s">
        <v>75</v>
      </c>
      <c r="G63" s="4613" t="s">
        <v>69</v>
      </c>
      <c r="H63" s="4475">
        <v>6</v>
      </c>
      <c r="I63" s="4475">
        <v>6</v>
      </c>
      <c r="J63" s="4474">
        <v>6</v>
      </c>
      <c r="K63" s="4475">
        <v>6</v>
      </c>
      <c r="L63" s="4475">
        <v>6</v>
      </c>
      <c r="M63" s="4476"/>
      <c r="N63" s="4551"/>
      <c r="O63" s="4476" t="s">
        <v>35</v>
      </c>
      <c r="P63" s="4476" t="s">
        <v>35</v>
      </c>
      <c r="Q63" s="4473" t="s">
        <v>35</v>
      </c>
      <c r="R63" s="4551" t="s">
        <v>35</v>
      </c>
      <c r="S63" s="4551" t="s">
        <v>35</v>
      </c>
      <c r="T63" s="4552" t="s">
        <v>115</v>
      </c>
      <c r="U63" s="4551"/>
      <c r="V63" s="4565" t="s">
        <v>225</v>
      </c>
      <c r="W63" s="4565" t="s">
        <v>225</v>
      </c>
      <c r="X63" s="4565" t="s">
        <v>225</v>
      </c>
      <c r="Y63" s="4565" t="s">
        <v>225</v>
      </c>
      <c r="Z63" s="4565" t="s">
        <v>35</v>
      </c>
      <c r="AA63" s="4565"/>
      <c r="AB63" s="4565"/>
      <c r="AC63" s="4565" t="s">
        <v>114</v>
      </c>
      <c r="AD63" s="4565" t="s">
        <v>114</v>
      </c>
      <c r="AE63" s="4565" t="s">
        <v>114</v>
      </c>
      <c r="AF63" s="4565" t="s">
        <v>114</v>
      </c>
      <c r="AG63" s="4557" t="s">
        <v>114</v>
      </c>
      <c r="AH63" s="16"/>
    </row>
    <row r="64" spans="1:35" ht="24.75" customHeight="1" thickBot="1">
      <c r="A64" s="4555"/>
      <c r="B64" s="4614" t="s">
        <v>116</v>
      </c>
      <c r="C64" s="4615"/>
      <c r="D64" s="4616" t="s">
        <v>535</v>
      </c>
      <c r="E64" s="4616" t="s">
        <v>535</v>
      </c>
      <c r="F64" s="4616"/>
      <c r="G64" s="4616"/>
      <c r="H64" s="4616">
        <v>25</v>
      </c>
      <c r="I64" s="4616">
        <v>25</v>
      </c>
      <c r="J64" s="4616">
        <v>25</v>
      </c>
      <c r="K64" s="4616">
        <v>25</v>
      </c>
      <c r="L64" s="4616" t="s">
        <v>31</v>
      </c>
      <c r="M64" s="4617"/>
      <c r="N64" s="4617"/>
      <c r="O64" s="4617" t="s">
        <v>31</v>
      </c>
      <c r="P64" s="4618" t="s">
        <v>31</v>
      </c>
      <c r="Q64" s="4618" t="s">
        <v>31</v>
      </c>
      <c r="R64" s="4618" t="s">
        <v>31</v>
      </c>
      <c r="S64" s="4619" t="s">
        <v>31</v>
      </c>
      <c r="T64" s="4618"/>
      <c r="U64" s="4618"/>
      <c r="V64" s="4618" t="s">
        <v>31</v>
      </c>
      <c r="W64" s="4618" t="s">
        <v>31</v>
      </c>
      <c r="X64" s="4618" t="s">
        <v>31</v>
      </c>
      <c r="Y64" s="4618" t="s">
        <v>31</v>
      </c>
      <c r="Z64" s="4619" t="s">
        <v>31</v>
      </c>
      <c r="AA64" s="4618"/>
      <c r="AB64" s="4618"/>
      <c r="AC64" s="4519" t="s">
        <v>31</v>
      </c>
      <c r="AD64" s="4519" t="s">
        <v>31</v>
      </c>
      <c r="AE64" s="4620" t="s">
        <v>31</v>
      </c>
      <c r="AF64" s="4620" t="s">
        <v>31</v>
      </c>
      <c r="AG64" s="4621" t="s">
        <v>31</v>
      </c>
      <c r="AH64" s="16"/>
    </row>
    <row r="65" spans="1:36" ht="24.75" customHeight="1" thickBot="1">
      <c r="A65" s="4555"/>
      <c r="B65" s="4614" t="s">
        <v>122</v>
      </c>
      <c r="C65" s="4622">
        <v>10</v>
      </c>
      <c r="D65" s="4622">
        <v>10</v>
      </c>
      <c r="E65" s="4622">
        <v>10</v>
      </c>
      <c r="F65" s="4622" t="s">
        <v>72</v>
      </c>
      <c r="G65" s="4622" t="s">
        <v>72</v>
      </c>
      <c r="H65" s="4476" t="s">
        <v>35</v>
      </c>
      <c r="I65" s="4476" t="s">
        <v>35</v>
      </c>
      <c r="J65" s="4473" t="s">
        <v>35</v>
      </c>
      <c r="K65" s="4551" t="s">
        <v>35</v>
      </c>
      <c r="L65" s="4551" t="s">
        <v>35</v>
      </c>
      <c r="M65" s="4517" t="s">
        <v>0</v>
      </c>
      <c r="N65" s="4517"/>
      <c r="O65" s="4517">
        <v>25</v>
      </c>
      <c r="P65" s="4517">
        <v>25</v>
      </c>
      <c r="Q65" s="4517">
        <v>25</v>
      </c>
      <c r="R65" s="4517">
        <v>25</v>
      </c>
      <c r="S65" s="4517">
        <v>25</v>
      </c>
      <c r="T65" s="4517"/>
      <c r="U65" s="4623"/>
      <c r="V65" s="4623">
        <v>25</v>
      </c>
      <c r="W65" s="4623" t="s">
        <v>31</v>
      </c>
      <c r="X65" s="4623" t="s">
        <v>31</v>
      </c>
      <c r="Y65" s="4623" t="s">
        <v>250</v>
      </c>
      <c r="Z65" s="4623" t="s">
        <v>31</v>
      </c>
      <c r="AA65" s="4517"/>
      <c r="AB65" s="4517"/>
      <c r="AC65" s="4517">
        <v>26</v>
      </c>
      <c r="AD65" s="4517">
        <v>26</v>
      </c>
      <c r="AE65" s="4517">
        <v>6</v>
      </c>
      <c r="AF65" s="4517">
        <v>26</v>
      </c>
      <c r="AG65" s="4517">
        <v>26</v>
      </c>
      <c r="AH65" s="16"/>
    </row>
    <row r="66" spans="1:36" ht="24.75" customHeight="1">
      <c r="A66" s="4555"/>
      <c r="B66" s="4555" t="s">
        <v>124</v>
      </c>
      <c r="C66" s="4517"/>
      <c r="D66" s="4517" t="s">
        <v>47</v>
      </c>
      <c r="E66" s="4517" t="s">
        <v>47</v>
      </c>
      <c r="F66" s="4517"/>
      <c r="G66" s="4624"/>
      <c r="H66" s="4519" t="s">
        <v>31</v>
      </c>
      <c r="I66" s="4519" t="s">
        <v>31</v>
      </c>
      <c r="J66" s="4519" t="s">
        <v>31</v>
      </c>
      <c r="K66" s="4519" t="s">
        <v>31</v>
      </c>
      <c r="L66" s="4519" t="s">
        <v>31</v>
      </c>
      <c r="M66" s="4519"/>
      <c r="N66" s="4519"/>
      <c r="O66" s="4517">
        <v>5</v>
      </c>
      <c r="P66" s="4517">
        <v>5</v>
      </c>
      <c r="Q66" s="4517">
        <v>5</v>
      </c>
      <c r="R66" s="4517">
        <v>5</v>
      </c>
      <c r="S66" s="4625">
        <v>5</v>
      </c>
      <c r="T66" s="4508"/>
      <c r="U66" s="4517"/>
      <c r="V66" s="4517">
        <v>26</v>
      </c>
      <c r="W66" s="4517">
        <v>26</v>
      </c>
      <c r="X66" s="4517">
        <v>26</v>
      </c>
      <c r="Y66" s="4517">
        <v>26</v>
      </c>
      <c r="Z66" s="4517">
        <v>26</v>
      </c>
      <c r="AA66" s="4517">
        <v>26</v>
      </c>
      <c r="AB66" s="4517">
        <v>26</v>
      </c>
      <c r="AC66" s="4476" t="s">
        <v>35</v>
      </c>
      <c r="AD66" s="4626">
        <v>5</v>
      </c>
      <c r="AE66" s="4626">
        <v>5</v>
      </c>
      <c r="AF66" s="4626">
        <v>5</v>
      </c>
      <c r="AG66" s="4626">
        <v>5</v>
      </c>
      <c r="AH66" s="16"/>
    </row>
    <row r="67" spans="1:36" ht="24.75" customHeight="1" thickBot="1">
      <c r="A67" s="4555"/>
      <c r="B67" s="4614" t="s">
        <v>126</v>
      </c>
      <c r="C67" s="4508"/>
      <c r="D67" s="4510" t="s">
        <v>261</v>
      </c>
      <c r="E67" s="4510" t="s">
        <v>261</v>
      </c>
      <c r="F67" s="4508"/>
      <c r="G67" s="4508"/>
      <c r="H67" s="4623" t="s">
        <v>253</v>
      </c>
      <c r="I67" s="4623" t="s">
        <v>253</v>
      </c>
      <c r="J67" s="4623" t="s">
        <v>253</v>
      </c>
      <c r="K67" s="4623" t="s">
        <v>31</v>
      </c>
      <c r="L67" s="4509">
        <v>6</v>
      </c>
      <c r="M67" s="4510"/>
      <c r="N67" s="4517"/>
      <c r="O67" s="4608" t="s">
        <v>244</v>
      </c>
      <c r="P67" s="4608" t="s">
        <v>244</v>
      </c>
      <c r="Q67" s="4608" t="s">
        <v>244</v>
      </c>
      <c r="R67" s="4608" t="s">
        <v>244</v>
      </c>
      <c r="S67" s="4627" t="s">
        <v>112</v>
      </c>
      <c r="T67" s="4517" t="s">
        <v>0</v>
      </c>
      <c r="U67" s="4517" t="s">
        <v>0</v>
      </c>
      <c r="V67" s="4510">
        <v>3</v>
      </c>
      <c r="W67" s="4623" t="s">
        <v>31</v>
      </c>
      <c r="X67" s="4623" t="s">
        <v>31</v>
      </c>
      <c r="Y67" s="4623" t="s">
        <v>31</v>
      </c>
      <c r="Z67" s="4623" t="s">
        <v>35</v>
      </c>
      <c r="AA67" s="4517"/>
      <c r="AB67" s="4508"/>
      <c r="AC67" s="4510" t="s">
        <v>31</v>
      </c>
      <c r="AD67" s="4623" t="s">
        <v>31</v>
      </c>
      <c r="AE67" s="4623" t="s">
        <v>251</v>
      </c>
      <c r="AF67" s="4623" t="s">
        <v>251</v>
      </c>
      <c r="AG67" s="4623" t="s">
        <v>31</v>
      </c>
      <c r="AH67" s="16"/>
    </row>
    <row r="68" spans="1:36" ht="24.75" customHeight="1" thickBot="1">
      <c r="A68" s="4555"/>
      <c r="B68" s="4614" t="s">
        <v>129</v>
      </c>
      <c r="C68" s="4517"/>
      <c r="D68" s="4517">
        <v>25</v>
      </c>
      <c r="E68" s="4517">
        <v>25</v>
      </c>
      <c r="F68" s="4517"/>
      <c r="G68" s="4511"/>
      <c r="H68" s="4174" t="s">
        <v>110</v>
      </c>
      <c r="I68" s="4174" t="s">
        <v>110</v>
      </c>
      <c r="J68" s="4628" t="s">
        <v>119</v>
      </c>
      <c r="K68" s="4628" t="s">
        <v>119</v>
      </c>
      <c r="L68" s="4174" t="s">
        <v>110</v>
      </c>
      <c r="M68" s="4174" t="s">
        <v>108</v>
      </c>
      <c r="N68" s="4174" t="s">
        <v>108</v>
      </c>
      <c r="O68" s="4476" t="s">
        <v>35</v>
      </c>
      <c r="P68" s="4476" t="s">
        <v>35</v>
      </c>
      <c r="Q68" s="4629" t="s">
        <v>35</v>
      </c>
      <c r="R68" s="4629" t="s">
        <v>35</v>
      </c>
      <c r="S68" s="4629" t="s">
        <v>35</v>
      </c>
      <c r="T68" s="4491" t="s">
        <v>67</v>
      </c>
      <c r="U68" s="4491" t="s">
        <v>67</v>
      </c>
      <c r="V68" s="4491" t="s">
        <v>31</v>
      </c>
      <c r="W68" s="4491">
        <v>25</v>
      </c>
      <c r="X68" s="4491">
        <v>25</v>
      </c>
      <c r="Y68" s="4491">
        <v>25</v>
      </c>
      <c r="Z68" s="4491">
        <v>25</v>
      </c>
      <c r="AA68" s="4630"/>
      <c r="AB68" s="4631"/>
      <c r="AC68" s="4631">
        <v>5</v>
      </c>
      <c r="AD68" s="4631">
        <v>5</v>
      </c>
      <c r="AE68" s="4631">
        <v>5</v>
      </c>
      <c r="AF68" s="4631">
        <v>5</v>
      </c>
      <c r="AG68" s="4632">
        <v>5</v>
      </c>
      <c r="AH68" s="16"/>
      <c r="AJ68" s="295" t="s">
        <v>0</v>
      </c>
    </row>
    <row r="69" spans="1:36" ht="24.75" customHeight="1" thickBot="1">
      <c r="A69" s="4614"/>
      <c r="B69" s="4633" t="s">
        <v>130</v>
      </c>
      <c r="C69" s="4634" t="s">
        <v>108</v>
      </c>
      <c r="D69" s="4634" t="s">
        <v>110</v>
      </c>
      <c r="E69" s="4634" t="s">
        <v>110</v>
      </c>
      <c r="F69" s="4517" t="s">
        <v>108</v>
      </c>
      <c r="G69" s="4634" t="s">
        <v>108</v>
      </c>
      <c r="H69" s="4609" t="s">
        <v>31</v>
      </c>
      <c r="I69" s="4609" t="s">
        <v>31</v>
      </c>
      <c r="J69" s="4609" t="s">
        <v>31</v>
      </c>
      <c r="K69" s="4609" t="s">
        <v>31</v>
      </c>
      <c r="L69" s="4609" t="s">
        <v>31</v>
      </c>
      <c r="M69" s="4609"/>
      <c r="N69" s="4609"/>
      <c r="O69" s="4517">
        <v>10</v>
      </c>
      <c r="P69" s="4517">
        <v>10</v>
      </c>
      <c r="Q69" s="4517">
        <v>10</v>
      </c>
      <c r="R69" s="4517">
        <v>10</v>
      </c>
      <c r="S69" s="4517">
        <v>10</v>
      </c>
      <c r="T69" s="4517"/>
      <c r="U69" s="4517"/>
      <c r="V69" s="4517">
        <v>4</v>
      </c>
      <c r="W69" s="4517">
        <v>4</v>
      </c>
      <c r="X69" s="4517">
        <v>4</v>
      </c>
      <c r="Y69" s="4517">
        <v>4</v>
      </c>
      <c r="Z69" s="4517">
        <v>4</v>
      </c>
      <c r="AA69" s="4517"/>
      <c r="AB69" s="4517"/>
      <c r="AC69" s="4551">
        <v>10</v>
      </c>
      <c r="AD69" s="4551">
        <v>10</v>
      </c>
      <c r="AE69" s="4476">
        <v>10</v>
      </c>
      <c r="AF69" s="4551">
        <v>10</v>
      </c>
      <c r="AG69" s="4553">
        <v>10</v>
      </c>
      <c r="AH69" s="16"/>
    </row>
    <row r="70" spans="1:36" ht="24.75" customHeight="1" thickBot="1">
      <c r="A70" s="4614"/>
      <c r="B70" s="4635" t="s">
        <v>132</v>
      </c>
      <c r="C70" s="4608"/>
      <c r="D70" s="4623" t="s">
        <v>250</v>
      </c>
      <c r="E70" s="4623" t="s">
        <v>250</v>
      </c>
      <c r="F70" s="4509"/>
      <c r="G70" s="4509"/>
      <c r="H70" s="4608" t="s">
        <v>244</v>
      </c>
      <c r="I70" s="4636" t="s">
        <v>31</v>
      </c>
      <c r="J70" s="4623" t="s">
        <v>31</v>
      </c>
      <c r="K70" s="4623" t="s">
        <v>31</v>
      </c>
      <c r="L70" s="4623" t="s">
        <v>31</v>
      </c>
      <c r="M70" s="4608">
        <v>89</v>
      </c>
      <c r="N70" s="4608"/>
      <c r="O70" s="4476" t="s">
        <v>35</v>
      </c>
      <c r="P70" s="4476" t="s">
        <v>35</v>
      </c>
      <c r="Q70" s="4476" t="s">
        <v>35</v>
      </c>
      <c r="R70" s="4476" t="s">
        <v>35</v>
      </c>
      <c r="S70" s="4476" t="s">
        <v>35</v>
      </c>
      <c r="V70" s="4636" t="s">
        <v>110</v>
      </c>
      <c r="W70" s="4636" t="s">
        <v>110</v>
      </c>
      <c r="X70" s="4636" t="s">
        <v>110</v>
      </c>
      <c r="Y70" s="4636" t="s">
        <v>110</v>
      </c>
      <c r="Z70" s="4636" t="s">
        <v>110</v>
      </c>
      <c r="AA70" s="4608"/>
      <c r="AB70" s="4608"/>
      <c r="AC70" s="4174" t="s">
        <v>110</v>
      </c>
      <c r="AD70" s="4174" t="s">
        <v>110</v>
      </c>
      <c r="AE70" s="4552" t="s">
        <v>110</v>
      </c>
      <c r="AF70" s="4552" t="s">
        <v>110</v>
      </c>
      <c r="AG70" s="4174" t="s">
        <v>110</v>
      </c>
      <c r="AH70" s="16"/>
    </row>
    <row r="71" spans="1:36" ht="24.75" customHeight="1">
      <c r="A71" s="4513"/>
      <c r="B71" s="4515" t="s">
        <v>133</v>
      </c>
      <c r="C71" s="4637" t="s">
        <v>45</v>
      </c>
      <c r="D71" s="4608">
        <v>99</v>
      </c>
      <c r="E71" s="4608" t="s">
        <v>31</v>
      </c>
      <c r="F71" s="4509"/>
      <c r="G71" s="4608"/>
      <c r="H71" s="4517">
        <v>26</v>
      </c>
      <c r="I71" s="4517">
        <v>26</v>
      </c>
      <c r="J71" s="4517">
        <v>26</v>
      </c>
      <c r="K71" s="4517">
        <v>26</v>
      </c>
      <c r="L71" s="4517">
        <v>26</v>
      </c>
      <c r="M71" s="4517">
        <v>26</v>
      </c>
      <c r="N71" s="4517">
        <v>26</v>
      </c>
      <c r="O71" s="4476" t="s">
        <v>35</v>
      </c>
      <c r="P71" s="4476" t="s">
        <v>35</v>
      </c>
      <c r="Q71" s="4473" t="s">
        <v>35</v>
      </c>
      <c r="R71" s="4623" t="s">
        <v>31</v>
      </c>
      <c r="S71" s="4608" t="s">
        <v>31</v>
      </c>
      <c r="T71" s="4608"/>
      <c r="U71" s="4608"/>
      <c r="V71" s="4508" t="s">
        <v>127</v>
      </c>
      <c r="W71" s="4508" t="s">
        <v>127</v>
      </c>
      <c r="X71" s="4508" t="s">
        <v>127</v>
      </c>
      <c r="Y71" s="4508" t="s">
        <v>127</v>
      </c>
      <c r="Z71" s="4508" t="s">
        <v>127</v>
      </c>
      <c r="AA71" s="4608"/>
      <c r="AB71" s="4608"/>
      <c r="AC71" s="4509">
        <v>3</v>
      </c>
      <c r="AD71" s="4608">
        <v>3</v>
      </c>
      <c r="AE71" s="4608" t="s">
        <v>146</v>
      </c>
      <c r="AF71" s="4608" t="s">
        <v>261</v>
      </c>
      <c r="AG71" s="4638" t="s">
        <v>261</v>
      </c>
      <c r="AH71" s="16"/>
    </row>
    <row r="72" spans="1:36" ht="24.75" customHeight="1" thickBot="1">
      <c r="A72" s="4513"/>
      <c r="B72" s="4515" t="s">
        <v>536</v>
      </c>
      <c r="C72" s="4513"/>
      <c r="D72" s="4608" t="s">
        <v>31</v>
      </c>
      <c r="E72" s="4608" t="s">
        <v>31</v>
      </c>
      <c r="F72" s="4608"/>
      <c r="G72" s="4608"/>
      <c r="H72" s="4608" t="s">
        <v>31</v>
      </c>
      <c r="I72" s="3951" t="s">
        <v>31</v>
      </c>
      <c r="J72" s="4608" t="s">
        <v>31</v>
      </c>
      <c r="K72" s="4608" t="s">
        <v>31</v>
      </c>
      <c r="L72" s="4608" t="s">
        <v>31</v>
      </c>
      <c r="M72" s="4608"/>
      <c r="N72" s="4608"/>
      <c r="O72" s="4608" t="s">
        <v>31</v>
      </c>
      <c r="P72" s="4608" t="s">
        <v>31</v>
      </c>
      <c r="Q72" s="4609" t="s">
        <v>31</v>
      </c>
      <c r="R72" s="4608" t="s">
        <v>31</v>
      </c>
      <c r="S72" s="4608" t="s">
        <v>31</v>
      </c>
      <c r="T72" s="4608"/>
      <c r="U72" s="4608"/>
      <c r="V72" s="4608" t="s">
        <v>31</v>
      </c>
      <c r="W72" s="4608" t="s">
        <v>31</v>
      </c>
      <c r="X72" s="4608" t="s">
        <v>31</v>
      </c>
      <c r="Y72" s="4608" t="s">
        <v>31</v>
      </c>
      <c r="Z72" s="4608" t="s">
        <v>31</v>
      </c>
      <c r="AA72" s="4608"/>
      <c r="AB72" s="4608"/>
      <c r="AC72" s="4608" t="s">
        <v>31</v>
      </c>
      <c r="AD72" s="4608">
        <v>3</v>
      </c>
      <c r="AE72" s="3951" t="s">
        <v>31</v>
      </c>
      <c r="AF72" s="4608" t="s">
        <v>31</v>
      </c>
      <c r="AG72" s="4519" t="s">
        <v>31</v>
      </c>
      <c r="AH72" s="16"/>
    </row>
    <row r="73" spans="1:36" ht="24.75" customHeight="1" thickBot="1">
      <c r="A73" s="4513"/>
      <c r="B73" s="4507" t="s">
        <v>137</v>
      </c>
      <c r="C73" s="4513"/>
      <c r="D73" s="4609" t="s">
        <v>31</v>
      </c>
      <c r="E73" s="4609" t="s">
        <v>31</v>
      </c>
      <c r="F73" s="4513"/>
      <c r="G73" s="4513"/>
      <c r="H73" s="4513" t="s">
        <v>47</v>
      </c>
      <c r="I73" s="4608" t="s">
        <v>47</v>
      </c>
      <c r="J73" s="4608" t="s">
        <v>47</v>
      </c>
      <c r="K73" s="4636" t="s">
        <v>47</v>
      </c>
      <c r="L73" s="4608">
        <v>4</v>
      </c>
      <c r="M73" s="4513"/>
      <c r="N73" s="4513"/>
      <c r="O73" s="4608">
        <v>4</v>
      </c>
      <c r="P73" s="4636">
        <v>26</v>
      </c>
      <c r="Q73" s="4636">
        <v>26</v>
      </c>
      <c r="R73" s="4636">
        <v>26</v>
      </c>
      <c r="S73" s="4608">
        <v>26</v>
      </c>
      <c r="T73" s="4636">
        <v>26</v>
      </c>
      <c r="U73" s="4636">
        <v>26</v>
      </c>
      <c r="V73" s="4513" t="s">
        <v>35</v>
      </c>
      <c r="W73" s="4513" t="s">
        <v>35</v>
      </c>
      <c r="X73" s="4513" t="s">
        <v>35</v>
      </c>
      <c r="Y73" s="4513">
        <v>3</v>
      </c>
      <c r="Z73" s="4513">
        <v>3</v>
      </c>
      <c r="AA73" s="4513"/>
      <c r="AB73" s="4513"/>
      <c r="AC73" s="4636">
        <v>10</v>
      </c>
      <c r="AD73" s="4639">
        <v>10</v>
      </c>
      <c r="AE73" s="4639">
        <v>10</v>
      </c>
      <c r="AF73" s="4639">
        <v>10</v>
      </c>
      <c r="AG73" s="4639">
        <v>10</v>
      </c>
      <c r="AH73" s="16"/>
    </row>
    <row r="74" spans="1:36" ht="24.75" customHeight="1" thickBot="1">
      <c r="A74" s="423"/>
      <c r="B74" s="4640" t="s">
        <v>135</v>
      </c>
      <c r="C74" s="4513"/>
      <c r="D74" s="4510" t="s">
        <v>31</v>
      </c>
      <c r="E74" s="4510" t="s">
        <v>31</v>
      </c>
      <c r="F74" s="4513"/>
      <c r="G74" s="4513"/>
      <c r="H74" s="4510" t="s">
        <v>31</v>
      </c>
      <c r="I74" s="4510" t="s">
        <v>31</v>
      </c>
      <c r="J74" s="4510" t="s">
        <v>31</v>
      </c>
      <c r="K74" s="4636" t="s">
        <v>31</v>
      </c>
      <c r="L74" s="4608" t="s">
        <v>31</v>
      </c>
      <c r="M74" s="4517"/>
      <c r="N74" s="4517"/>
      <c r="O74" s="4510" t="s">
        <v>31</v>
      </c>
      <c r="P74" s="4510">
        <v>4</v>
      </c>
      <c r="Q74" s="4510">
        <v>4</v>
      </c>
      <c r="R74" s="4510">
        <v>4</v>
      </c>
      <c r="S74" s="4510">
        <v>4</v>
      </c>
      <c r="T74" s="4509"/>
      <c r="U74" s="4509"/>
      <c r="V74" s="4510" t="s">
        <v>31</v>
      </c>
      <c r="W74" s="4510">
        <v>3</v>
      </c>
      <c r="X74" s="4510">
        <v>3</v>
      </c>
      <c r="Y74" s="4641">
        <v>8</v>
      </c>
      <c r="Z74" s="4641">
        <v>8</v>
      </c>
      <c r="AA74" s="4517"/>
      <c r="AB74" s="4517"/>
      <c r="AC74" s="4510">
        <v>8</v>
      </c>
      <c r="AD74" s="4510">
        <v>8</v>
      </c>
      <c r="AE74" s="4642">
        <v>8</v>
      </c>
      <c r="AF74" s="4509">
        <v>8</v>
      </c>
      <c r="AG74" s="4509">
        <v>8</v>
      </c>
      <c r="AH74" s="16"/>
    </row>
    <row r="75" spans="1:36" ht="24.75" customHeight="1" thickBot="1">
      <c r="A75" s="2628"/>
      <c r="B75" s="4643"/>
      <c r="C75" s="2328"/>
      <c r="D75" s="2328"/>
      <c r="E75" s="2328"/>
      <c r="F75" s="2328"/>
      <c r="G75" s="2328"/>
      <c r="H75" s="2328"/>
      <c r="I75" s="2328"/>
      <c r="J75" s="2328"/>
      <c r="K75" s="2328"/>
      <c r="L75" s="2328"/>
      <c r="M75" s="2328"/>
      <c r="N75" s="2328"/>
      <c r="O75" s="2328"/>
      <c r="P75" s="2328"/>
      <c r="Q75" s="2328"/>
      <c r="R75" s="2328"/>
      <c r="S75" s="2328"/>
      <c r="T75" s="2328"/>
      <c r="U75" s="2328"/>
      <c r="V75" s="2328"/>
      <c r="W75" s="2328"/>
      <c r="X75" s="2328"/>
      <c r="Y75" s="2328"/>
      <c r="Z75" s="2328"/>
      <c r="AA75" s="2328"/>
      <c r="AB75" s="2328"/>
      <c r="AC75" s="2328"/>
      <c r="AD75" s="2328"/>
      <c r="AE75" s="2328"/>
      <c r="AF75" s="2328"/>
      <c r="AG75" s="4644"/>
      <c r="AH75" s="16"/>
    </row>
    <row r="76" spans="1:36" ht="24.75" customHeight="1" thickBot="1">
      <c r="A76" s="4645"/>
      <c r="B76" s="4646" t="s">
        <v>138</v>
      </c>
      <c r="C76" s="4468">
        <v>1</v>
      </c>
      <c r="D76" s="4469">
        <v>2</v>
      </c>
      <c r="E76" s="4469">
        <v>3</v>
      </c>
      <c r="F76" s="4468">
        <v>4</v>
      </c>
      <c r="G76" s="4468">
        <v>5</v>
      </c>
      <c r="H76" s="4469">
        <v>6</v>
      </c>
      <c r="I76" s="4469">
        <v>7</v>
      </c>
      <c r="J76" s="4469">
        <v>8</v>
      </c>
      <c r="K76" s="4469">
        <v>9</v>
      </c>
      <c r="L76" s="4469">
        <v>10</v>
      </c>
      <c r="M76" s="4468">
        <v>11</v>
      </c>
      <c r="N76" s="4468">
        <v>12</v>
      </c>
      <c r="O76" s="4469">
        <v>13</v>
      </c>
      <c r="P76" s="4469">
        <v>14</v>
      </c>
      <c r="Q76" s="4469">
        <v>15</v>
      </c>
      <c r="R76" s="4469">
        <v>16</v>
      </c>
      <c r="S76" s="4469">
        <v>17</v>
      </c>
      <c r="T76" s="4468">
        <v>18</v>
      </c>
      <c r="U76" s="4468">
        <v>19</v>
      </c>
      <c r="V76" s="4469">
        <v>20</v>
      </c>
      <c r="W76" s="4469">
        <v>21</v>
      </c>
      <c r="X76" s="4469">
        <v>22</v>
      </c>
      <c r="Y76" s="4469">
        <v>23</v>
      </c>
      <c r="Z76" s="4469">
        <v>24</v>
      </c>
      <c r="AA76" s="4468">
        <v>25</v>
      </c>
      <c r="AB76" s="4468">
        <v>26</v>
      </c>
      <c r="AC76" s="4469">
        <v>27</v>
      </c>
      <c r="AD76" s="4469">
        <v>28</v>
      </c>
      <c r="AE76" s="4469">
        <v>29</v>
      </c>
      <c r="AF76" s="4469">
        <v>30</v>
      </c>
      <c r="AG76" s="4470">
        <v>31</v>
      </c>
      <c r="AH76" s="16"/>
    </row>
    <row r="77" spans="1:36" ht="24.75" customHeight="1">
      <c r="A77" s="4640"/>
      <c r="B77" s="4640" t="s">
        <v>0</v>
      </c>
      <c r="C77" s="4517" t="s">
        <v>0</v>
      </c>
      <c r="D77" s="4517"/>
      <c r="E77" s="4517"/>
      <c r="F77" s="4517"/>
      <c r="G77" s="4517"/>
      <c r="H77" s="4517"/>
      <c r="I77" s="4517"/>
      <c r="J77" s="4517"/>
      <c r="K77" s="4517"/>
      <c r="L77" s="4517"/>
      <c r="M77" s="4517"/>
      <c r="N77" s="4517"/>
      <c r="O77" s="4517"/>
      <c r="P77" s="4517"/>
      <c r="Q77" s="4517"/>
      <c r="R77" s="4517"/>
      <c r="S77" s="4517"/>
      <c r="T77" s="4517"/>
      <c r="U77" s="4517"/>
      <c r="V77" s="4517"/>
      <c r="W77" s="4517"/>
      <c r="X77" s="4517"/>
      <c r="Y77" s="4517"/>
      <c r="Z77" s="4517"/>
      <c r="AA77" s="4517"/>
      <c r="AB77" s="4517"/>
      <c r="AC77" s="4517"/>
      <c r="AD77" s="4517"/>
      <c r="AE77" s="4517"/>
      <c r="AF77" s="4517"/>
      <c r="AG77" s="4517"/>
      <c r="AH77" s="16"/>
    </row>
    <row r="78" spans="1:36" ht="24.75" customHeight="1">
      <c r="A78" s="4614"/>
      <c r="B78" s="4614" t="s">
        <v>139</v>
      </c>
      <c r="C78" s="4517"/>
      <c r="D78" s="4517">
        <v>69</v>
      </c>
      <c r="E78" s="4517">
        <v>69</v>
      </c>
      <c r="F78" s="4517"/>
      <c r="G78" s="4517"/>
      <c r="H78" s="4608">
        <v>79</v>
      </c>
      <c r="I78" s="4608">
        <v>79</v>
      </c>
      <c r="J78" s="4608">
        <v>79</v>
      </c>
      <c r="K78" s="4608">
        <v>79</v>
      </c>
      <c r="L78" s="4608">
        <v>79</v>
      </c>
      <c r="M78" s="4647"/>
      <c r="N78" s="4647"/>
      <c r="O78" s="4586">
        <v>89</v>
      </c>
      <c r="P78" s="4586">
        <v>89</v>
      </c>
      <c r="Q78" s="4586">
        <v>89</v>
      </c>
      <c r="R78" s="4586">
        <v>89</v>
      </c>
      <c r="S78" s="4586">
        <v>89</v>
      </c>
      <c r="T78" s="4586">
        <v>89</v>
      </c>
      <c r="U78" s="4622"/>
      <c r="V78" s="4648">
        <v>99</v>
      </c>
      <c r="W78" s="4648">
        <v>99</v>
      </c>
      <c r="X78" s="4648">
        <v>99</v>
      </c>
      <c r="Y78" s="4648">
        <v>99</v>
      </c>
      <c r="Z78" s="4649" t="s">
        <v>35</v>
      </c>
      <c r="AA78" s="4509"/>
      <c r="AB78" s="4509"/>
      <c r="AC78" s="4648" t="s">
        <v>47</v>
      </c>
      <c r="AD78" s="4648" t="s">
        <v>47</v>
      </c>
      <c r="AE78" s="4648" t="s">
        <v>47</v>
      </c>
      <c r="AF78" s="4648" t="s">
        <v>199</v>
      </c>
      <c r="AG78" s="4650" t="s">
        <v>199</v>
      </c>
      <c r="AH78" s="16"/>
    </row>
    <row r="79" spans="1:36" ht="24.75" customHeight="1">
      <c r="A79" s="4651"/>
      <c r="B79" s="4652" t="s">
        <v>141</v>
      </c>
      <c r="C79" s="4517"/>
      <c r="D79" s="4517"/>
      <c r="E79" s="4517"/>
      <c r="F79" s="4517"/>
      <c r="G79" s="4517"/>
      <c r="H79" s="4517"/>
      <c r="I79" s="4517"/>
      <c r="J79" s="4517"/>
      <c r="K79" s="4517"/>
      <c r="L79" s="4517"/>
      <c r="M79" s="4517"/>
      <c r="N79" s="4517"/>
      <c r="O79" s="4517"/>
      <c r="P79" s="4517"/>
      <c r="Q79" s="4517"/>
      <c r="R79" s="4517"/>
      <c r="S79" s="4517"/>
      <c r="T79" s="4517"/>
      <c r="U79" s="4517"/>
      <c r="V79" s="4517"/>
      <c r="W79" s="4517"/>
      <c r="X79" s="4517"/>
      <c r="Y79" s="4517"/>
      <c r="Z79" s="4517">
        <v>89</v>
      </c>
      <c r="AA79" s="4517"/>
      <c r="AB79" s="4517"/>
      <c r="AC79" s="4565">
        <v>4</v>
      </c>
      <c r="AD79" s="4564">
        <v>99</v>
      </c>
      <c r="AE79" s="4564">
        <v>99</v>
      </c>
      <c r="AF79" s="4564" t="s">
        <v>434</v>
      </c>
      <c r="AG79" s="4653" t="s">
        <v>452</v>
      </c>
      <c r="AH79" s="16"/>
    </row>
    <row r="80" spans="1:36" ht="24.75" customHeight="1" thickBot="1">
      <c r="A80" s="449"/>
      <c r="B80" s="450"/>
      <c r="C80" s="448"/>
      <c r="D80" s="451"/>
      <c r="E80" s="451"/>
      <c r="F80" s="451"/>
      <c r="G80" s="451"/>
      <c r="H80" s="451"/>
      <c r="I80" s="448"/>
      <c r="J80" s="448"/>
      <c r="K80" s="451"/>
      <c r="L80" s="451"/>
      <c r="M80" s="451"/>
      <c r="N80" s="451"/>
      <c r="O80" s="451"/>
      <c r="P80" s="452"/>
      <c r="Q80" s="452"/>
      <c r="R80" s="448"/>
      <c r="S80" s="452"/>
      <c r="T80" s="452"/>
      <c r="U80" s="452"/>
      <c r="V80" s="452"/>
      <c r="W80" s="452"/>
      <c r="X80" s="448"/>
      <c r="Y80" s="452"/>
      <c r="Z80" s="452"/>
      <c r="AA80" s="452"/>
      <c r="AB80" s="452"/>
      <c r="AC80" s="448"/>
      <c r="AD80" s="452"/>
      <c r="AE80" s="452"/>
      <c r="AF80" s="448"/>
      <c r="AG80" s="308"/>
      <c r="AH80" s="16"/>
    </row>
    <row r="81" spans="1:35" ht="24.75" customHeight="1" thickBot="1">
      <c r="A81" s="317"/>
      <c r="B81" s="318" t="s">
        <v>147</v>
      </c>
      <c r="C81" s="4556" t="s">
        <v>35</v>
      </c>
      <c r="D81" s="4556" t="s">
        <v>35</v>
      </c>
      <c r="E81" s="4556" t="s">
        <v>35</v>
      </c>
      <c r="F81" s="4556"/>
      <c r="G81" s="4556"/>
      <c r="H81" s="4556" t="s">
        <v>31</v>
      </c>
      <c r="I81" s="4556" t="s">
        <v>31</v>
      </c>
      <c r="J81" s="4556" t="s">
        <v>31</v>
      </c>
      <c r="K81" s="4556" t="s">
        <v>31</v>
      </c>
      <c r="L81" s="4556" t="s">
        <v>31</v>
      </c>
      <c r="M81" s="4556"/>
      <c r="N81" s="4556"/>
      <c r="O81" s="4556">
        <v>10</v>
      </c>
      <c r="P81" s="4556">
        <v>10</v>
      </c>
      <c r="Q81" s="4556">
        <v>10</v>
      </c>
      <c r="R81" s="4556">
        <v>10</v>
      </c>
      <c r="S81" s="4556">
        <v>10</v>
      </c>
      <c r="T81" s="4556" t="s">
        <v>72</v>
      </c>
      <c r="U81" s="4556" t="s">
        <v>72</v>
      </c>
      <c r="V81" s="4556" t="s">
        <v>35</v>
      </c>
      <c r="W81" s="4556" t="s">
        <v>35</v>
      </c>
      <c r="X81" s="4556" t="s">
        <v>35</v>
      </c>
      <c r="Y81" s="4556" t="s">
        <v>35</v>
      </c>
      <c r="Z81" s="4556" t="s">
        <v>35</v>
      </c>
      <c r="AA81" s="4556" t="s">
        <v>67</v>
      </c>
      <c r="AB81" s="4556" t="s">
        <v>67</v>
      </c>
      <c r="AC81" s="4556">
        <v>7</v>
      </c>
      <c r="AD81" s="4556">
        <v>7</v>
      </c>
      <c r="AE81" s="4556">
        <v>7</v>
      </c>
      <c r="AF81" s="4556">
        <v>7</v>
      </c>
      <c r="AG81" s="4557">
        <v>7</v>
      </c>
      <c r="AH81" s="16"/>
    </row>
    <row r="82" spans="1:35" ht="24.75" customHeight="1" thickBot="1">
      <c r="A82" s="319"/>
      <c r="B82" s="320" t="s">
        <v>148</v>
      </c>
      <c r="C82" s="4556" t="s">
        <v>35</v>
      </c>
      <c r="D82" s="4556" t="s">
        <v>35</v>
      </c>
      <c r="E82" s="4556" t="s">
        <v>35</v>
      </c>
      <c r="F82" s="4556"/>
      <c r="G82" s="4556"/>
      <c r="H82" s="4556">
        <v>6</v>
      </c>
      <c r="I82" s="4556">
        <v>6</v>
      </c>
      <c r="J82" s="4556">
        <v>6</v>
      </c>
      <c r="K82" s="4556">
        <v>6</v>
      </c>
      <c r="L82" s="4556" t="s">
        <v>31</v>
      </c>
      <c r="M82" s="4556"/>
      <c r="N82" s="4556"/>
      <c r="O82" s="4654">
        <v>10</v>
      </c>
      <c r="P82" s="4654">
        <v>10</v>
      </c>
      <c r="Q82" s="4654">
        <v>10</v>
      </c>
      <c r="R82" s="4654">
        <v>10</v>
      </c>
      <c r="S82" s="4586">
        <v>11</v>
      </c>
      <c r="T82" s="4556" t="s">
        <v>72</v>
      </c>
      <c r="U82" s="4556" t="s">
        <v>72</v>
      </c>
      <c r="V82" s="4556" t="s">
        <v>35</v>
      </c>
      <c r="W82" s="4556" t="s">
        <v>35</v>
      </c>
      <c r="X82" s="4556" t="s">
        <v>35</v>
      </c>
      <c r="Y82" s="4556" t="s">
        <v>35</v>
      </c>
      <c r="Z82" s="4556" t="s">
        <v>35</v>
      </c>
      <c r="AA82" s="4556" t="s">
        <v>67</v>
      </c>
      <c r="AB82" s="4556" t="s">
        <v>67</v>
      </c>
      <c r="AC82" s="4491" t="s">
        <v>357</v>
      </c>
      <c r="AD82" s="4556">
        <v>7</v>
      </c>
      <c r="AE82" s="4556">
        <v>7</v>
      </c>
      <c r="AF82" s="4556">
        <v>7</v>
      </c>
      <c r="AG82" s="4557">
        <v>7</v>
      </c>
      <c r="AH82" s="16"/>
    </row>
    <row r="83" spans="1:35" ht="24.75" customHeight="1">
      <c r="A83" s="15" t="s">
        <v>149</v>
      </c>
      <c r="AH83" s="16"/>
    </row>
    <row r="84" spans="1:35" ht="24.75" customHeight="1" thickBot="1">
      <c r="A84" s="4602"/>
      <c r="B84" s="1456" t="s">
        <v>29</v>
      </c>
      <c r="C84" s="4468">
        <v>1</v>
      </c>
      <c r="D84" s="4469">
        <v>2</v>
      </c>
      <c r="E84" s="4469">
        <v>3</v>
      </c>
      <c r="F84" s="4468">
        <v>4</v>
      </c>
      <c r="G84" s="4468">
        <v>5</v>
      </c>
      <c r="H84" s="4469">
        <v>6</v>
      </c>
      <c r="I84" s="4469">
        <v>7</v>
      </c>
      <c r="J84" s="4469">
        <v>8</v>
      </c>
      <c r="K84" s="4469">
        <v>9</v>
      </c>
      <c r="L84" s="4469">
        <v>10</v>
      </c>
      <c r="M84" s="4468">
        <v>11</v>
      </c>
      <c r="N84" s="4468">
        <v>12</v>
      </c>
      <c r="O84" s="4469">
        <v>13</v>
      </c>
      <c r="P84" s="4469">
        <v>14</v>
      </c>
      <c r="Q84" s="4469">
        <v>15</v>
      </c>
      <c r="R84" s="4469">
        <v>16</v>
      </c>
      <c r="S84" s="4469">
        <v>17</v>
      </c>
      <c r="T84" s="4468">
        <v>18</v>
      </c>
      <c r="U84" s="4468">
        <v>19</v>
      </c>
      <c r="V84" s="4469">
        <v>20</v>
      </c>
      <c r="W84" s="4469">
        <v>21</v>
      </c>
      <c r="X84" s="4469">
        <v>22</v>
      </c>
      <c r="Y84" s="4469">
        <v>23</v>
      </c>
      <c r="Z84" s="4469">
        <v>24</v>
      </c>
      <c r="AA84" s="4468">
        <v>25</v>
      </c>
      <c r="AB84" s="4468">
        <v>26</v>
      </c>
      <c r="AC84" s="4469">
        <v>27</v>
      </c>
      <c r="AD84" s="4469">
        <v>28</v>
      </c>
      <c r="AE84" s="4469">
        <v>29</v>
      </c>
      <c r="AF84" s="4469">
        <v>30</v>
      </c>
      <c r="AG84" s="4470">
        <v>31</v>
      </c>
      <c r="AH84" s="16"/>
    </row>
    <row r="85" spans="1:35" ht="24.75" customHeight="1" thickBot="1">
      <c r="A85" s="4655"/>
      <c r="B85" s="4656" t="s">
        <v>150</v>
      </c>
      <c r="C85" s="4473"/>
      <c r="D85" s="4577"/>
      <c r="E85" s="4473"/>
      <c r="F85" s="4473"/>
      <c r="G85" s="4473"/>
      <c r="H85" s="4473"/>
      <c r="I85" s="4473"/>
      <c r="J85" s="4473"/>
      <c r="K85" s="4473"/>
      <c r="L85" s="4473"/>
      <c r="M85" s="4473"/>
      <c r="N85" s="4473"/>
      <c r="O85" s="4473"/>
      <c r="P85" s="4473"/>
      <c r="Q85" s="4473"/>
      <c r="R85" s="4473"/>
      <c r="S85" s="4473"/>
      <c r="T85" s="4473"/>
      <c r="U85" s="4473"/>
      <c r="V85" s="4473"/>
      <c r="W85" s="4473"/>
      <c r="X85" s="4473"/>
      <c r="Y85" s="4473"/>
      <c r="Z85" s="4473"/>
      <c r="AA85" s="4473"/>
      <c r="AB85" s="4473"/>
      <c r="AC85" s="4473"/>
      <c r="AD85" s="4473"/>
      <c r="AE85" s="4473"/>
      <c r="AF85" s="4473"/>
      <c r="AG85" s="4477"/>
      <c r="AH85" s="16"/>
    </row>
    <row r="86" spans="1:35" ht="24.75" customHeight="1">
      <c r="A86" s="4657">
        <v>1</v>
      </c>
      <c r="B86" s="4658" t="s">
        <v>428</v>
      </c>
      <c r="C86" s="4659"/>
      <c r="D86" s="4659"/>
      <c r="E86" s="4577"/>
      <c r="F86" s="4577"/>
      <c r="G86" s="4659"/>
      <c r="H86" s="4660" t="s">
        <v>537</v>
      </c>
      <c r="I86" s="4660" t="s">
        <v>537</v>
      </c>
      <c r="J86" s="4660" t="s">
        <v>537</v>
      </c>
      <c r="K86" s="4660" t="s">
        <v>537</v>
      </c>
      <c r="L86" s="4660" t="s">
        <v>537</v>
      </c>
      <c r="M86" s="4577"/>
      <c r="N86" s="4659"/>
      <c r="O86" s="4660" t="s">
        <v>537</v>
      </c>
      <c r="P86" s="4660" t="s">
        <v>537</v>
      </c>
      <c r="Q86" s="4660" t="s">
        <v>537</v>
      </c>
      <c r="R86" s="4660" t="s">
        <v>537</v>
      </c>
      <c r="S86" s="4660" t="s">
        <v>537</v>
      </c>
      <c r="T86" s="4577"/>
      <c r="U86" s="4659"/>
      <c r="V86" s="4660" t="s">
        <v>537</v>
      </c>
      <c r="W86" s="4629" t="s">
        <v>537</v>
      </c>
      <c r="X86" s="4629" t="s">
        <v>537</v>
      </c>
      <c r="Y86" s="4629" t="s">
        <v>537</v>
      </c>
      <c r="Z86" s="4629" t="s">
        <v>537</v>
      </c>
      <c r="AA86" s="4629"/>
      <c r="AB86" s="4629"/>
      <c r="AC86" s="4629" t="s">
        <v>537</v>
      </c>
      <c r="AD86" s="4629" t="s">
        <v>537</v>
      </c>
      <c r="AE86" s="4629" t="s">
        <v>537</v>
      </c>
      <c r="AF86" s="4629" t="s">
        <v>537</v>
      </c>
      <c r="AG86" s="4661" t="s">
        <v>537</v>
      </c>
      <c r="AH86" s="16"/>
    </row>
    <row r="87" spans="1:35" ht="24.75" customHeight="1">
      <c r="A87" s="4657">
        <v>2</v>
      </c>
      <c r="B87" s="4652" t="s">
        <v>141</v>
      </c>
      <c r="C87" s="4565"/>
      <c r="D87" s="4565"/>
      <c r="E87" s="4565"/>
      <c r="F87" s="4565"/>
      <c r="G87" s="4565"/>
      <c r="H87" s="4662">
        <v>89</v>
      </c>
      <c r="I87" s="4662">
        <v>89</v>
      </c>
      <c r="J87" s="4662">
        <v>89</v>
      </c>
      <c r="K87" s="4662">
        <v>89</v>
      </c>
      <c r="L87" s="4662">
        <v>89</v>
      </c>
      <c r="M87" s="4565"/>
      <c r="N87" s="4565"/>
      <c r="O87" s="4662">
        <v>89</v>
      </c>
      <c r="P87" s="4662">
        <v>89</v>
      </c>
      <c r="Q87" s="4662">
        <v>89</v>
      </c>
      <c r="R87" s="4663">
        <v>89</v>
      </c>
      <c r="S87" s="4663">
        <v>89</v>
      </c>
      <c r="T87" s="4648"/>
      <c r="U87" s="4648"/>
      <c r="V87" s="4663">
        <v>89</v>
      </c>
      <c r="W87" s="4663">
        <v>89</v>
      </c>
      <c r="X87" s="4663">
        <v>89</v>
      </c>
      <c r="Y87" s="4663" t="s">
        <v>362</v>
      </c>
      <c r="Z87" s="4586"/>
      <c r="AA87" s="4648"/>
      <c r="AB87" s="4648"/>
      <c r="AC87" s="4586"/>
      <c r="AD87" s="4586"/>
      <c r="AE87" s="4586"/>
      <c r="AF87" s="4586"/>
      <c r="AG87" s="4664"/>
      <c r="AH87" s="16"/>
    </row>
    <row r="88" spans="1:35" ht="24.75" customHeight="1">
      <c r="A88" s="4657">
        <v>3</v>
      </c>
      <c r="B88" s="4665" t="s">
        <v>142</v>
      </c>
      <c r="C88" s="4565"/>
      <c r="D88" s="4565"/>
      <c r="E88" s="4565"/>
      <c r="F88" s="4565"/>
      <c r="G88" s="4565"/>
      <c r="H88" s="4565"/>
      <c r="I88" s="4565"/>
      <c r="J88" s="4565"/>
      <c r="K88" s="4565"/>
      <c r="L88" s="4565"/>
      <c r="M88" s="4565"/>
      <c r="N88" s="4565"/>
      <c r="O88" s="4654" t="s">
        <v>107</v>
      </c>
      <c r="P88" s="4654" t="s">
        <v>107</v>
      </c>
      <c r="Q88" s="4654" t="s">
        <v>107</v>
      </c>
      <c r="R88" s="4654" t="s">
        <v>107</v>
      </c>
      <c r="S88" s="4654" t="s">
        <v>107</v>
      </c>
      <c r="T88" s="4565"/>
      <c r="U88" s="4565"/>
      <c r="V88" s="4654" t="s">
        <v>107</v>
      </c>
      <c r="W88" s="4654" t="s">
        <v>107</v>
      </c>
      <c r="X88" s="4654" t="s">
        <v>107</v>
      </c>
      <c r="Y88" s="4654" t="s">
        <v>107</v>
      </c>
      <c r="Z88" s="4654" t="s">
        <v>107</v>
      </c>
      <c r="AA88" s="4565"/>
      <c r="AB88" s="4565"/>
      <c r="AC88" s="4663">
        <v>6</v>
      </c>
      <c r="AD88" s="4662">
        <v>6</v>
      </c>
      <c r="AE88" s="4622" t="s">
        <v>35</v>
      </c>
      <c r="AF88" s="4654" t="s">
        <v>107</v>
      </c>
      <c r="AG88" s="4654" t="s">
        <v>107</v>
      </c>
      <c r="AH88" s="16"/>
    </row>
    <row r="89" spans="1:35" ht="24.75" customHeight="1" thickBot="1">
      <c r="A89" s="4657">
        <v>4</v>
      </c>
      <c r="B89" s="4559"/>
      <c r="C89" s="4469"/>
      <c r="D89" s="4469"/>
      <c r="E89" s="4469"/>
      <c r="F89" s="4469"/>
      <c r="G89" s="4469"/>
      <c r="H89" s="4469"/>
      <c r="I89" s="4469"/>
      <c r="J89" s="4469"/>
      <c r="K89" s="4469"/>
      <c r="L89" s="4469"/>
      <c r="M89" s="4469"/>
      <c r="N89" s="4469"/>
      <c r="O89" s="4469"/>
      <c r="P89" s="4469"/>
      <c r="Q89" s="4469"/>
      <c r="R89" s="4666"/>
      <c r="S89" s="4666"/>
      <c r="T89" s="4666"/>
      <c r="U89" s="4469"/>
      <c r="V89" s="4469"/>
      <c r="W89" s="4469"/>
      <c r="X89" s="4469"/>
      <c r="Y89" s="4469"/>
      <c r="Z89" s="4469"/>
      <c r="AA89" s="4469"/>
      <c r="AB89" s="4469"/>
      <c r="AC89" s="4469"/>
      <c r="AD89" s="4469"/>
      <c r="AE89" s="4469"/>
      <c r="AF89" s="4469"/>
      <c r="AG89" s="4470"/>
      <c r="AH89" s="16"/>
    </row>
    <row r="90" spans="1:35" ht="24.75" customHeight="1">
      <c r="A90" s="321"/>
      <c r="B90" s="322"/>
      <c r="C90" s="323"/>
      <c r="D90" s="323"/>
      <c r="E90" s="323"/>
      <c r="F90" s="323"/>
      <c r="G90" s="323"/>
      <c r="H90" s="323"/>
      <c r="I90" s="323"/>
      <c r="J90" s="323"/>
      <c r="K90" s="323"/>
      <c r="L90" s="323"/>
      <c r="M90" s="323"/>
      <c r="N90" s="323"/>
      <c r="O90" s="323"/>
      <c r="P90" s="323"/>
      <c r="Q90" s="323"/>
      <c r="R90" s="324"/>
      <c r="S90" s="324"/>
      <c r="T90" s="324"/>
      <c r="U90" s="323"/>
      <c r="V90" s="323"/>
      <c r="W90" s="323"/>
      <c r="X90" s="323"/>
      <c r="Y90" s="323"/>
      <c r="Z90" s="323"/>
      <c r="AA90" s="323"/>
      <c r="AB90" s="323"/>
      <c r="AC90" s="323"/>
      <c r="AD90" s="323"/>
      <c r="AE90" s="323"/>
      <c r="AF90" s="323"/>
      <c r="AG90" s="323"/>
      <c r="AH90" s="16"/>
    </row>
    <row r="91" spans="1:35" ht="24.75" customHeight="1" thickBot="1">
      <c r="A91" s="325" t="s">
        <v>154</v>
      </c>
      <c r="B91" s="58"/>
      <c r="C91" s="58"/>
      <c r="D91" s="58"/>
      <c r="E91" s="58"/>
      <c r="F91" s="58"/>
      <c r="G91" s="326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8"/>
      <c r="AI91" s="58"/>
    </row>
    <row r="92" spans="1:35" ht="24.75" customHeight="1" thickBot="1">
      <c r="A92" s="327"/>
      <c r="B92" s="4667" t="s">
        <v>155</v>
      </c>
      <c r="C92" s="3770"/>
      <c r="D92" s="4668" t="s">
        <v>87</v>
      </c>
      <c r="E92" s="3772"/>
      <c r="F92" s="3773"/>
      <c r="G92" s="3770"/>
      <c r="H92" s="4668" t="s">
        <v>88</v>
      </c>
      <c r="I92" s="3772"/>
      <c r="J92" s="3773"/>
      <c r="K92" s="3770"/>
      <c r="L92" s="4668" t="s">
        <v>89</v>
      </c>
      <c r="M92" s="3772"/>
      <c r="N92" s="3773"/>
      <c r="O92" s="3770"/>
      <c r="P92" s="4668" t="s">
        <v>90</v>
      </c>
      <c r="Q92" s="3772"/>
      <c r="R92" s="3773"/>
      <c r="S92" s="4669" t="s">
        <v>538</v>
      </c>
      <c r="T92" s="4668"/>
      <c r="U92" s="3772"/>
      <c r="V92" s="3773"/>
      <c r="W92" s="3770" t="s">
        <v>108</v>
      </c>
      <c r="X92" s="4668" t="s">
        <v>157</v>
      </c>
      <c r="Y92" s="3772"/>
      <c r="Z92" s="3773"/>
      <c r="AA92" s="3770" t="s">
        <v>108</v>
      </c>
      <c r="AB92" s="4668" t="s">
        <v>93</v>
      </c>
      <c r="AC92" s="3772"/>
      <c r="AD92" s="3772"/>
      <c r="AE92" s="3774" t="s">
        <v>158</v>
      </c>
      <c r="AF92" s="3772"/>
      <c r="AG92" s="3772"/>
      <c r="AH92" s="3772"/>
      <c r="AI92" s="3775"/>
    </row>
    <row r="93" spans="1:35" ht="24.75" customHeight="1">
      <c r="A93" s="327"/>
      <c r="B93" s="4207" t="s">
        <v>159</v>
      </c>
      <c r="C93" s="4670" t="s">
        <v>539</v>
      </c>
      <c r="D93" s="3772"/>
      <c r="E93" s="3778"/>
      <c r="F93" s="3779"/>
      <c r="G93" s="4670" t="s">
        <v>539</v>
      </c>
      <c r="H93" s="3778"/>
      <c r="I93" s="3778"/>
      <c r="J93" s="3779"/>
      <c r="K93" s="4671" t="s">
        <v>539</v>
      </c>
      <c r="L93" s="3772"/>
      <c r="M93" s="3772"/>
      <c r="N93" s="3781"/>
      <c r="O93" s="4671" t="s">
        <v>540</v>
      </c>
      <c r="P93" s="3772"/>
      <c r="Q93" s="3778"/>
      <c r="R93" s="3779"/>
      <c r="S93" s="4670" t="s">
        <v>541</v>
      </c>
      <c r="T93" s="3778"/>
      <c r="U93" s="3778"/>
      <c r="V93" s="3782"/>
      <c r="W93" s="4208"/>
      <c r="X93" s="4209"/>
      <c r="Y93" s="4209"/>
      <c r="Z93" s="4672"/>
      <c r="AA93" s="3782"/>
      <c r="AB93" s="3778"/>
      <c r="AC93" s="3778"/>
      <c r="AD93" s="3782"/>
      <c r="AE93" s="3786">
        <v>37</v>
      </c>
      <c r="AF93" s="3772"/>
      <c r="AG93" s="3778"/>
      <c r="AH93" s="3782"/>
      <c r="AI93" s="3787"/>
    </row>
    <row r="94" spans="1:35" ht="24.75" customHeight="1">
      <c r="A94" s="327"/>
      <c r="B94" s="1527" t="s">
        <v>163</v>
      </c>
      <c r="C94" s="4673" t="s">
        <v>538</v>
      </c>
      <c r="D94" s="1529"/>
      <c r="E94" s="1529"/>
      <c r="F94" s="1530"/>
      <c r="G94" s="4673" t="s">
        <v>542</v>
      </c>
      <c r="H94" s="1529"/>
      <c r="I94" s="1529"/>
      <c r="J94" s="1530"/>
      <c r="K94" s="4673" t="s">
        <v>165</v>
      </c>
      <c r="L94" s="1531" t="s">
        <v>166</v>
      </c>
      <c r="M94" s="1529"/>
      <c r="N94" s="1530"/>
      <c r="O94" s="4673" t="s">
        <v>165</v>
      </c>
      <c r="P94" s="1531" t="s">
        <v>166</v>
      </c>
      <c r="Q94" s="1529"/>
      <c r="R94" s="1530"/>
      <c r="S94" s="4673" t="s">
        <v>542</v>
      </c>
      <c r="T94" s="1531" t="s">
        <v>543</v>
      </c>
      <c r="U94" s="1529"/>
      <c r="V94" s="1530"/>
      <c r="W94" s="328" t="s">
        <v>544</v>
      </c>
      <c r="X94" s="329" t="s">
        <v>545</v>
      </c>
      <c r="Y94" s="63"/>
      <c r="Z94" s="63"/>
      <c r="AA94" s="4673" t="s">
        <v>546</v>
      </c>
      <c r="AB94" s="4674" t="s">
        <v>157</v>
      </c>
      <c r="AC94" s="4673"/>
      <c r="AD94" s="4673"/>
      <c r="AE94" s="1533">
        <v>68</v>
      </c>
      <c r="AF94" s="1529"/>
      <c r="AG94" s="1534"/>
      <c r="AH94" s="1535"/>
      <c r="AI94" s="1536"/>
    </row>
    <row r="95" spans="1:35" ht="24.75" customHeight="1">
      <c r="A95" s="327"/>
      <c r="B95" s="1527" t="s">
        <v>171</v>
      </c>
      <c r="C95" s="1537" t="s">
        <v>172</v>
      </c>
      <c r="D95" s="1529"/>
      <c r="E95" s="1529"/>
      <c r="F95" s="1530"/>
      <c r="G95" s="1529" t="s">
        <v>172</v>
      </c>
      <c r="H95" s="1529"/>
      <c r="I95" s="1529"/>
      <c r="J95" s="1530"/>
      <c r="K95" s="1529" t="s">
        <v>172</v>
      </c>
      <c r="L95" s="1529"/>
      <c r="M95" s="1529"/>
      <c r="N95" s="1530"/>
      <c r="O95" s="1529" t="s">
        <v>172</v>
      </c>
      <c r="P95" s="1529"/>
      <c r="Q95" s="1529"/>
      <c r="R95" s="1530"/>
      <c r="S95" s="1529" t="s">
        <v>172</v>
      </c>
      <c r="T95" s="1529"/>
      <c r="U95" s="1529"/>
      <c r="V95" s="1530"/>
      <c r="W95" s="4673"/>
      <c r="X95" s="1529"/>
      <c r="Y95" s="1529"/>
      <c r="Z95" s="1530"/>
      <c r="AA95" s="4673"/>
      <c r="AB95" s="1529"/>
      <c r="AC95" s="1529"/>
      <c r="AD95" s="1531"/>
      <c r="AE95" s="1533">
        <v>0</v>
      </c>
      <c r="AF95" s="1534"/>
      <c r="AG95" s="1529"/>
      <c r="AH95" s="1531"/>
      <c r="AI95" s="1538"/>
    </row>
    <row r="96" spans="1:35" ht="24.75" customHeight="1" thickBot="1">
      <c r="A96" s="327"/>
      <c r="B96" s="4223" t="s">
        <v>173</v>
      </c>
      <c r="C96" s="330"/>
      <c r="D96" s="331" t="s">
        <v>174</v>
      </c>
      <c r="E96" s="330"/>
      <c r="F96" s="330"/>
      <c r="G96" s="4675" t="s">
        <v>175</v>
      </c>
      <c r="H96" s="4225"/>
      <c r="I96" s="1541"/>
      <c r="J96" s="1542"/>
      <c r="K96" s="4675" t="s">
        <v>174</v>
      </c>
      <c r="L96" s="4225"/>
      <c r="M96" s="1541"/>
      <c r="N96" s="1542"/>
      <c r="O96" s="4675" t="s">
        <v>174</v>
      </c>
      <c r="P96" s="4225"/>
      <c r="Q96" s="1541"/>
      <c r="R96" s="1542"/>
      <c r="S96" s="4675" t="s">
        <v>174</v>
      </c>
      <c r="T96" s="4225"/>
      <c r="U96" s="1541"/>
      <c r="V96" s="1542"/>
      <c r="W96" s="4228"/>
      <c r="X96" s="1541"/>
      <c r="Y96" s="1541"/>
      <c r="Z96" s="4676"/>
      <c r="AA96" s="1543"/>
      <c r="AB96" s="1541"/>
      <c r="AC96" s="1541"/>
      <c r="AD96" s="1543"/>
      <c r="AE96" s="1546">
        <v>37</v>
      </c>
      <c r="AF96" s="1541"/>
      <c r="AG96" s="1541"/>
      <c r="AH96" s="1543"/>
      <c r="AI96" s="1547"/>
    </row>
    <row r="97" spans="1:35" ht="168" customHeight="1">
      <c r="A97" s="66"/>
      <c r="B97" s="327"/>
      <c r="C97" s="58"/>
      <c r="D97" s="63"/>
      <c r="E97" s="58"/>
      <c r="F97" s="58"/>
      <c r="G97" s="58"/>
      <c r="H97" s="58"/>
      <c r="I97" s="58"/>
      <c r="J97" s="58"/>
      <c r="K97" s="58"/>
      <c r="L97" s="58"/>
      <c r="M97" s="58"/>
      <c r="N97" s="58"/>
      <c r="O97" s="58"/>
      <c r="P97" s="58"/>
      <c r="Q97" s="58"/>
      <c r="R97" s="58"/>
      <c r="S97" s="58"/>
      <c r="T97" s="58"/>
      <c r="U97" s="58"/>
      <c r="V97" s="58"/>
      <c r="W97" s="58"/>
      <c r="X97" s="58"/>
      <c r="Y97" s="58"/>
      <c r="Z97" s="58"/>
      <c r="AA97" s="58"/>
      <c r="AB97" s="58"/>
      <c r="AC97" s="58"/>
      <c r="AD97" s="58"/>
      <c r="AE97" s="58"/>
      <c r="AF97" s="58"/>
      <c r="AG97" s="58"/>
      <c r="AH97" s="58"/>
      <c r="AI97" s="58"/>
    </row>
    <row r="98" spans="1:35" ht="24.75" customHeight="1" thickBot="1">
      <c r="A98" s="4677"/>
      <c r="B98" s="4678" t="s">
        <v>29</v>
      </c>
      <c r="C98" s="4468">
        <v>1</v>
      </c>
      <c r="D98" s="4469">
        <v>2</v>
      </c>
      <c r="E98" s="4469">
        <v>3</v>
      </c>
      <c r="F98" s="4468">
        <v>4</v>
      </c>
      <c r="G98" s="4468">
        <v>5</v>
      </c>
      <c r="H98" s="4469">
        <v>6</v>
      </c>
      <c r="I98" s="4469">
        <v>7</v>
      </c>
      <c r="J98" s="4469">
        <v>8</v>
      </c>
      <c r="K98" s="4469">
        <v>9</v>
      </c>
      <c r="L98" s="4469">
        <v>10</v>
      </c>
      <c r="M98" s="4468">
        <v>11</v>
      </c>
      <c r="N98" s="4468">
        <v>12</v>
      </c>
      <c r="O98" s="4469">
        <v>13</v>
      </c>
      <c r="P98" s="4469">
        <v>14</v>
      </c>
      <c r="Q98" s="4469">
        <v>15</v>
      </c>
      <c r="R98" s="4469">
        <v>16</v>
      </c>
      <c r="S98" s="4469">
        <v>17</v>
      </c>
      <c r="T98" s="4468">
        <v>18</v>
      </c>
      <c r="U98" s="4468">
        <v>19</v>
      </c>
      <c r="V98" s="4469">
        <v>20</v>
      </c>
      <c r="W98" s="4469">
        <v>21</v>
      </c>
      <c r="X98" s="4469">
        <v>22</v>
      </c>
      <c r="Y98" s="4469">
        <v>23</v>
      </c>
      <c r="Z98" s="4469">
        <v>24</v>
      </c>
      <c r="AA98" s="4468">
        <v>25</v>
      </c>
      <c r="AB98" s="4468">
        <v>26</v>
      </c>
      <c r="AC98" s="4469">
        <v>27</v>
      </c>
      <c r="AD98" s="4469">
        <v>28</v>
      </c>
      <c r="AE98" s="4469">
        <v>29</v>
      </c>
      <c r="AF98" s="4469">
        <v>30</v>
      </c>
      <c r="AG98" s="4470">
        <v>31</v>
      </c>
      <c r="AH98" s="332"/>
      <c r="AI98" s="333"/>
    </row>
    <row r="99" spans="1:35" ht="24.75" customHeight="1">
      <c r="A99" s="4679">
        <v>1</v>
      </c>
      <c r="B99" s="4518"/>
      <c r="C99" s="4174"/>
      <c r="D99" s="4174" t="s">
        <v>176</v>
      </c>
      <c r="E99" s="4174" t="s">
        <v>176</v>
      </c>
      <c r="F99" s="4174"/>
      <c r="G99" s="4174"/>
      <c r="H99" s="4174" t="s">
        <v>110</v>
      </c>
      <c r="I99" s="4174" t="s">
        <v>110</v>
      </c>
      <c r="J99" s="4174" t="s">
        <v>110</v>
      </c>
      <c r="K99" s="4174" t="s">
        <v>110</v>
      </c>
      <c r="L99" s="4174" t="s">
        <v>110</v>
      </c>
      <c r="M99" s="4174" t="s">
        <v>108</v>
      </c>
      <c r="N99" s="4174" t="s">
        <v>108</v>
      </c>
      <c r="O99" s="4174" t="s">
        <v>35</v>
      </c>
      <c r="P99" s="4236" t="s">
        <v>35</v>
      </c>
      <c r="Q99" s="4174" t="s">
        <v>35</v>
      </c>
      <c r="R99" s="4174" t="s">
        <v>35</v>
      </c>
      <c r="S99" s="4174" t="s">
        <v>35</v>
      </c>
      <c r="T99" s="4174"/>
      <c r="U99" s="4174"/>
      <c r="V99" s="4174" t="s">
        <v>176</v>
      </c>
      <c r="W99" s="4174" t="s">
        <v>176</v>
      </c>
      <c r="X99" s="4174" t="s">
        <v>176</v>
      </c>
      <c r="Y99" s="4174" t="s">
        <v>176</v>
      </c>
      <c r="Z99" s="4237" t="s">
        <v>176</v>
      </c>
      <c r="AA99" s="4237"/>
      <c r="AB99" s="4174"/>
      <c r="AC99" s="4174" t="s">
        <v>176</v>
      </c>
      <c r="AD99" s="4174" t="s">
        <v>176</v>
      </c>
      <c r="AE99" s="4174" t="s">
        <v>176</v>
      </c>
      <c r="AF99" s="4174" t="s">
        <v>176</v>
      </c>
      <c r="AG99" s="4174" t="s">
        <v>176</v>
      </c>
      <c r="AH99" s="334"/>
      <c r="AI99" s="335"/>
    </row>
    <row r="100" spans="1:35" ht="24.75" customHeight="1" thickBot="1">
      <c r="A100" s="4680">
        <v>2</v>
      </c>
      <c r="B100" s="4492" t="s">
        <v>177</v>
      </c>
      <c r="C100" s="1554"/>
      <c r="D100" s="4681" t="s">
        <v>127</v>
      </c>
      <c r="E100" s="4681" t="s">
        <v>127</v>
      </c>
      <c r="F100" s="1554"/>
      <c r="G100" s="1554"/>
      <c r="H100" s="4681" t="s">
        <v>127</v>
      </c>
      <c r="I100" s="4681" t="s">
        <v>127</v>
      </c>
      <c r="J100" s="4681" t="s">
        <v>127</v>
      </c>
      <c r="K100" s="4681" t="s">
        <v>127</v>
      </c>
      <c r="L100" s="4681" t="s">
        <v>127</v>
      </c>
      <c r="M100" s="1555"/>
      <c r="N100" s="1555"/>
      <c r="O100" s="1555" t="s">
        <v>110</v>
      </c>
      <c r="P100" s="1554" t="s">
        <v>110</v>
      </c>
      <c r="Q100" s="1555" t="s">
        <v>110</v>
      </c>
      <c r="R100" s="1555" t="s">
        <v>110</v>
      </c>
      <c r="S100" s="1555" t="s">
        <v>110</v>
      </c>
      <c r="T100" s="4493" t="s">
        <v>108</v>
      </c>
      <c r="U100" s="1557" t="s">
        <v>108</v>
      </c>
      <c r="V100" s="1555" t="s">
        <v>35</v>
      </c>
      <c r="W100" s="1558" t="s">
        <v>35</v>
      </c>
      <c r="X100" s="1555" t="s">
        <v>35</v>
      </c>
      <c r="Y100" s="1555" t="s">
        <v>35</v>
      </c>
      <c r="Z100" s="1555" t="s">
        <v>35</v>
      </c>
      <c r="AA100" s="1555"/>
      <c r="AB100" s="1555"/>
      <c r="AC100" s="4681" t="s">
        <v>127</v>
      </c>
      <c r="AD100" s="4681" t="s">
        <v>127</v>
      </c>
      <c r="AE100" s="4681" t="s">
        <v>127</v>
      </c>
      <c r="AF100" s="4682" t="s">
        <v>127</v>
      </c>
      <c r="AG100" s="4681" t="s">
        <v>127</v>
      </c>
      <c r="AH100" s="334"/>
      <c r="AI100" s="335"/>
    </row>
    <row r="101" spans="1:35" ht="24.75" customHeight="1" thickBot="1">
      <c r="A101" s="4680">
        <v>3</v>
      </c>
      <c r="B101" s="4683" t="s">
        <v>178</v>
      </c>
      <c r="C101" s="1555" t="s">
        <v>35</v>
      </c>
      <c r="D101" s="4684" t="s">
        <v>35</v>
      </c>
      <c r="E101" s="1562" t="s">
        <v>35</v>
      </c>
      <c r="F101" s="1562"/>
      <c r="G101" s="1555"/>
      <c r="H101" s="4586" t="s">
        <v>244</v>
      </c>
      <c r="I101" s="4586" t="s">
        <v>244</v>
      </c>
      <c r="J101" s="4586" t="s">
        <v>244</v>
      </c>
      <c r="K101" s="4586" t="s">
        <v>244</v>
      </c>
      <c r="L101" s="4586" t="s">
        <v>244</v>
      </c>
      <c r="M101" s="4685"/>
      <c r="N101" s="4564"/>
      <c r="O101" s="4493" t="s">
        <v>127</v>
      </c>
      <c r="P101" s="4493" t="s">
        <v>127</v>
      </c>
      <c r="Q101" s="4586" t="s">
        <v>127</v>
      </c>
      <c r="R101" s="4586" t="s">
        <v>127</v>
      </c>
      <c r="S101" s="4586" t="s">
        <v>127</v>
      </c>
      <c r="T101" s="4502" t="s">
        <v>0</v>
      </c>
      <c r="U101" s="4564"/>
      <c r="V101" s="4564" t="s">
        <v>110</v>
      </c>
      <c r="W101" s="4564" t="s">
        <v>110</v>
      </c>
      <c r="X101" s="4564" t="s">
        <v>110</v>
      </c>
      <c r="Y101" s="4564" t="s">
        <v>110</v>
      </c>
      <c r="Z101" s="1557" t="s">
        <v>110</v>
      </c>
      <c r="AA101" s="4686" t="s">
        <v>108</v>
      </c>
      <c r="AB101" s="1557" t="s">
        <v>108</v>
      </c>
      <c r="AC101" s="4493" t="s">
        <v>35</v>
      </c>
      <c r="AD101" s="4493" t="s">
        <v>35</v>
      </c>
      <c r="AE101" s="4687" t="s">
        <v>35</v>
      </c>
      <c r="AF101" s="1555" t="s">
        <v>35</v>
      </c>
      <c r="AG101" s="4688" t="s">
        <v>35</v>
      </c>
      <c r="AH101" s="334"/>
      <c r="AI101" s="335"/>
    </row>
    <row r="102" spans="1:35" ht="24.75" customHeight="1" thickBot="1">
      <c r="A102" s="4689">
        <v>4</v>
      </c>
      <c r="B102" s="4690"/>
      <c r="C102" s="4691" t="s">
        <v>110</v>
      </c>
      <c r="D102" s="4691" t="s">
        <v>110</v>
      </c>
      <c r="E102" s="4691" t="s">
        <v>110</v>
      </c>
      <c r="F102" s="4691" t="s">
        <v>108</v>
      </c>
      <c r="G102" s="4691" t="s">
        <v>108</v>
      </c>
      <c r="H102" s="4691" t="s">
        <v>35</v>
      </c>
      <c r="I102" s="4691" t="s">
        <v>35</v>
      </c>
      <c r="J102" s="4691" t="s">
        <v>35</v>
      </c>
      <c r="K102" s="4691" t="s">
        <v>35</v>
      </c>
      <c r="L102" s="4691" t="s">
        <v>35</v>
      </c>
      <c r="M102" s="4691"/>
      <c r="N102" s="4691"/>
      <c r="O102" s="4691" t="s">
        <v>176</v>
      </c>
      <c r="P102" s="4691" t="s">
        <v>176</v>
      </c>
      <c r="Q102" s="4691" t="s">
        <v>176</v>
      </c>
      <c r="R102" s="4691" t="s">
        <v>176</v>
      </c>
      <c r="S102" s="4691" t="s">
        <v>176</v>
      </c>
      <c r="T102" s="4691"/>
      <c r="U102" s="4691"/>
      <c r="V102" s="4691" t="s">
        <v>176</v>
      </c>
      <c r="W102" s="4691" t="s">
        <v>176</v>
      </c>
      <c r="X102" s="4691" t="s">
        <v>176</v>
      </c>
      <c r="Y102" s="4691" t="s">
        <v>176</v>
      </c>
      <c r="Z102" s="4691" t="s">
        <v>176</v>
      </c>
      <c r="AA102" s="4691" t="s">
        <v>0</v>
      </c>
      <c r="AB102" s="4691" t="s">
        <v>0</v>
      </c>
      <c r="AC102" s="4691" t="s">
        <v>110</v>
      </c>
      <c r="AD102" s="4691" t="s">
        <v>110</v>
      </c>
      <c r="AE102" s="4691" t="s">
        <v>110</v>
      </c>
      <c r="AF102" s="4691" t="s">
        <v>110</v>
      </c>
      <c r="AG102" s="4691" t="s">
        <v>110</v>
      </c>
      <c r="AH102" s="334"/>
      <c r="AI102" s="335"/>
    </row>
    <row r="103" spans="1:35" ht="24.75" customHeight="1" thickBot="1">
      <c r="A103" s="336"/>
      <c r="B103" s="72"/>
      <c r="C103" s="73"/>
      <c r="D103" s="73"/>
      <c r="E103" s="73"/>
      <c r="F103" s="73"/>
      <c r="G103" s="73"/>
      <c r="H103" s="73"/>
      <c r="I103" s="73"/>
      <c r="J103" s="73"/>
      <c r="K103" s="73"/>
      <c r="L103" s="73"/>
      <c r="M103" s="73"/>
      <c r="N103" s="73"/>
      <c r="O103" s="73"/>
      <c r="P103" s="73"/>
      <c r="Q103" s="73"/>
      <c r="R103" s="73"/>
      <c r="S103" s="73"/>
      <c r="T103" s="73"/>
      <c r="U103" s="73"/>
      <c r="V103" s="73"/>
      <c r="W103" s="73"/>
      <c r="X103" s="73"/>
      <c r="Y103" s="73"/>
      <c r="Z103" s="73"/>
      <c r="AA103" s="73"/>
      <c r="AB103" s="73"/>
      <c r="AC103" s="73"/>
      <c r="AD103" s="73"/>
      <c r="AE103" s="73"/>
      <c r="AF103" s="73"/>
      <c r="AG103" s="73"/>
      <c r="AH103" s="337"/>
      <c r="AI103" s="335"/>
    </row>
    <row r="104" spans="1:35" ht="24.75" customHeight="1">
      <c r="A104" s="17"/>
      <c r="B104" s="4692" t="s">
        <v>179</v>
      </c>
      <c r="C104" s="4693"/>
      <c r="D104" s="3837" t="s">
        <v>87</v>
      </c>
      <c r="E104" s="4694"/>
      <c r="F104" s="4693"/>
      <c r="G104" s="3837" t="s">
        <v>88</v>
      </c>
      <c r="H104" s="4695"/>
      <c r="I104" s="4696"/>
      <c r="J104" s="3837" t="s">
        <v>89</v>
      </c>
      <c r="K104" s="3842"/>
      <c r="L104" s="4696"/>
      <c r="M104" s="3841" t="s">
        <v>90</v>
      </c>
      <c r="N104" s="3842"/>
      <c r="O104" s="4696"/>
      <c r="P104" s="3837" t="s">
        <v>91</v>
      </c>
      <c r="Q104" s="3842"/>
      <c r="R104" s="4696"/>
      <c r="S104" s="3837" t="s">
        <v>92</v>
      </c>
      <c r="T104" s="4697"/>
      <c r="U104" s="4696"/>
      <c r="V104" s="3837" t="s">
        <v>93</v>
      </c>
      <c r="W104" s="3842"/>
      <c r="X104" s="3844" t="s">
        <v>158</v>
      </c>
      <c r="Y104" s="3845"/>
      <c r="Z104" s="3845"/>
      <c r="AA104" s="3846"/>
      <c r="AB104" s="4698" t="s">
        <v>94</v>
      </c>
      <c r="AC104" s="3848"/>
      <c r="AD104" s="3848"/>
      <c r="AE104" s="3849"/>
      <c r="AF104" s="3849"/>
      <c r="AG104" s="3850"/>
      <c r="AH104" s="337"/>
      <c r="AI104" s="335"/>
    </row>
    <row r="105" spans="1:35" ht="24.75" customHeight="1">
      <c r="A105" s="17"/>
      <c r="B105" s="4699" t="s">
        <v>180</v>
      </c>
      <c r="C105" s="1570" t="s">
        <v>181</v>
      </c>
      <c r="D105" s="4452"/>
      <c r="E105" s="4453"/>
      <c r="F105" s="1570" t="s">
        <v>181</v>
      </c>
      <c r="G105" s="4452"/>
      <c r="H105" s="4453"/>
      <c r="I105" s="1570" t="s">
        <v>181</v>
      </c>
      <c r="J105" s="4452"/>
      <c r="K105" s="4453"/>
      <c r="L105" s="1570" t="s">
        <v>181</v>
      </c>
      <c r="M105" s="4452"/>
      <c r="N105" s="4453"/>
      <c r="O105" s="1570" t="s">
        <v>182</v>
      </c>
      <c r="P105" s="4452"/>
      <c r="Q105" s="4453"/>
      <c r="R105" s="1570"/>
      <c r="S105" s="4452"/>
      <c r="T105" s="4453"/>
      <c r="U105" s="1570"/>
      <c r="V105" s="4452"/>
      <c r="W105" s="4453"/>
      <c r="X105" s="1570"/>
      <c r="Y105" s="1571"/>
      <c r="Z105" s="1571"/>
      <c r="AA105" s="1571"/>
      <c r="AB105" s="4449"/>
      <c r="AC105" s="1571"/>
      <c r="AD105" s="1571"/>
      <c r="AE105" s="1571"/>
      <c r="AF105" s="1571"/>
      <c r="AG105" s="1572"/>
      <c r="AH105" s="337"/>
      <c r="AI105" s="335"/>
    </row>
    <row r="106" spans="1:35" ht="24.75" customHeight="1">
      <c r="A106" s="17"/>
      <c r="B106" s="16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337"/>
      <c r="AI106" s="335"/>
    </row>
    <row r="107" spans="1:35" ht="24.75" customHeight="1" thickBot="1">
      <c r="A107" s="4602" t="s">
        <v>28</v>
      </c>
      <c r="B107" s="1456" t="s">
        <v>29</v>
      </c>
      <c r="C107" s="4468">
        <v>1</v>
      </c>
      <c r="D107" s="4469">
        <v>2</v>
      </c>
      <c r="E107" s="4469">
        <v>3</v>
      </c>
      <c r="F107" s="4468">
        <v>4</v>
      </c>
      <c r="G107" s="4468">
        <v>5</v>
      </c>
      <c r="H107" s="4469">
        <v>6</v>
      </c>
      <c r="I107" s="4469">
        <v>7</v>
      </c>
      <c r="J107" s="4469">
        <v>8</v>
      </c>
      <c r="K107" s="4469">
        <v>9</v>
      </c>
      <c r="L107" s="4469">
        <v>10</v>
      </c>
      <c r="M107" s="4468">
        <v>11</v>
      </c>
      <c r="N107" s="4468">
        <v>12</v>
      </c>
      <c r="O107" s="4469">
        <v>13</v>
      </c>
      <c r="P107" s="4469">
        <v>14</v>
      </c>
      <c r="Q107" s="4469">
        <v>15</v>
      </c>
      <c r="R107" s="4469">
        <v>16</v>
      </c>
      <c r="S107" s="4469">
        <v>17</v>
      </c>
      <c r="T107" s="4468">
        <v>18</v>
      </c>
      <c r="U107" s="4468">
        <v>19</v>
      </c>
      <c r="V107" s="4469">
        <v>20</v>
      </c>
      <c r="W107" s="4469">
        <v>21</v>
      </c>
      <c r="X107" s="4469">
        <v>22</v>
      </c>
      <c r="Y107" s="4469">
        <v>23</v>
      </c>
      <c r="Z107" s="4469">
        <v>24</v>
      </c>
      <c r="AA107" s="4468">
        <v>25</v>
      </c>
      <c r="AB107" s="4468">
        <v>26</v>
      </c>
      <c r="AC107" s="4469">
        <v>27</v>
      </c>
      <c r="AD107" s="4469">
        <v>28</v>
      </c>
      <c r="AE107" s="4469">
        <v>29</v>
      </c>
      <c r="AF107" s="4469">
        <v>30</v>
      </c>
      <c r="AG107" s="4470">
        <v>31</v>
      </c>
      <c r="AH107" s="337"/>
      <c r="AI107" s="335"/>
    </row>
    <row r="108" spans="1:35" ht="24.75" customHeight="1">
      <c r="A108" s="4257">
        <v>8520</v>
      </c>
      <c r="B108" s="4258" t="s">
        <v>183</v>
      </c>
      <c r="C108" s="4473"/>
      <c r="D108" s="4473" t="s">
        <v>118</v>
      </c>
      <c r="E108" s="4473" t="s">
        <v>118</v>
      </c>
      <c r="F108" s="4473"/>
      <c r="G108" s="4473"/>
      <c r="H108" s="4473" t="s">
        <v>118</v>
      </c>
      <c r="I108" s="4473" t="s">
        <v>118</v>
      </c>
      <c r="J108" s="4473" t="s">
        <v>118</v>
      </c>
      <c r="K108" s="4473" t="s">
        <v>118</v>
      </c>
      <c r="L108" s="4700" t="s">
        <v>118</v>
      </c>
      <c r="M108" s="4473"/>
      <c r="N108" s="4473"/>
      <c r="O108" s="4473" t="s">
        <v>118</v>
      </c>
      <c r="P108" s="4475" t="s">
        <v>118</v>
      </c>
      <c r="Q108" s="4475" t="s">
        <v>118</v>
      </c>
      <c r="R108" s="4473" t="s">
        <v>118</v>
      </c>
      <c r="S108" s="4473" t="s">
        <v>118</v>
      </c>
      <c r="T108" s="4473"/>
      <c r="U108" s="4473"/>
      <c r="V108" s="4473" t="s">
        <v>118</v>
      </c>
      <c r="W108" s="4473" t="s">
        <v>118</v>
      </c>
      <c r="X108" s="4473" t="s">
        <v>118</v>
      </c>
      <c r="Y108" s="4473" t="s">
        <v>118</v>
      </c>
      <c r="Z108" s="4473" t="s">
        <v>118</v>
      </c>
      <c r="AA108" s="4473"/>
      <c r="AB108" s="4473"/>
      <c r="AC108" s="4473" t="s">
        <v>118</v>
      </c>
      <c r="AD108" s="4473" t="s">
        <v>118</v>
      </c>
      <c r="AE108" s="4473" t="s">
        <v>118</v>
      </c>
      <c r="AF108" s="4473" t="s">
        <v>118</v>
      </c>
      <c r="AG108" s="4473" t="s">
        <v>118</v>
      </c>
      <c r="AH108" s="337"/>
      <c r="AI108" s="335"/>
    </row>
    <row r="109" spans="1:35" ht="24.75" customHeight="1">
      <c r="AH109" s="17"/>
      <c r="AI109" s="17"/>
    </row>
    <row r="110" spans="1:35" ht="24.75" customHeight="1" thickBot="1">
      <c r="A110" s="338" t="s">
        <v>185</v>
      </c>
      <c r="B110" s="339"/>
      <c r="C110" s="339"/>
      <c r="D110" s="79"/>
      <c r="E110" s="79"/>
      <c r="F110" s="79"/>
      <c r="G110" s="340"/>
      <c r="H110" s="79"/>
      <c r="I110" s="79"/>
      <c r="J110" s="79"/>
      <c r="K110" s="79"/>
      <c r="L110" s="79"/>
      <c r="M110" s="79"/>
      <c r="N110" s="79"/>
      <c r="O110" s="79"/>
      <c r="P110" s="79"/>
      <c r="Q110" s="79"/>
      <c r="R110" s="79"/>
      <c r="S110" s="79"/>
      <c r="T110" s="79"/>
      <c r="U110" s="79"/>
      <c r="V110" s="79"/>
      <c r="W110" s="79"/>
      <c r="X110" s="79"/>
      <c r="Y110" s="79"/>
      <c r="Z110" s="79"/>
      <c r="AA110" s="79"/>
      <c r="AB110" s="79"/>
      <c r="AC110" s="79"/>
      <c r="AD110" s="79"/>
      <c r="AE110" s="79"/>
      <c r="AF110" s="79"/>
      <c r="AG110" s="79"/>
      <c r="AH110" s="339"/>
      <c r="AI110" s="339"/>
    </row>
    <row r="111" spans="1:35" ht="24.75" customHeight="1">
      <c r="A111" s="338"/>
      <c r="B111" s="4692" t="s">
        <v>186</v>
      </c>
      <c r="C111" s="4701"/>
      <c r="D111" s="4702" t="s">
        <v>87</v>
      </c>
      <c r="E111" s="4703"/>
      <c r="F111" s="4704"/>
      <c r="G111" s="4701"/>
      <c r="H111" s="4702" t="s">
        <v>88</v>
      </c>
      <c r="I111" s="4703"/>
      <c r="J111" s="4704"/>
      <c r="K111" s="4701"/>
      <c r="L111" s="4702" t="s">
        <v>89</v>
      </c>
      <c r="M111" s="4703"/>
      <c r="N111" s="4704"/>
      <c r="O111" s="4701"/>
      <c r="P111" s="4702" t="s">
        <v>90</v>
      </c>
      <c r="Q111" s="4703"/>
      <c r="R111" s="4704"/>
      <c r="S111" s="4701"/>
      <c r="T111" s="4702" t="s">
        <v>91</v>
      </c>
      <c r="U111" s="4703"/>
      <c r="V111" s="4704"/>
      <c r="W111" s="4701"/>
      <c r="X111" s="4702" t="s">
        <v>92</v>
      </c>
      <c r="Y111" s="4703"/>
      <c r="Z111" s="4704"/>
      <c r="AA111" s="4701"/>
      <c r="AB111" s="4702" t="s">
        <v>93</v>
      </c>
      <c r="AC111" s="4703"/>
      <c r="AD111" s="4703"/>
      <c r="AE111" s="4705" t="s">
        <v>94</v>
      </c>
      <c r="AF111" s="4703"/>
      <c r="AG111" s="4703"/>
      <c r="AH111" s="4703"/>
      <c r="AI111" s="4706"/>
    </row>
    <row r="112" spans="1:35" ht="24.75" customHeight="1">
      <c r="A112" s="338"/>
      <c r="B112" s="4707" t="s">
        <v>159</v>
      </c>
      <c r="C112" s="4598">
        <v>69</v>
      </c>
      <c r="D112" s="4708" t="s">
        <v>187</v>
      </c>
      <c r="E112" s="4708"/>
      <c r="F112" s="4709"/>
      <c r="G112" s="4598">
        <v>69</v>
      </c>
      <c r="H112" s="4708" t="s">
        <v>187</v>
      </c>
      <c r="I112" s="4708"/>
      <c r="J112" s="4709"/>
      <c r="K112" s="4598">
        <v>69</v>
      </c>
      <c r="L112" s="4708" t="s">
        <v>187</v>
      </c>
      <c r="M112" s="4708"/>
      <c r="N112" s="4709"/>
      <c r="O112" s="4598">
        <v>69</v>
      </c>
      <c r="P112" s="4708" t="s">
        <v>187</v>
      </c>
      <c r="Q112" s="4708"/>
      <c r="R112" s="4709"/>
      <c r="S112" s="4598">
        <v>69</v>
      </c>
      <c r="T112" s="4708" t="s">
        <v>187</v>
      </c>
      <c r="U112" s="4708"/>
      <c r="V112" s="4709"/>
      <c r="W112" s="4598"/>
      <c r="X112" s="4710"/>
      <c r="Y112" s="4710"/>
      <c r="Z112" s="4711"/>
      <c r="AA112" s="4598"/>
      <c r="AB112" s="4708"/>
      <c r="AC112" s="4708"/>
      <c r="AD112" s="4593"/>
      <c r="AE112" s="4712">
        <v>35</v>
      </c>
      <c r="AF112" s="4708"/>
      <c r="AG112" s="4708"/>
      <c r="AH112" s="4593"/>
      <c r="AI112" s="4713"/>
    </row>
    <row r="113" spans="1:35" ht="24.75" customHeight="1">
      <c r="A113" s="338"/>
      <c r="B113" s="4707" t="s">
        <v>163</v>
      </c>
      <c r="C113" s="4598">
        <v>79</v>
      </c>
      <c r="D113" s="4708" t="s">
        <v>188</v>
      </c>
      <c r="E113" s="4708"/>
      <c r="F113" s="4709"/>
      <c r="G113" s="4598">
        <v>79</v>
      </c>
      <c r="H113" s="4708" t="s">
        <v>188</v>
      </c>
      <c r="I113" s="4708"/>
      <c r="J113" s="4709"/>
      <c r="K113" s="4598">
        <v>79</v>
      </c>
      <c r="L113" s="4708" t="s">
        <v>188</v>
      </c>
      <c r="M113" s="4708"/>
      <c r="N113" s="4709"/>
      <c r="O113" s="4598">
        <v>79</v>
      </c>
      <c r="P113" s="4708" t="s">
        <v>188</v>
      </c>
      <c r="Q113" s="4708"/>
      <c r="R113" s="4709"/>
      <c r="S113" s="4598">
        <v>79</v>
      </c>
      <c r="T113" s="4708" t="s">
        <v>188</v>
      </c>
      <c r="U113" s="4708"/>
      <c r="V113" s="4709"/>
      <c r="W113" s="4598"/>
      <c r="X113" s="4708"/>
      <c r="Y113" s="4708"/>
      <c r="Z113" s="4709"/>
      <c r="AA113" s="4708"/>
      <c r="AB113" s="4708"/>
      <c r="AC113" s="4708"/>
      <c r="AD113" s="4593"/>
      <c r="AE113" s="4712">
        <v>40</v>
      </c>
      <c r="AF113" s="4708"/>
      <c r="AG113" s="4708"/>
      <c r="AH113" s="4593"/>
      <c r="AI113" s="4713"/>
    </row>
    <row r="114" spans="1:35" ht="24.75" customHeight="1">
      <c r="A114" s="338"/>
      <c r="B114" s="4707" t="s">
        <v>171</v>
      </c>
      <c r="C114" s="4598">
        <v>89</v>
      </c>
      <c r="D114" s="4708" t="s">
        <v>189</v>
      </c>
      <c r="E114" s="4708"/>
      <c r="F114" s="4709"/>
      <c r="G114" s="4598">
        <v>89</v>
      </c>
      <c r="H114" s="4708" t="s">
        <v>189</v>
      </c>
      <c r="I114" s="4708"/>
      <c r="J114" s="4709"/>
      <c r="K114" s="4598">
        <v>89</v>
      </c>
      <c r="L114" s="4708" t="s">
        <v>189</v>
      </c>
      <c r="M114" s="4708"/>
      <c r="N114" s="4709"/>
      <c r="O114" s="4598">
        <v>89</v>
      </c>
      <c r="P114" s="4708" t="s">
        <v>189</v>
      </c>
      <c r="Q114" s="4708"/>
      <c r="R114" s="4709"/>
      <c r="S114" s="4598">
        <v>89</v>
      </c>
      <c r="T114" s="4708" t="s">
        <v>190</v>
      </c>
      <c r="U114" s="4708"/>
      <c r="V114" s="4709"/>
      <c r="W114" s="4714"/>
      <c r="X114" s="4715" t="s">
        <v>191</v>
      </c>
      <c r="Y114" s="4715"/>
      <c r="Z114" s="4716"/>
      <c r="AA114" s="4714"/>
      <c r="AB114" s="4715"/>
      <c r="AC114" s="4715"/>
      <c r="AD114" s="4596"/>
      <c r="AE114" s="4712">
        <v>44</v>
      </c>
      <c r="AF114" s="4708"/>
      <c r="AG114" s="4708"/>
      <c r="AH114" s="4593"/>
      <c r="AI114" s="4713"/>
    </row>
    <row r="115" spans="1:35" ht="24.75" customHeight="1">
      <c r="A115" s="338"/>
      <c r="B115" s="341" t="s">
        <v>173</v>
      </c>
      <c r="C115" s="4714">
        <v>99</v>
      </c>
      <c r="D115" s="4715" t="s">
        <v>192</v>
      </c>
      <c r="E115" s="4715"/>
      <c r="F115" s="4716"/>
      <c r="G115" s="4714">
        <v>99</v>
      </c>
      <c r="H115" s="4715" t="s">
        <v>192</v>
      </c>
      <c r="I115" s="4715"/>
      <c r="J115" s="4716"/>
      <c r="K115" s="4714">
        <v>99</v>
      </c>
      <c r="L115" s="4715" t="s">
        <v>192</v>
      </c>
      <c r="M115" s="4715"/>
      <c r="N115" s="4716"/>
      <c r="O115" s="4714">
        <v>99</v>
      </c>
      <c r="P115" s="4715" t="s">
        <v>192</v>
      </c>
      <c r="Q115" s="4715"/>
      <c r="R115" s="4716"/>
      <c r="S115" s="4714">
        <v>99</v>
      </c>
      <c r="T115" s="4715" t="s">
        <v>172</v>
      </c>
      <c r="U115" s="4715"/>
      <c r="V115" s="4596"/>
      <c r="W115" s="4595"/>
      <c r="X115" s="4596"/>
      <c r="Y115" s="4715"/>
      <c r="Z115" s="4716"/>
      <c r="AA115" s="4595"/>
      <c r="AB115" s="4596"/>
      <c r="AC115" s="4715"/>
      <c r="AD115" s="4716"/>
      <c r="AE115" s="4717">
        <v>28</v>
      </c>
      <c r="AF115" s="4715"/>
      <c r="AG115" s="4715"/>
      <c r="AH115" s="4596"/>
      <c r="AI115" s="4718"/>
    </row>
    <row r="116" spans="1:35" ht="24.75" customHeight="1" thickBot="1">
      <c r="A116" s="338"/>
      <c r="B116" s="4719" t="s">
        <v>193</v>
      </c>
      <c r="C116" s="4720" t="s">
        <v>47</v>
      </c>
      <c r="D116" s="1588" t="s">
        <v>194</v>
      </c>
      <c r="E116" s="1589"/>
      <c r="F116" s="4543"/>
      <c r="G116" s="4720" t="s">
        <v>47</v>
      </c>
      <c r="H116" s="1588" t="s">
        <v>194</v>
      </c>
      <c r="I116" s="4541"/>
      <c r="J116" s="1589"/>
      <c r="K116" s="4720" t="s">
        <v>47</v>
      </c>
      <c r="L116" s="1588" t="s">
        <v>194</v>
      </c>
      <c r="M116" s="1589"/>
      <c r="N116" s="1590"/>
      <c r="O116" s="4720" t="s">
        <v>47</v>
      </c>
      <c r="P116" s="1588" t="s">
        <v>194</v>
      </c>
      <c r="Q116" s="1589"/>
      <c r="R116" s="1588"/>
      <c r="S116" s="4720" t="s">
        <v>47</v>
      </c>
      <c r="T116" s="4545" t="s">
        <v>195</v>
      </c>
      <c r="U116" s="1588"/>
      <c r="V116" s="1590"/>
      <c r="W116" s="1589"/>
      <c r="X116" s="1588"/>
      <c r="Y116" s="1588"/>
      <c r="Z116" s="1588"/>
      <c r="AA116" s="4721"/>
      <c r="AB116" s="1592"/>
      <c r="AC116" s="1588"/>
      <c r="AD116" s="1593"/>
      <c r="AE116" s="1588"/>
      <c r="AF116" s="1588"/>
      <c r="AG116" s="1588"/>
      <c r="AH116" s="4722"/>
      <c r="AI116" s="4723"/>
    </row>
    <row r="117" spans="1:35" ht="24.75" customHeight="1">
      <c r="A117" s="342"/>
      <c r="B117" s="338"/>
      <c r="C117" s="79"/>
      <c r="D117" s="79"/>
      <c r="E117" s="79"/>
      <c r="F117" s="79"/>
      <c r="G117" s="79"/>
      <c r="H117" s="79"/>
      <c r="I117" s="79"/>
      <c r="J117" s="79"/>
      <c r="K117" s="79"/>
      <c r="L117" s="79"/>
      <c r="M117" s="79"/>
      <c r="N117" s="79"/>
      <c r="O117" s="79"/>
      <c r="P117" s="79"/>
      <c r="Q117" s="79"/>
      <c r="R117" s="79"/>
      <c r="S117" s="79"/>
      <c r="T117" s="79"/>
      <c r="U117" s="79"/>
      <c r="V117" s="79"/>
      <c r="W117" s="79"/>
      <c r="X117" s="79"/>
      <c r="Y117" s="79"/>
      <c r="Z117" s="79"/>
      <c r="AA117" s="79"/>
      <c r="AB117" s="79"/>
      <c r="AC117" s="79"/>
      <c r="AD117" s="79"/>
      <c r="AE117" s="79"/>
      <c r="AF117" s="79"/>
      <c r="AG117" s="79"/>
      <c r="AH117" s="339"/>
      <c r="AI117" s="339"/>
    </row>
    <row r="118" spans="1:35" ht="24.75" customHeight="1" thickBot="1">
      <c r="A118" s="4602"/>
      <c r="B118" s="1456" t="s">
        <v>29</v>
      </c>
      <c r="C118" s="4468">
        <v>1</v>
      </c>
      <c r="D118" s="4469">
        <v>2</v>
      </c>
      <c r="E118" s="4469">
        <v>3</v>
      </c>
      <c r="F118" s="4468">
        <v>4</v>
      </c>
      <c r="G118" s="4468">
        <v>5</v>
      </c>
      <c r="H118" s="4469">
        <v>6</v>
      </c>
      <c r="I118" s="4469">
        <v>7</v>
      </c>
      <c r="J118" s="4469">
        <v>8</v>
      </c>
      <c r="K118" s="4469">
        <v>9</v>
      </c>
      <c r="L118" s="4469">
        <v>10</v>
      </c>
      <c r="M118" s="4468">
        <v>11</v>
      </c>
      <c r="N118" s="4468">
        <v>12</v>
      </c>
      <c r="O118" s="4469">
        <v>13</v>
      </c>
      <c r="P118" s="4469">
        <v>14</v>
      </c>
      <c r="Q118" s="4469">
        <v>15</v>
      </c>
      <c r="R118" s="4469">
        <v>16</v>
      </c>
      <c r="S118" s="4469">
        <v>17</v>
      </c>
      <c r="T118" s="4468">
        <v>18</v>
      </c>
      <c r="U118" s="4468">
        <v>19</v>
      </c>
      <c r="V118" s="4469">
        <v>20</v>
      </c>
      <c r="W118" s="4469">
        <v>21</v>
      </c>
      <c r="X118" s="4469">
        <v>22</v>
      </c>
      <c r="Y118" s="4469">
        <v>23</v>
      </c>
      <c r="Z118" s="4469">
        <v>24</v>
      </c>
      <c r="AA118" s="4468">
        <v>25</v>
      </c>
      <c r="AB118" s="4468">
        <v>26</v>
      </c>
      <c r="AC118" s="4469">
        <v>27</v>
      </c>
      <c r="AD118" s="4469">
        <v>28</v>
      </c>
      <c r="AE118" s="4469">
        <v>29</v>
      </c>
      <c r="AF118" s="4469">
        <v>30</v>
      </c>
      <c r="AG118" s="4470">
        <v>31</v>
      </c>
      <c r="AH118" s="303"/>
      <c r="AI118" s="304"/>
    </row>
    <row r="119" spans="1:35" ht="24.75" customHeight="1">
      <c r="A119" s="4724">
        <v>1</v>
      </c>
      <c r="B119" s="4658" t="s">
        <v>196</v>
      </c>
      <c r="C119" s="4551"/>
      <c r="D119" s="4551">
        <v>89</v>
      </c>
      <c r="E119" s="4473">
        <v>89</v>
      </c>
      <c r="F119" s="4473">
        <v>89</v>
      </c>
      <c r="G119" s="4476"/>
      <c r="H119" s="4551">
        <v>99</v>
      </c>
      <c r="I119" s="4476">
        <v>99</v>
      </c>
      <c r="J119" s="4476">
        <v>99</v>
      </c>
      <c r="K119" s="4551">
        <v>99</v>
      </c>
      <c r="L119" s="4476" t="s">
        <v>35</v>
      </c>
      <c r="M119" s="4473"/>
      <c r="N119" s="4551"/>
      <c r="O119" s="4551" t="s">
        <v>47</v>
      </c>
      <c r="P119" s="4725" t="s">
        <v>47</v>
      </c>
      <c r="Q119" s="4551" t="s">
        <v>47</v>
      </c>
      <c r="R119" s="4551" t="s">
        <v>47</v>
      </c>
      <c r="S119" s="4473" t="s">
        <v>47</v>
      </c>
      <c r="T119" s="4473"/>
      <c r="U119" s="4551"/>
      <c r="V119" s="4551">
        <v>69</v>
      </c>
      <c r="W119" s="4551">
        <v>69</v>
      </c>
      <c r="X119" s="4551">
        <v>69</v>
      </c>
      <c r="Y119" s="4551">
        <v>69</v>
      </c>
      <c r="Z119" s="4551">
        <v>69</v>
      </c>
      <c r="AA119" s="4476"/>
      <c r="AB119" s="4551"/>
      <c r="AC119" s="4551">
        <v>79</v>
      </c>
      <c r="AD119" s="4551">
        <v>79</v>
      </c>
      <c r="AE119" s="4551">
        <v>79</v>
      </c>
      <c r="AF119" s="4629">
        <v>79</v>
      </c>
      <c r="AG119" s="4661" t="s">
        <v>547</v>
      </c>
      <c r="AH119" s="287"/>
      <c r="AI119" s="17"/>
    </row>
    <row r="120" spans="1:35" ht="24.75" customHeight="1" thickBot="1">
      <c r="A120" s="4726">
        <v>2</v>
      </c>
      <c r="B120" s="4652" t="s">
        <v>197</v>
      </c>
      <c r="C120" s="4483"/>
      <c r="D120" s="4727">
        <v>99</v>
      </c>
      <c r="E120" s="4565" t="s">
        <v>35</v>
      </c>
      <c r="F120" s="4565"/>
      <c r="G120" s="4564"/>
      <c r="H120" s="4564" t="s">
        <v>261</v>
      </c>
      <c r="I120" s="4564" t="s">
        <v>261</v>
      </c>
      <c r="J120" s="4564" t="s">
        <v>261</v>
      </c>
      <c r="K120" s="4564" t="s">
        <v>47</v>
      </c>
      <c r="L120" s="4565" t="s">
        <v>47</v>
      </c>
      <c r="M120" s="4565"/>
      <c r="N120" s="4564"/>
      <c r="O120" s="4564">
        <v>69</v>
      </c>
      <c r="P120" s="4564">
        <v>69</v>
      </c>
      <c r="Q120" s="4564">
        <v>69</v>
      </c>
      <c r="R120" s="4483">
        <v>69</v>
      </c>
      <c r="S120" s="4564">
        <v>69</v>
      </c>
      <c r="T120" s="4570" t="s">
        <v>0</v>
      </c>
      <c r="U120" s="4564"/>
      <c r="V120" s="4564">
        <v>79</v>
      </c>
      <c r="W120" s="4564">
        <v>79</v>
      </c>
      <c r="X120" s="4564">
        <v>79</v>
      </c>
      <c r="Y120" s="4564">
        <v>79</v>
      </c>
      <c r="Z120" s="4565">
        <v>79</v>
      </c>
      <c r="AA120" s="4565"/>
      <c r="AB120" s="4483"/>
      <c r="AC120" s="4491">
        <v>89</v>
      </c>
      <c r="AD120" s="4491">
        <v>89</v>
      </c>
      <c r="AE120" s="4491">
        <v>89</v>
      </c>
      <c r="AF120" s="4491">
        <v>89</v>
      </c>
      <c r="AG120" s="4728">
        <v>89</v>
      </c>
      <c r="AH120" s="343"/>
      <c r="AI120" s="344"/>
    </row>
    <row r="121" spans="1:35" ht="24.75" customHeight="1">
      <c r="A121" s="4726">
        <v>3</v>
      </c>
      <c r="B121" s="4652" t="s">
        <v>198</v>
      </c>
      <c r="C121" s="4564"/>
      <c r="D121" s="4568" t="s">
        <v>47</v>
      </c>
      <c r="E121" s="4568" t="s">
        <v>47</v>
      </c>
      <c r="F121" s="4565"/>
      <c r="G121" s="4564"/>
      <c r="H121" s="4564">
        <v>69</v>
      </c>
      <c r="I121" s="4564">
        <v>69</v>
      </c>
      <c r="J121" s="4483">
        <v>69</v>
      </c>
      <c r="K121" s="4564">
        <v>69</v>
      </c>
      <c r="L121" s="4483">
        <v>69</v>
      </c>
      <c r="M121" s="4565"/>
      <c r="N121" s="4564"/>
      <c r="O121" s="4564">
        <v>79</v>
      </c>
      <c r="P121" s="4564">
        <v>79</v>
      </c>
      <c r="Q121" s="4564">
        <v>79</v>
      </c>
      <c r="R121" s="4489">
        <v>79</v>
      </c>
      <c r="S121" s="4565">
        <v>79</v>
      </c>
      <c r="T121" s="4565"/>
      <c r="U121" s="4483"/>
      <c r="V121" s="4564">
        <v>89</v>
      </c>
      <c r="W121" s="4729">
        <v>89</v>
      </c>
      <c r="X121" s="4729" t="s">
        <v>362</v>
      </c>
      <c r="Y121" s="4622">
        <v>89</v>
      </c>
      <c r="Z121" s="4622">
        <v>89</v>
      </c>
      <c r="AA121" s="4622">
        <v>89</v>
      </c>
      <c r="AB121" s="4564"/>
      <c r="AC121" s="4565">
        <v>99</v>
      </c>
      <c r="AD121" s="4730">
        <v>1</v>
      </c>
      <c r="AE121" s="4730">
        <v>1</v>
      </c>
      <c r="AF121" s="4730">
        <v>1</v>
      </c>
      <c r="AG121" s="4579" t="s">
        <v>35</v>
      </c>
      <c r="AH121" s="287"/>
      <c r="AI121" s="17"/>
    </row>
    <row r="122" spans="1:35" ht="24.75" customHeight="1">
      <c r="A122" s="4726">
        <v>4</v>
      </c>
      <c r="B122" s="4652"/>
      <c r="C122" s="4648"/>
      <c r="D122" s="4648">
        <v>69</v>
      </c>
      <c r="E122" s="4648">
        <v>69</v>
      </c>
      <c r="F122" s="4565"/>
      <c r="G122" s="4564"/>
      <c r="H122" s="4727">
        <v>79</v>
      </c>
      <c r="I122" s="4727">
        <v>79</v>
      </c>
      <c r="J122" s="4727">
        <v>79</v>
      </c>
      <c r="K122" s="4727">
        <v>79</v>
      </c>
      <c r="L122" s="4731">
        <v>79</v>
      </c>
      <c r="M122" s="4731"/>
      <c r="N122" s="4732"/>
      <c r="O122" s="4489">
        <v>89</v>
      </c>
      <c r="P122" s="4489">
        <v>89</v>
      </c>
      <c r="Q122" s="4489">
        <v>89</v>
      </c>
      <c r="R122" s="4489">
        <v>89</v>
      </c>
      <c r="S122" s="4489">
        <v>89</v>
      </c>
      <c r="T122" s="4489">
        <v>89</v>
      </c>
      <c r="U122" s="4622"/>
      <c r="V122" s="4648">
        <v>99</v>
      </c>
      <c r="W122" s="4648">
        <v>99</v>
      </c>
      <c r="X122" s="4648">
        <v>99</v>
      </c>
      <c r="Y122" s="4648">
        <v>99</v>
      </c>
      <c r="Z122" s="4649" t="s">
        <v>35</v>
      </c>
      <c r="AA122" s="4649"/>
      <c r="AB122" s="4648"/>
      <c r="AC122" s="4648" t="s">
        <v>47</v>
      </c>
      <c r="AD122" s="4648" t="s">
        <v>47</v>
      </c>
      <c r="AE122" s="4648" t="s">
        <v>47</v>
      </c>
      <c r="AF122" s="4648" t="s">
        <v>199</v>
      </c>
      <c r="AG122" s="4650" t="s">
        <v>199</v>
      </c>
      <c r="AH122" s="287"/>
      <c r="AI122" s="17"/>
    </row>
    <row r="123" spans="1:35" ht="24.75" customHeight="1" thickBot="1">
      <c r="A123" s="4733">
        <v>5</v>
      </c>
      <c r="B123" s="4734" t="s">
        <v>200</v>
      </c>
      <c r="C123" s="4735"/>
      <c r="D123" s="4735">
        <v>79</v>
      </c>
      <c r="E123" s="4735">
        <v>79</v>
      </c>
      <c r="F123" s="4469"/>
      <c r="G123" s="4560"/>
      <c r="H123" s="4560">
        <v>89</v>
      </c>
      <c r="I123" s="4560">
        <v>89</v>
      </c>
      <c r="J123" s="4560">
        <v>89</v>
      </c>
      <c r="K123" s="4560">
        <v>89</v>
      </c>
      <c r="L123" s="4469">
        <v>89</v>
      </c>
      <c r="M123" s="4570">
        <v>89</v>
      </c>
      <c r="N123" s="4570" t="s">
        <v>0</v>
      </c>
      <c r="O123" s="4735">
        <v>99</v>
      </c>
      <c r="P123" s="4735">
        <v>99</v>
      </c>
      <c r="Q123" s="4735">
        <v>99</v>
      </c>
      <c r="R123" s="4735">
        <v>99</v>
      </c>
      <c r="S123" s="4469" t="s">
        <v>35</v>
      </c>
      <c r="T123" s="4736"/>
      <c r="U123" s="4735"/>
      <c r="V123" s="4735" t="s">
        <v>47</v>
      </c>
      <c r="W123" s="4735" t="s">
        <v>47</v>
      </c>
      <c r="X123" s="4735" t="s">
        <v>47</v>
      </c>
      <c r="Y123" s="4735" t="s">
        <v>47</v>
      </c>
      <c r="Z123" s="4737" t="s">
        <v>47</v>
      </c>
      <c r="AA123" s="4737"/>
      <c r="AB123" s="4735"/>
      <c r="AC123" s="4735">
        <v>69</v>
      </c>
      <c r="AD123" s="4735">
        <v>69</v>
      </c>
      <c r="AE123" s="4735">
        <v>69</v>
      </c>
      <c r="AF123" s="4735">
        <v>69</v>
      </c>
      <c r="AG123" s="4738">
        <v>69</v>
      </c>
      <c r="AH123" s="287"/>
      <c r="AI123" s="17"/>
    </row>
    <row r="124" spans="1:35" ht="24.75" customHeight="1">
      <c r="A124" s="315"/>
      <c r="B124" s="345"/>
      <c r="C124" s="38"/>
      <c r="D124" s="38"/>
      <c r="E124" s="38"/>
      <c r="F124" s="38"/>
      <c r="G124" s="38"/>
      <c r="H124" s="38"/>
      <c r="I124" s="38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  <c r="AA124" s="291"/>
      <c r="AB124" s="38"/>
      <c r="AC124" s="38"/>
      <c r="AD124" s="38"/>
      <c r="AE124" s="38"/>
      <c r="AF124" s="38"/>
      <c r="AG124" s="38"/>
      <c r="AH124" s="17"/>
      <c r="AI124" s="17"/>
    </row>
    <row r="125" spans="1:35" ht="24.75" customHeight="1" thickBot="1">
      <c r="A125" s="338" t="s">
        <v>202</v>
      </c>
      <c r="B125" s="339"/>
      <c r="C125" s="339"/>
      <c r="D125" s="79"/>
      <c r="E125" s="79"/>
      <c r="F125" s="79"/>
      <c r="G125" s="340"/>
      <c r="H125" s="79"/>
      <c r="I125" s="79"/>
      <c r="J125" s="79"/>
      <c r="K125" s="79"/>
      <c r="L125" s="79"/>
      <c r="M125" s="79"/>
      <c r="N125" s="79"/>
      <c r="O125" s="79"/>
      <c r="P125" s="79"/>
      <c r="Q125" s="79"/>
      <c r="R125" s="79"/>
      <c r="S125" s="79"/>
      <c r="T125" s="79"/>
      <c r="U125" s="79"/>
      <c r="V125" s="79"/>
      <c r="W125" s="79"/>
      <c r="X125" s="79"/>
      <c r="Y125" s="79"/>
      <c r="Z125" s="79"/>
      <c r="AA125" s="79"/>
      <c r="AB125" s="79"/>
      <c r="AC125" s="79"/>
      <c r="AD125" s="79"/>
      <c r="AE125" s="79"/>
      <c r="AF125" s="79"/>
      <c r="AG125" s="79"/>
      <c r="AH125" s="339"/>
      <c r="AI125" s="339"/>
    </row>
    <row r="126" spans="1:35" ht="24.75" customHeight="1">
      <c r="A126" s="338"/>
      <c r="B126" s="4692" t="s">
        <v>186</v>
      </c>
      <c r="C126" s="4701"/>
      <c r="D126" s="4702" t="s">
        <v>87</v>
      </c>
      <c r="E126" s="4703"/>
      <c r="F126" s="4704"/>
      <c r="G126" s="4701"/>
      <c r="H126" s="4702" t="s">
        <v>88</v>
      </c>
      <c r="I126" s="4703"/>
      <c r="J126" s="4704"/>
      <c r="K126" s="4701"/>
      <c r="L126" s="4702" t="s">
        <v>89</v>
      </c>
      <c r="M126" s="4703"/>
      <c r="N126" s="4704"/>
      <c r="O126" s="4701"/>
      <c r="P126" s="4702" t="s">
        <v>90</v>
      </c>
      <c r="Q126" s="4703"/>
      <c r="R126" s="4704"/>
      <c r="S126" s="4701"/>
      <c r="T126" s="4702" t="s">
        <v>91</v>
      </c>
      <c r="U126" s="4703"/>
      <c r="V126" s="4704"/>
      <c r="W126" s="4701"/>
      <c r="X126" s="4702" t="s">
        <v>92</v>
      </c>
      <c r="Y126" s="4703"/>
      <c r="Z126" s="4704"/>
      <c r="AA126" s="4701"/>
      <c r="AB126" s="4702" t="s">
        <v>93</v>
      </c>
      <c r="AC126" s="4703"/>
      <c r="AD126" s="4703"/>
      <c r="AE126" s="4705" t="s">
        <v>94</v>
      </c>
      <c r="AF126" s="4703"/>
      <c r="AG126" s="4703"/>
      <c r="AH126" s="4703"/>
      <c r="AI126" s="4706"/>
    </row>
    <row r="127" spans="1:35" ht="24.75" customHeight="1">
      <c r="A127" s="338"/>
      <c r="B127" s="4707" t="s">
        <v>203</v>
      </c>
      <c r="C127" s="4592" t="s">
        <v>204</v>
      </c>
      <c r="D127" s="4708"/>
      <c r="E127" s="4708"/>
      <c r="F127" s="4709"/>
      <c r="G127" s="4592" t="s">
        <v>204</v>
      </c>
      <c r="H127" s="4708"/>
      <c r="I127" s="4708"/>
      <c r="J127" s="4709"/>
      <c r="K127" s="4592" t="s">
        <v>204</v>
      </c>
      <c r="L127" s="4708"/>
      <c r="M127" s="4708"/>
      <c r="N127" s="4709"/>
      <c r="O127" s="4592" t="s">
        <v>204</v>
      </c>
      <c r="P127" s="4708"/>
      <c r="Q127" s="4708"/>
      <c r="R127" s="4709"/>
      <c r="S127" s="4592" t="s">
        <v>204</v>
      </c>
      <c r="T127" s="4708"/>
      <c r="U127" s="4708"/>
      <c r="V127" s="4709"/>
      <c r="W127" s="4592" t="s">
        <v>205</v>
      </c>
      <c r="X127" s="4710"/>
      <c r="Y127" s="4710"/>
      <c r="Z127" s="4711"/>
      <c r="AA127" s="4592" t="s">
        <v>205</v>
      </c>
      <c r="AB127" s="4708"/>
      <c r="AC127" s="4708"/>
      <c r="AD127" s="4593"/>
      <c r="AE127" s="4712">
        <v>68</v>
      </c>
      <c r="AF127" s="346"/>
      <c r="AG127" s="346"/>
      <c r="AH127" s="346"/>
      <c r="AI127" s="347"/>
    </row>
    <row r="128" spans="1:35" ht="24.75" customHeight="1">
      <c r="A128" s="338"/>
      <c r="B128" s="4707" t="s">
        <v>163</v>
      </c>
      <c r="C128" s="4592" t="s">
        <v>172</v>
      </c>
      <c r="D128" s="4708"/>
      <c r="E128" s="4708"/>
      <c r="F128" s="4709"/>
      <c r="G128" s="4592" t="s">
        <v>172</v>
      </c>
      <c r="H128" s="4708"/>
      <c r="I128" s="4708"/>
      <c r="J128" s="4709"/>
      <c r="K128" s="4592" t="s">
        <v>172</v>
      </c>
      <c r="L128" s="4708"/>
      <c r="M128" s="4708"/>
      <c r="N128" s="4709"/>
      <c r="O128" s="4592" t="s">
        <v>172</v>
      </c>
      <c r="P128" s="4708"/>
      <c r="Q128" s="4708"/>
      <c r="R128" s="4709"/>
      <c r="S128" s="4592" t="s">
        <v>172</v>
      </c>
      <c r="T128" s="4708"/>
      <c r="U128" s="4708"/>
      <c r="V128" s="4709"/>
      <c r="W128" s="4592" t="s">
        <v>172</v>
      </c>
      <c r="X128" s="4708"/>
      <c r="Y128" s="4708"/>
      <c r="Z128" s="4709"/>
      <c r="AA128" s="4708" t="s">
        <v>172</v>
      </c>
      <c r="AB128" s="4708"/>
      <c r="AC128" s="4708"/>
      <c r="AD128" s="4593"/>
      <c r="AE128" s="4712">
        <v>0</v>
      </c>
      <c r="AF128" s="346"/>
      <c r="AG128" s="346"/>
      <c r="AH128" s="346"/>
      <c r="AI128" s="347"/>
    </row>
    <row r="129" spans="1:35" ht="24.75" customHeight="1">
      <c r="A129" s="338"/>
      <c r="B129" s="4707" t="s">
        <v>206</v>
      </c>
      <c r="C129" s="4592" t="s">
        <v>204</v>
      </c>
      <c r="D129" s="4708"/>
      <c r="E129" s="4708"/>
      <c r="F129" s="4709"/>
      <c r="G129" s="4592" t="s">
        <v>204</v>
      </c>
      <c r="H129" s="4708"/>
      <c r="I129" s="4708"/>
      <c r="J129" s="4709"/>
      <c r="K129" s="4592" t="s">
        <v>204</v>
      </c>
      <c r="L129" s="4708"/>
      <c r="M129" s="4708"/>
      <c r="N129" s="4709"/>
      <c r="O129" s="4592" t="s">
        <v>204</v>
      </c>
      <c r="P129" s="4708"/>
      <c r="Q129" s="4708"/>
      <c r="R129" s="4709"/>
      <c r="S129" s="4592" t="s">
        <v>204</v>
      </c>
      <c r="T129" s="4708"/>
      <c r="U129" s="4708"/>
      <c r="V129" s="4709"/>
      <c r="W129" s="4592" t="s">
        <v>205</v>
      </c>
      <c r="X129" s="4710"/>
      <c r="Y129" s="4710"/>
      <c r="Z129" s="4711"/>
      <c r="AA129" s="4592" t="s">
        <v>205</v>
      </c>
      <c r="AB129" s="4708"/>
      <c r="AC129" s="4708"/>
      <c r="AD129" s="4593"/>
      <c r="AE129" s="4712">
        <v>68</v>
      </c>
      <c r="AF129" s="4708"/>
      <c r="AG129" s="4708" t="s">
        <v>0</v>
      </c>
      <c r="AH129" s="4593"/>
      <c r="AI129" s="4713"/>
    </row>
    <row r="130" spans="1:35" ht="24.75" customHeight="1">
      <c r="A130" s="338"/>
      <c r="B130" s="4707" t="s">
        <v>173</v>
      </c>
      <c r="C130" s="4592" t="s">
        <v>172</v>
      </c>
      <c r="D130" s="4708"/>
      <c r="E130" s="4708"/>
      <c r="F130" s="4709"/>
      <c r="G130" s="4592" t="s">
        <v>172</v>
      </c>
      <c r="H130" s="4708"/>
      <c r="I130" s="4708"/>
      <c r="J130" s="4709"/>
      <c r="K130" s="4592" t="s">
        <v>172</v>
      </c>
      <c r="L130" s="4708"/>
      <c r="M130" s="4708"/>
      <c r="N130" s="4709"/>
      <c r="O130" s="4592" t="s">
        <v>172</v>
      </c>
      <c r="P130" s="4708"/>
      <c r="Q130" s="4708"/>
      <c r="R130" s="4709"/>
      <c r="S130" s="4592" t="s">
        <v>172</v>
      </c>
      <c r="T130" s="4708"/>
      <c r="U130" s="4708"/>
      <c r="V130" s="4709"/>
      <c r="W130" s="4592" t="s">
        <v>172</v>
      </c>
      <c r="X130" s="4708"/>
      <c r="Y130" s="4708"/>
      <c r="Z130" s="4709"/>
      <c r="AA130" s="4708" t="s">
        <v>172</v>
      </c>
      <c r="AB130" s="4708"/>
      <c r="AC130" s="4708"/>
      <c r="AD130" s="4593"/>
      <c r="AE130" s="4712">
        <v>0</v>
      </c>
      <c r="AF130" s="4708"/>
      <c r="AG130" s="4708"/>
      <c r="AH130" s="4593"/>
      <c r="AI130" s="4713"/>
    </row>
    <row r="131" spans="1:35" ht="24.75" customHeight="1">
      <c r="A131" s="338"/>
      <c r="B131" s="4707" t="s">
        <v>207</v>
      </c>
      <c r="C131" s="4592" t="s">
        <v>204</v>
      </c>
      <c r="D131" s="4708"/>
      <c r="E131" s="4708"/>
      <c r="F131" s="4709"/>
      <c r="G131" s="4592" t="s">
        <v>204</v>
      </c>
      <c r="H131" s="4708"/>
      <c r="I131" s="4708"/>
      <c r="J131" s="4709"/>
      <c r="K131" s="4592" t="s">
        <v>204</v>
      </c>
      <c r="L131" s="4708"/>
      <c r="M131" s="4708"/>
      <c r="N131" s="4709"/>
      <c r="O131" s="4592" t="s">
        <v>204</v>
      </c>
      <c r="P131" s="4708"/>
      <c r="Q131" s="4708"/>
      <c r="R131" s="4709"/>
      <c r="S131" s="4592" t="s">
        <v>204</v>
      </c>
      <c r="T131" s="4708"/>
      <c r="U131" s="4708"/>
      <c r="V131" s="4709"/>
      <c r="W131" s="4592" t="s">
        <v>208</v>
      </c>
      <c r="X131" s="4715"/>
      <c r="Y131" s="4715"/>
      <c r="Z131" s="4716"/>
      <c r="AA131" s="4592" t="s">
        <v>208</v>
      </c>
      <c r="AB131" s="4715"/>
      <c r="AC131" s="4715"/>
      <c r="AD131" s="4596"/>
      <c r="AE131" s="4712">
        <v>68</v>
      </c>
      <c r="AF131" s="4708"/>
      <c r="AG131" s="4708"/>
      <c r="AH131" s="4593"/>
      <c r="AI131" s="4713"/>
    </row>
    <row r="132" spans="1:35" ht="24.75" customHeight="1" thickBot="1">
      <c r="A132" s="338"/>
      <c r="B132" s="4707" t="s">
        <v>209</v>
      </c>
      <c r="C132" s="4739" t="s">
        <v>172</v>
      </c>
      <c r="D132" s="4740"/>
      <c r="E132" s="4740"/>
      <c r="F132" s="4741"/>
      <c r="G132" s="4739" t="s">
        <v>172</v>
      </c>
      <c r="H132" s="4740"/>
      <c r="I132" s="4740"/>
      <c r="J132" s="4741"/>
      <c r="K132" s="4739" t="s">
        <v>172</v>
      </c>
      <c r="L132" s="4740"/>
      <c r="M132" s="4740"/>
      <c r="N132" s="4741"/>
      <c r="O132" s="4739" t="s">
        <v>172</v>
      </c>
      <c r="P132" s="4740"/>
      <c r="Q132" s="4740"/>
      <c r="R132" s="4741"/>
      <c r="S132" s="4739" t="s">
        <v>172</v>
      </c>
      <c r="T132" s="4740"/>
      <c r="U132" s="4740"/>
      <c r="V132" s="4722"/>
      <c r="W132" s="4739" t="s">
        <v>172</v>
      </c>
      <c r="X132" s="4722"/>
      <c r="Y132" s="4740"/>
      <c r="Z132" s="4741"/>
      <c r="AA132" s="4739" t="s">
        <v>172</v>
      </c>
      <c r="AB132" s="4722"/>
      <c r="AC132" s="4740"/>
      <c r="AD132" s="4741"/>
      <c r="AE132" s="4742" t="s">
        <v>210</v>
      </c>
      <c r="AF132" s="4740"/>
      <c r="AG132" s="4740"/>
      <c r="AH132" s="4722"/>
      <c r="AI132" s="4723"/>
    </row>
    <row r="133" spans="1:35" ht="24.75" customHeight="1">
      <c r="A133" s="342"/>
      <c r="B133" s="338"/>
      <c r="C133" s="79"/>
      <c r="D133" s="79"/>
      <c r="E133" s="79"/>
      <c r="F133" s="79"/>
      <c r="G133" s="79"/>
      <c r="H133" s="79"/>
      <c r="I133" s="79"/>
      <c r="J133" s="79"/>
      <c r="K133" s="79"/>
      <c r="L133" s="79"/>
      <c r="M133" s="79"/>
      <c r="N133" s="79"/>
      <c r="O133" s="79"/>
      <c r="P133" s="79"/>
      <c r="Q133" s="79"/>
      <c r="R133" s="79"/>
      <c r="S133" s="79"/>
      <c r="T133" s="79"/>
      <c r="U133" s="79"/>
      <c r="V133" s="79"/>
      <c r="W133" s="79"/>
      <c r="X133" s="79"/>
      <c r="Y133" s="79"/>
      <c r="Z133" s="79"/>
      <c r="AA133" s="79"/>
      <c r="AB133" s="79"/>
      <c r="AC133" s="79"/>
      <c r="AD133" s="79"/>
      <c r="AE133" s="79"/>
      <c r="AF133" s="79"/>
      <c r="AG133" s="79"/>
      <c r="AH133" s="339"/>
      <c r="AI133" s="339"/>
    </row>
    <row r="134" spans="1:35" ht="24.75" customHeight="1" thickBot="1">
      <c r="A134" s="4602"/>
      <c r="B134" s="1456" t="s">
        <v>29</v>
      </c>
      <c r="C134" s="4468">
        <v>1</v>
      </c>
      <c r="D134" s="4469">
        <v>2</v>
      </c>
      <c r="E134" s="4469">
        <v>3</v>
      </c>
      <c r="F134" s="4468">
        <v>4</v>
      </c>
      <c r="G134" s="4468">
        <v>5</v>
      </c>
      <c r="H134" s="4469">
        <v>6</v>
      </c>
      <c r="I134" s="4469">
        <v>7</v>
      </c>
      <c r="J134" s="4469">
        <v>8</v>
      </c>
      <c r="K134" s="4469">
        <v>9</v>
      </c>
      <c r="L134" s="4469">
        <v>10</v>
      </c>
      <c r="M134" s="4468">
        <v>11</v>
      </c>
      <c r="N134" s="4468">
        <v>12</v>
      </c>
      <c r="O134" s="4469">
        <v>13</v>
      </c>
      <c r="P134" s="4469">
        <v>14</v>
      </c>
      <c r="Q134" s="4469">
        <v>15</v>
      </c>
      <c r="R134" s="4469">
        <v>16</v>
      </c>
      <c r="S134" s="4469">
        <v>17</v>
      </c>
      <c r="T134" s="4468">
        <v>18</v>
      </c>
      <c r="U134" s="4468">
        <v>19</v>
      </c>
      <c r="V134" s="4469">
        <v>20</v>
      </c>
      <c r="W134" s="4469">
        <v>21</v>
      </c>
      <c r="X134" s="4469">
        <v>22</v>
      </c>
      <c r="Y134" s="4469">
        <v>23</v>
      </c>
      <c r="Z134" s="4469">
        <v>24</v>
      </c>
      <c r="AA134" s="4468">
        <v>25</v>
      </c>
      <c r="AB134" s="4468">
        <v>26</v>
      </c>
      <c r="AC134" s="4469">
        <v>27</v>
      </c>
      <c r="AD134" s="4469">
        <v>28</v>
      </c>
      <c r="AE134" s="4469">
        <v>29</v>
      </c>
      <c r="AF134" s="4469">
        <v>30</v>
      </c>
      <c r="AG134" s="4470">
        <v>31</v>
      </c>
      <c r="AH134" s="303"/>
      <c r="AI134" s="304"/>
    </row>
    <row r="135" spans="1:35" ht="24.75" customHeight="1">
      <c r="A135" s="4743">
        <v>1</v>
      </c>
      <c r="B135" s="4744" t="s">
        <v>211</v>
      </c>
      <c r="C135" s="4502" t="s">
        <v>35</v>
      </c>
      <c r="D135" s="4502" t="s">
        <v>35</v>
      </c>
      <c r="E135" s="4502" t="s">
        <v>35</v>
      </c>
      <c r="F135" s="4502"/>
      <c r="G135" s="4745"/>
      <c r="H135" s="4502">
        <v>22</v>
      </c>
      <c r="I135" s="4746">
        <v>22</v>
      </c>
      <c r="J135" s="4745">
        <v>22</v>
      </c>
      <c r="K135" s="4502">
        <v>22</v>
      </c>
      <c r="L135" s="4746">
        <v>22</v>
      </c>
      <c r="M135" s="4745">
        <v>22</v>
      </c>
      <c r="N135" s="4745">
        <v>22</v>
      </c>
      <c r="O135" s="4502" t="s">
        <v>35</v>
      </c>
      <c r="P135" s="4502" t="s">
        <v>35</v>
      </c>
      <c r="Q135" s="4502" t="s">
        <v>35</v>
      </c>
      <c r="R135" s="4502" t="s">
        <v>35</v>
      </c>
      <c r="S135" s="4502" t="s">
        <v>35</v>
      </c>
      <c r="T135" s="4502"/>
      <c r="U135" s="4502"/>
      <c r="V135" s="4747">
        <v>23</v>
      </c>
      <c r="W135" s="4746">
        <v>23</v>
      </c>
      <c r="X135" s="4502">
        <v>23</v>
      </c>
      <c r="Y135" s="4502">
        <v>23</v>
      </c>
      <c r="Z135" s="4746">
        <v>23</v>
      </c>
      <c r="AA135" s="4502">
        <v>23</v>
      </c>
      <c r="AB135" s="4502">
        <v>23</v>
      </c>
      <c r="AC135" s="4502" t="s">
        <v>35</v>
      </c>
      <c r="AD135" s="4502" t="s">
        <v>35</v>
      </c>
      <c r="AE135" s="4502" t="s">
        <v>35</v>
      </c>
      <c r="AF135" s="4502" t="s">
        <v>35</v>
      </c>
      <c r="AG135" s="4748">
        <v>79</v>
      </c>
      <c r="AH135" s="17"/>
      <c r="AI135" s="17"/>
    </row>
    <row r="136" spans="1:35" ht="24.75" customHeight="1">
      <c r="A136" s="4749">
        <v>2</v>
      </c>
      <c r="B136" s="4507" t="s">
        <v>212</v>
      </c>
      <c r="C136" s="4517" t="s">
        <v>35</v>
      </c>
      <c r="D136" s="4517" t="s">
        <v>35</v>
      </c>
      <c r="E136" s="4517" t="s">
        <v>35</v>
      </c>
      <c r="F136" s="4517"/>
      <c r="G136" s="4517"/>
      <c r="H136" s="4517">
        <v>23</v>
      </c>
      <c r="I136" s="4615">
        <v>23</v>
      </c>
      <c r="J136" s="4517">
        <v>23</v>
      </c>
      <c r="K136" s="4517">
        <v>23</v>
      </c>
      <c r="L136" s="4615">
        <v>23</v>
      </c>
      <c r="M136" s="4517">
        <v>23</v>
      </c>
      <c r="N136" s="4517">
        <v>23</v>
      </c>
      <c r="O136" s="4517" t="s">
        <v>35</v>
      </c>
      <c r="P136" s="4517" t="s">
        <v>35</v>
      </c>
      <c r="Q136" s="4517" t="s">
        <v>35</v>
      </c>
      <c r="R136" s="4517" t="s">
        <v>35</v>
      </c>
      <c r="S136" s="4517" t="s">
        <v>35</v>
      </c>
      <c r="T136" s="4750"/>
      <c r="U136" s="4750"/>
      <c r="V136" s="4750">
        <v>21</v>
      </c>
      <c r="W136" s="4615">
        <v>21</v>
      </c>
      <c r="X136" s="4517">
        <v>21</v>
      </c>
      <c r="Y136" s="4517">
        <v>21</v>
      </c>
      <c r="Z136" s="4615">
        <v>21</v>
      </c>
      <c r="AA136" s="4517">
        <v>21</v>
      </c>
      <c r="AB136" s="4517">
        <v>21</v>
      </c>
      <c r="AC136" s="4517" t="s">
        <v>35</v>
      </c>
      <c r="AD136" s="4517" t="s">
        <v>35</v>
      </c>
      <c r="AE136" s="4517" t="s">
        <v>35</v>
      </c>
      <c r="AF136" s="4517" t="s">
        <v>35</v>
      </c>
      <c r="AG136" s="4612" t="s">
        <v>35</v>
      </c>
      <c r="AH136" s="17"/>
      <c r="AI136" s="17"/>
    </row>
    <row r="137" spans="1:35" ht="24.75" customHeight="1">
      <c r="A137" s="4749">
        <v>3</v>
      </c>
      <c r="B137" s="4507" t="s">
        <v>213</v>
      </c>
      <c r="C137" s="4517" t="s">
        <v>35</v>
      </c>
      <c r="D137" s="4517" t="s">
        <v>35</v>
      </c>
      <c r="E137" s="4517" t="s">
        <v>35</v>
      </c>
      <c r="F137" s="4517"/>
      <c r="G137" s="4750"/>
      <c r="H137" s="4750">
        <v>21</v>
      </c>
      <c r="I137" s="4615">
        <v>21</v>
      </c>
      <c r="J137" s="4517">
        <v>21</v>
      </c>
      <c r="K137" s="4517">
        <v>21</v>
      </c>
      <c r="L137" s="4615">
        <v>21</v>
      </c>
      <c r="M137" s="4517">
        <v>21</v>
      </c>
      <c r="N137" s="4517">
        <v>21</v>
      </c>
      <c r="O137" s="4517" t="s">
        <v>35</v>
      </c>
      <c r="P137" s="4517" t="s">
        <v>35</v>
      </c>
      <c r="Q137" s="4517" t="s">
        <v>35</v>
      </c>
      <c r="R137" s="4517" t="s">
        <v>35</v>
      </c>
      <c r="S137" s="4517" t="s">
        <v>35</v>
      </c>
      <c r="T137" s="4517"/>
      <c r="U137" s="4750"/>
      <c r="V137" s="4750">
        <v>22</v>
      </c>
      <c r="W137" s="4615">
        <v>22</v>
      </c>
      <c r="X137" s="4517">
        <v>22</v>
      </c>
      <c r="Y137" s="4517">
        <v>22</v>
      </c>
      <c r="Z137" s="4615">
        <v>22</v>
      </c>
      <c r="AA137" s="4517">
        <v>22</v>
      </c>
      <c r="AB137" s="4517">
        <v>22</v>
      </c>
      <c r="AC137" s="4517" t="s">
        <v>35</v>
      </c>
      <c r="AD137" s="4517" t="s">
        <v>35</v>
      </c>
      <c r="AE137" s="4517" t="s">
        <v>35</v>
      </c>
      <c r="AF137" s="4517" t="s">
        <v>35</v>
      </c>
      <c r="AG137" s="4612" t="s">
        <v>35</v>
      </c>
      <c r="AH137" s="17"/>
      <c r="AI137" s="17"/>
    </row>
    <row r="138" spans="1:35" ht="24.75" customHeight="1">
      <c r="A138" s="4749">
        <v>4</v>
      </c>
      <c r="B138" s="4507" t="s">
        <v>214</v>
      </c>
      <c r="C138" s="4517">
        <v>21</v>
      </c>
      <c r="D138" s="4517">
        <v>21</v>
      </c>
      <c r="E138" s="4615">
        <v>21</v>
      </c>
      <c r="F138" s="4517">
        <v>21</v>
      </c>
      <c r="G138" s="4517">
        <v>21</v>
      </c>
      <c r="H138" s="4517" t="s">
        <v>35</v>
      </c>
      <c r="I138" s="4517" t="s">
        <v>35</v>
      </c>
      <c r="J138" s="4517" t="s">
        <v>35</v>
      </c>
      <c r="K138" s="4517" t="s">
        <v>35</v>
      </c>
      <c r="L138" s="4517" t="s">
        <v>35</v>
      </c>
      <c r="M138" s="4517"/>
      <c r="N138" s="4517"/>
      <c r="O138" s="4751">
        <v>22</v>
      </c>
      <c r="P138" s="4615">
        <v>22</v>
      </c>
      <c r="Q138" s="4517">
        <v>22</v>
      </c>
      <c r="R138" s="4517">
        <v>22</v>
      </c>
      <c r="S138" s="4615">
        <v>22</v>
      </c>
      <c r="T138" s="4517">
        <v>22</v>
      </c>
      <c r="U138" s="4609">
        <v>22</v>
      </c>
      <c r="V138" s="4517" t="s">
        <v>35</v>
      </c>
      <c r="W138" s="4517" t="s">
        <v>35</v>
      </c>
      <c r="X138" s="4517" t="s">
        <v>35</v>
      </c>
      <c r="Y138" s="4517" t="s">
        <v>35</v>
      </c>
      <c r="Z138" s="4517" t="s">
        <v>35</v>
      </c>
      <c r="AA138" s="4517"/>
      <c r="AB138" s="4517"/>
      <c r="AC138" s="4517">
        <v>23</v>
      </c>
      <c r="AD138" s="4615">
        <v>23</v>
      </c>
      <c r="AE138" s="4517">
        <v>23</v>
      </c>
      <c r="AF138" s="4517">
        <v>23</v>
      </c>
      <c r="AG138" s="4653">
        <v>23</v>
      </c>
      <c r="AH138" s="17"/>
      <c r="AI138" s="17"/>
    </row>
    <row r="139" spans="1:35" ht="24.75" customHeight="1">
      <c r="A139" s="4749">
        <v>5</v>
      </c>
      <c r="B139" s="4507" t="s">
        <v>216</v>
      </c>
      <c r="C139" s="4517">
        <v>22</v>
      </c>
      <c r="D139" s="4517">
        <v>22</v>
      </c>
      <c r="E139" s="4615">
        <v>22</v>
      </c>
      <c r="F139" s="4517">
        <v>22</v>
      </c>
      <c r="G139" s="4517">
        <v>22</v>
      </c>
      <c r="H139" s="4517" t="s">
        <v>35</v>
      </c>
      <c r="I139" s="4517" t="s">
        <v>35</v>
      </c>
      <c r="J139" s="4517" t="s">
        <v>35</v>
      </c>
      <c r="K139" s="4517" t="s">
        <v>35</v>
      </c>
      <c r="L139" s="4517" t="s">
        <v>35</v>
      </c>
      <c r="M139" s="4517"/>
      <c r="N139" s="4517"/>
      <c r="O139" s="4517">
        <v>23</v>
      </c>
      <c r="P139" s="4615">
        <v>23</v>
      </c>
      <c r="Q139" s="4517">
        <v>23</v>
      </c>
      <c r="R139" s="4517">
        <v>23</v>
      </c>
      <c r="S139" s="4615">
        <v>23</v>
      </c>
      <c r="T139" s="4517">
        <v>23</v>
      </c>
      <c r="U139" s="4517">
        <v>23</v>
      </c>
      <c r="V139" s="4517" t="s">
        <v>35</v>
      </c>
      <c r="W139" s="4517" t="s">
        <v>35</v>
      </c>
      <c r="X139" s="4517" t="s">
        <v>35</v>
      </c>
      <c r="Y139" s="4517" t="s">
        <v>35</v>
      </c>
      <c r="Z139" s="4517" t="s">
        <v>35</v>
      </c>
      <c r="AA139" s="4517"/>
      <c r="AB139" s="4517"/>
      <c r="AC139" s="4750">
        <v>21</v>
      </c>
      <c r="AD139" s="4750">
        <v>21</v>
      </c>
      <c r="AE139" s="4750">
        <v>21</v>
      </c>
      <c r="AF139" s="4517">
        <v>21</v>
      </c>
      <c r="AG139" s="4653">
        <v>21</v>
      </c>
      <c r="AH139" s="17"/>
      <c r="AI139" s="17"/>
    </row>
    <row r="140" spans="1:35" ht="24.75" customHeight="1" thickBot="1">
      <c r="A140" s="453">
        <v>6</v>
      </c>
      <c r="B140" s="454" t="s">
        <v>217</v>
      </c>
      <c r="C140" s="448">
        <v>23</v>
      </c>
      <c r="D140" s="448">
        <v>23</v>
      </c>
      <c r="E140" s="452">
        <v>23</v>
      </c>
      <c r="F140" s="448">
        <v>23</v>
      </c>
      <c r="G140" s="448">
        <v>23</v>
      </c>
      <c r="H140" s="455" t="s">
        <v>35</v>
      </c>
      <c r="I140" s="455" t="s">
        <v>35</v>
      </c>
      <c r="J140" s="455" t="s">
        <v>35</v>
      </c>
      <c r="K140" s="455" t="s">
        <v>35</v>
      </c>
      <c r="L140" s="455" t="s">
        <v>35</v>
      </c>
      <c r="M140" s="455"/>
      <c r="N140" s="456"/>
      <c r="O140" s="456">
        <v>21</v>
      </c>
      <c r="P140" s="452">
        <v>21</v>
      </c>
      <c r="Q140" s="448">
        <v>21</v>
      </c>
      <c r="R140" s="448">
        <v>21</v>
      </c>
      <c r="S140" s="452">
        <v>21</v>
      </c>
      <c r="T140" s="448">
        <v>21</v>
      </c>
      <c r="U140" s="448">
        <v>21</v>
      </c>
      <c r="V140" s="448" t="s">
        <v>35</v>
      </c>
      <c r="W140" s="448" t="s">
        <v>35</v>
      </c>
      <c r="X140" s="448" t="s">
        <v>35</v>
      </c>
      <c r="Y140" s="448" t="s">
        <v>35</v>
      </c>
      <c r="Z140" s="448" t="s">
        <v>35</v>
      </c>
      <c r="AA140" s="448"/>
      <c r="AB140" s="456"/>
      <c r="AC140" s="456">
        <v>22</v>
      </c>
      <c r="AD140" s="452">
        <v>22</v>
      </c>
      <c r="AE140" s="448">
        <v>22</v>
      </c>
      <c r="AF140" s="448">
        <v>22</v>
      </c>
      <c r="AG140" s="348">
        <v>22</v>
      </c>
      <c r="AH140" s="17"/>
      <c r="AI140" s="17"/>
    </row>
    <row r="141" spans="1:35" ht="24.75" customHeight="1">
      <c r="A141" s="315"/>
      <c r="B141" s="345"/>
      <c r="C141" s="349"/>
      <c r="D141" s="349"/>
      <c r="E141" s="344"/>
      <c r="F141" s="349"/>
      <c r="G141" s="349"/>
      <c r="H141" s="349"/>
      <c r="I141" s="349"/>
      <c r="J141" s="349"/>
      <c r="K141" s="349"/>
      <c r="L141" s="349"/>
      <c r="M141" s="349"/>
      <c r="N141" s="349"/>
      <c r="O141" s="349"/>
      <c r="P141" s="344"/>
      <c r="Q141" s="349"/>
      <c r="R141" s="349"/>
      <c r="S141" s="344"/>
      <c r="T141" s="349"/>
      <c r="U141" s="349"/>
      <c r="V141" s="349"/>
      <c r="W141" s="349"/>
      <c r="X141" s="349"/>
      <c r="Y141" s="349"/>
      <c r="Z141" s="349"/>
      <c r="AA141" s="349"/>
      <c r="AB141" s="349"/>
      <c r="AC141" s="350"/>
      <c r="AD141" s="350"/>
      <c r="AE141" s="350"/>
      <c r="AF141" s="349"/>
      <c r="AG141" s="344"/>
      <c r="AH141" s="17"/>
      <c r="AI141" s="17"/>
    </row>
    <row r="142" spans="1:35" ht="24.75" customHeight="1" thickBot="1">
      <c r="A142" s="299" t="s">
        <v>218</v>
      </c>
      <c r="D142" s="17"/>
      <c r="E142" s="17"/>
      <c r="F142" s="17"/>
      <c r="G142" s="340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</row>
    <row r="143" spans="1:35" ht="24.75" customHeight="1">
      <c r="A143" s="16"/>
      <c r="B143" s="4692" t="s">
        <v>186</v>
      </c>
      <c r="C143" s="4693"/>
      <c r="D143" s="4702" t="s">
        <v>87</v>
      </c>
      <c r="E143" s="4530"/>
      <c r="F143" s="4695"/>
      <c r="G143" s="4693"/>
      <c r="H143" s="4702" t="s">
        <v>88</v>
      </c>
      <c r="I143" s="4530"/>
      <c r="J143" s="4695"/>
      <c r="K143" s="4693"/>
      <c r="L143" s="4702" t="s">
        <v>89</v>
      </c>
      <c r="M143" s="4530"/>
      <c r="N143" s="4695"/>
      <c r="O143" s="4693"/>
      <c r="P143" s="4702" t="s">
        <v>90</v>
      </c>
      <c r="Q143" s="4530"/>
      <c r="R143" s="4695"/>
      <c r="S143" s="4693"/>
      <c r="T143" s="4702" t="s">
        <v>91</v>
      </c>
      <c r="U143" s="4530"/>
      <c r="V143" s="4695"/>
      <c r="W143" s="4693"/>
      <c r="X143" s="4702" t="s">
        <v>92</v>
      </c>
      <c r="Y143" s="4530"/>
      <c r="Z143" s="4695"/>
      <c r="AA143" s="4693"/>
      <c r="AB143" s="4702" t="s">
        <v>93</v>
      </c>
      <c r="AC143" s="4530"/>
      <c r="AD143" s="4530"/>
      <c r="AE143" s="4705" t="s">
        <v>94</v>
      </c>
      <c r="AF143" s="4530"/>
      <c r="AG143" s="4530"/>
      <c r="AH143" s="4530"/>
      <c r="AI143" s="4531"/>
    </row>
    <row r="144" spans="1:35" ht="24.75" customHeight="1">
      <c r="A144" s="16"/>
      <c r="B144" s="4707" t="s">
        <v>159</v>
      </c>
      <c r="C144" s="4592" t="s">
        <v>368</v>
      </c>
      <c r="D144" s="4450"/>
      <c r="E144" s="4450"/>
      <c r="F144" s="4709"/>
      <c r="G144" s="4592" t="s">
        <v>368</v>
      </c>
      <c r="H144" s="4450"/>
      <c r="I144" s="4450"/>
      <c r="J144" s="4709"/>
      <c r="K144" s="4592" t="s">
        <v>368</v>
      </c>
      <c r="L144" s="4450"/>
      <c r="M144" s="4450"/>
      <c r="N144" s="4709"/>
      <c r="O144" s="4592" t="s">
        <v>195</v>
      </c>
      <c r="P144" s="4450"/>
      <c r="Q144" s="4450"/>
      <c r="R144" s="4709"/>
      <c r="S144" s="4592" t="s">
        <v>172</v>
      </c>
      <c r="T144" s="4450"/>
      <c r="U144" s="4450"/>
      <c r="V144" s="4709"/>
      <c r="W144" s="4449"/>
      <c r="X144" s="4534"/>
      <c r="Y144" s="4534"/>
      <c r="Z144" s="4711"/>
      <c r="AA144" s="4598"/>
      <c r="AB144" s="4450"/>
      <c r="AC144" s="4450"/>
      <c r="AD144" s="4593"/>
      <c r="AE144" s="4712">
        <v>27</v>
      </c>
      <c r="AF144" s="4450"/>
      <c r="AG144" s="4450"/>
      <c r="AH144" s="4593"/>
      <c r="AI144" s="4459"/>
    </row>
    <row r="145" spans="1:35" ht="24.75" customHeight="1">
      <c r="A145" s="16"/>
      <c r="B145" s="4707" t="s">
        <v>163</v>
      </c>
      <c r="C145" s="4592" t="s">
        <v>188</v>
      </c>
      <c r="D145" s="4450"/>
      <c r="E145" s="4450"/>
      <c r="F145" s="4709"/>
      <c r="G145" s="4592" t="s">
        <v>188</v>
      </c>
      <c r="H145" s="4450"/>
      <c r="I145" s="4450"/>
      <c r="J145" s="4709"/>
      <c r="K145" s="4592" t="s">
        <v>188</v>
      </c>
      <c r="L145" s="4450"/>
      <c r="M145" s="4450"/>
      <c r="N145" s="4709"/>
      <c r="O145" s="4592" t="s">
        <v>188</v>
      </c>
      <c r="P145" s="4450"/>
      <c r="Q145" s="4450"/>
      <c r="R145" s="4709"/>
      <c r="S145" s="4592" t="s">
        <v>368</v>
      </c>
      <c r="T145" s="4450"/>
      <c r="U145" s="4450"/>
      <c r="V145" s="4709"/>
      <c r="W145" s="4592"/>
      <c r="X145" s="4450"/>
      <c r="Y145" s="4450"/>
      <c r="Z145" s="4709"/>
      <c r="AA145" s="4450"/>
      <c r="AB145" s="4450"/>
      <c r="AC145" s="4450"/>
      <c r="AD145" s="4593"/>
      <c r="AE145" s="4712">
        <v>39</v>
      </c>
      <c r="AF145" s="4450"/>
      <c r="AG145" s="4450"/>
      <c r="AH145" s="4593"/>
      <c r="AI145" s="4459"/>
    </row>
    <row r="146" spans="1:35" ht="24.75" customHeight="1">
      <c r="A146" s="16"/>
      <c r="B146" s="4707" t="s">
        <v>171</v>
      </c>
      <c r="C146" s="4592" t="s">
        <v>188</v>
      </c>
      <c r="D146" s="4450"/>
      <c r="E146" s="4450"/>
      <c r="F146" s="4709"/>
      <c r="G146" s="4592" t="s">
        <v>188</v>
      </c>
      <c r="H146" s="4450"/>
      <c r="I146" s="4450"/>
      <c r="J146" s="4709"/>
      <c r="K146" s="4592" t="s">
        <v>188</v>
      </c>
      <c r="L146" s="4450"/>
      <c r="M146" s="4450"/>
      <c r="N146" s="4709"/>
      <c r="O146" s="4592" t="s">
        <v>188</v>
      </c>
      <c r="P146" s="4450"/>
      <c r="Q146" s="4450"/>
      <c r="R146" s="4709"/>
      <c r="S146" s="4592" t="s">
        <v>188</v>
      </c>
      <c r="T146" s="4450"/>
      <c r="U146" s="4450"/>
      <c r="V146" s="4709"/>
      <c r="W146" s="4595" t="s">
        <v>221</v>
      </c>
      <c r="X146" s="4463"/>
      <c r="Y146" s="4463"/>
      <c r="Z146" s="4716"/>
      <c r="AA146" s="4714"/>
      <c r="AB146" s="4463"/>
      <c r="AC146" s="4463"/>
      <c r="AD146" s="4596"/>
      <c r="AE146" s="4712">
        <v>45</v>
      </c>
      <c r="AF146" s="4450"/>
      <c r="AG146" s="4450"/>
      <c r="AH146" s="4593"/>
      <c r="AI146" s="4459"/>
    </row>
    <row r="147" spans="1:35" ht="24.75" customHeight="1" thickBot="1">
      <c r="A147" s="16"/>
      <c r="B147" s="4752" t="s">
        <v>173</v>
      </c>
      <c r="C147" s="4739"/>
      <c r="D147" s="4541"/>
      <c r="E147" s="4541"/>
      <c r="F147" s="4741"/>
      <c r="G147" s="4739"/>
      <c r="H147" s="4541"/>
      <c r="I147" s="4541"/>
      <c r="J147" s="4741"/>
      <c r="K147" s="4739"/>
      <c r="L147" s="4541"/>
      <c r="M147" s="4541"/>
      <c r="N147" s="4741"/>
      <c r="O147" s="4739"/>
      <c r="P147" s="4541"/>
      <c r="Q147" s="4541"/>
      <c r="R147" s="4741"/>
      <c r="S147" s="4739"/>
      <c r="T147" s="4541"/>
      <c r="U147" s="4541"/>
      <c r="V147" s="4722"/>
      <c r="W147" s="4739"/>
      <c r="X147" s="4722"/>
      <c r="Y147" s="4541"/>
      <c r="Z147" s="4741"/>
      <c r="AA147" s="4739"/>
      <c r="AB147" s="4722"/>
      <c r="AC147" s="4541"/>
      <c r="AD147" s="4741"/>
      <c r="AE147" s="4753"/>
      <c r="AF147" s="4541"/>
      <c r="AG147" s="4541"/>
      <c r="AH147" s="4722"/>
      <c r="AI147" s="4548"/>
    </row>
    <row r="148" spans="1:35" ht="24.75" customHeight="1">
      <c r="A148" s="342"/>
      <c r="B148" s="16" t="s">
        <v>548</v>
      </c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</row>
    <row r="149" spans="1:35" ht="24.75" customHeight="1" thickBot="1">
      <c r="A149" s="4602"/>
      <c r="B149" s="1456" t="s">
        <v>29</v>
      </c>
      <c r="C149" s="4468">
        <v>1</v>
      </c>
      <c r="D149" s="4469">
        <v>2</v>
      </c>
      <c r="E149" s="4469">
        <v>3</v>
      </c>
      <c r="F149" s="4468">
        <v>4</v>
      </c>
      <c r="G149" s="4468">
        <v>5</v>
      </c>
      <c r="H149" s="4469">
        <v>6</v>
      </c>
      <c r="I149" s="4469">
        <v>7</v>
      </c>
      <c r="J149" s="4469">
        <v>8</v>
      </c>
      <c r="K149" s="4469">
        <v>9</v>
      </c>
      <c r="L149" s="4469">
        <v>10</v>
      </c>
      <c r="M149" s="4468">
        <v>11</v>
      </c>
      <c r="N149" s="4468">
        <v>12</v>
      </c>
      <c r="O149" s="4469">
        <v>13</v>
      </c>
      <c r="P149" s="4469">
        <v>14</v>
      </c>
      <c r="Q149" s="4469">
        <v>15</v>
      </c>
      <c r="R149" s="4469">
        <v>16</v>
      </c>
      <c r="S149" s="4469">
        <v>17</v>
      </c>
      <c r="T149" s="4468">
        <v>18</v>
      </c>
      <c r="U149" s="4468">
        <v>19</v>
      </c>
      <c r="V149" s="4469">
        <v>20</v>
      </c>
      <c r="W149" s="4469">
        <v>21</v>
      </c>
      <c r="X149" s="4469">
        <v>22</v>
      </c>
      <c r="Y149" s="4469">
        <v>23</v>
      </c>
      <c r="Z149" s="4469">
        <v>24</v>
      </c>
      <c r="AA149" s="4468">
        <v>25</v>
      </c>
      <c r="AB149" s="4468">
        <v>26</v>
      </c>
      <c r="AC149" s="4469">
        <v>27</v>
      </c>
      <c r="AD149" s="4469">
        <v>28</v>
      </c>
      <c r="AE149" s="4469">
        <v>29</v>
      </c>
      <c r="AF149" s="4469">
        <v>30</v>
      </c>
      <c r="AG149" s="4470">
        <v>31</v>
      </c>
      <c r="AH149" s="303"/>
      <c r="AI149" s="304"/>
    </row>
    <row r="150" spans="1:35" ht="24.75" customHeight="1">
      <c r="A150" s="4724">
        <v>1</v>
      </c>
      <c r="B150" s="4311" t="s">
        <v>223</v>
      </c>
      <c r="C150" s="4312"/>
      <c r="D150" s="4475" t="s">
        <v>31</v>
      </c>
      <c r="E150" s="4475" t="s">
        <v>31</v>
      </c>
      <c r="F150" s="4312"/>
      <c r="G150" s="4312"/>
      <c r="H150" s="4312" t="s">
        <v>31</v>
      </c>
      <c r="I150" s="4312" t="s">
        <v>31</v>
      </c>
      <c r="J150" s="4312" t="s">
        <v>31</v>
      </c>
      <c r="K150" s="4312" t="s">
        <v>31</v>
      </c>
      <c r="L150" s="4312" t="s">
        <v>31</v>
      </c>
      <c r="M150" s="4312"/>
      <c r="N150" s="4312"/>
      <c r="O150" s="4312" t="s">
        <v>31</v>
      </c>
      <c r="P150" s="4312" t="s">
        <v>31</v>
      </c>
      <c r="Q150" s="4312" t="s">
        <v>31</v>
      </c>
      <c r="R150" s="4312" t="s">
        <v>31</v>
      </c>
      <c r="S150" s="4474" t="s">
        <v>31</v>
      </c>
      <c r="T150" s="4312"/>
      <c r="U150" s="4312"/>
      <c r="V150" s="4312" t="s">
        <v>31</v>
      </c>
      <c r="W150" s="4312" t="s">
        <v>31</v>
      </c>
      <c r="X150" s="4312" t="s">
        <v>31</v>
      </c>
      <c r="Y150" s="4312" t="s">
        <v>31</v>
      </c>
      <c r="Z150" s="4474" t="s">
        <v>31</v>
      </c>
      <c r="AA150" s="4312"/>
      <c r="AB150" s="4312"/>
      <c r="AC150" s="4312" t="s">
        <v>31</v>
      </c>
      <c r="AD150" s="4312" t="s">
        <v>31</v>
      </c>
      <c r="AE150" s="4312" t="s">
        <v>31</v>
      </c>
      <c r="AF150" s="4312" t="s">
        <v>31</v>
      </c>
      <c r="AG150" s="4313" t="s">
        <v>31</v>
      </c>
      <c r="AH150" s="313"/>
      <c r="AI150" s="305"/>
    </row>
    <row r="151" spans="1:35" ht="24.75" customHeight="1">
      <c r="A151" s="4726">
        <v>2</v>
      </c>
      <c r="B151" s="1619" t="s">
        <v>224</v>
      </c>
      <c r="C151" s="1620"/>
      <c r="D151" s="1621" t="s">
        <v>115</v>
      </c>
      <c r="E151" s="1620" t="s">
        <v>115</v>
      </c>
      <c r="F151" s="1620" t="s">
        <v>115</v>
      </c>
      <c r="G151" s="1620"/>
      <c r="H151" s="1620" t="s">
        <v>225</v>
      </c>
      <c r="I151" s="1620" t="s">
        <v>225</v>
      </c>
      <c r="J151" s="1620" t="s">
        <v>225</v>
      </c>
      <c r="K151" s="1620" t="s">
        <v>225</v>
      </c>
      <c r="L151" s="1620" t="s">
        <v>35</v>
      </c>
      <c r="M151" s="1620"/>
      <c r="N151" s="1620"/>
      <c r="O151" s="1620" t="s">
        <v>114</v>
      </c>
      <c r="P151" s="1620" t="s">
        <v>114</v>
      </c>
      <c r="Q151" s="1620" t="s">
        <v>114</v>
      </c>
      <c r="R151" s="1620" t="s">
        <v>114</v>
      </c>
      <c r="S151" s="1620" t="s">
        <v>114</v>
      </c>
      <c r="T151" s="1620"/>
      <c r="U151" s="1620"/>
      <c r="V151" s="1620" t="s">
        <v>115</v>
      </c>
      <c r="W151" s="1620" t="s">
        <v>115</v>
      </c>
      <c r="X151" s="1620" t="s">
        <v>115</v>
      </c>
      <c r="Y151" s="1621" t="s">
        <v>115</v>
      </c>
      <c r="Z151" s="1620" t="s">
        <v>115</v>
      </c>
      <c r="AA151" s="1620" t="s">
        <v>115</v>
      </c>
      <c r="AB151" s="1620"/>
      <c r="AC151" s="1620" t="s">
        <v>225</v>
      </c>
      <c r="AD151" s="1620" t="s">
        <v>225</v>
      </c>
      <c r="AE151" s="1620" t="s">
        <v>225</v>
      </c>
      <c r="AF151" s="1620" t="s">
        <v>225</v>
      </c>
      <c r="AG151" s="1622" t="s">
        <v>35</v>
      </c>
      <c r="AH151" s="313"/>
      <c r="AI151" s="305"/>
    </row>
    <row r="152" spans="1:35" ht="24.75" customHeight="1">
      <c r="A152" s="4726">
        <v>3</v>
      </c>
      <c r="B152" s="4754" t="s">
        <v>226</v>
      </c>
      <c r="C152" s="1620"/>
      <c r="D152" s="1620" t="s">
        <v>225</v>
      </c>
      <c r="E152" s="1620" t="s">
        <v>35</v>
      </c>
      <c r="F152" s="1620"/>
      <c r="G152" s="1620"/>
      <c r="H152" s="1620" t="s">
        <v>114</v>
      </c>
      <c r="I152" s="1620" t="s">
        <v>114</v>
      </c>
      <c r="J152" s="1620" t="s">
        <v>114</v>
      </c>
      <c r="K152" s="1620" t="s">
        <v>114</v>
      </c>
      <c r="L152" s="1620" t="s">
        <v>114</v>
      </c>
      <c r="M152" s="1620"/>
      <c r="N152" s="1620"/>
      <c r="O152" s="1620" t="s">
        <v>115</v>
      </c>
      <c r="P152" s="1620" t="s">
        <v>115</v>
      </c>
      <c r="Q152" s="1620" t="s">
        <v>115</v>
      </c>
      <c r="R152" s="1620" t="s">
        <v>115</v>
      </c>
      <c r="S152" s="1620" t="s">
        <v>115</v>
      </c>
      <c r="T152" s="1620" t="s">
        <v>115</v>
      </c>
      <c r="U152" s="1620"/>
      <c r="V152" s="1620" t="s">
        <v>225</v>
      </c>
      <c r="W152" s="1620" t="s">
        <v>225</v>
      </c>
      <c r="X152" s="1620" t="s">
        <v>225</v>
      </c>
      <c r="Y152" s="1620" t="s">
        <v>225</v>
      </c>
      <c r="Z152" s="1620" t="s">
        <v>35</v>
      </c>
      <c r="AA152" s="1620"/>
      <c r="AB152" s="1620"/>
      <c r="AC152" s="1620" t="s">
        <v>114</v>
      </c>
      <c r="AD152" s="1620" t="s">
        <v>114</v>
      </c>
      <c r="AE152" s="1620" t="s">
        <v>114</v>
      </c>
      <c r="AF152" s="1620" t="s">
        <v>114</v>
      </c>
      <c r="AG152" s="1622" t="s">
        <v>114</v>
      </c>
      <c r="AH152" s="313"/>
      <c r="AI152" s="305"/>
    </row>
    <row r="153" spans="1:35" ht="24.75" customHeight="1">
      <c r="A153" s="4726">
        <v>4</v>
      </c>
      <c r="B153" s="4754" t="s">
        <v>227</v>
      </c>
      <c r="C153" s="4568" t="s">
        <v>31</v>
      </c>
      <c r="D153" s="4568"/>
      <c r="E153" s="4568" t="s">
        <v>31</v>
      </c>
      <c r="F153" s="4568"/>
      <c r="G153" s="4568"/>
      <c r="H153" s="4568"/>
      <c r="I153" s="4568" t="s">
        <v>31</v>
      </c>
      <c r="J153" s="4568"/>
      <c r="K153" s="4568"/>
      <c r="L153" s="4568" t="s">
        <v>31</v>
      </c>
      <c r="M153" s="4568" t="s">
        <v>115</v>
      </c>
      <c r="N153" s="4568"/>
      <c r="O153" s="4568"/>
      <c r="P153" s="4568" t="s">
        <v>31</v>
      </c>
      <c r="Q153" s="4568" t="s">
        <v>31</v>
      </c>
      <c r="R153" s="4568"/>
      <c r="S153" s="4568" t="s">
        <v>31</v>
      </c>
      <c r="T153" s="4568"/>
      <c r="U153" s="4568"/>
      <c r="V153" s="4568"/>
      <c r="W153" s="4568" t="s">
        <v>31</v>
      </c>
      <c r="X153" s="4568" t="s">
        <v>31</v>
      </c>
      <c r="Y153" s="4568"/>
      <c r="Z153" s="4568" t="s">
        <v>31</v>
      </c>
      <c r="AA153" s="4568"/>
      <c r="AB153" s="4568"/>
      <c r="AC153" s="4568"/>
      <c r="AD153" s="4568" t="s">
        <v>31</v>
      </c>
      <c r="AE153" s="4568"/>
      <c r="AF153" s="4568"/>
      <c r="AG153" s="4568" t="s">
        <v>31</v>
      </c>
      <c r="AH153" s="313"/>
      <c r="AI153" s="305"/>
    </row>
    <row r="154" spans="1:35" ht="24.75" customHeight="1">
      <c r="A154" s="4726">
        <v>5</v>
      </c>
      <c r="B154" s="4754" t="s">
        <v>228</v>
      </c>
      <c r="C154" s="1620"/>
      <c r="D154" s="4568" t="s">
        <v>31</v>
      </c>
      <c r="E154" s="1620"/>
      <c r="F154" s="1620"/>
      <c r="G154" s="1620"/>
      <c r="H154" s="1620"/>
      <c r="I154" s="1620" t="s">
        <v>31</v>
      </c>
      <c r="J154" s="1620"/>
      <c r="K154" s="1620" t="s">
        <v>31</v>
      </c>
      <c r="L154" s="1620"/>
      <c r="M154" s="1620"/>
      <c r="N154" s="1620"/>
      <c r="O154" s="1620"/>
      <c r="P154" s="1620" t="s">
        <v>31</v>
      </c>
      <c r="Q154" s="1620"/>
      <c r="R154" s="1620" t="s">
        <v>31</v>
      </c>
      <c r="S154" s="1620"/>
      <c r="T154" s="1620"/>
      <c r="U154" s="1620"/>
      <c r="V154" s="1620"/>
      <c r="W154" s="1620" t="s">
        <v>31</v>
      </c>
      <c r="X154" s="1620"/>
      <c r="Y154" s="1620" t="s">
        <v>31</v>
      </c>
      <c r="Z154" s="1620"/>
      <c r="AA154" s="1620"/>
      <c r="AB154" s="1620"/>
      <c r="AC154" s="1620"/>
      <c r="AD154" s="1620" t="s">
        <v>31</v>
      </c>
      <c r="AE154" s="1620"/>
      <c r="AF154" s="1620" t="s">
        <v>31</v>
      </c>
      <c r="AG154" s="1622"/>
      <c r="AH154" s="313"/>
      <c r="AI154" s="305"/>
    </row>
    <row r="155" spans="1:35" ht="24.75" customHeight="1" thickBot="1">
      <c r="A155" s="4733">
        <v>6</v>
      </c>
      <c r="B155" s="4755" t="s">
        <v>229</v>
      </c>
      <c r="C155" s="4756"/>
      <c r="D155" s="4756" t="s">
        <v>31</v>
      </c>
      <c r="E155" s="4756" t="s">
        <v>31</v>
      </c>
      <c r="F155" s="4756"/>
      <c r="G155" s="4756"/>
      <c r="H155" s="4756" t="s">
        <v>31</v>
      </c>
      <c r="I155" s="4756" t="s">
        <v>31</v>
      </c>
      <c r="J155" s="4756" t="s">
        <v>31</v>
      </c>
      <c r="K155" s="4756" t="s">
        <v>31</v>
      </c>
      <c r="L155" s="4756" t="s">
        <v>31</v>
      </c>
      <c r="M155" s="4756"/>
      <c r="N155" s="4756"/>
      <c r="O155" s="4756" t="s">
        <v>31</v>
      </c>
      <c r="P155" s="4756" t="s">
        <v>31</v>
      </c>
      <c r="Q155" s="4756" t="s">
        <v>31</v>
      </c>
      <c r="R155" s="4756" t="s">
        <v>31</v>
      </c>
      <c r="S155" s="4756" t="s">
        <v>31</v>
      </c>
      <c r="T155" s="4756"/>
      <c r="U155" s="4756"/>
      <c r="V155" s="4756" t="s">
        <v>31</v>
      </c>
      <c r="W155" s="4756" t="s">
        <v>31</v>
      </c>
      <c r="X155" s="4756" t="s">
        <v>31</v>
      </c>
      <c r="Y155" s="4756" t="s">
        <v>31</v>
      </c>
      <c r="Z155" s="4756" t="s">
        <v>31</v>
      </c>
      <c r="AA155" s="4756"/>
      <c r="AB155" s="4756"/>
      <c r="AC155" s="4756" t="s">
        <v>31</v>
      </c>
      <c r="AD155" s="4756" t="s">
        <v>31</v>
      </c>
      <c r="AE155" s="4756" t="s">
        <v>31</v>
      </c>
      <c r="AF155" s="4756" t="s">
        <v>31</v>
      </c>
      <c r="AG155" s="4757" t="s">
        <v>31</v>
      </c>
      <c r="AH155" s="351"/>
      <c r="AI155" s="17"/>
    </row>
    <row r="156" spans="1:35" ht="24.75" customHeight="1">
      <c r="A156" s="315"/>
      <c r="B156" s="4507" t="s">
        <v>549</v>
      </c>
      <c r="C156" s="4758"/>
      <c r="D156" s="4758"/>
      <c r="E156" s="4758"/>
      <c r="F156" s="4758"/>
      <c r="G156" s="4758"/>
      <c r="H156" s="4758"/>
      <c r="I156" s="4758"/>
      <c r="J156" s="4758"/>
      <c r="K156" s="4758"/>
      <c r="L156" s="4758"/>
      <c r="M156" s="4758" t="s">
        <v>115</v>
      </c>
      <c r="N156" s="4758"/>
      <c r="O156" s="4758"/>
      <c r="P156" s="4758"/>
      <c r="Q156" s="4758"/>
      <c r="R156" s="4758"/>
      <c r="S156" s="4758"/>
      <c r="T156" s="4758"/>
      <c r="U156" s="4758"/>
      <c r="V156" s="4758"/>
      <c r="W156" s="4758"/>
      <c r="X156" s="4758"/>
      <c r="Y156" s="4758"/>
      <c r="Z156" s="4758"/>
      <c r="AA156" s="4758"/>
      <c r="AB156" s="4758"/>
      <c r="AC156" s="4758"/>
      <c r="AD156" s="4758"/>
      <c r="AE156" s="4758"/>
      <c r="AF156" s="4758"/>
      <c r="AG156" s="4758"/>
      <c r="AH156" s="17"/>
      <c r="AI156" s="17"/>
    </row>
    <row r="157" spans="1:35" ht="24.75" customHeight="1">
      <c r="A157" s="352" t="s">
        <v>230</v>
      </c>
      <c r="B157" s="17"/>
      <c r="C157" s="38" t="s">
        <v>96</v>
      </c>
      <c r="D157" s="17"/>
      <c r="E157" s="17"/>
      <c r="F157" s="38" t="s">
        <v>96</v>
      </c>
      <c r="G157" s="17"/>
      <c r="H157" s="17"/>
      <c r="I157" s="38" t="s">
        <v>96</v>
      </c>
      <c r="J157" s="38"/>
      <c r="K157" s="17"/>
      <c r="L157" s="38" t="s">
        <v>96</v>
      </c>
      <c r="M157" s="17"/>
      <c r="N157" s="17"/>
      <c r="O157" s="38" t="s">
        <v>96</v>
      </c>
      <c r="P157" s="17"/>
      <c r="Q157" s="38"/>
      <c r="R157" s="38" t="s">
        <v>96</v>
      </c>
      <c r="S157" s="17"/>
      <c r="T157" s="17"/>
      <c r="U157" s="38" t="s">
        <v>96</v>
      </c>
      <c r="V157" s="17"/>
      <c r="W157" s="38"/>
      <c r="X157" s="38"/>
      <c r="Y157" s="17"/>
      <c r="Z157" s="17"/>
      <c r="AA157" s="17"/>
      <c r="AB157" s="17"/>
      <c r="AC157" s="17"/>
      <c r="AD157" s="17"/>
      <c r="AE157" s="38"/>
      <c r="AF157" s="17"/>
      <c r="AG157" s="17"/>
      <c r="AH157" s="17"/>
      <c r="AI157" s="17"/>
    </row>
    <row r="158" spans="1:35" ht="24.75" customHeight="1">
      <c r="A158" s="315"/>
      <c r="B158" s="4759" t="s">
        <v>231</v>
      </c>
      <c r="C158" s="4323"/>
      <c r="D158" s="4760" t="s">
        <v>87</v>
      </c>
      <c r="E158" s="4761"/>
      <c r="F158" s="4762"/>
      <c r="G158" s="4763"/>
      <c r="H158" s="4760" t="s">
        <v>88</v>
      </c>
      <c r="I158" s="4761"/>
      <c r="J158" s="4762"/>
      <c r="K158" s="4763"/>
      <c r="L158" s="4760" t="s">
        <v>89</v>
      </c>
      <c r="M158" s="4761"/>
      <c r="N158" s="4762"/>
      <c r="O158" s="4763"/>
      <c r="P158" s="4760" t="s">
        <v>90</v>
      </c>
      <c r="Q158" s="4761"/>
      <c r="R158" s="4762"/>
      <c r="S158" s="4763"/>
      <c r="T158" s="4760" t="s">
        <v>91</v>
      </c>
      <c r="U158" s="4764"/>
      <c r="V158" s="353"/>
      <c r="W158" s="353"/>
      <c r="X158" s="354"/>
      <c r="Y158" s="353"/>
      <c r="Z158" s="353"/>
      <c r="AA158" s="353"/>
      <c r="AB158" s="354"/>
      <c r="AC158" s="353"/>
      <c r="AD158" s="353"/>
      <c r="AE158" s="354"/>
      <c r="AF158" s="353"/>
      <c r="AG158" s="353"/>
      <c r="AH158" s="353"/>
      <c r="AI158" s="353"/>
    </row>
    <row r="159" spans="1:35" ht="24.75" customHeight="1">
      <c r="A159" s="315"/>
      <c r="B159" s="4765" t="s">
        <v>232</v>
      </c>
      <c r="C159" s="4351" t="s">
        <v>233</v>
      </c>
      <c r="D159" s="3176" t="s">
        <v>234</v>
      </c>
      <c r="E159" s="3177"/>
      <c r="F159" s="3178"/>
      <c r="G159" s="3936"/>
      <c r="H159" s="3176" t="s">
        <v>234</v>
      </c>
      <c r="I159" s="3177"/>
      <c r="J159" s="3178"/>
      <c r="K159" s="3936"/>
      <c r="L159" s="3176" t="s">
        <v>234</v>
      </c>
      <c r="M159" s="3177"/>
      <c r="N159" s="3178"/>
      <c r="O159" s="3936"/>
      <c r="P159" s="3176" t="s">
        <v>235</v>
      </c>
      <c r="Q159" s="3177"/>
      <c r="R159" s="3178"/>
      <c r="S159" s="3936"/>
      <c r="T159" s="3176" t="s">
        <v>236</v>
      </c>
      <c r="U159" s="3178"/>
      <c r="V159" s="287"/>
      <c r="W159" s="288"/>
      <c r="X159" s="287"/>
      <c r="Y159" s="287"/>
      <c r="Z159" s="287"/>
      <c r="AA159" s="288"/>
      <c r="AB159" s="287"/>
      <c r="AC159" s="287"/>
      <c r="AD159" s="287"/>
      <c r="AE159" s="288"/>
      <c r="AF159" s="287"/>
      <c r="AG159" s="287"/>
      <c r="AH159" s="287"/>
      <c r="AI159" s="287"/>
    </row>
    <row r="160" spans="1:35" ht="24.75" customHeight="1">
      <c r="A160" s="315"/>
      <c r="B160" s="4765" t="s">
        <v>232</v>
      </c>
      <c r="C160" s="4351" t="s">
        <v>237</v>
      </c>
      <c r="D160" s="3176" t="s">
        <v>234</v>
      </c>
      <c r="E160" s="3177"/>
      <c r="F160" s="3178"/>
      <c r="G160" s="3936"/>
      <c r="H160" s="3176" t="s">
        <v>234</v>
      </c>
      <c r="I160" s="3177"/>
      <c r="J160" s="3178"/>
      <c r="K160" s="3936"/>
      <c r="L160" s="3176" t="s">
        <v>234</v>
      </c>
      <c r="M160" s="3177"/>
      <c r="N160" s="3178"/>
      <c r="O160" s="3936"/>
      <c r="P160" s="3176" t="s">
        <v>235</v>
      </c>
      <c r="Q160" s="3177"/>
      <c r="R160" s="3178"/>
      <c r="S160" s="3936"/>
      <c r="T160" s="3176" t="s">
        <v>236</v>
      </c>
      <c r="U160" s="3178"/>
      <c r="V160" s="287"/>
      <c r="W160" s="288"/>
      <c r="X160" s="287"/>
      <c r="Y160" s="287"/>
      <c r="Z160" s="287"/>
      <c r="AA160" s="288"/>
      <c r="AB160" s="287"/>
      <c r="AC160" s="287"/>
      <c r="AD160" s="287"/>
      <c r="AE160" s="288"/>
      <c r="AF160" s="287"/>
      <c r="AG160" s="287"/>
      <c r="AH160" s="287"/>
      <c r="AI160" s="287"/>
    </row>
    <row r="161" spans="1:35" ht="24.75" customHeight="1">
      <c r="A161" s="315"/>
      <c r="B161" s="4765" t="s">
        <v>238</v>
      </c>
      <c r="C161" s="4351" t="s">
        <v>201</v>
      </c>
      <c r="D161" s="3176" t="s">
        <v>234</v>
      </c>
      <c r="E161" s="3177"/>
      <c r="F161" s="3178"/>
      <c r="G161" s="3936"/>
      <c r="H161" s="3176" t="s">
        <v>234</v>
      </c>
      <c r="I161" s="3177"/>
      <c r="J161" s="3178"/>
      <c r="K161" s="3936"/>
      <c r="L161" s="3176" t="s">
        <v>234</v>
      </c>
      <c r="M161" s="3177"/>
      <c r="N161" s="3178"/>
      <c r="O161" s="3936"/>
      <c r="P161" s="3176" t="s">
        <v>235</v>
      </c>
      <c r="Q161" s="3177"/>
      <c r="R161" s="3178"/>
      <c r="S161" s="3936"/>
      <c r="T161" s="3176" t="s">
        <v>236</v>
      </c>
      <c r="U161" s="3178"/>
      <c r="V161" s="287"/>
      <c r="W161" s="288"/>
      <c r="X161" s="287"/>
      <c r="Y161" s="287"/>
      <c r="Z161" s="287"/>
      <c r="AA161" s="288"/>
      <c r="AB161" s="287"/>
      <c r="AC161" s="287"/>
      <c r="AD161" s="287"/>
      <c r="AE161" s="288"/>
      <c r="AF161" s="287"/>
      <c r="AG161" s="287"/>
      <c r="AH161" s="287"/>
      <c r="AI161" s="287"/>
    </row>
    <row r="162" spans="1:35" ht="24.75" customHeight="1">
      <c r="A162" s="315"/>
      <c r="B162" s="4765" t="s">
        <v>239</v>
      </c>
      <c r="C162" s="4351" t="s">
        <v>121</v>
      </c>
      <c r="D162" s="3176" t="s">
        <v>240</v>
      </c>
      <c r="E162" s="3177"/>
      <c r="F162" s="3178"/>
      <c r="G162" s="3936"/>
      <c r="H162" s="3176" t="s">
        <v>240</v>
      </c>
      <c r="I162" s="3177"/>
      <c r="J162" s="3178"/>
      <c r="K162" s="3936"/>
      <c r="L162" s="3176" t="s">
        <v>240</v>
      </c>
      <c r="M162" s="3177"/>
      <c r="N162" s="3178"/>
      <c r="O162" s="3936"/>
      <c r="P162" s="3176" t="s">
        <v>241</v>
      </c>
      <c r="Q162" s="3177"/>
      <c r="R162" s="3178"/>
      <c r="S162" s="3936"/>
      <c r="T162" s="3176" t="s">
        <v>242</v>
      </c>
      <c r="U162" s="3178"/>
      <c r="V162" s="287"/>
      <c r="W162" s="288"/>
      <c r="X162" s="287"/>
      <c r="Y162" s="287"/>
      <c r="Z162" s="287"/>
      <c r="AA162" s="288"/>
      <c r="AB162" s="287"/>
      <c r="AC162" s="287"/>
      <c r="AD162" s="287"/>
      <c r="AE162" s="288"/>
      <c r="AF162" s="287"/>
      <c r="AG162" s="287"/>
      <c r="AH162" s="287"/>
      <c r="AI162" s="287"/>
    </row>
    <row r="163" spans="1:35" ht="24.75" customHeight="1">
      <c r="A163" s="315"/>
      <c r="B163" s="4765" t="s">
        <v>243</v>
      </c>
      <c r="C163" s="4351" t="s">
        <v>244</v>
      </c>
      <c r="D163" s="3176" t="s">
        <v>245</v>
      </c>
      <c r="E163" s="3177"/>
      <c r="F163" s="3178"/>
      <c r="G163" s="3936"/>
      <c r="H163" s="3176" t="s">
        <v>245</v>
      </c>
      <c r="I163" s="3177"/>
      <c r="J163" s="3178"/>
      <c r="K163" s="3936"/>
      <c r="L163" s="3176" t="s">
        <v>246</v>
      </c>
      <c r="M163" s="3177"/>
      <c r="N163" s="3178"/>
      <c r="O163" s="3936"/>
      <c r="P163" s="3176" t="s">
        <v>247</v>
      </c>
      <c r="Q163" s="3177"/>
      <c r="R163" s="3178"/>
      <c r="S163" s="3936"/>
      <c r="T163" s="3176" t="s">
        <v>242</v>
      </c>
      <c r="U163" s="3178"/>
      <c r="V163" s="287"/>
      <c r="W163" s="288"/>
      <c r="X163" s="287"/>
      <c r="Y163" s="287"/>
      <c r="Z163" s="287"/>
      <c r="AA163" s="288"/>
      <c r="AB163" s="287"/>
      <c r="AC163" s="287"/>
      <c r="AD163" s="287"/>
      <c r="AE163" s="288"/>
      <c r="AF163" s="287"/>
      <c r="AG163" s="287"/>
      <c r="AH163" s="287"/>
      <c r="AI163" s="287"/>
    </row>
    <row r="164" spans="1:35" ht="24.75" customHeight="1">
      <c r="A164" s="315"/>
      <c r="B164" s="4765" t="s">
        <v>248</v>
      </c>
      <c r="C164" s="4351" t="s">
        <v>128</v>
      </c>
      <c r="D164" s="3176" t="s">
        <v>234</v>
      </c>
      <c r="E164" s="3177"/>
      <c r="F164" s="3178"/>
      <c r="G164" s="3936"/>
      <c r="H164" s="3176" t="s">
        <v>234</v>
      </c>
      <c r="I164" s="3177"/>
      <c r="J164" s="3178"/>
      <c r="K164" s="3936"/>
      <c r="L164" s="3176" t="s">
        <v>234</v>
      </c>
      <c r="M164" s="3177"/>
      <c r="N164" s="3178"/>
      <c r="O164" s="3936"/>
      <c r="P164" s="3176" t="s">
        <v>234</v>
      </c>
      <c r="Q164" s="3177"/>
      <c r="R164" s="3178"/>
      <c r="S164" s="3936"/>
      <c r="T164" s="4766" t="s">
        <v>245</v>
      </c>
      <c r="U164" s="3178"/>
      <c r="V164" s="287"/>
      <c r="W164" s="288"/>
      <c r="X164" s="287"/>
      <c r="Y164" s="287"/>
      <c r="Z164" s="287"/>
      <c r="AA164" s="288"/>
      <c r="AB164" s="287"/>
      <c r="AC164" s="287"/>
      <c r="AD164" s="287"/>
      <c r="AE164" s="288"/>
      <c r="AF164" s="287"/>
      <c r="AG164" s="287"/>
      <c r="AH164" s="287"/>
      <c r="AI164" s="287"/>
    </row>
    <row r="165" spans="1:35" ht="24.75" customHeight="1">
      <c r="A165" s="315"/>
      <c r="B165" s="4765" t="s">
        <v>249</v>
      </c>
      <c r="C165" s="4351" t="s">
        <v>250</v>
      </c>
      <c r="D165" s="3176" t="s">
        <v>234</v>
      </c>
      <c r="E165" s="3177"/>
      <c r="F165" s="3178"/>
      <c r="G165" s="3936"/>
      <c r="H165" s="3176" t="s">
        <v>234</v>
      </c>
      <c r="I165" s="3177"/>
      <c r="J165" s="3178"/>
      <c r="K165" s="3936"/>
      <c r="L165" s="3176" t="s">
        <v>234</v>
      </c>
      <c r="M165" s="3177"/>
      <c r="N165" s="3178"/>
      <c r="O165" s="3936"/>
      <c r="P165" s="3176" t="s">
        <v>235</v>
      </c>
      <c r="Q165" s="3177"/>
      <c r="R165" s="3178"/>
      <c r="S165" s="3936"/>
      <c r="T165" s="3176" t="s">
        <v>236</v>
      </c>
      <c r="U165" s="3178"/>
      <c r="V165" s="287"/>
      <c r="W165" s="288"/>
      <c r="X165" s="287"/>
      <c r="Y165" s="287"/>
      <c r="Z165" s="287"/>
      <c r="AA165" s="288"/>
      <c r="AB165" s="287"/>
      <c r="AC165" s="287"/>
      <c r="AD165" s="287"/>
      <c r="AE165" s="288"/>
      <c r="AF165" s="287"/>
      <c r="AG165" s="287"/>
      <c r="AH165" s="287"/>
      <c r="AI165" s="287"/>
    </row>
    <row r="166" spans="1:35" ht="24.75" customHeight="1">
      <c r="A166" s="315"/>
      <c r="B166" s="4765" t="s">
        <v>249</v>
      </c>
      <c r="C166" s="4351" t="s">
        <v>251</v>
      </c>
      <c r="D166" s="3176" t="s">
        <v>234</v>
      </c>
      <c r="E166" s="3177"/>
      <c r="F166" s="3178"/>
      <c r="G166" s="3936"/>
      <c r="H166" s="3176" t="s">
        <v>234</v>
      </c>
      <c r="I166" s="3177"/>
      <c r="J166" s="3178"/>
      <c r="K166" s="3936"/>
      <c r="L166" s="3176" t="s">
        <v>234</v>
      </c>
      <c r="M166" s="3177"/>
      <c r="N166" s="3178"/>
      <c r="O166" s="3936"/>
      <c r="P166" s="3176" t="s">
        <v>235</v>
      </c>
      <c r="Q166" s="3177"/>
      <c r="R166" s="3178"/>
      <c r="S166" s="3936"/>
      <c r="T166" s="3176" t="s">
        <v>236</v>
      </c>
      <c r="U166" s="3178"/>
      <c r="V166" s="287"/>
      <c r="W166" s="288"/>
      <c r="X166" s="287"/>
      <c r="Y166" s="287"/>
      <c r="Z166" s="287"/>
      <c r="AA166" s="288"/>
      <c r="AB166" s="287"/>
      <c r="AC166" s="287"/>
      <c r="AD166" s="287"/>
      <c r="AE166" s="288"/>
      <c r="AF166" s="287"/>
      <c r="AG166" s="287"/>
      <c r="AH166" s="287"/>
      <c r="AI166" s="287"/>
    </row>
    <row r="167" spans="1:35" ht="24.75" customHeight="1">
      <c r="A167" s="315"/>
      <c r="B167" s="4765" t="s">
        <v>252</v>
      </c>
      <c r="C167" s="4351" t="s">
        <v>253</v>
      </c>
      <c r="D167" s="3176" t="s">
        <v>234</v>
      </c>
      <c r="E167" s="3177"/>
      <c r="F167" s="3178"/>
      <c r="G167" s="3936"/>
      <c r="H167" s="3176" t="s">
        <v>234</v>
      </c>
      <c r="I167" s="3177"/>
      <c r="J167" s="3178"/>
      <c r="K167" s="3936"/>
      <c r="L167" s="3176" t="s">
        <v>234</v>
      </c>
      <c r="M167" s="3177"/>
      <c r="N167" s="3178"/>
      <c r="O167" s="3936"/>
      <c r="P167" s="3176" t="s">
        <v>254</v>
      </c>
      <c r="Q167" s="3177"/>
      <c r="R167" s="3178"/>
      <c r="S167" s="3936"/>
      <c r="T167" s="3176" t="s">
        <v>242</v>
      </c>
      <c r="U167" s="3178"/>
      <c r="V167" s="287"/>
      <c r="W167" s="288"/>
      <c r="X167" s="287"/>
      <c r="Y167" s="287"/>
      <c r="Z167" s="287"/>
      <c r="AA167" s="288"/>
      <c r="AB167" s="287"/>
      <c r="AC167" s="287"/>
      <c r="AD167" s="287"/>
      <c r="AE167" s="288"/>
      <c r="AF167" s="287"/>
      <c r="AG167" s="287"/>
      <c r="AH167" s="287"/>
      <c r="AI167" s="287"/>
    </row>
    <row r="168" spans="1:35" ht="24.75" customHeight="1">
      <c r="A168" s="315"/>
      <c r="B168" s="4767" t="s">
        <v>255</v>
      </c>
      <c r="C168" s="4351" t="s">
        <v>123</v>
      </c>
      <c r="D168" s="3176" t="s">
        <v>234</v>
      </c>
      <c r="E168" s="3177"/>
      <c r="F168" s="3178"/>
      <c r="G168" s="3936"/>
      <c r="H168" s="3176" t="s">
        <v>234</v>
      </c>
      <c r="I168" s="3177"/>
      <c r="J168" s="3178"/>
      <c r="K168" s="3936"/>
      <c r="L168" s="3176" t="s">
        <v>234</v>
      </c>
      <c r="M168" s="3177"/>
      <c r="N168" s="3178"/>
      <c r="O168" s="3936"/>
      <c r="P168" s="3176" t="s">
        <v>235</v>
      </c>
      <c r="Q168" s="3177"/>
      <c r="R168" s="3178"/>
      <c r="S168" s="3936"/>
      <c r="T168" s="3176" t="s">
        <v>236</v>
      </c>
      <c r="U168" s="3178"/>
      <c r="V168" s="287"/>
      <c r="W168" s="288"/>
      <c r="X168" s="287"/>
      <c r="Y168" s="287"/>
      <c r="Z168" s="287"/>
      <c r="AA168" s="288"/>
      <c r="AB168" s="287"/>
      <c r="AC168" s="287"/>
      <c r="AD168" s="287"/>
      <c r="AE168" s="288"/>
      <c r="AF168" s="287"/>
      <c r="AG168" s="287"/>
      <c r="AH168" s="287"/>
      <c r="AI168" s="287"/>
    </row>
    <row r="169" spans="1:35" ht="24.75" customHeight="1">
      <c r="A169" s="315"/>
      <c r="B169" s="4765" t="s">
        <v>256</v>
      </c>
      <c r="C169" s="4351" t="s">
        <v>146</v>
      </c>
      <c r="D169" s="3176" t="s">
        <v>234</v>
      </c>
      <c r="E169" s="3177"/>
      <c r="F169" s="3178"/>
      <c r="G169" s="3936"/>
      <c r="H169" s="3176" t="s">
        <v>234</v>
      </c>
      <c r="I169" s="3177"/>
      <c r="J169" s="3178"/>
      <c r="K169" s="3936"/>
      <c r="L169" s="3176" t="s">
        <v>234</v>
      </c>
      <c r="M169" s="3177"/>
      <c r="N169" s="3178"/>
      <c r="O169" s="3936"/>
      <c r="P169" s="3176" t="s">
        <v>235</v>
      </c>
      <c r="Q169" s="3177"/>
      <c r="R169" s="3178"/>
      <c r="S169" s="3936"/>
      <c r="T169" s="3176" t="s">
        <v>236</v>
      </c>
      <c r="U169" s="3178"/>
      <c r="V169" s="287"/>
      <c r="W169" s="288"/>
      <c r="X169" s="287"/>
      <c r="Y169" s="287"/>
      <c r="Z169" s="287"/>
      <c r="AA169" s="288"/>
      <c r="AB169" s="287"/>
      <c r="AC169" s="287"/>
      <c r="AD169" s="287"/>
      <c r="AE169" s="288"/>
      <c r="AF169" s="287"/>
      <c r="AG169" s="287"/>
      <c r="AH169" s="287"/>
      <c r="AI169" s="287"/>
    </row>
    <row r="170" spans="1:35" ht="24.75" customHeight="1">
      <c r="A170" s="315"/>
      <c r="B170" s="4765" t="s">
        <v>257</v>
      </c>
      <c r="C170" s="4768" t="s">
        <v>136</v>
      </c>
      <c r="D170" s="3176" t="s">
        <v>258</v>
      </c>
      <c r="E170" s="3177"/>
      <c r="F170" s="3178"/>
      <c r="G170" s="3936"/>
      <c r="H170" s="3176" t="s">
        <v>258</v>
      </c>
      <c r="I170" s="3177"/>
      <c r="J170" s="3178"/>
      <c r="K170" s="3936"/>
      <c r="L170" s="3176" t="s">
        <v>258</v>
      </c>
      <c r="M170" s="3177"/>
      <c r="N170" s="3177"/>
      <c r="O170" s="3936"/>
      <c r="P170" s="3176" t="s">
        <v>258</v>
      </c>
      <c r="Q170" s="3177"/>
      <c r="R170" s="3177"/>
      <c r="S170" s="3936"/>
      <c r="T170" s="3176" t="s">
        <v>242</v>
      </c>
      <c r="U170" s="3178"/>
      <c r="V170" s="287"/>
      <c r="W170" s="287"/>
      <c r="X170" s="287"/>
      <c r="Y170" s="287"/>
      <c r="Z170" s="287"/>
      <c r="AA170" s="288"/>
      <c r="AB170" s="287"/>
      <c r="AC170" s="287"/>
      <c r="AD170" s="287"/>
      <c r="AE170" s="288"/>
      <c r="AF170" s="287"/>
      <c r="AG170" s="287"/>
      <c r="AH170" s="287"/>
      <c r="AI170" s="287"/>
    </row>
    <row r="171" spans="1:35" ht="24.75" customHeight="1">
      <c r="A171" s="315"/>
      <c r="B171" s="4765" t="s">
        <v>259</v>
      </c>
      <c r="C171" s="4768" t="s">
        <v>112</v>
      </c>
      <c r="D171" s="3176" t="s">
        <v>258</v>
      </c>
      <c r="E171" s="3177"/>
      <c r="F171" s="3178"/>
      <c r="G171" s="3936"/>
      <c r="H171" s="3176" t="s">
        <v>258</v>
      </c>
      <c r="I171" s="3177"/>
      <c r="J171" s="3178"/>
      <c r="K171" s="3936"/>
      <c r="L171" s="3176" t="s">
        <v>258</v>
      </c>
      <c r="M171" s="3177"/>
      <c r="N171" s="3177"/>
      <c r="O171" s="3936"/>
      <c r="P171" s="3176" t="s">
        <v>258</v>
      </c>
      <c r="Q171" s="3177"/>
      <c r="R171" s="3177"/>
      <c r="S171" s="3936"/>
      <c r="T171" s="3176" t="s">
        <v>242</v>
      </c>
      <c r="U171" s="3178"/>
      <c r="V171" s="287"/>
      <c r="W171" s="287"/>
      <c r="X171" s="287"/>
      <c r="Y171" s="287"/>
      <c r="Z171" s="287"/>
      <c r="AA171" s="288"/>
      <c r="AB171" s="287"/>
      <c r="AC171" s="287"/>
      <c r="AD171" s="287"/>
      <c r="AE171" s="288"/>
      <c r="AF171" s="287"/>
      <c r="AG171" s="287"/>
      <c r="AH171" s="287"/>
      <c r="AI171" s="287"/>
    </row>
    <row r="172" spans="1:35" ht="24.75" customHeight="1" thickBot="1">
      <c r="A172" s="315"/>
      <c r="B172" s="4765" t="s">
        <v>260</v>
      </c>
      <c r="C172" s="4768" t="s">
        <v>261</v>
      </c>
      <c r="D172" s="3176" t="s">
        <v>258</v>
      </c>
      <c r="E172" s="3177"/>
      <c r="F172" s="3178"/>
      <c r="G172" s="3936"/>
      <c r="H172" s="3176" t="s">
        <v>258</v>
      </c>
      <c r="I172" s="3177"/>
      <c r="J172" s="3178"/>
      <c r="K172" s="3936"/>
      <c r="L172" s="3176" t="s">
        <v>258</v>
      </c>
      <c r="M172" s="3177"/>
      <c r="N172" s="3177"/>
      <c r="O172" s="3936"/>
      <c r="P172" s="3176" t="s">
        <v>258</v>
      </c>
      <c r="Q172" s="3177"/>
      <c r="R172" s="3177"/>
      <c r="S172" s="3936"/>
      <c r="T172" s="3176" t="s">
        <v>242</v>
      </c>
      <c r="U172" s="3178"/>
      <c r="V172" s="4769"/>
      <c r="AH172" s="17"/>
      <c r="AI172" s="17"/>
    </row>
    <row r="173" spans="1:35" ht="24.75" customHeight="1" thickBot="1">
      <c r="A173" s="355"/>
      <c r="B173" s="356"/>
      <c r="C173" s="4770">
        <v>1</v>
      </c>
      <c r="D173" s="4771">
        <v>2</v>
      </c>
      <c r="E173" s="4771">
        <v>3</v>
      </c>
      <c r="F173" s="4770">
        <v>4</v>
      </c>
      <c r="G173" s="4770">
        <v>5</v>
      </c>
      <c r="H173" s="4771">
        <v>6</v>
      </c>
      <c r="I173" s="4771">
        <v>7</v>
      </c>
      <c r="J173" s="4771">
        <v>8</v>
      </c>
      <c r="K173" s="4771">
        <v>9</v>
      </c>
      <c r="L173" s="4771">
        <v>10</v>
      </c>
      <c r="M173" s="4770">
        <v>11</v>
      </c>
      <c r="N173" s="4770">
        <v>12</v>
      </c>
      <c r="O173" s="4771">
        <v>13</v>
      </c>
      <c r="P173" s="4771">
        <v>14</v>
      </c>
      <c r="Q173" s="4771">
        <v>15</v>
      </c>
      <c r="R173" s="4771">
        <v>16</v>
      </c>
      <c r="S173" s="4771">
        <v>17</v>
      </c>
      <c r="T173" s="4770">
        <v>18</v>
      </c>
      <c r="U173" s="4770">
        <v>19</v>
      </c>
      <c r="V173" s="4469">
        <v>20</v>
      </c>
      <c r="W173" s="4469">
        <v>21</v>
      </c>
      <c r="X173" s="4469">
        <v>22</v>
      </c>
      <c r="Y173" s="4469">
        <v>23</v>
      </c>
      <c r="Z173" s="4469">
        <v>24</v>
      </c>
      <c r="AA173" s="4468">
        <v>25</v>
      </c>
      <c r="AB173" s="4468">
        <v>26</v>
      </c>
      <c r="AC173" s="4469">
        <v>27</v>
      </c>
      <c r="AD173" s="4469">
        <v>28</v>
      </c>
      <c r="AE173" s="4469">
        <v>29</v>
      </c>
      <c r="AF173" s="4469">
        <v>30</v>
      </c>
      <c r="AG173" s="4470">
        <v>31</v>
      </c>
      <c r="AH173" s="357"/>
      <c r="AI173" s="304"/>
    </row>
    <row r="174" spans="1:35" ht="24.75" customHeight="1">
      <c r="A174" s="315"/>
      <c r="B174" s="4772" t="s">
        <v>262</v>
      </c>
      <c r="C174" s="4746"/>
      <c r="D174" s="4746" t="s">
        <v>233</v>
      </c>
      <c r="E174" s="4746" t="s">
        <v>233</v>
      </c>
      <c r="F174" s="4746"/>
      <c r="G174" s="4746"/>
      <c r="H174" s="4746" t="s">
        <v>233</v>
      </c>
      <c r="I174" s="4746" t="s">
        <v>233</v>
      </c>
      <c r="J174" s="4746" t="s">
        <v>233</v>
      </c>
      <c r="K174" s="4746" t="s">
        <v>233</v>
      </c>
      <c r="L174" s="4746" t="s">
        <v>233</v>
      </c>
      <c r="M174" s="4746"/>
      <c r="N174" s="4746"/>
      <c r="O174" s="4746" t="s">
        <v>233</v>
      </c>
      <c r="P174" s="4746" t="s">
        <v>233</v>
      </c>
      <c r="Q174" s="4746" t="s">
        <v>233</v>
      </c>
      <c r="R174" s="4746" t="s">
        <v>233</v>
      </c>
      <c r="S174" s="4746" t="s">
        <v>233</v>
      </c>
      <c r="T174" s="4746"/>
      <c r="U174" s="4746"/>
      <c r="V174" s="4746" t="s">
        <v>233</v>
      </c>
      <c r="W174" s="4746" t="s">
        <v>233</v>
      </c>
      <c r="X174" s="4746" t="s">
        <v>233</v>
      </c>
      <c r="Y174" s="4773" t="s">
        <v>233</v>
      </c>
      <c r="Z174" s="4773" t="s">
        <v>233</v>
      </c>
      <c r="AA174" s="4773"/>
      <c r="AB174" s="4773"/>
      <c r="AC174" s="4773" t="s">
        <v>233</v>
      </c>
      <c r="AD174" s="4773" t="s">
        <v>233</v>
      </c>
      <c r="AE174" s="4773" t="s">
        <v>233</v>
      </c>
      <c r="AF174" s="4773" t="s">
        <v>233</v>
      </c>
      <c r="AG174" s="4774" t="s">
        <v>233</v>
      </c>
      <c r="AH174" s="305"/>
      <c r="AI174" s="305"/>
    </row>
    <row r="175" spans="1:35" ht="24.75" customHeight="1">
      <c r="A175" s="315"/>
      <c r="B175" s="4775" t="s">
        <v>263</v>
      </c>
      <c r="C175" s="4615"/>
      <c r="D175" s="4615" t="s">
        <v>233</v>
      </c>
      <c r="E175" s="4615" t="s">
        <v>233</v>
      </c>
      <c r="F175" s="4615"/>
      <c r="G175" s="4615"/>
      <c r="H175" s="4615" t="s">
        <v>233</v>
      </c>
      <c r="I175" s="4615" t="s">
        <v>233</v>
      </c>
      <c r="J175" s="4628" t="s">
        <v>233</v>
      </c>
      <c r="K175" s="4628" t="s">
        <v>233</v>
      </c>
      <c r="L175" s="4615" t="s">
        <v>233</v>
      </c>
      <c r="M175" s="4615"/>
      <c r="N175" s="4615"/>
      <c r="O175" s="4615" t="s">
        <v>233</v>
      </c>
      <c r="P175" s="4615" t="s">
        <v>233</v>
      </c>
      <c r="Q175" s="4615" t="s">
        <v>233</v>
      </c>
      <c r="R175" s="4615" t="s">
        <v>233</v>
      </c>
      <c r="S175" s="4615" t="s">
        <v>233</v>
      </c>
      <c r="T175" s="4615"/>
      <c r="U175" s="4615"/>
      <c r="V175" s="4615" t="s">
        <v>233</v>
      </c>
      <c r="W175" s="4615" t="s">
        <v>233</v>
      </c>
      <c r="X175" s="4615" t="s">
        <v>233</v>
      </c>
      <c r="Y175" s="4615" t="s">
        <v>233</v>
      </c>
      <c r="Z175" s="4776" t="s">
        <v>233</v>
      </c>
      <c r="AA175" s="4776" t="s">
        <v>233</v>
      </c>
      <c r="AB175" s="4615"/>
      <c r="AC175" s="4615" t="s">
        <v>233</v>
      </c>
      <c r="AD175" s="4615" t="s">
        <v>233</v>
      </c>
      <c r="AE175" s="4615" t="s">
        <v>233</v>
      </c>
      <c r="AF175" s="4615" t="s">
        <v>233</v>
      </c>
      <c r="AG175" s="4653" t="s">
        <v>233</v>
      </c>
      <c r="AH175" s="305"/>
      <c r="AI175" s="305"/>
    </row>
    <row r="176" spans="1:35" ht="24.75" customHeight="1">
      <c r="A176" s="315"/>
      <c r="B176" s="4775" t="s">
        <v>265</v>
      </c>
      <c r="C176" s="4615"/>
      <c r="D176" s="4615" t="s">
        <v>237</v>
      </c>
      <c r="E176" s="4615" t="s">
        <v>237</v>
      </c>
      <c r="F176" s="4615"/>
      <c r="G176" s="4615"/>
      <c r="H176" s="4615" t="s">
        <v>237</v>
      </c>
      <c r="I176" s="4615" t="s">
        <v>237</v>
      </c>
      <c r="J176" s="4615" t="s">
        <v>237</v>
      </c>
      <c r="K176" s="4615" t="s">
        <v>237</v>
      </c>
      <c r="L176" s="4615" t="s">
        <v>237</v>
      </c>
      <c r="M176" s="4615"/>
      <c r="N176" s="4615"/>
      <c r="O176" s="4615" t="s">
        <v>237</v>
      </c>
      <c r="P176" s="4615" t="s">
        <v>237</v>
      </c>
      <c r="Q176" s="4615" t="s">
        <v>237</v>
      </c>
      <c r="R176" s="4615" t="s">
        <v>237</v>
      </c>
      <c r="S176" s="4615" t="s">
        <v>237</v>
      </c>
      <c r="T176" s="4615"/>
      <c r="U176" s="4615"/>
      <c r="V176" s="4615" t="s">
        <v>237</v>
      </c>
      <c r="W176" s="4615" t="s">
        <v>237</v>
      </c>
      <c r="X176" s="4615" t="s">
        <v>237</v>
      </c>
      <c r="Y176" s="4615" t="s">
        <v>237</v>
      </c>
      <c r="Z176" s="4615" t="s">
        <v>237</v>
      </c>
      <c r="AA176" s="4615"/>
      <c r="AB176" s="4615"/>
      <c r="AC176" s="4519" t="s">
        <v>237</v>
      </c>
      <c r="AD176" s="4615" t="s">
        <v>237</v>
      </c>
      <c r="AE176" s="4615" t="s">
        <v>237</v>
      </c>
      <c r="AF176" s="4615" t="s">
        <v>237</v>
      </c>
      <c r="AG176" s="4653" t="s">
        <v>237</v>
      </c>
      <c r="AH176" s="305"/>
      <c r="AI176" s="305"/>
    </row>
    <row r="177" spans="1:35" ht="24.75" customHeight="1">
      <c r="A177" s="315"/>
      <c r="B177" s="4775" t="s">
        <v>266</v>
      </c>
      <c r="C177" s="4615"/>
      <c r="D177" s="4647" t="s">
        <v>201</v>
      </c>
      <c r="E177" s="4647" t="s">
        <v>201</v>
      </c>
      <c r="F177" s="4647"/>
      <c r="G177" s="4647"/>
      <c r="H177" s="4647" t="s">
        <v>201</v>
      </c>
      <c r="I177" s="4615" t="s">
        <v>201</v>
      </c>
      <c r="J177" s="4615" t="s">
        <v>201</v>
      </c>
      <c r="K177" s="4777" t="s">
        <v>201</v>
      </c>
      <c r="L177" s="4615" t="s">
        <v>201</v>
      </c>
      <c r="M177" s="4615"/>
      <c r="N177" s="4615"/>
      <c r="O177" s="4615" t="s">
        <v>201</v>
      </c>
      <c r="P177" s="4615" t="s">
        <v>201</v>
      </c>
      <c r="Q177" s="4615" t="s">
        <v>201</v>
      </c>
      <c r="R177" s="4615" t="s">
        <v>201</v>
      </c>
      <c r="S177" s="4615" t="s">
        <v>201</v>
      </c>
      <c r="T177" s="4615"/>
      <c r="U177" s="4776"/>
      <c r="V177" s="4615" t="s">
        <v>201</v>
      </c>
      <c r="W177" s="4615" t="s">
        <v>201</v>
      </c>
      <c r="X177" s="4615" t="s">
        <v>201</v>
      </c>
      <c r="Y177" s="4615" t="s">
        <v>201</v>
      </c>
      <c r="Z177" s="4615" t="s">
        <v>201</v>
      </c>
      <c r="AA177" s="4615"/>
      <c r="AB177" s="4615"/>
      <c r="AC177" s="4615" t="s">
        <v>201</v>
      </c>
      <c r="AD177" s="4615" t="s">
        <v>201</v>
      </c>
      <c r="AE177" s="4615" t="s">
        <v>201</v>
      </c>
      <c r="AF177" s="4615" t="s">
        <v>201</v>
      </c>
      <c r="AG177" s="4653" t="s">
        <v>201</v>
      </c>
      <c r="AH177" s="305"/>
      <c r="AI177" s="305"/>
    </row>
    <row r="178" spans="1:35" ht="24.75" customHeight="1">
      <c r="A178" s="315"/>
      <c r="B178" s="4555" t="s">
        <v>267</v>
      </c>
      <c r="C178" s="4615"/>
      <c r="D178" s="4615" t="s">
        <v>121</v>
      </c>
      <c r="E178" s="4615" t="s">
        <v>121</v>
      </c>
      <c r="F178" s="4623"/>
      <c r="G178" s="4615"/>
      <c r="H178" s="4615" t="s">
        <v>121</v>
      </c>
      <c r="I178" s="4615" t="s">
        <v>121</v>
      </c>
      <c r="J178" s="4615" t="s">
        <v>121</v>
      </c>
      <c r="K178" s="4615" t="s">
        <v>121</v>
      </c>
      <c r="L178" s="4623" t="s">
        <v>121</v>
      </c>
      <c r="M178" s="4623"/>
      <c r="N178" s="4615"/>
      <c r="O178" s="4778" t="s">
        <v>121</v>
      </c>
      <c r="P178" s="4778" t="s">
        <v>421</v>
      </c>
      <c r="Q178" s="4608" t="s">
        <v>121</v>
      </c>
      <c r="R178" s="4608" t="s">
        <v>121</v>
      </c>
      <c r="S178" s="4608" t="s">
        <v>121</v>
      </c>
      <c r="T178" s="4615"/>
      <c r="U178" s="4615"/>
      <c r="V178" s="4615" t="s">
        <v>121</v>
      </c>
      <c r="W178" s="4615" t="s">
        <v>121</v>
      </c>
      <c r="X178" s="4615" t="s">
        <v>121</v>
      </c>
      <c r="Y178" s="4615" t="s">
        <v>121</v>
      </c>
      <c r="Z178" s="4615" t="s">
        <v>121</v>
      </c>
      <c r="AA178" s="4615"/>
      <c r="AB178" s="4615"/>
      <c r="AC178" s="4615" t="s">
        <v>121</v>
      </c>
      <c r="AD178" s="4615" t="s">
        <v>121</v>
      </c>
      <c r="AE178" s="4615" t="s">
        <v>121</v>
      </c>
      <c r="AF178" s="4615" t="s">
        <v>121</v>
      </c>
      <c r="AG178" s="4653" t="s">
        <v>121</v>
      </c>
      <c r="AH178" s="305"/>
      <c r="AI178" s="305"/>
    </row>
    <row r="179" spans="1:35" ht="24.75" customHeight="1">
      <c r="A179" s="315"/>
      <c r="B179" s="4775" t="s">
        <v>0</v>
      </c>
      <c r="C179" s="4615"/>
      <c r="D179" s="4615" t="s">
        <v>244</v>
      </c>
      <c r="E179" s="4615" t="s">
        <v>244</v>
      </c>
      <c r="F179" s="4615"/>
      <c r="G179" s="4615"/>
      <c r="H179" s="4615" t="s">
        <v>244</v>
      </c>
      <c r="I179" s="4615" t="s">
        <v>244</v>
      </c>
      <c r="J179" s="4615" t="s">
        <v>244</v>
      </c>
      <c r="K179" s="4615" t="s">
        <v>244</v>
      </c>
      <c r="L179" s="4615" t="s">
        <v>244</v>
      </c>
      <c r="M179" s="4615"/>
      <c r="N179" s="4615"/>
      <c r="O179" s="4615" t="s">
        <v>244</v>
      </c>
      <c r="P179" s="4615" t="s">
        <v>244</v>
      </c>
      <c r="Q179" s="4615" t="s">
        <v>244</v>
      </c>
      <c r="R179" s="4615" t="s">
        <v>244</v>
      </c>
      <c r="S179" s="4615" t="s">
        <v>244</v>
      </c>
      <c r="T179" s="4615"/>
      <c r="U179" s="4615"/>
      <c r="V179" s="4615" t="s">
        <v>244</v>
      </c>
      <c r="W179" s="4615" t="s">
        <v>244</v>
      </c>
      <c r="X179" s="4615" t="s">
        <v>244</v>
      </c>
      <c r="Y179" s="4615" t="s">
        <v>244</v>
      </c>
      <c r="Z179" s="4615" t="s">
        <v>244</v>
      </c>
      <c r="AA179" s="4615"/>
      <c r="AB179" s="4615"/>
      <c r="AC179" s="4615" t="s">
        <v>244</v>
      </c>
      <c r="AD179" s="4615" t="s">
        <v>244</v>
      </c>
      <c r="AE179" s="4511" t="s">
        <v>244</v>
      </c>
      <c r="AF179" s="4615" t="s">
        <v>244</v>
      </c>
      <c r="AG179" s="4653" t="s">
        <v>244</v>
      </c>
      <c r="AH179" s="305"/>
      <c r="AI179" s="305"/>
    </row>
    <row r="180" spans="1:35" ht="24.75" customHeight="1">
      <c r="A180" s="315"/>
      <c r="B180" s="4775" t="s">
        <v>269</v>
      </c>
      <c r="C180" s="4615"/>
      <c r="D180" s="4519" t="s">
        <v>128</v>
      </c>
      <c r="E180" s="4519" t="s">
        <v>128</v>
      </c>
      <c r="F180" s="4615"/>
      <c r="G180" s="4615"/>
      <c r="H180" s="4615" t="s">
        <v>128</v>
      </c>
      <c r="I180" s="4615" t="s">
        <v>128</v>
      </c>
      <c r="J180" s="4615" t="s">
        <v>128</v>
      </c>
      <c r="K180" s="4615" t="s">
        <v>128</v>
      </c>
      <c r="L180" s="4615" t="s">
        <v>128</v>
      </c>
      <c r="M180" s="4615"/>
      <c r="N180" s="4615"/>
      <c r="O180" s="4615" t="s">
        <v>128</v>
      </c>
      <c r="P180" s="4615" t="s">
        <v>128</v>
      </c>
      <c r="Q180" s="4615" t="s">
        <v>128</v>
      </c>
      <c r="R180" s="4615" t="s">
        <v>128</v>
      </c>
      <c r="S180" s="4615" t="s">
        <v>128</v>
      </c>
      <c r="T180" s="4615"/>
      <c r="U180" s="4615"/>
      <c r="V180" s="4615" t="s">
        <v>128</v>
      </c>
      <c r="W180" s="4615" t="s">
        <v>128</v>
      </c>
      <c r="X180" s="4615" t="s">
        <v>128</v>
      </c>
      <c r="Y180" s="4615" t="s">
        <v>128</v>
      </c>
      <c r="Z180" s="4615" t="s">
        <v>128</v>
      </c>
      <c r="AA180" s="4615"/>
      <c r="AB180" s="4615"/>
      <c r="AC180" s="4615" t="s">
        <v>128</v>
      </c>
      <c r="AD180" s="4615" t="s">
        <v>128</v>
      </c>
      <c r="AE180" s="4615" t="s">
        <v>128</v>
      </c>
      <c r="AF180" s="4779" t="s">
        <v>128</v>
      </c>
      <c r="AG180" s="4653" t="s">
        <v>128</v>
      </c>
      <c r="AH180" s="305"/>
      <c r="AI180" s="305"/>
    </row>
    <row r="181" spans="1:35" ht="24.75" customHeight="1">
      <c r="A181" s="315"/>
      <c r="B181" s="4614" t="s">
        <v>271</v>
      </c>
      <c r="C181" s="4615"/>
      <c r="D181" s="4617" t="s">
        <v>250</v>
      </c>
      <c r="E181" s="4519" t="s">
        <v>250</v>
      </c>
      <c r="F181" s="4615"/>
      <c r="G181" s="4615"/>
      <c r="H181" s="4615" t="s">
        <v>250</v>
      </c>
      <c r="I181" s="4615" t="s">
        <v>250</v>
      </c>
      <c r="J181" s="4615" t="s">
        <v>250</v>
      </c>
      <c r="K181" s="4615" t="s">
        <v>250</v>
      </c>
      <c r="L181" s="4615" t="s">
        <v>250</v>
      </c>
      <c r="M181" s="4615"/>
      <c r="N181" s="4615"/>
      <c r="O181" s="4615" t="s">
        <v>250</v>
      </c>
      <c r="P181" s="4615" t="s">
        <v>250</v>
      </c>
      <c r="Q181" s="4615" t="s">
        <v>250</v>
      </c>
      <c r="R181" s="4615" t="s">
        <v>250</v>
      </c>
      <c r="S181" s="4615" t="s">
        <v>250</v>
      </c>
      <c r="T181" s="4615"/>
      <c r="U181" s="4615"/>
      <c r="V181" s="4615" t="s">
        <v>250</v>
      </c>
      <c r="W181" s="4615" t="s">
        <v>250</v>
      </c>
      <c r="X181" s="4615" t="s">
        <v>250</v>
      </c>
      <c r="Y181" s="4609" t="s">
        <v>250</v>
      </c>
      <c r="Z181" s="4615" t="s">
        <v>250</v>
      </c>
      <c r="AA181" s="4615"/>
      <c r="AB181" s="4615"/>
      <c r="AC181" s="4615" t="s">
        <v>250</v>
      </c>
      <c r="AD181" s="4615" t="s">
        <v>250</v>
      </c>
      <c r="AE181" s="4615" t="s">
        <v>250</v>
      </c>
      <c r="AF181" s="4615" t="s">
        <v>250</v>
      </c>
      <c r="AG181" s="4653" t="s">
        <v>250</v>
      </c>
      <c r="AH181" s="305"/>
      <c r="AI181" s="305"/>
    </row>
    <row r="182" spans="1:35" ht="24.75" customHeight="1">
      <c r="A182" s="315"/>
      <c r="B182" s="4775" t="s">
        <v>273</v>
      </c>
      <c r="C182" s="4615"/>
      <c r="D182" s="4615" t="s">
        <v>251</v>
      </c>
      <c r="E182" s="4615" t="s">
        <v>251</v>
      </c>
      <c r="F182" s="4615"/>
      <c r="G182" s="4615"/>
      <c r="H182" s="4615" t="s">
        <v>251</v>
      </c>
      <c r="I182" s="4615" t="s">
        <v>251</v>
      </c>
      <c r="J182" s="4615" t="s">
        <v>251</v>
      </c>
      <c r="K182" s="4615" t="s">
        <v>251</v>
      </c>
      <c r="L182" s="4615" t="s">
        <v>251</v>
      </c>
      <c r="M182" s="4615"/>
      <c r="N182" s="4780"/>
      <c r="O182" s="4615" t="s">
        <v>251</v>
      </c>
      <c r="P182" s="4615" t="s">
        <v>251</v>
      </c>
      <c r="Q182" s="4615" t="s">
        <v>251</v>
      </c>
      <c r="R182" s="4615" t="s">
        <v>251</v>
      </c>
      <c r="S182" s="4615" t="s">
        <v>251</v>
      </c>
      <c r="T182" s="4615"/>
      <c r="U182" s="4615"/>
      <c r="V182" s="4615" t="s">
        <v>251</v>
      </c>
      <c r="W182" s="4615" t="s">
        <v>251</v>
      </c>
      <c r="X182" s="4615" t="s">
        <v>251</v>
      </c>
      <c r="Y182" s="4615" t="s">
        <v>251</v>
      </c>
      <c r="Z182" s="4519" t="s">
        <v>251</v>
      </c>
      <c r="AA182" s="4615"/>
      <c r="AB182" s="4615"/>
      <c r="AC182" s="4615" t="s">
        <v>251</v>
      </c>
      <c r="AD182" s="4519" t="s">
        <v>251</v>
      </c>
      <c r="AE182" s="4519" t="s">
        <v>251</v>
      </c>
      <c r="AF182" s="4519" t="s">
        <v>251</v>
      </c>
      <c r="AG182" s="4781" t="s">
        <v>251</v>
      </c>
      <c r="AH182" s="305"/>
      <c r="AI182" s="305"/>
    </row>
    <row r="183" spans="1:35" ht="24.75" customHeight="1">
      <c r="A183" s="315"/>
      <c r="B183" s="4775" t="s">
        <v>274</v>
      </c>
      <c r="C183" s="4615"/>
      <c r="D183" s="4615" t="s">
        <v>253</v>
      </c>
      <c r="E183" s="4615" t="s">
        <v>253</v>
      </c>
      <c r="F183" s="4615"/>
      <c r="G183" s="4647"/>
      <c r="H183" s="4778" t="s">
        <v>253</v>
      </c>
      <c r="I183" s="4778" t="s">
        <v>253</v>
      </c>
      <c r="J183" s="4778" t="s">
        <v>410</v>
      </c>
      <c r="K183" s="4647" t="s">
        <v>253</v>
      </c>
      <c r="L183" s="4615" t="s">
        <v>253</v>
      </c>
      <c r="M183" s="4615"/>
      <c r="N183" s="4615"/>
      <c r="O183" s="4615" t="s">
        <v>253</v>
      </c>
      <c r="P183" s="4615" t="s">
        <v>253</v>
      </c>
      <c r="Q183" s="4615" t="s">
        <v>253</v>
      </c>
      <c r="R183" s="4615" t="s">
        <v>253</v>
      </c>
      <c r="S183" s="4615" t="s">
        <v>253</v>
      </c>
      <c r="T183" s="4615"/>
      <c r="U183" s="4615"/>
      <c r="V183" s="4615" t="s">
        <v>253</v>
      </c>
      <c r="W183" s="4615" t="s">
        <v>253</v>
      </c>
      <c r="X183" s="4615" t="s">
        <v>253</v>
      </c>
      <c r="Y183" s="4615" t="s">
        <v>253</v>
      </c>
      <c r="Z183" s="4615" t="s">
        <v>253</v>
      </c>
      <c r="AA183" s="4615"/>
      <c r="AB183" s="4615"/>
      <c r="AC183" s="4519" t="s">
        <v>253</v>
      </c>
      <c r="AD183" s="4519" t="s">
        <v>253</v>
      </c>
      <c r="AE183" s="4519" t="s">
        <v>253</v>
      </c>
      <c r="AF183" s="4615" t="s">
        <v>253</v>
      </c>
      <c r="AG183" s="4653" t="s">
        <v>253</v>
      </c>
      <c r="AH183" s="305"/>
      <c r="AI183" s="305"/>
    </row>
    <row r="184" spans="1:35" ht="24.75" customHeight="1">
      <c r="A184" s="315"/>
      <c r="B184" s="4614" t="s">
        <v>275</v>
      </c>
      <c r="C184" s="4615"/>
      <c r="D184" s="4519" t="s">
        <v>123</v>
      </c>
      <c r="E184" s="4519" t="s">
        <v>123</v>
      </c>
      <c r="F184" s="4615"/>
      <c r="G184" s="4615"/>
      <c r="H184" s="4608" t="s">
        <v>123</v>
      </c>
      <c r="I184" s="4608" t="s">
        <v>123</v>
      </c>
      <c r="J184" s="4608" t="s">
        <v>123</v>
      </c>
      <c r="K184" s="4615" t="s">
        <v>123</v>
      </c>
      <c r="L184" s="4615" t="s">
        <v>123</v>
      </c>
      <c r="M184" s="4615"/>
      <c r="N184" s="4615"/>
      <c r="O184" s="4615" t="s">
        <v>123</v>
      </c>
      <c r="P184" s="4615" t="s">
        <v>123</v>
      </c>
      <c r="Q184" s="4615" t="s">
        <v>123</v>
      </c>
      <c r="R184" s="4615" t="s">
        <v>123</v>
      </c>
      <c r="S184" s="4647" t="s">
        <v>123</v>
      </c>
      <c r="T184" s="4508"/>
      <c r="U184" s="4508"/>
      <c r="V184" s="4508" t="s">
        <v>123</v>
      </c>
      <c r="W184" s="4615" t="s">
        <v>123</v>
      </c>
      <c r="X184" s="4615" t="s">
        <v>123</v>
      </c>
      <c r="Y184" s="4615" t="s">
        <v>123</v>
      </c>
      <c r="Z184" s="4615" t="s">
        <v>123</v>
      </c>
      <c r="AA184" s="4615"/>
      <c r="AB184" s="4615"/>
      <c r="AC184" s="4615" t="s">
        <v>123</v>
      </c>
      <c r="AD184" s="4615" t="s">
        <v>123</v>
      </c>
      <c r="AE184" s="4778" t="s">
        <v>123</v>
      </c>
      <c r="AF184" s="4778" t="s">
        <v>123</v>
      </c>
      <c r="AG184" s="4782" t="s">
        <v>474</v>
      </c>
      <c r="AH184" s="305"/>
      <c r="AI184" s="305"/>
    </row>
    <row r="185" spans="1:35" ht="24.75" customHeight="1">
      <c r="A185" s="315"/>
      <c r="B185" s="4775" t="s">
        <v>276</v>
      </c>
      <c r="C185" s="4615"/>
      <c r="D185" s="4615" t="s">
        <v>146</v>
      </c>
      <c r="E185" s="4615" t="s">
        <v>146</v>
      </c>
      <c r="F185" s="4615"/>
      <c r="G185" s="4615"/>
      <c r="H185" s="4615" t="s">
        <v>146</v>
      </c>
      <c r="I185" s="4615" t="s">
        <v>146</v>
      </c>
      <c r="J185" s="4615" t="s">
        <v>146</v>
      </c>
      <c r="K185" s="4615" t="s">
        <v>146</v>
      </c>
      <c r="L185" s="4615" t="s">
        <v>146</v>
      </c>
      <c r="M185" s="4615"/>
      <c r="N185" s="4615"/>
      <c r="O185" s="4615" t="s">
        <v>146</v>
      </c>
      <c r="P185" s="4615" t="s">
        <v>146</v>
      </c>
      <c r="Q185" s="4615" t="s">
        <v>146</v>
      </c>
      <c r="R185" s="4615" t="s">
        <v>146</v>
      </c>
      <c r="S185" s="4615" t="s">
        <v>146</v>
      </c>
      <c r="T185" s="4615"/>
      <c r="U185" s="4615"/>
      <c r="V185" s="4615" t="s">
        <v>146</v>
      </c>
      <c r="W185" s="4615" t="s">
        <v>146</v>
      </c>
      <c r="X185" s="4615" t="s">
        <v>146</v>
      </c>
      <c r="Y185" s="4615" t="s">
        <v>146</v>
      </c>
      <c r="Z185" s="4615" t="s">
        <v>146</v>
      </c>
      <c r="AA185" s="4615"/>
      <c r="AB185" s="4615"/>
      <c r="AC185" s="4615" t="s">
        <v>146</v>
      </c>
      <c r="AD185" s="4615" t="s">
        <v>146</v>
      </c>
      <c r="AE185" s="4615" t="s">
        <v>146</v>
      </c>
      <c r="AF185" s="4615" t="s">
        <v>146</v>
      </c>
      <c r="AG185" s="4653" t="s">
        <v>146</v>
      </c>
      <c r="AH185" s="305"/>
      <c r="AI185" s="305"/>
    </row>
    <row r="186" spans="1:35" ht="24.75" customHeight="1" thickBot="1">
      <c r="A186" s="315"/>
      <c r="B186" s="450" t="s">
        <v>277</v>
      </c>
      <c r="C186" s="457"/>
      <c r="D186" s="457" t="s">
        <v>136</v>
      </c>
      <c r="E186" s="457" t="s">
        <v>136</v>
      </c>
      <c r="F186" s="457"/>
      <c r="G186" s="457"/>
      <c r="H186" s="457" t="s">
        <v>136</v>
      </c>
      <c r="I186" s="457" t="s">
        <v>136</v>
      </c>
      <c r="J186" s="457" t="s">
        <v>136</v>
      </c>
      <c r="K186" s="457" t="s">
        <v>136</v>
      </c>
      <c r="L186" s="457" t="s">
        <v>136</v>
      </c>
      <c r="M186" s="457"/>
      <c r="N186" s="457"/>
      <c r="O186" s="457" t="s">
        <v>136</v>
      </c>
      <c r="P186" s="457" t="s">
        <v>136</v>
      </c>
      <c r="Q186" s="457" t="s">
        <v>136</v>
      </c>
      <c r="R186" s="457" t="s">
        <v>136</v>
      </c>
      <c r="S186" s="457" t="s">
        <v>136</v>
      </c>
      <c r="T186" s="457"/>
      <c r="U186" s="457"/>
      <c r="V186" s="457" t="s">
        <v>136</v>
      </c>
      <c r="W186" s="457" t="s">
        <v>136</v>
      </c>
      <c r="X186" s="457" t="s">
        <v>136</v>
      </c>
      <c r="Y186" s="457" t="s">
        <v>136</v>
      </c>
      <c r="Z186" s="457" t="s">
        <v>136</v>
      </c>
      <c r="AA186" s="457"/>
      <c r="AB186" s="457"/>
      <c r="AC186" s="457" t="s">
        <v>136</v>
      </c>
      <c r="AD186" s="457" t="s">
        <v>136</v>
      </c>
      <c r="AE186" s="457" t="s">
        <v>136</v>
      </c>
      <c r="AF186" s="457" t="s">
        <v>136</v>
      </c>
      <c r="AG186" s="4783" t="s">
        <v>136</v>
      </c>
      <c r="AH186" s="305"/>
      <c r="AI186" s="305"/>
    </row>
    <row r="187" spans="1:35" ht="24.75" customHeight="1" thickBot="1">
      <c r="A187" s="315"/>
      <c r="B187" s="450" t="s">
        <v>278</v>
      </c>
      <c r="C187" s="4768"/>
      <c r="D187" s="4768" t="s">
        <v>112</v>
      </c>
      <c r="E187" s="4768" t="s">
        <v>112</v>
      </c>
      <c r="F187" s="4768"/>
      <c r="G187" s="4768"/>
      <c r="H187" s="4768" t="s">
        <v>112</v>
      </c>
      <c r="I187" s="4768" t="s">
        <v>112</v>
      </c>
      <c r="J187" s="4768" t="s">
        <v>112</v>
      </c>
      <c r="K187" s="4768" t="s">
        <v>112</v>
      </c>
      <c r="L187" s="4768" t="s">
        <v>112</v>
      </c>
      <c r="M187" s="4768"/>
      <c r="N187" s="4768"/>
      <c r="O187" s="4768" t="s">
        <v>112</v>
      </c>
      <c r="P187" s="4768" t="s">
        <v>112</v>
      </c>
      <c r="Q187" s="4768" t="s">
        <v>112</v>
      </c>
      <c r="R187" s="4768" t="s">
        <v>112</v>
      </c>
      <c r="S187" s="4768" t="s">
        <v>112</v>
      </c>
      <c r="T187" s="4768"/>
      <c r="U187" s="4768"/>
      <c r="V187" s="4768" t="s">
        <v>112</v>
      </c>
      <c r="W187" s="4768" t="s">
        <v>112</v>
      </c>
      <c r="X187" s="4768" t="s">
        <v>112</v>
      </c>
      <c r="Y187" s="4768" t="s">
        <v>112</v>
      </c>
      <c r="Z187" s="4768" t="s">
        <v>112</v>
      </c>
      <c r="AA187" s="4768"/>
      <c r="AB187" s="4768"/>
      <c r="AC187" s="4768" t="s">
        <v>112</v>
      </c>
      <c r="AD187" s="4768" t="s">
        <v>112</v>
      </c>
      <c r="AE187" s="4768" t="s">
        <v>112</v>
      </c>
      <c r="AF187" s="4351" t="s">
        <v>112</v>
      </c>
      <c r="AG187" s="4351" t="s">
        <v>112</v>
      </c>
      <c r="AH187" s="17"/>
      <c r="AI187" s="17"/>
    </row>
    <row r="188" spans="1:35" ht="24.75" customHeight="1" thickBot="1">
      <c r="A188" s="355"/>
      <c r="B188" s="450" t="s">
        <v>279</v>
      </c>
      <c r="C188" s="452"/>
      <c r="D188" s="426" t="s">
        <v>261</v>
      </c>
      <c r="E188" s="426" t="s">
        <v>261</v>
      </c>
      <c r="F188" s="452" t="s">
        <v>0</v>
      </c>
      <c r="G188" s="452" t="s">
        <v>0</v>
      </c>
      <c r="H188" s="458" t="s">
        <v>261</v>
      </c>
      <c r="I188" s="458" t="s">
        <v>261</v>
      </c>
      <c r="J188" s="458" t="s">
        <v>433</v>
      </c>
      <c r="K188" s="459" t="s">
        <v>261</v>
      </c>
      <c r="L188" s="459" t="s">
        <v>261</v>
      </c>
      <c r="M188" s="452" t="s">
        <v>0</v>
      </c>
      <c r="N188" s="452" t="s">
        <v>0</v>
      </c>
      <c r="O188" s="452" t="s">
        <v>261</v>
      </c>
      <c r="P188" s="452" t="s">
        <v>261</v>
      </c>
      <c r="Q188" s="452" t="s">
        <v>261</v>
      </c>
      <c r="R188" s="452" t="s">
        <v>261</v>
      </c>
      <c r="S188" s="452" t="s">
        <v>261</v>
      </c>
      <c r="T188" s="452" t="s">
        <v>0</v>
      </c>
      <c r="U188" s="452" t="s">
        <v>0</v>
      </c>
      <c r="V188" s="452" t="s">
        <v>261</v>
      </c>
      <c r="W188" s="452" t="s">
        <v>261</v>
      </c>
      <c r="X188" s="452" t="s">
        <v>261</v>
      </c>
      <c r="Y188" s="452" t="s">
        <v>261</v>
      </c>
      <c r="Z188" s="452" t="s">
        <v>261</v>
      </c>
      <c r="AA188" s="452"/>
      <c r="AB188" s="452"/>
      <c r="AC188" s="452" t="s">
        <v>261</v>
      </c>
      <c r="AD188" s="452" t="s">
        <v>261</v>
      </c>
      <c r="AE188" s="452" t="s">
        <v>261</v>
      </c>
      <c r="AF188" s="458" t="s">
        <v>261</v>
      </c>
      <c r="AG188" s="458" t="s">
        <v>261</v>
      </c>
      <c r="AH188" s="358"/>
    </row>
    <row r="189" spans="1:35" ht="24.75" customHeight="1" thickBot="1">
      <c r="A189" s="16" t="s">
        <v>280</v>
      </c>
      <c r="B189" s="195"/>
      <c r="C189" s="100"/>
      <c r="D189" s="100"/>
      <c r="E189" s="100"/>
      <c r="F189" s="100"/>
      <c r="G189" s="100"/>
      <c r="H189" s="100"/>
      <c r="I189" s="100"/>
      <c r="J189" s="100"/>
      <c r="K189" s="100"/>
      <c r="L189" s="100"/>
      <c r="M189" s="100"/>
      <c r="N189" s="100"/>
      <c r="O189" s="100"/>
      <c r="P189" s="100"/>
      <c r="Q189" s="100"/>
      <c r="R189" s="100"/>
      <c r="S189" s="100"/>
      <c r="T189" s="100"/>
      <c r="U189" s="100"/>
      <c r="V189" s="100"/>
      <c r="W189" s="100"/>
      <c r="X189" s="100"/>
      <c r="Y189" s="100"/>
      <c r="Z189" s="100"/>
      <c r="AA189" s="100"/>
      <c r="AB189" s="100"/>
      <c r="AC189" s="100"/>
      <c r="AD189" s="100"/>
      <c r="AE189" s="100"/>
      <c r="AF189" s="100"/>
      <c r="AG189" s="100"/>
    </row>
    <row r="190" spans="1:35" ht="24.75" customHeight="1">
      <c r="A190" s="16"/>
      <c r="B190" s="4784" t="s">
        <v>281</v>
      </c>
      <c r="C190" s="4785" t="s">
        <v>87</v>
      </c>
      <c r="D190" s="4785"/>
      <c r="E190" s="4785"/>
      <c r="F190" s="4785"/>
      <c r="G190" s="4786" t="s">
        <v>88</v>
      </c>
      <c r="H190" s="4785"/>
      <c r="I190" s="4785"/>
      <c r="J190" s="4785"/>
      <c r="K190" s="4786" t="s">
        <v>89</v>
      </c>
      <c r="L190" s="4785"/>
      <c r="M190" s="4785"/>
      <c r="N190" s="4785"/>
      <c r="O190" s="4786" t="s">
        <v>90</v>
      </c>
      <c r="P190" s="4785"/>
      <c r="Q190" s="4785"/>
      <c r="R190" s="4785"/>
      <c r="S190" s="4786" t="s">
        <v>91</v>
      </c>
      <c r="T190" s="4785"/>
      <c r="U190" s="4785"/>
      <c r="V190" s="4785"/>
      <c r="W190" s="4787" t="s">
        <v>92</v>
      </c>
      <c r="X190" s="4530"/>
      <c r="Y190" s="4785"/>
      <c r="Z190" s="4788"/>
      <c r="AA190" s="4787" t="s">
        <v>93</v>
      </c>
      <c r="AB190" s="4530"/>
      <c r="AC190" s="4785"/>
      <c r="AD190" s="4788"/>
      <c r="AE190" s="4789" t="s">
        <v>94</v>
      </c>
      <c r="AF190" s="4785"/>
      <c r="AG190" s="4785"/>
      <c r="AH190" s="4785"/>
      <c r="AI190" s="4531"/>
    </row>
    <row r="191" spans="1:35" ht="24.75" customHeight="1">
      <c r="A191" s="16"/>
      <c r="B191" s="460">
        <v>3701</v>
      </c>
      <c r="C191" s="345" t="s">
        <v>282</v>
      </c>
      <c r="D191" s="345"/>
      <c r="E191" s="345"/>
      <c r="F191" s="345"/>
      <c r="G191" s="4790" t="s">
        <v>283</v>
      </c>
      <c r="H191" s="345"/>
      <c r="I191" s="345"/>
      <c r="J191" s="345"/>
      <c r="K191" s="4790" t="s">
        <v>283</v>
      </c>
      <c r="L191" s="345"/>
      <c r="M191" s="345"/>
      <c r="N191" s="345"/>
      <c r="O191" s="4790" t="s">
        <v>283</v>
      </c>
      <c r="P191" s="345"/>
      <c r="Q191" s="345"/>
      <c r="R191" s="345"/>
      <c r="S191" s="4790" t="s">
        <v>284</v>
      </c>
      <c r="T191" s="345"/>
      <c r="U191" s="345"/>
      <c r="V191" s="345"/>
      <c r="W191" s="4791"/>
      <c r="X191" s="4792"/>
      <c r="Y191" s="4538"/>
      <c r="Z191" s="4793"/>
      <c r="AA191" s="4791"/>
      <c r="AB191" s="4792"/>
      <c r="AC191" s="4538"/>
      <c r="AD191" s="4793"/>
      <c r="AE191" s="4598"/>
      <c r="AF191" s="4538"/>
      <c r="AG191" s="4538"/>
      <c r="AH191" s="4538"/>
      <c r="AI191" s="4459"/>
    </row>
    <row r="192" spans="1:35" ht="24.75" customHeight="1">
      <c r="A192" s="4794"/>
      <c r="B192" s="4784"/>
      <c r="C192" s="4795"/>
      <c r="D192" s="4766"/>
      <c r="E192" s="4766"/>
      <c r="F192" s="4796"/>
      <c r="G192" s="4795"/>
      <c r="H192" s="4766"/>
      <c r="I192" s="4766"/>
      <c r="J192" s="4796"/>
      <c r="K192" s="4795"/>
      <c r="L192" s="4766"/>
      <c r="M192" s="4766"/>
      <c r="N192" s="4796"/>
      <c r="O192" s="4795"/>
      <c r="P192" s="4766"/>
      <c r="Q192" s="4766"/>
      <c r="R192" s="4796"/>
      <c r="S192" s="4795"/>
      <c r="T192" s="4766"/>
      <c r="U192" s="4766"/>
      <c r="V192" s="4766"/>
      <c r="W192" s="4791"/>
      <c r="X192" s="4792"/>
      <c r="Y192" s="4538"/>
      <c r="Z192" s="4793"/>
      <c r="AA192" s="4791"/>
      <c r="AB192" s="4792"/>
      <c r="AC192" s="4538"/>
      <c r="AD192" s="4793"/>
      <c r="AE192" s="4598"/>
      <c r="AF192" s="4538"/>
      <c r="AG192" s="4538"/>
      <c r="AH192" s="4538"/>
      <c r="AI192" s="4459"/>
    </row>
    <row r="193" spans="1:35" ht="24.75" customHeight="1">
      <c r="A193" s="4794"/>
      <c r="B193" s="4784"/>
      <c r="C193" s="4795"/>
      <c r="D193" s="4766"/>
      <c r="E193" s="4766"/>
      <c r="F193" s="4796"/>
      <c r="G193" s="4795"/>
      <c r="H193" s="4766"/>
      <c r="I193" s="4766"/>
      <c r="J193" s="4796"/>
      <c r="K193" s="4795"/>
      <c r="L193" s="4766"/>
      <c r="M193" s="4766"/>
      <c r="N193" s="4796"/>
      <c r="O193" s="4795"/>
      <c r="P193" s="4766"/>
      <c r="Q193" s="4766"/>
      <c r="R193" s="4796"/>
      <c r="S193" s="4795"/>
      <c r="T193" s="4766"/>
      <c r="U193" s="4766"/>
      <c r="V193" s="4766"/>
      <c r="W193" s="4791"/>
      <c r="X193" s="4792"/>
      <c r="Y193" s="4538"/>
      <c r="Z193" s="4793"/>
      <c r="AA193" s="4791"/>
      <c r="AB193" s="4792"/>
      <c r="AC193" s="4538"/>
      <c r="AD193" s="4793"/>
      <c r="AE193" s="4598"/>
      <c r="AF193" s="4538"/>
      <c r="AG193" s="4538"/>
      <c r="AH193" s="4538"/>
      <c r="AI193" s="4459"/>
    </row>
    <row r="194" spans="1:35" ht="24.75" customHeight="1" thickBot="1">
      <c r="A194" s="461"/>
      <c r="B194" s="462"/>
      <c r="C194" s="4797"/>
      <c r="D194" s="4798"/>
      <c r="E194" s="4798"/>
      <c r="F194" s="4799"/>
      <c r="G194" s="4797"/>
      <c r="H194" s="4798"/>
      <c r="I194" s="4798"/>
      <c r="J194" s="4799"/>
      <c r="K194" s="4797"/>
      <c r="L194" s="4798"/>
      <c r="M194" s="4798"/>
      <c r="N194" s="4799"/>
      <c r="O194" s="4797"/>
      <c r="P194" s="4798"/>
      <c r="Q194" s="4798"/>
      <c r="R194" s="4799"/>
      <c r="S194" s="4797"/>
      <c r="T194" s="4798"/>
      <c r="U194" s="4798"/>
      <c r="V194" s="4798"/>
      <c r="W194" s="4800"/>
      <c r="X194" s="4801"/>
      <c r="Y194" s="4802"/>
      <c r="Z194" s="4803"/>
      <c r="AA194" s="4800"/>
      <c r="AB194" s="4801"/>
      <c r="AC194" s="4802"/>
      <c r="AD194" s="4803"/>
      <c r="AE194" s="4720"/>
      <c r="AF194" s="4545"/>
      <c r="AG194" s="4545"/>
      <c r="AH194" s="4545"/>
      <c r="AI194" s="4548"/>
    </row>
    <row r="195" spans="1:35" ht="24.75" customHeight="1">
      <c r="A195" s="16"/>
      <c r="B195" s="195"/>
      <c r="C195" s="345"/>
      <c r="D195" s="345"/>
      <c r="E195" s="345"/>
      <c r="F195" s="345"/>
      <c r="G195" s="345"/>
      <c r="H195" s="345"/>
      <c r="I195" s="345"/>
      <c r="J195" s="345"/>
      <c r="K195" s="345"/>
      <c r="L195" s="345"/>
      <c r="M195" s="345"/>
      <c r="N195" s="345"/>
      <c r="O195" s="345"/>
      <c r="P195" s="345"/>
      <c r="Q195" s="345"/>
      <c r="R195" s="345"/>
      <c r="S195" s="345"/>
      <c r="T195" s="345"/>
      <c r="U195" s="345"/>
      <c r="V195" s="345"/>
      <c r="W195" s="345"/>
      <c r="X195" s="15"/>
      <c r="Y195" s="345"/>
      <c r="Z195" s="345"/>
      <c r="AA195" s="345"/>
      <c r="AB195" s="15"/>
      <c r="AC195" s="345"/>
      <c r="AD195" s="345"/>
      <c r="AE195" s="15"/>
      <c r="AF195" s="345"/>
      <c r="AG195" s="345"/>
      <c r="AH195" s="345"/>
    </row>
    <row r="196" spans="1:35" ht="24.75" customHeight="1">
      <c r="AG196" s="345"/>
      <c r="AH196" s="345"/>
    </row>
    <row r="197" spans="1:35" ht="24.75" customHeight="1">
      <c r="B197" s="4784">
        <v>3700</v>
      </c>
      <c r="C197" s="4538" t="s">
        <v>181</v>
      </c>
      <c r="D197" s="4538"/>
      <c r="E197" s="4538"/>
      <c r="F197" s="4538"/>
      <c r="G197" s="4804" t="s">
        <v>181</v>
      </c>
      <c r="H197" s="4538"/>
      <c r="I197" s="4538"/>
      <c r="J197" s="4538"/>
      <c r="K197" s="4804" t="s">
        <v>181</v>
      </c>
      <c r="L197" s="4538"/>
      <c r="M197" s="4538"/>
      <c r="N197" s="4538"/>
      <c r="O197" s="4804" t="s">
        <v>181</v>
      </c>
      <c r="P197" s="4538"/>
      <c r="Q197" s="4538"/>
      <c r="R197" s="4538"/>
      <c r="S197" s="4804" t="s">
        <v>182</v>
      </c>
      <c r="T197" s="4538"/>
      <c r="U197" s="4538"/>
      <c r="V197" s="4538"/>
      <c r="W197" s="4538"/>
      <c r="X197" s="4804"/>
      <c r="Y197" s="4538"/>
      <c r="Z197" s="4709"/>
      <c r="AA197" s="4598"/>
      <c r="AB197" s="4538"/>
      <c r="AC197" s="4538"/>
      <c r="AD197" s="4593"/>
      <c r="AE197" s="4805"/>
      <c r="AF197" s="4538"/>
      <c r="AG197" s="4538"/>
      <c r="AH197" s="4593"/>
      <c r="AI197" s="4459"/>
    </row>
    <row r="198" spans="1:35" ht="24.75" customHeight="1">
      <c r="A198" s="16"/>
      <c r="B198" s="4784">
        <v>8514</v>
      </c>
      <c r="C198" s="4538" t="s">
        <v>283</v>
      </c>
      <c r="D198" s="4538"/>
      <c r="E198" s="4538"/>
      <c r="F198" s="4538"/>
      <c r="G198" s="4804" t="s">
        <v>283</v>
      </c>
      <c r="H198" s="4538"/>
      <c r="I198" s="4538"/>
      <c r="J198" s="4538"/>
      <c r="K198" s="4804" t="s">
        <v>283</v>
      </c>
      <c r="L198" s="4538"/>
      <c r="M198" s="4538"/>
      <c r="N198" s="4538"/>
      <c r="O198" s="4804" t="s">
        <v>283</v>
      </c>
      <c r="P198" s="4538"/>
      <c r="Q198" s="4538"/>
      <c r="R198" s="4538"/>
      <c r="S198" s="4804" t="s">
        <v>285</v>
      </c>
      <c r="T198" s="4538"/>
      <c r="U198" s="4538"/>
      <c r="V198" s="4538"/>
      <c r="W198" s="4538"/>
      <c r="X198" s="4804"/>
      <c r="Y198" s="4538"/>
      <c r="Z198" s="4709"/>
      <c r="AA198" s="4592"/>
      <c r="AB198" s="4538"/>
      <c r="AC198" s="4538"/>
      <c r="AD198" s="4593"/>
      <c r="AE198" s="4592"/>
      <c r="AF198" s="4538"/>
      <c r="AG198" s="4538"/>
      <c r="AH198" s="4593"/>
      <c r="AI198" s="4459"/>
    </row>
    <row r="199" spans="1:35" ht="24.75" customHeight="1">
      <c r="A199" s="16"/>
      <c r="B199" s="4784">
        <v>8500</v>
      </c>
      <c r="C199" s="359" t="s">
        <v>286</v>
      </c>
      <c r="D199" s="359"/>
      <c r="E199" s="359"/>
      <c r="F199" s="359"/>
      <c r="G199" s="360" t="s">
        <v>286</v>
      </c>
      <c r="H199" s="359"/>
      <c r="I199" s="359"/>
      <c r="J199" s="359"/>
      <c r="K199" s="360" t="s">
        <v>286</v>
      </c>
      <c r="L199" s="359"/>
      <c r="M199" s="359"/>
      <c r="N199" s="359"/>
      <c r="O199" s="360" t="s">
        <v>286</v>
      </c>
      <c r="P199" s="359"/>
      <c r="Q199" s="359"/>
      <c r="R199" s="359"/>
      <c r="S199" s="360" t="s">
        <v>287</v>
      </c>
      <c r="T199" s="359"/>
      <c r="U199" s="359"/>
      <c r="V199" s="359"/>
      <c r="W199" s="359"/>
      <c r="X199" s="360"/>
      <c r="Y199" s="359"/>
      <c r="Z199" s="361"/>
      <c r="AA199" s="362"/>
      <c r="AB199" s="359"/>
      <c r="AC199" s="359"/>
      <c r="AD199" s="361"/>
      <c r="AE199" s="362"/>
      <c r="AF199" s="359"/>
      <c r="AG199" s="359"/>
      <c r="AH199" s="316"/>
      <c r="AI199" s="363"/>
    </row>
    <row r="200" spans="1:35" ht="24.75" customHeight="1">
      <c r="A200" s="16"/>
      <c r="B200" s="4784">
        <v>8514</v>
      </c>
      <c r="C200" s="364" t="s">
        <v>283</v>
      </c>
      <c r="D200" s="364"/>
      <c r="E200" s="364"/>
      <c r="F200" s="364"/>
      <c r="G200" s="365" t="s">
        <v>283</v>
      </c>
      <c r="H200" s="364"/>
      <c r="I200" s="364"/>
      <c r="J200" s="364"/>
      <c r="K200" s="365" t="s">
        <v>283</v>
      </c>
      <c r="L200" s="364"/>
      <c r="M200" s="364"/>
      <c r="N200" s="364"/>
      <c r="O200" s="365" t="s">
        <v>283</v>
      </c>
      <c r="P200" s="364"/>
      <c r="Q200" s="364"/>
      <c r="R200" s="364"/>
      <c r="S200" s="365" t="s">
        <v>285</v>
      </c>
      <c r="T200" s="364"/>
      <c r="U200" s="364"/>
      <c r="V200" s="364"/>
      <c r="W200" s="364"/>
      <c r="X200" s="366"/>
      <c r="Y200" s="359"/>
      <c r="Z200" s="367"/>
      <c r="AA200" s="368"/>
      <c r="AB200" s="369"/>
      <c r="AC200" s="359"/>
      <c r="AD200" s="359"/>
      <c r="AE200" s="40"/>
      <c r="AF200" s="359"/>
      <c r="AG200" s="359"/>
      <c r="AH200" s="359"/>
      <c r="AI200" s="363"/>
    </row>
    <row r="201" spans="1:35" ht="24.75" customHeight="1" thickBot="1">
      <c r="A201" s="16"/>
      <c r="B201" s="4806" t="s">
        <v>288</v>
      </c>
      <c r="C201" s="4545" t="s">
        <v>550</v>
      </c>
      <c r="D201" s="4545"/>
      <c r="E201" s="4545"/>
      <c r="F201" s="4545"/>
      <c r="G201" s="4807" t="s">
        <v>550</v>
      </c>
      <c r="H201" s="4545"/>
      <c r="I201" s="4545"/>
      <c r="J201" s="4545"/>
      <c r="K201" s="4808" t="s">
        <v>550</v>
      </c>
      <c r="L201" s="4545"/>
      <c r="M201" s="4545"/>
      <c r="N201" s="4545"/>
      <c r="O201" s="4807" t="s">
        <v>550</v>
      </c>
      <c r="P201" s="4545"/>
      <c r="Q201" s="4545"/>
      <c r="R201" s="4545"/>
      <c r="S201" s="4807" t="s">
        <v>551</v>
      </c>
      <c r="T201" s="4545"/>
      <c r="U201" s="4545"/>
      <c r="V201" s="4545"/>
      <c r="W201" s="4545"/>
      <c r="X201" s="4807"/>
      <c r="Y201" s="4545"/>
      <c r="Z201" s="4741"/>
      <c r="AA201" s="4720"/>
      <c r="AB201" s="4545"/>
      <c r="AC201" s="4545"/>
      <c r="AD201" s="4722"/>
      <c r="AE201" s="4809"/>
      <c r="AF201" s="4545"/>
      <c r="AG201" s="4545"/>
      <c r="AH201" s="4722"/>
      <c r="AI201" s="4548"/>
    </row>
    <row r="202" spans="1:35" ht="24.75" customHeight="1">
      <c r="A202" s="16"/>
      <c r="B202" s="370"/>
      <c r="C202" s="15"/>
      <c r="D202" s="345"/>
      <c r="E202" s="345"/>
      <c r="F202" s="302"/>
      <c r="G202" s="15"/>
      <c r="H202" s="345"/>
      <c r="I202" s="345"/>
      <c r="J202" s="302"/>
      <c r="K202" s="15"/>
      <c r="L202" s="345"/>
      <c r="M202" s="345"/>
      <c r="N202" s="302"/>
      <c r="O202" s="15"/>
      <c r="P202" s="345"/>
      <c r="Q202" s="345"/>
      <c r="R202" s="302"/>
      <c r="S202" s="15"/>
      <c r="T202" s="345"/>
      <c r="U202" s="345"/>
      <c r="V202" s="302"/>
      <c r="W202" s="302"/>
      <c r="Z202" s="302"/>
      <c r="AA202" s="302"/>
      <c r="AD202" s="302"/>
      <c r="AE202" s="302"/>
      <c r="AH202" s="302"/>
    </row>
    <row r="203" spans="1:35" ht="24.75" customHeight="1">
      <c r="A203" s="16" t="s">
        <v>291</v>
      </c>
      <c r="B203" s="370"/>
      <c r="C203" s="15"/>
      <c r="D203" s="345"/>
      <c r="E203" s="345"/>
      <c r="F203" s="302"/>
      <c r="G203" s="15"/>
      <c r="H203" s="345"/>
      <c r="I203" s="345"/>
      <c r="J203" s="302"/>
      <c r="K203" s="15"/>
      <c r="L203" s="345"/>
      <c r="M203" s="345"/>
      <c r="N203" s="302"/>
      <c r="O203" s="15"/>
      <c r="P203" s="345"/>
      <c r="Q203" s="345"/>
      <c r="R203" s="302"/>
      <c r="S203" s="15"/>
      <c r="T203" s="345"/>
      <c r="U203" s="345"/>
      <c r="V203" s="302"/>
      <c r="W203" s="302"/>
      <c r="Z203" s="302"/>
      <c r="AA203" s="302"/>
      <c r="AD203" s="302"/>
      <c r="AE203" s="302"/>
      <c r="AH203" s="302"/>
    </row>
    <row r="204" spans="1:35" ht="24.75" customHeight="1" thickBot="1">
      <c r="A204" s="4602"/>
      <c r="B204" s="1456" t="s">
        <v>29</v>
      </c>
      <c r="C204" s="4603">
        <v>1</v>
      </c>
      <c r="D204" s="4604">
        <v>2</v>
      </c>
      <c r="E204" s="4604">
        <v>3</v>
      </c>
      <c r="F204" s="4603">
        <v>4</v>
      </c>
      <c r="G204" s="4603">
        <v>5</v>
      </c>
      <c r="H204" s="4604">
        <v>6</v>
      </c>
      <c r="I204" s="4604">
        <v>7</v>
      </c>
      <c r="J204" s="4604">
        <v>8</v>
      </c>
      <c r="K204" s="4604">
        <v>9</v>
      </c>
      <c r="L204" s="4604">
        <v>10</v>
      </c>
      <c r="M204" s="4603">
        <v>11</v>
      </c>
      <c r="N204" s="4603">
        <v>12</v>
      </c>
      <c r="O204" s="4604">
        <v>13</v>
      </c>
      <c r="P204" s="4604">
        <v>14</v>
      </c>
      <c r="Q204" s="4604">
        <v>15</v>
      </c>
      <c r="R204" s="4604">
        <v>16</v>
      </c>
      <c r="S204" s="4604">
        <v>17</v>
      </c>
      <c r="T204" s="4603">
        <v>18</v>
      </c>
      <c r="U204" s="4603">
        <v>19</v>
      </c>
      <c r="V204" s="4604">
        <v>20</v>
      </c>
      <c r="W204" s="4604">
        <v>21</v>
      </c>
      <c r="X204" s="4604">
        <v>22</v>
      </c>
      <c r="Y204" s="4604">
        <v>23</v>
      </c>
      <c r="Z204" s="4604">
        <v>24</v>
      </c>
      <c r="AA204" s="4603">
        <v>25</v>
      </c>
      <c r="AB204" s="4603">
        <v>26</v>
      </c>
      <c r="AC204" s="4604">
        <v>27</v>
      </c>
      <c r="AD204" s="4604">
        <v>28</v>
      </c>
      <c r="AE204" s="4604">
        <v>29</v>
      </c>
      <c r="AF204" s="4604">
        <v>30</v>
      </c>
      <c r="AG204" s="4605">
        <v>31</v>
      </c>
      <c r="AH204" s="303"/>
      <c r="AI204" s="304"/>
    </row>
    <row r="205" spans="1:35" ht="24.75" customHeight="1">
      <c r="A205" s="4810"/>
      <c r="B205" s="4811" t="s">
        <v>292</v>
      </c>
      <c r="C205" s="4502"/>
      <c r="D205" s="4812" t="s">
        <v>31</v>
      </c>
      <c r="E205" s="4502" t="s">
        <v>31</v>
      </c>
      <c r="F205" s="4502"/>
      <c r="G205" s="4502"/>
      <c r="H205" s="4502" t="s">
        <v>31</v>
      </c>
      <c r="I205" s="4502" t="s">
        <v>31</v>
      </c>
      <c r="J205" s="4502" t="s">
        <v>31</v>
      </c>
      <c r="K205" s="4502" t="s">
        <v>31</v>
      </c>
      <c r="L205" s="4502" t="s">
        <v>31</v>
      </c>
      <c r="M205" s="4502"/>
      <c r="N205" s="4502"/>
      <c r="O205" s="4502" t="s">
        <v>31</v>
      </c>
      <c r="P205" s="4502" t="s">
        <v>31</v>
      </c>
      <c r="Q205" s="4502" t="s">
        <v>31</v>
      </c>
      <c r="R205" s="4502" t="s">
        <v>31</v>
      </c>
      <c r="S205" s="4502" t="s">
        <v>31</v>
      </c>
      <c r="T205" s="4502"/>
      <c r="U205" s="4502"/>
      <c r="V205" s="4502" t="s">
        <v>31</v>
      </c>
      <c r="W205" s="4502" t="s">
        <v>31</v>
      </c>
      <c r="X205" s="4502" t="s">
        <v>31</v>
      </c>
      <c r="Y205" s="4502" t="s">
        <v>31</v>
      </c>
      <c r="Z205" s="4773" t="s">
        <v>31</v>
      </c>
      <c r="AA205" s="4502"/>
      <c r="AB205" s="4502"/>
      <c r="AC205" s="4502" t="s">
        <v>31</v>
      </c>
      <c r="AD205" s="4502" t="s">
        <v>31</v>
      </c>
      <c r="AE205" s="4502" t="s">
        <v>31</v>
      </c>
      <c r="AF205" s="4502" t="s">
        <v>31</v>
      </c>
      <c r="AG205" s="398" t="s">
        <v>31</v>
      </c>
      <c r="AH205" s="303"/>
      <c r="AI205" s="304"/>
    </row>
    <row r="206" spans="1:35" ht="24.75" customHeight="1">
      <c r="A206" s="4813"/>
      <c r="B206" s="4814" t="s">
        <v>293</v>
      </c>
      <c r="C206" s="4517"/>
      <c r="D206" s="4815" t="s">
        <v>31</v>
      </c>
      <c r="E206" s="4517" t="s">
        <v>31</v>
      </c>
      <c r="F206" s="4517"/>
      <c r="G206" s="4517"/>
      <c r="H206" s="4517" t="s">
        <v>31</v>
      </c>
      <c r="I206" s="4517" t="s">
        <v>31</v>
      </c>
      <c r="J206" s="4517" t="s">
        <v>31</v>
      </c>
      <c r="K206" s="4517" t="s">
        <v>31</v>
      </c>
      <c r="L206" s="4517" t="s">
        <v>31</v>
      </c>
      <c r="M206" s="4517"/>
      <c r="N206" s="4517"/>
      <c r="O206" s="4517" t="s">
        <v>31</v>
      </c>
      <c r="P206" s="4517" t="s">
        <v>31</v>
      </c>
      <c r="Q206" s="4517" t="s">
        <v>31</v>
      </c>
      <c r="R206" s="4517" t="s">
        <v>31</v>
      </c>
      <c r="S206" s="4517" t="s">
        <v>31</v>
      </c>
      <c r="T206" s="4517"/>
      <c r="U206" s="4517"/>
      <c r="V206" s="4517" t="s">
        <v>31</v>
      </c>
      <c r="W206" s="4517" t="s">
        <v>31</v>
      </c>
      <c r="X206" s="4517" t="s">
        <v>31</v>
      </c>
      <c r="Y206" s="4517" t="s">
        <v>31</v>
      </c>
      <c r="Z206" s="4517" t="s">
        <v>31</v>
      </c>
      <c r="AA206" s="4517"/>
      <c r="AB206" s="4517"/>
      <c r="AC206" s="4517" t="s">
        <v>31</v>
      </c>
      <c r="AD206" s="4517" t="s">
        <v>31</v>
      </c>
      <c r="AE206" s="4517" t="s">
        <v>31</v>
      </c>
      <c r="AF206" s="4517" t="s">
        <v>31</v>
      </c>
      <c r="AG206" s="4816" t="s">
        <v>31</v>
      </c>
      <c r="AH206" s="303"/>
      <c r="AI206" s="304"/>
    </row>
    <row r="207" spans="1:35" ht="24.75" customHeight="1">
      <c r="A207" s="4817">
        <v>8514</v>
      </c>
      <c r="B207" s="4555" t="s">
        <v>393</v>
      </c>
      <c r="C207" s="4517"/>
      <c r="D207" s="4815" t="s">
        <v>31</v>
      </c>
      <c r="E207" s="4517" t="s">
        <v>31</v>
      </c>
      <c r="F207" s="4517"/>
      <c r="G207" s="4517"/>
      <c r="H207" s="4517" t="s">
        <v>31</v>
      </c>
      <c r="I207" s="4517" t="s">
        <v>31</v>
      </c>
      <c r="J207" s="4517" t="s">
        <v>31</v>
      </c>
      <c r="K207" s="4517" t="s">
        <v>31</v>
      </c>
      <c r="L207" s="4517" t="s">
        <v>31</v>
      </c>
      <c r="M207" s="4517"/>
      <c r="N207" s="4517"/>
      <c r="O207" s="4517" t="s">
        <v>31</v>
      </c>
      <c r="P207" s="4517" t="s">
        <v>31</v>
      </c>
      <c r="Q207" s="4517" t="s">
        <v>31</v>
      </c>
      <c r="R207" s="4517" t="s">
        <v>31</v>
      </c>
      <c r="S207" s="4517" t="s">
        <v>31</v>
      </c>
      <c r="T207" s="4517"/>
      <c r="U207" s="4517"/>
      <c r="V207" s="4517" t="s">
        <v>31</v>
      </c>
      <c r="W207" s="4517" t="s">
        <v>31</v>
      </c>
      <c r="X207" s="4517" t="s">
        <v>31</v>
      </c>
      <c r="Y207" s="4517" t="s">
        <v>31</v>
      </c>
      <c r="Z207" s="4609" t="s">
        <v>31</v>
      </c>
      <c r="AA207" s="4517"/>
      <c r="AB207" s="4517"/>
      <c r="AC207" s="4517" t="s">
        <v>31</v>
      </c>
      <c r="AD207" s="4517" t="s">
        <v>31</v>
      </c>
      <c r="AE207" s="4517" t="s">
        <v>31</v>
      </c>
      <c r="AF207" s="4517" t="s">
        <v>31</v>
      </c>
      <c r="AG207" s="4816" t="s">
        <v>31</v>
      </c>
      <c r="AH207" s="313"/>
      <c r="AI207" s="305"/>
    </row>
    <row r="208" spans="1:35" ht="24.75" customHeight="1">
      <c r="A208" s="4817">
        <v>3701</v>
      </c>
      <c r="B208" s="4555" t="s">
        <v>295</v>
      </c>
      <c r="C208" s="4517"/>
      <c r="D208" s="4618" t="s">
        <v>31</v>
      </c>
      <c r="E208" s="4618" t="s">
        <v>31</v>
      </c>
      <c r="F208" s="4517"/>
      <c r="G208" s="4517"/>
      <c r="H208" s="4517" t="s">
        <v>31</v>
      </c>
      <c r="I208" s="4517" t="s">
        <v>31</v>
      </c>
      <c r="J208" s="4517" t="s">
        <v>31</v>
      </c>
      <c r="K208" s="4517" t="s">
        <v>31</v>
      </c>
      <c r="L208" s="4517" t="s">
        <v>31</v>
      </c>
      <c r="M208" s="4517"/>
      <c r="N208" s="4517"/>
      <c r="O208" s="4517" t="s">
        <v>31</v>
      </c>
      <c r="P208" s="4517" t="s">
        <v>31</v>
      </c>
      <c r="Q208" s="4517" t="s">
        <v>31</v>
      </c>
      <c r="R208" s="4517" t="s">
        <v>31</v>
      </c>
      <c r="S208" s="4517" t="s">
        <v>31</v>
      </c>
      <c r="T208" s="4517"/>
      <c r="U208" s="4517"/>
      <c r="V208" s="4517" t="s">
        <v>31</v>
      </c>
      <c r="W208" s="4517" t="s">
        <v>31</v>
      </c>
      <c r="X208" s="4517" t="s">
        <v>31</v>
      </c>
      <c r="Y208" s="4517" t="s">
        <v>31</v>
      </c>
      <c r="Z208" s="4517" t="s">
        <v>31</v>
      </c>
      <c r="AA208" s="4517"/>
      <c r="AB208" s="4517"/>
      <c r="AC208" s="4517" t="s">
        <v>31</v>
      </c>
      <c r="AD208" s="4517" t="s">
        <v>31</v>
      </c>
      <c r="AE208" s="4517" t="s">
        <v>31</v>
      </c>
      <c r="AF208" s="4517" t="s">
        <v>31</v>
      </c>
      <c r="AG208" s="4816" t="s">
        <v>31</v>
      </c>
      <c r="AH208" s="313"/>
      <c r="AI208" s="305"/>
    </row>
    <row r="209" spans="1:35" ht="24.75" customHeight="1">
      <c r="A209" s="4817">
        <v>3701</v>
      </c>
      <c r="B209" s="4555" t="s">
        <v>296</v>
      </c>
      <c r="C209" s="4517"/>
      <c r="D209" s="4519" t="s">
        <v>31</v>
      </c>
      <c r="E209" s="4519" t="s">
        <v>31</v>
      </c>
      <c r="F209" s="4517"/>
      <c r="G209" s="4517"/>
      <c r="H209" s="4517" t="s">
        <v>31</v>
      </c>
      <c r="I209" s="4517" t="s">
        <v>31</v>
      </c>
      <c r="J209" s="4517" t="s">
        <v>31</v>
      </c>
      <c r="K209" s="4517" t="s">
        <v>31</v>
      </c>
      <c r="L209" s="4517" t="s">
        <v>31</v>
      </c>
      <c r="M209" s="4517"/>
      <c r="N209" s="4517"/>
      <c r="O209" s="4517">
        <v>19</v>
      </c>
      <c r="P209" s="4517">
        <v>19</v>
      </c>
      <c r="Q209" s="4517">
        <v>19</v>
      </c>
      <c r="R209" s="4517">
        <v>19</v>
      </c>
      <c r="S209" s="4517">
        <v>19</v>
      </c>
      <c r="T209" s="4517"/>
      <c r="U209" s="4517"/>
      <c r="V209" s="4517" t="s">
        <v>31</v>
      </c>
      <c r="W209" s="4517" t="s">
        <v>31</v>
      </c>
      <c r="X209" s="4517" t="s">
        <v>31</v>
      </c>
      <c r="Y209" s="4517" t="s">
        <v>31</v>
      </c>
      <c r="Z209" s="4517" t="s">
        <v>31</v>
      </c>
      <c r="AA209" s="4517"/>
      <c r="AB209" s="4517"/>
      <c r="AC209" s="4517" t="s">
        <v>31</v>
      </c>
      <c r="AD209" s="4517" t="s">
        <v>31</v>
      </c>
      <c r="AE209" s="4517" t="s">
        <v>31</v>
      </c>
      <c r="AF209" s="4517" t="s">
        <v>31</v>
      </c>
      <c r="AG209" s="4816" t="s">
        <v>31</v>
      </c>
      <c r="AH209" s="313"/>
      <c r="AI209" s="305"/>
    </row>
    <row r="210" spans="1:35" ht="24.75" customHeight="1">
      <c r="A210" s="4817">
        <v>3701</v>
      </c>
      <c r="B210" s="4555" t="s">
        <v>297</v>
      </c>
      <c r="C210" s="4517"/>
      <c r="D210" s="4513" t="s">
        <v>31</v>
      </c>
      <c r="E210" s="4609" t="s">
        <v>31</v>
      </c>
      <c r="F210" s="4517"/>
      <c r="G210" s="4517"/>
      <c r="H210" s="4517" t="s">
        <v>31</v>
      </c>
      <c r="I210" s="4517" t="s">
        <v>31</v>
      </c>
      <c r="J210" s="4517" t="s">
        <v>31</v>
      </c>
      <c r="K210" s="4517" t="s">
        <v>31</v>
      </c>
      <c r="L210" s="4517" t="s">
        <v>31</v>
      </c>
      <c r="M210" s="4517"/>
      <c r="N210" s="4517"/>
      <c r="O210" s="4517" t="s">
        <v>31</v>
      </c>
      <c r="P210" s="4517" t="s">
        <v>31</v>
      </c>
      <c r="Q210" s="4517" t="s">
        <v>31</v>
      </c>
      <c r="R210" s="4517" t="s">
        <v>31</v>
      </c>
      <c r="S210" s="4517" t="s">
        <v>31</v>
      </c>
      <c r="T210" s="4517"/>
      <c r="U210" s="4517"/>
      <c r="V210" s="4517" t="s">
        <v>31</v>
      </c>
      <c r="W210" s="4517" t="s">
        <v>31</v>
      </c>
      <c r="X210" s="4517" t="s">
        <v>31</v>
      </c>
      <c r="Y210" s="4517" t="s">
        <v>31</v>
      </c>
      <c r="Z210" s="4517" t="s">
        <v>31</v>
      </c>
      <c r="AA210" s="4517"/>
      <c r="AB210" s="4517"/>
      <c r="AC210" s="4750" t="s">
        <v>31</v>
      </c>
      <c r="AD210" s="4517" t="s">
        <v>31</v>
      </c>
      <c r="AE210" s="4517" t="s">
        <v>31</v>
      </c>
      <c r="AF210" s="4517" t="s">
        <v>31</v>
      </c>
      <c r="AG210" s="4816" t="s">
        <v>31</v>
      </c>
      <c r="AH210" s="313"/>
      <c r="AI210" s="305"/>
    </row>
    <row r="211" spans="1:35" ht="24.75" customHeight="1">
      <c r="A211" s="4817">
        <v>3701</v>
      </c>
      <c r="B211" s="4555" t="s">
        <v>298</v>
      </c>
      <c r="C211" s="4517"/>
      <c r="D211" s="4609" t="s">
        <v>31</v>
      </c>
      <c r="E211" s="4609" t="s">
        <v>31</v>
      </c>
      <c r="F211" s="4517"/>
      <c r="G211" s="4517"/>
      <c r="H211" s="4517">
        <v>19</v>
      </c>
      <c r="I211" s="4517">
        <v>19</v>
      </c>
      <c r="J211" s="4517">
        <v>19</v>
      </c>
      <c r="K211" s="4517">
        <v>19</v>
      </c>
      <c r="L211" s="4517">
        <v>19</v>
      </c>
      <c r="M211" s="4517"/>
      <c r="N211" s="4517"/>
      <c r="O211" s="4517" t="s">
        <v>31</v>
      </c>
      <c r="P211" s="4517" t="s">
        <v>31</v>
      </c>
      <c r="Q211" s="4517" t="s">
        <v>31</v>
      </c>
      <c r="R211" s="4517" t="s">
        <v>31</v>
      </c>
      <c r="S211" s="4517" t="s">
        <v>31</v>
      </c>
      <c r="T211" s="4517"/>
      <c r="U211" s="4511"/>
      <c r="V211" s="4511" t="s">
        <v>31</v>
      </c>
      <c r="W211" s="4517" t="s">
        <v>31</v>
      </c>
      <c r="X211" s="4517" t="s">
        <v>31</v>
      </c>
      <c r="Y211" s="4517" t="s">
        <v>31</v>
      </c>
      <c r="Z211" s="4611" t="s">
        <v>31</v>
      </c>
      <c r="AA211" s="4517"/>
      <c r="AB211" s="4517"/>
      <c r="AC211" s="4517" t="s">
        <v>31</v>
      </c>
      <c r="AD211" s="4517" t="s">
        <v>31</v>
      </c>
      <c r="AE211" s="4517" t="s">
        <v>31</v>
      </c>
      <c r="AF211" s="4517" t="s">
        <v>31</v>
      </c>
      <c r="AG211" s="4816" t="s">
        <v>31</v>
      </c>
      <c r="AH211" s="313"/>
      <c r="AI211" s="305"/>
    </row>
    <row r="212" spans="1:35" ht="24.75" customHeight="1">
      <c r="A212" s="4817">
        <v>3701</v>
      </c>
      <c r="B212" s="4555" t="s">
        <v>299</v>
      </c>
      <c r="C212" s="4517"/>
      <c r="D212" s="4519">
        <v>19</v>
      </c>
      <c r="E212" s="4519">
        <v>19</v>
      </c>
      <c r="F212" s="4517"/>
      <c r="G212" s="4517"/>
      <c r="H212" s="4517" t="s">
        <v>31</v>
      </c>
      <c r="I212" s="4517" t="s">
        <v>31</v>
      </c>
      <c r="J212" s="4517" t="s">
        <v>31</v>
      </c>
      <c r="K212" s="4517" t="s">
        <v>31</v>
      </c>
      <c r="L212" s="4517" t="s">
        <v>31</v>
      </c>
      <c r="M212" s="4517"/>
      <c r="N212" s="4517"/>
      <c r="O212" s="4517" t="s">
        <v>31</v>
      </c>
      <c r="P212" s="4517" t="s">
        <v>31</v>
      </c>
      <c r="Q212" s="4517" t="s">
        <v>31</v>
      </c>
      <c r="R212" s="4750" t="s">
        <v>31</v>
      </c>
      <c r="S212" s="4750" t="s">
        <v>31</v>
      </c>
      <c r="T212" s="4750"/>
      <c r="U212" s="4517"/>
      <c r="V212" s="4517" t="s">
        <v>31</v>
      </c>
      <c r="W212" s="4517" t="s">
        <v>31</v>
      </c>
      <c r="X212" s="4517" t="s">
        <v>31</v>
      </c>
      <c r="Y212" s="4517" t="s">
        <v>31</v>
      </c>
      <c r="Z212" s="4517" t="s">
        <v>31</v>
      </c>
      <c r="AA212" s="4517"/>
      <c r="AB212" s="4517"/>
      <c r="AC212" s="4517" t="s">
        <v>31</v>
      </c>
      <c r="AD212" s="4517" t="s">
        <v>31</v>
      </c>
      <c r="AE212" s="4517" t="s">
        <v>31</v>
      </c>
      <c r="AF212" s="4517" t="s">
        <v>31</v>
      </c>
      <c r="AG212" s="4816" t="s">
        <v>31</v>
      </c>
      <c r="AH212" s="313"/>
      <c r="AI212" s="305"/>
    </row>
    <row r="213" spans="1:35" ht="24.75" customHeight="1">
      <c r="A213" s="4817">
        <v>3701</v>
      </c>
      <c r="B213" s="4555" t="s">
        <v>300</v>
      </c>
      <c r="C213" s="4517"/>
      <c r="D213" s="4517" t="s">
        <v>31</v>
      </c>
      <c r="E213" s="4517" t="s">
        <v>31</v>
      </c>
      <c r="F213" s="4517"/>
      <c r="G213" s="4517"/>
      <c r="H213" s="4517" t="s">
        <v>31</v>
      </c>
      <c r="I213" s="4517" t="s">
        <v>31</v>
      </c>
      <c r="J213" s="4517" t="s">
        <v>31</v>
      </c>
      <c r="K213" s="4517" t="s">
        <v>31</v>
      </c>
      <c r="L213" s="4517" t="s">
        <v>31</v>
      </c>
      <c r="M213" s="4517"/>
      <c r="N213" s="4517"/>
      <c r="O213" s="4517" t="s">
        <v>31</v>
      </c>
      <c r="P213" s="4517" t="s">
        <v>31</v>
      </c>
      <c r="Q213" s="4517" t="s">
        <v>31</v>
      </c>
      <c r="R213" s="4778" t="s">
        <v>31</v>
      </c>
      <c r="S213" s="4778" t="s">
        <v>31</v>
      </c>
      <c r="T213" s="4778"/>
      <c r="U213" s="4778" t="s">
        <v>552</v>
      </c>
      <c r="V213" s="4513">
        <v>19</v>
      </c>
      <c r="W213" s="4513">
        <v>19</v>
      </c>
      <c r="X213" s="4517">
        <v>19</v>
      </c>
      <c r="Y213" s="4517">
        <v>19</v>
      </c>
      <c r="Z213" s="4517">
        <v>19</v>
      </c>
      <c r="AA213" s="4517"/>
      <c r="AB213" s="4517"/>
      <c r="AC213" s="4517" t="s">
        <v>31</v>
      </c>
      <c r="AD213" s="4517" t="s">
        <v>31</v>
      </c>
      <c r="AE213" s="4517" t="s">
        <v>31</v>
      </c>
      <c r="AF213" s="4517" t="s">
        <v>31</v>
      </c>
      <c r="AG213" s="4816" t="s">
        <v>31</v>
      </c>
      <c r="AH213" s="313"/>
      <c r="AI213" s="305"/>
    </row>
    <row r="214" spans="1:35" ht="24.75" customHeight="1">
      <c r="A214" s="4817">
        <v>3701</v>
      </c>
      <c r="B214" s="4555" t="s">
        <v>301</v>
      </c>
      <c r="C214" s="4517"/>
      <c r="D214" s="4513" t="s">
        <v>31</v>
      </c>
      <c r="E214" s="4609" t="s">
        <v>31</v>
      </c>
      <c r="F214" s="4517"/>
      <c r="G214" s="4517"/>
      <c r="H214" s="4517" t="s">
        <v>31</v>
      </c>
      <c r="I214" s="4517" t="s">
        <v>31</v>
      </c>
      <c r="J214" s="4647" t="s">
        <v>31</v>
      </c>
      <c r="K214" s="4647" t="s">
        <v>31</v>
      </c>
      <c r="L214" s="4517" t="s">
        <v>31</v>
      </c>
      <c r="M214" s="4517"/>
      <c r="N214" s="4517"/>
      <c r="O214" s="4517" t="s">
        <v>31</v>
      </c>
      <c r="P214" s="4517" t="s">
        <v>31</v>
      </c>
      <c r="Q214" s="4517" t="s">
        <v>31</v>
      </c>
      <c r="R214" s="4517" t="s">
        <v>31</v>
      </c>
      <c r="S214" s="4517" t="s">
        <v>31</v>
      </c>
      <c r="T214" s="4517"/>
      <c r="U214" s="4517"/>
      <c r="V214" s="4517" t="s">
        <v>31</v>
      </c>
      <c r="W214" s="4517" t="s">
        <v>31</v>
      </c>
      <c r="X214" s="4517" t="s">
        <v>31</v>
      </c>
      <c r="Y214" s="4517" t="s">
        <v>31</v>
      </c>
      <c r="Z214" s="4517" t="s">
        <v>31</v>
      </c>
      <c r="AA214" s="4517"/>
      <c r="AB214" s="4517"/>
      <c r="AC214" s="4517">
        <v>19</v>
      </c>
      <c r="AD214" s="4517">
        <v>19</v>
      </c>
      <c r="AE214" s="4517">
        <v>19</v>
      </c>
      <c r="AF214" s="4517">
        <v>19</v>
      </c>
      <c r="AG214" s="4816">
        <v>19</v>
      </c>
      <c r="AH214" s="313"/>
      <c r="AI214" s="305"/>
    </row>
    <row r="215" spans="1:35" ht="24.75" customHeight="1">
      <c r="A215" s="4818">
        <v>3701</v>
      </c>
      <c r="B215" s="4555" t="s">
        <v>302</v>
      </c>
      <c r="C215" s="4517"/>
      <c r="D215" s="4517" t="s">
        <v>31</v>
      </c>
      <c r="E215" s="4517" t="s">
        <v>31</v>
      </c>
      <c r="F215" s="4517"/>
      <c r="G215" s="4517"/>
      <c r="H215" s="4517" t="s">
        <v>31</v>
      </c>
      <c r="I215" s="4517" t="s">
        <v>31</v>
      </c>
      <c r="J215" s="4517" t="s">
        <v>31</v>
      </c>
      <c r="K215" s="3951" t="s">
        <v>31</v>
      </c>
      <c r="L215" s="4517" t="s">
        <v>31</v>
      </c>
      <c r="M215" s="4517"/>
      <c r="N215" s="4517"/>
      <c r="O215" s="4778" t="s">
        <v>31</v>
      </c>
      <c r="P215" s="4778" t="s">
        <v>31</v>
      </c>
      <c r="Q215" s="4778" t="s">
        <v>31</v>
      </c>
      <c r="R215" s="4778" t="s">
        <v>31</v>
      </c>
      <c r="S215" s="4778" t="s">
        <v>304</v>
      </c>
      <c r="T215" s="4750"/>
      <c r="U215" s="4750"/>
      <c r="V215" s="4750" t="s">
        <v>31</v>
      </c>
      <c r="W215" s="4517" t="s">
        <v>31</v>
      </c>
      <c r="X215" s="4517" t="s">
        <v>31</v>
      </c>
      <c r="Y215" s="4517" t="s">
        <v>31</v>
      </c>
      <c r="Z215" s="4517" t="s">
        <v>31</v>
      </c>
      <c r="AA215" s="4517"/>
      <c r="AB215" s="4517"/>
      <c r="AC215" s="4517" t="s">
        <v>31</v>
      </c>
      <c r="AD215" s="4517" t="s">
        <v>31</v>
      </c>
      <c r="AE215" s="4517" t="s">
        <v>31</v>
      </c>
      <c r="AF215" s="4517" t="s">
        <v>31</v>
      </c>
      <c r="AG215" s="4816" t="s">
        <v>31</v>
      </c>
      <c r="AH215" s="313"/>
      <c r="AI215" s="305"/>
    </row>
    <row r="216" spans="1:35" ht="24.75" customHeight="1">
      <c r="A216" s="4817">
        <v>3701</v>
      </c>
      <c r="B216" s="4555" t="s">
        <v>303</v>
      </c>
      <c r="C216" s="4517"/>
      <c r="D216" s="4517" t="s">
        <v>31</v>
      </c>
      <c r="E216" s="4517" t="s">
        <v>31</v>
      </c>
      <c r="F216" s="4517"/>
      <c r="G216" s="4517"/>
      <c r="H216" s="4517" t="s">
        <v>31</v>
      </c>
      <c r="I216" s="4778" t="s">
        <v>304</v>
      </c>
      <c r="J216" s="4608" t="s">
        <v>31</v>
      </c>
      <c r="K216" s="4608" t="s">
        <v>31</v>
      </c>
      <c r="L216" s="4608" t="s">
        <v>31</v>
      </c>
      <c r="M216" s="4517"/>
      <c r="N216" s="4517"/>
      <c r="O216" s="4517" t="s">
        <v>31</v>
      </c>
      <c r="P216" s="4778" t="s">
        <v>31</v>
      </c>
      <c r="Q216" s="4778" t="s">
        <v>31</v>
      </c>
      <c r="R216" s="4778" t="s">
        <v>31</v>
      </c>
      <c r="S216" s="4778" t="s">
        <v>31</v>
      </c>
      <c r="T216" s="4778"/>
      <c r="U216" s="4778"/>
      <c r="V216" s="4778" t="s">
        <v>304</v>
      </c>
      <c r="W216" s="4608" t="s">
        <v>31</v>
      </c>
      <c r="X216" s="4608" t="s">
        <v>31</v>
      </c>
      <c r="Y216" s="4517" t="s">
        <v>31</v>
      </c>
      <c r="Z216" s="4517" t="s">
        <v>31</v>
      </c>
      <c r="AA216" s="4517"/>
      <c r="AB216" s="4517"/>
      <c r="AC216" s="4517" t="s">
        <v>31</v>
      </c>
      <c r="AD216" s="4511" t="s">
        <v>31</v>
      </c>
      <c r="AE216" s="4511" t="s">
        <v>31</v>
      </c>
      <c r="AF216" s="4511" t="s">
        <v>31</v>
      </c>
      <c r="AG216" s="4819" t="s">
        <v>31</v>
      </c>
      <c r="AH216" s="313"/>
      <c r="AI216" s="305"/>
    </row>
    <row r="217" spans="1:35" ht="24.75" customHeight="1">
      <c r="A217" s="4817">
        <v>3701</v>
      </c>
      <c r="B217" s="4555" t="s">
        <v>305</v>
      </c>
      <c r="C217" s="4820"/>
      <c r="D217" s="4620" t="s">
        <v>31</v>
      </c>
      <c r="E217" s="4620" t="s">
        <v>31</v>
      </c>
      <c r="F217" s="4820"/>
      <c r="G217" s="4820"/>
      <c r="H217" s="4820" t="s">
        <v>31</v>
      </c>
      <c r="I217" s="4820" t="s">
        <v>31</v>
      </c>
      <c r="J217" s="4820" t="s">
        <v>31</v>
      </c>
      <c r="K217" s="4820" t="s">
        <v>31</v>
      </c>
      <c r="L217" s="4820" t="s">
        <v>31</v>
      </c>
      <c r="M217" s="4820"/>
      <c r="N217" s="4820"/>
      <c r="O217" s="4820" t="s">
        <v>31</v>
      </c>
      <c r="P217" s="4820" t="s">
        <v>31</v>
      </c>
      <c r="Q217" s="4820" t="s">
        <v>31</v>
      </c>
      <c r="R217" s="4820" t="s">
        <v>31</v>
      </c>
      <c r="S217" s="4820" t="s">
        <v>31</v>
      </c>
      <c r="T217" s="4820"/>
      <c r="U217" s="4820"/>
      <c r="V217" s="4820" t="s">
        <v>31</v>
      </c>
      <c r="W217" s="4820" t="s">
        <v>31</v>
      </c>
      <c r="X217" s="4820" t="s">
        <v>31</v>
      </c>
      <c r="Y217" s="4820" t="s">
        <v>31</v>
      </c>
      <c r="Z217" s="4820" t="s">
        <v>31</v>
      </c>
      <c r="AA217" s="4820"/>
      <c r="AB217" s="4517"/>
      <c r="AC217" s="4517" t="s">
        <v>31</v>
      </c>
      <c r="AD217" s="4517" t="s">
        <v>31</v>
      </c>
      <c r="AE217" s="4517" t="s">
        <v>31</v>
      </c>
      <c r="AF217" s="4517" t="s">
        <v>31</v>
      </c>
      <c r="AG217" s="4821" t="s">
        <v>31</v>
      </c>
      <c r="AH217" s="313"/>
      <c r="AI217" s="305"/>
    </row>
    <row r="218" spans="1:35" ht="24.75" customHeight="1">
      <c r="A218" s="4817"/>
      <c r="B218" s="3476" t="s">
        <v>277</v>
      </c>
      <c r="C218" s="4517"/>
      <c r="D218" s="4517"/>
      <c r="E218" s="4517"/>
      <c r="F218" s="4517"/>
      <c r="G218" s="4517"/>
      <c r="H218" s="4517"/>
      <c r="I218" s="4517"/>
      <c r="J218" s="4517"/>
      <c r="K218" s="4517"/>
      <c r="L218" s="4517"/>
      <c r="M218" s="4517"/>
      <c r="N218" s="4517"/>
      <c r="O218" s="4517"/>
      <c r="P218" s="4517"/>
      <c r="Q218" s="4517"/>
      <c r="R218" s="4517"/>
      <c r="S218" s="4517"/>
      <c r="T218" s="4517"/>
      <c r="U218" s="4517"/>
      <c r="V218" s="4517"/>
      <c r="W218" s="4517"/>
      <c r="X218" s="4517"/>
      <c r="Y218" s="4517"/>
      <c r="Z218" s="4517"/>
      <c r="AA218" s="4517"/>
      <c r="AB218" s="4517"/>
      <c r="AC218" s="4517"/>
      <c r="AD218" s="4517"/>
      <c r="AE218" s="4517"/>
      <c r="AF218" s="4517"/>
      <c r="AG218" s="4816"/>
      <c r="AH218" s="313"/>
      <c r="AI218" s="305"/>
    </row>
    <row r="219" spans="1:35" ht="24.75" customHeight="1">
      <c r="A219" s="4817"/>
      <c r="B219" s="4555" t="s">
        <v>306</v>
      </c>
      <c r="C219" s="4820"/>
      <c r="D219" s="4820" t="s">
        <v>31</v>
      </c>
      <c r="E219" s="4820" t="s">
        <v>31</v>
      </c>
      <c r="F219" s="4820"/>
      <c r="G219" s="4820"/>
      <c r="H219" s="4820" t="s">
        <v>31</v>
      </c>
      <c r="I219" s="4820" t="s">
        <v>31</v>
      </c>
      <c r="J219" s="4820" t="s">
        <v>31</v>
      </c>
      <c r="K219" s="4820" t="s">
        <v>31</v>
      </c>
      <c r="L219" s="4820" t="s">
        <v>31</v>
      </c>
      <c r="M219" s="4820"/>
      <c r="N219" s="4820"/>
      <c r="O219" s="4820" t="s">
        <v>31</v>
      </c>
      <c r="P219" s="4820" t="s">
        <v>31</v>
      </c>
      <c r="Q219" s="4820" t="s">
        <v>31</v>
      </c>
      <c r="R219" s="4820" t="s">
        <v>31</v>
      </c>
      <c r="S219" s="4820" t="s">
        <v>31</v>
      </c>
      <c r="T219" s="4820"/>
      <c r="U219" s="4820"/>
      <c r="V219" s="4820" t="s">
        <v>31</v>
      </c>
      <c r="W219" s="4820" t="s">
        <v>31</v>
      </c>
      <c r="X219" s="4820" t="s">
        <v>31</v>
      </c>
      <c r="Y219" s="4820" t="s">
        <v>31</v>
      </c>
      <c r="Z219" s="4820" t="s">
        <v>31</v>
      </c>
      <c r="AA219" s="4820"/>
      <c r="AB219" s="4820"/>
      <c r="AC219" s="4820" t="s">
        <v>31</v>
      </c>
      <c r="AD219" s="4820" t="s">
        <v>31</v>
      </c>
      <c r="AE219" s="4820" t="s">
        <v>31</v>
      </c>
      <c r="AF219" s="4517" t="s">
        <v>31</v>
      </c>
      <c r="AG219" s="4816" t="s">
        <v>31</v>
      </c>
      <c r="AH219" s="313"/>
      <c r="AI219" s="305"/>
    </row>
    <row r="220" spans="1:35" ht="24.75" customHeight="1">
      <c r="A220" s="4817"/>
      <c r="B220" s="4555" t="s">
        <v>307</v>
      </c>
      <c r="C220" s="4517"/>
      <c r="D220" s="4822" t="s">
        <v>31</v>
      </c>
      <c r="E220" s="4647" t="s">
        <v>31</v>
      </c>
      <c r="F220" s="4647"/>
      <c r="G220" s="4647"/>
      <c r="H220" s="4647" t="s">
        <v>31</v>
      </c>
      <c r="I220" s="4778" t="s">
        <v>31</v>
      </c>
      <c r="J220" s="4778" t="s">
        <v>31</v>
      </c>
      <c r="K220" s="4778" t="s">
        <v>31</v>
      </c>
      <c r="L220" s="4778" t="s">
        <v>304</v>
      </c>
      <c r="M220" s="4608"/>
      <c r="N220" s="4608"/>
      <c r="O220" s="4608" t="s">
        <v>31</v>
      </c>
      <c r="P220" s="4608" t="s">
        <v>31</v>
      </c>
      <c r="Q220" s="4517" t="s">
        <v>31</v>
      </c>
      <c r="R220" s="4517" t="s">
        <v>31</v>
      </c>
      <c r="S220" s="4517" t="s">
        <v>31</v>
      </c>
      <c r="T220" s="4517"/>
      <c r="U220" s="4517"/>
      <c r="V220" s="4517" t="s">
        <v>31</v>
      </c>
      <c r="W220" s="4517" t="s">
        <v>31</v>
      </c>
      <c r="X220" s="4517" t="s">
        <v>31</v>
      </c>
      <c r="Y220" s="4517" t="s">
        <v>31</v>
      </c>
      <c r="Z220" s="4517" t="s">
        <v>31</v>
      </c>
      <c r="AA220" s="4517"/>
      <c r="AB220" s="4517"/>
      <c r="AC220" s="4517" t="s">
        <v>31</v>
      </c>
      <c r="AD220" s="4517" t="s">
        <v>31</v>
      </c>
      <c r="AE220" s="4517" t="s">
        <v>31</v>
      </c>
      <c r="AF220" s="4517" t="s">
        <v>31</v>
      </c>
      <c r="AG220" s="4816" t="s">
        <v>31</v>
      </c>
      <c r="AH220" s="313"/>
      <c r="AI220" s="305"/>
    </row>
    <row r="221" spans="1:35" ht="24.75" customHeight="1">
      <c r="A221" s="4817"/>
      <c r="B221" s="4555" t="s">
        <v>308</v>
      </c>
      <c r="C221" s="4517"/>
      <c r="D221" s="4517" t="s">
        <v>31</v>
      </c>
      <c r="E221" s="4517" t="s">
        <v>31</v>
      </c>
      <c r="F221" s="4517"/>
      <c r="G221" s="4517"/>
      <c r="H221" s="4517" t="s">
        <v>31</v>
      </c>
      <c r="I221" s="4517" t="s">
        <v>31</v>
      </c>
      <c r="J221" s="4517" t="s">
        <v>31</v>
      </c>
      <c r="K221" s="4517" t="s">
        <v>31</v>
      </c>
      <c r="L221" s="4517" t="s">
        <v>31</v>
      </c>
      <c r="M221" s="4517"/>
      <c r="N221" s="4647"/>
      <c r="O221" s="4778" t="s">
        <v>31</v>
      </c>
      <c r="P221" s="4778" t="s">
        <v>31</v>
      </c>
      <c r="Q221" s="4778" t="s">
        <v>304</v>
      </c>
      <c r="R221" s="4608" t="s">
        <v>31</v>
      </c>
      <c r="S221" s="4608" t="s">
        <v>31</v>
      </c>
      <c r="T221" s="4511"/>
      <c r="U221" s="4517"/>
      <c r="V221" s="371" t="s">
        <v>31</v>
      </c>
      <c r="W221" s="4517" t="s">
        <v>31</v>
      </c>
      <c r="X221" s="4517" t="s">
        <v>31</v>
      </c>
      <c r="Y221" s="4517" t="s">
        <v>31</v>
      </c>
      <c r="Z221" s="4517" t="s">
        <v>31</v>
      </c>
      <c r="AA221" s="4517"/>
      <c r="AB221" s="4517"/>
      <c r="AC221" s="4517" t="s">
        <v>31</v>
      </c>
      <c r="AD221" s="4517" t="s">
        <v>31</v>
      </c>
      <c r="AE221" s="4517" t="s">
        <v>31</v>
      </c>
      <c r="AF221" s="4517" t="s">
        <v>31</v>
      </c>
      <c r="AG221" s="4816" t="s">
        <v>31</v>
      </c>
      <c r="AH221" s="313"/>
      <c r="AI221" s="305"/>
    </row>
    <row r="222" spans="1:35" ht="24.75" customHeight="1">
      <c r="A222" s="4817"/>
      <c r="B222" s="4555" t="s">
        <v>309</v>
      </c>
      <c r="C222" s="4517"/>
      <c r="D222" s="4517" t="s">
        <v>31</v>
      </c>
      <c r="E222" s="4608" t="s">
        <v>31</v>
      </c>
      <c r="F222" s="4517"/>
      <c r="G222" s="4517"/>
      <c r="H222" s="4517" t="s">
        <v>31</v>
      </c>
      <c r="I222" s="4517" t="s">
        <v>31</v>
      </c>
      <c r="J222" s="4517" t="s">
        <v>31</v>
      </c>
      <c r="K222" s="4517" t="s">
        <v>31</v>
      </c>
      <c r="L222" s="4517" t="s">
        <v>31</v>
      </c>
      <c r="M222" s="4517"/>
      <c r="N222" s="4517"/>
      <c r="O222" s="4517" t="s">
        <v>31</v>
      </c>
      <c r="P222" s="4517" t="s">
        <v>31</v>
      </c>
      <c r="Q222" s="4517" t="s">
        <v>31</v>
      </c>
      <c r="R222" s="4517" t="s">
        <v>31</v>
      </c>
      <c r="S222" s="4517" t="s">
        <v>31</v>
      </c>
      <c r="T222" s="4517"/>
      <c r="U222" s="4517"/>
      <c r="V222" s="4517" t="s">
        <v>31</v>
      </c>
      <c r="W222" s="4517" t="s">
        <v>31</v>
      </c>
      <c r="X222" s="4517" t="s">
        <v>31</v>
      </c>
      <c r="Y222" s="4517" t="s">
        <v>31</v>
      </c>
      <c r="Z222" s="4517" t="s">
        <v>31</v>
      </c>
      <c r="AA222" s="4517"/>
      <c r="AB222" s="4517"/>
      <c r="AC222" s="4511" t="s">
        <v>31</v>
      </c>
      <c r="AD222" s="4511" t="s">
        <v>31</v>
      </c>
      <c r="AE222" s="4778" t="s">
        <v>31</v>
      </c>
      <c r="AF222" s="4778" t="s">
        <v>31</v>
      </c>
      <c r="AG222" s="4823" t="s">
        <v>31</v>
      </c>
      <c r="AH222" s="313"/>
      <c r="AI222" s="305"/>
    </row>
    <row r="223" spans="1:35" ht="24.75" customHeight="1">
      <c r="A223" s="4817"/>
      <c r="B223" s="3476" t="s">
        <v>310</v>
      </c>
      <c r="C223" s="4517"/>
      <c r="D223" s="4517"/>
      <c r="E223" s="4517"/>
      <c r="F223" s="4517"/>
      <c r="G223" s="4517"/>
      <c r="H223" s="4517"/>
      <c r="I223" s="4517"/>
      <c r="J223" s="4517"/>
      <c r="K223" s="4517"/>
      <c r="L223" s="4517"/>
      <c r="M223" s="4517"/>
      <c r="N223" s="4517"/>
      <c r="O223" s="4517"/>
      <c r="P223" s="4517"/>
      <c r="Q223" s="4517"/>
      <c r="R223" s="4517"/>
      <c r="S223" s="4517"/>
      <c r="T223" s="4517"/>
      <c r="U223" s="4517"/>
      <c r="V223" s="4517"/>
      <c r="W223" s="4517"/>
      <c r="X223" s="4517"/>
      <c r="Y223" s="4517"/>
      <c r="Z223" s="4517"/>
      <c r="AA223" s="4517"/>
      <c r="AB223" s="4517"/>
      <c r="AC223" s="4517"/>
      <c r="AD223" s="4517"/>
      <c r="AE223" s="4517"/>
      <c r="AF223" s="4517"/>
      <c r="AG223" s="4816"/>
      <c r="AH223" s="351"/>
      <c r="AI223" s="17"/>
    </row>
    <row r="224" spans="1:35" ht="24.75" customHeight="1">
      <c r="A224" s="4817"/>
      <c r="B224" s="4555"/>
      <c r="C224" s="4517"/>
      <c r="D224" s="4517"/>
      <c r="E224" s="4517"/>
      <c r="F224" s="4517"/>
      <c r="G224" s="4517"/>
      <c r="H224" s="4517"/>
      <c r="I224" s="4517"/>
      <c r="J224" s="4517"/>
      <c r="K224" s="4517"/>
      <c r="L224" s="4517"/>
      <c r="M224" s="4517"/>
      <c r="N224" s="4517"/>
      <c r="O224" s="4517"/>
      <c r="P224" s="4517"/>
      <c r="Q224" s="4517"/>
      <c r="R224" s="4517"/>
      <c r="S224" s="4517"/>
      <c r="T224" s="4517"/>
      <c r="U224" s="4517"/>
      <c r="V224" s="4517"/>
      <c r="W224" s="4517"/>
      <c r="X224" s="4517"/>
      <c r="Y224" s="4517"/>
      <c r="Z224" s="4517"/>
      <c r="AA224" s="4517"/>
      <c r="AB224" s="4517"/>
      <c r="AC224" s="4517"/>
      <c r="AD224" s="4517"/>
      <c r="AE224" s="4517"/>
      <c r="AF224" s="4517"/>
      <c r="AG224" s="4824"/>
      <c r="AH224" s="351"/>
      <c r="AI224" s="17"/>
    </row>
    <row r="225" spans="1:35" ht="24.75" customHeight="1">
      <c r="A225" s="4608"/>
      <c r="B225" s="4608"/>
      <c r="C225" s="4517"/>
      <c r="D225" s="4517"/>
      <c r="E225" s="4517"/>
      <c r="F225" s="4517"/>
      <c r="G225" s="4517"/>
      <c r="H225" s="4517"/>
      <c r="I225" s="4517"/>
      <c r="J225" s="4517"/>
      <c r="K225" s="4517"/>
      <c r="L225" s="4517"/>
      <c r="M225" s="4517"/>
      <c r="N225" s="4517"/>
      <c r="O225" s="4517"/>
      <c r="P225" s="4517"/>
      <c r="Q225" s="4517"/>
      <c r="R225" s="4517"/>
      <c r="S225" s="4517"/>
      <c r="T225" s="4517"/>
      <c r="U225" s="4517"/>
      <c r="V225" s="4517"/>
      <c r="W225" s="4517"/>
      <c r="X225" s="4517"/>
      <c r="Y225" s="4517"/>
      <c r="Z225" s="4517"/>
      <c r="AA225" s="4517"/>
      <c r="AB225" s="4517"/>
      <c r="AC225" s="4517"/>
      <c r="AD225" s="4517"/>
      <c r="AE225" s="4517"/>
      <c r="AF225" s="4517"/>
      <c r="AG225" s="4816"/>
      <c r="AH225" s="351"/>
      <c r="AI225" s="17"/>
    </row>
    <row r="226" spans="1:35" ht="24.75" customHeight="1">
      <c r="A226" s="4608"/>
      <c r="B226" s="4608"/>
      <c r="C226" s="4517"/>
      <c r="D226" s="4517"/>
      <c r="E226" s="4517"/>
      <c r="F226" s="4517"/>
      <c r="G226" s="4517"/>
      <c r="H226" s="4777"/>
      <c r="I226" s="4517"/>
      <c r="J226" s="4517"/>
      <c r="K226" s="4517"/>
      <c r="L226" s="4517"/>
      <c r="M226" s="4517"/>
      <c r="N226" s="4517"/>
      <c r="O226" s="4517"/>
      <c r="P226" s="4517"/>
      <c r="Q226" s="4517"/>
      <c r="R226" s="4517"/>
      <c r="S226" s="4517"/>
      <c r="T226" s="4517"/>
      <c r="U226" s="4517"/>
      <c r="V226" s="4517"/>
      <c r="W226" s="4517"/>
      <c r="X226" s="4517"/>
      <c r="Y226" s="4517"/>
      <c r="Z226" s="4517"/>
      <c r="AA226" s="4517"/>
      <c r="AB226" s="4517"/>
      <c r="AC226" s="4517"/>
      <c r="AD226" s="4517"/>
      <c r="AE226" s="4517"/>
      <c r="AF226" s="4517"/>
      <c r="AG226" s="4824"/>
      <c r="AH226" s="351"/>
      <c r="AI226" s="17"/>
    </row>
    <row r="227" spans="1:35" ht="24.75" customHeight="1">
      <c r="A227" s="4608"/>
      <c r="B227" s="4608"/>
      <c r="C227" s="4517"/>
      <c r="D227" s="4517"/>
      <c r="E227" s="4517"/>
      <c r="F227" s="4517"/>
      <c r="G227" s="4517"/>
      <c r="H227" s="4517"/>
      <c r="I227" s="4517"/>
      <c r="J227" s="4517"/>
      <c r="K227" s="4517"/>
      <c r="L227" s="4517"/>
      <c r="M227" s="4517"/>
      <c r="N227" s="4517"/>
      <c r="O227" s="4517"/>
      <c r="P227" s="4517"/>
      <c r="Q227" s="4517"/>
      <c r="R227" s="4517"/>
      <c r="S227" s="4517"/>
      <c r="T227" s="4517"/>
      <c r="U227" s="4517"/>
      <c r="V227" s="4517"/>
      <c r="W227" s="4517"/>
      <c r="X227" s="4517"/>
      <c r="Y227" s="4517"/>
      <c r="Z227" s="4517"/>
      <c r="AA227" s="4517"/>
      <c r="AB227" s="4517"/>
      <c r="AC227" s="4517"/>
      <c r="AD227" s="4517"/>
      <c r="AE227" s="4517"/>
      <c r="AF227" s="4517"/>
      <c r="AG227" s="4816"/>
      <c r="AH227" s="351"/>
      <c r="AI227" s="17"/>
    </row>
    <row r="228" spans="1:35" ht="24.75" customHeight="1">
      <c r="A228" s="4608"/>
      <c r="B228" s="4608"/>
      <c r="C228" s="4517"/>
      <c r="D228" s="4517"/>
      <c r="E228" s="4517"/>
      <c r="F228" s="4517"/>
      <c r="G228" s="4517"/>
      <c r="H228" s="4777"/>
      <c r="I228" s="4517"/>
      <c r="J228" s="4517"/>
      <c r="K228" s="4517"/>
      <c r="L228" s="4517"/>
      <c r="M228" s="4517"/>
      <c r="N228" s="4517"/>
      <c r="O228" s="4517"/>
      <c r="P228" s="4517"/>
      <c r="Q228" s="4517"/>
      <c r="R228" s="4517"/>
      <c r="S228" s="4517"/>
      <c r="T228" s="4517"/>
      <c r="U228" s="4517"/>
      <c r="V228" s="4517"/>
      <c r="W228" s="4517"/>
      <c r="X228" s="4517"/>
      <c r="Y228" s="4517"/>
      <c r="Z228" s="4517"/>
      <c r="AA228" s="4517"/>
      <c r="AB228" s="4517"/>
      <c r="AC228" s="4517"/>
      <c r="AD228" s="4517"/>
      <c r="AE228" s="4517"/>
      <c r="AF228" s="4517"/>
      <c r="AG228" s="4824"/>
      <c r="AH228" s="351"/>
      <c r="AI228" s="17"/>
    </row>
    <row r="229" spans="1:35" ht="24.75" customHeight="1">
      <c r="A229" s="4817"/>
      <c r="B229" s="3476"/>
      <c r="C229" s="4517"/>
      <c r="D229" s="4517"/>
      <c r="E229" s="4517"/>
      <c r="F229" s="4517"/>
      <c r="G229" s="4517"/>
      <c r="H229" s="4517"/>
      <c r="I229" s="4517"/>
      <c r="J229" s="4517"/>
      <c r="K229" s="4517"/>
      <c r="L229" s="4517"/>
      <c r="M229" s="4517"/>
      <c r="N229" s="4517"/>
      <c r="O229" s="4517"/>
      <c r="P229" s="4517"/>
      <c r="Q229" s="4517"/>
      <c r="R229" s="4517"/>
      <c r="S229" s="4517"/>
      <c r="T229" s="4517"/>
      <c r="U229" s="4517"/>
      <c r="V229" s="4517"/>
      <c r="W229" s="4517"/>
      <c r="X229" s="4517"/>
      <c r="Y229" s="4517"/>
      <c r="Z229" s="4517"/>
      <c r="AA229" s="4517"/>
      <c r="AB229" s="4517"/>
      <c r="AC229" s="4517"/>
      <c r="AD229" s="4517"/>
      <c r="AE229" s="4517"/>
      <c r="AF229" s="4517"/>
      <c r="AG229" s="4824"/>
      <c r="AH229" s="351"/>
      <c r="AI229" s="17"/>
    </row>
    <row r="230" spans="1:35" ht="24.75" customHeight="1">
      <c r="A230" s="4817"/>
      <c r="B230" s="3480"/>
      <c r="C230" s="4517"/>
      <c r="D230" s="4517"/>
      <c r="E230" s="4517"/>
      <c r="F230" s="4517"/>
      <c r="G230" s="4517"/>
      <c r="H230" s="4517"/>
      <c r="I230" s="4517"/>
      <c r="J230" s="4517"/>
      <c r="K230" s="4517"/>
      <c r="L230" s="4517"/>
      <c r="M230" s="4517"/>
      <c r="N230" s="4517"/>
      <c r="O230" s="4517"/>
      <c r="P230" s="4517"/>
      <c r="Q230" s="4517"/>
      <c r="R230" s="4517"/>
      <c r="S230" s="4517"/>
      <c r="T230" s="4517"/>
      <c r="U230" s="4517"/>
      <c r="V230" s="4517"/>
      <c r="W230" s="4517"/>
      <c r="X230" s="4517"/>
      <c r="Y230" s="4517"/>
      <c r="Z230" s="4517"/>
      <c r="AA230" s="4517"/>
      <c r="AB230" s="4517"/>
      <c r="AC230" s="4517"/>
      <c r="AD230" s="4517"/>
      <c r="AE230" s="4517"/>
      <c r="AF230" s="4517"/>
      <c r="AG230" s="4824"/>
      <c r="AH230" s="351"/>
      <c r="AI230" s="17"/>
    </row>
    <row r="231" spans="1:35" ht="24.75" customHeight="1">
      <c r="A231" s="342"/>
      <c r="B231" s="372"/>
      <c r="C231" s="38"/>
      <c r="D231" s="38"/>
      <c r="E231" s="38"/>
      <c r="F231" s="38"/>
      <c r="G231" s="38"/>
      <c r="H231" s="38"/>
      <c r="I231" s="38"/>
      <c r="J231" s="38"/>
      <c r="L231" s="38"/>
      <c r="M231" s="38"/>
      <c r="N231" s="38"/>
      <c r="O231" s="38"/>
      <c r="P231" s="17"/>
      <c r="Q231" s="17"/>
      <c r="R231" s="17"/>
      <c r="S231" s="38"/>
      <c r="T231" s="38"/>
      <c r="U231" s="38"/>
      <c r="V231" s="38"/>
      <c r="W231" s="38"/>
      <c r="X231" s="38"/>
      <c r="Y231" s="38"/>
      <c r="Z231" s="38"/>
      <c r="AA231" s="38"/>
      <c r="AB231" s="38"/>
      <c r="AC231" s="38"/>
      <c r="AD231" s="38"/>
      <c r="AE231" s="38"/>
      <c r="AF231" s="38"/>
      <c r="AG231" s="38"/>
      <c r="AH231" s="17"/>
      <c r="AI231" s="17"/>
    </row>
    <row r="232" spans="1:35" ht="24.75" customHeight="1"/>
    <row r="233" spans="1:35" ht="24.75" customHeight="1"/>
    <row r="234" spans="1:35" ht="24.75" customHeight="1"/>
    <row r="235" spans="1:35" ht="24.75" customHeight="1" thickBot="1">
      <c r="A235" s="299" t="s">
        <v>311</v>
      </c>
    </row>
    <row r="236" spans="1:35" ht="24.75" customHeight="1">
      <c r="B236" s="4825" t="s">
        <v>281</v>
      </c>
      <c r="C236" s="4693"/>
      <c r="D236" s="4702" t="s">
        <v>87</v>
      </c>
      <c r="E236" s="4530"/>
      <c r="F236" s="4695"/>
      <c r="G236" s="4693"/>
      <c r="H236" s="4702" t="s">
        <v>88</v>
      </c>
      <c r="I236" s="4530"/>
      <c r="J236" s="4695"/>
      <c r="K236" s="4693"/>
      <c r="L236" s="4702" t="s">
        <v>89</v>
      </c>
      <c r="M236" s="4530"/>
      <c r="N236" s="4695"/>
      <c r="O236" s="4693"/>
      <c r="P236" s="4702" t="s">
        <v>90</v>
      </c>
      <c r="Q236" s="4530"/>
      <c r="R236" s="4695"/>
      <c r="S236" s="4693"/>
      <c r="T236" s="4702" t="s">
        <v>91</v>
      </c>
      <c r="U236" s="4530"/>
      <c r="V236" s="4695"/>
      <c r="W236" s="4693"/>
      <c r="X236" s="4702" t="s">
        <v>92</v>
      </c>
      <c r="Y236" s="4530"/>
      <c r="Z236" s="4695"/>
      <c r="AA236" s="4693"/>
      <c r="AB236" s="4702" t="s">
        <v>93</v>
      </c>
      <c r="AC236" s="4530"/>
      <c r="AD236" s="4530"/>
      <c r="AE236" s="4705" t="s">
        <v>94</v>
      </c>
      <c r="AF236" s="4530"/>
      <c r="AG236" s="4530"/>
      <c r="AH236" s="4530"/>
      <c r="AI236" s="4531"/>
    </row>
    <row r="237" spans="1:35" ht="24.75" customHeight="1">
      <c r="B237" s="373"/>
      <c r="C237" s="368"/>
      <c r="D237" s="369"/>
      <c r="E237" s="359"/>
      <c r="F237" s="367"/>
      <c r="G237" s="368"/>
      <c r="H237" s="369"/>
      <c r="I237" s="359"/>
      <c r="J237" s="367"/>
      <c r="K237" s="368"/>
      <c r="L237" s="369"/>
      <c r="M237" s="359"/>
      <c r="N237" s="367"/>
      <c r="O237" s="368"/>
      <c r="P237" s="369"/>
      <c r="Q237" s="359"/>
      <c r="R237" s="367"/>
      <c r="S237" s="368"/>
      <c r="T237" s="369"/>
      <c r="U237" s="359"/>
      <c r="V237" s="367"/>
      <c r="W237" s="368"/>
      <c r="X237" s="369"/>
      <c r="Y237" s="359"/>
      <c r="Z237" s="367"/>
      <c r="AA237" s="368"/>
      <c r="AB237" s="369"/>
      <c r="AC237" s="359"/>
      <c r="AD237" s="359"/>
      <c r="AE237" s="40"/>
      <c r="AF237" s="359"/>
      <c r="AG237" s="297"/>
      <c r="AH237" s="297"/>
      <c r="AI237" s="363"/>
    </row>
    <row r="238" spans="1:35" ht="24.75" customHeight="1">
      <c r="A238" s="345"/>
      <c r="B238" s="4826">
        <v>3701</v>
      </c>
      <c r="C238" s="4592" t="s">
        <v>286</v>
      </c>
      <c r="D238" s="4593"/>
      <c r="E238" s="359"/>
      <c r="F238" s="367"/>
      <c r="G238" s="4592" t="s">
        <v>286</v>
      </c>
      <c r="H238" s="369"/>
      <c r="I238" s="359"/>
      <c r="J238" s="367"/>
      <c r="K238" s="4592" t="s">
        <v>286</v>
      </c>
      <c r="L238" s="369"/>
      <c r="M238" s="359"/>
      <c r="N238" s="367"/>
      <c r="O238" s="4592" t="s">
        <v>286</v>
      </c>
      <c r="P238" s="369"/>
      <c r="Q238" s="359"/>
      <c r="R238" s="367"/>
      <c r="S238" s="368" t="s">
        <v>287</v>
      </c>
      <c r="T238" s="369"/>
      <c r="U238" s="359"/>
      <c r="V238" s="367"/>
      <c r="W238" s="368"/>
      <c r="X238" s="369"/>
      <c r="Y238" s="359"/>
      <c r="Z238" s="367"/>
      <c r="AA238" s="368"/>
      <c r="AB238" s="369"/>
      <c r="AC238" s="359"/>
      <c r="AD238" s="359"/>
      <c r="AE238" s="40"/>
      <c r="AF238" s="359"/>
      <c r="AG238" s="297"/>
      <c r="AH238" s="297"/>
      <c r="AI238" s="363"/>
    </row>
    <row r="239" spans="1:35" ht="24.75" customHeight="1">
      <c r="B239" s="4826"/>
      <c r="C239" s="4592"/>
      <c r="D239" s="4593"/>
      <c r="E239" s="359"/>
      <c r="F239" s="367"/>
      <c r="G239" s="4592"/>
      <c r="H239" s="369"/>
      <c r="I239" s="359"/>
      <c r="J239" s="367"/>
      <c r="K239" s="4592"/>
      <c r="L239" s="369"/>
      <c r="M239" s="359"/>
      <c r="N239" s="367"/>
      <c r="O239" s="4592"/>
      <c r="P239" s="369"/>
      <c r="Q239" s="359"/>
      <c r="R239" s="367"/>
      <c r="S239" s="4592"/>
      <c r="T239" s="369"/>
      <c r="U239" s="359"/>
      <c r="V239" s="367"/>
      <c r="W239" s="368"/>
      <c r="X239" s="369"/>
      <c r="Y239" s="359"/>
      <c r="Z239" s="367"/>
      <c r="AA239" s="368"/>
      <c r="AB239" s="369"/>
      <c r="AC239" s="359"/>
      <c r="AD239" s="359"/>
      <c r="AE239" s="40"/>
      <c r="AF239" s="359"/>
      <c r="AG239" s="297"/>
      <c r="AH239" s="297"/>
      <c r="AI239" s="363"/>
    </row>
    <row r="240" spans="1:35" ht="24.75" customHeight="1">
      <c r="B240" s="4826">
        <v>3702</v>
      </c>
      <c r="C240" s="4592" t="s">
        <v>312</v>
      </c>
      <c r="D240" s="4593"/>
      <c r="E240" s="359"/>
      <c r="F240" s="367"/>
      <c r="G240" s="4592" t="s">
        <v>312</v>
      </c>
      <c r="H240" s="4593"/>
      <c r="I240" s="359"/>
      <c r="J240" s="367"/>
      <c r="K240" s="4592" t="s">
        <v>312</v>
      </c>
      <c r="L240" s="4593"/>
      <c r="M240" s="359"/>
      <c r="N240" s="367"/>
      <c r="O240" s="4592" t="s">
        <v>312</v>
      </c>
      <c r="P240" s="4593"/>
      <c r="Q240" s="359"/>
      <c r="R240" s="367"/>
      <c r="S240" s="4592" t="s">
        <v>313</v>
      </c>
      <c r="T240" s="4593"/>
      <c r="U240" s="359"/>
      <c r="V240" s="367"/>
      <c r="W240" s="368"/>
      <c r="X240" s="369"/>
      <c r="Y240" s="359"/>
      <c r="Z240" s="367"/>
      <c r="AA240" s="368"/>
      <c r="AB240" s="369"/>
      <c r="AC240" s="359"/>
      <c r="AD240" s="359"/>
      <c r="AE240" s="40"/>
      <c r="AF240" s="359"/>
      <c r="AG240" s="297"/>
      <c r="AH240" s="297"/>
      <c r="AI240" s="363"/>
    </row>
    <row r="241" spans="1:35" ht="24.75" customHeight="1">
      <c r="B241" s="4826"/>
      <c r="C241" s="4598"/>
      <c r="D241" s="4593"/>
      <c r="E241" s="359"/>
      <c r="F241" s="367"/>
      <c r="G241" s="369"/>
      <c r="H241" s="369"/>
      <c r="I241" s="359"/>
      <c r="J241" s="367"/>
      <c r="K241" s="369"/>
      <c r="L241" s="369"/>
      <c r="M241" s="359"/>
      <c r="N241" s="367"/>
      <c r="O241" s="369"/>
      <c r="P241" s="369"/>
      <c r="Q241" s="359"/>
      <c r="R241" s="367"/>
      <c r="S241" s="369"/>
      <c r="T241" s="369"/>
      <c r="U241" s="359"/>
      <c r="V241" s="367"/>
      <c r="W241" s="368"/>
      <c r="X241" s="369"/>
      <c r="Y241" s="359"/>
      <c r="Z241" s="367"/>
      <c r="AA241" s="368"/>
      <c r="AB241" s="369"/>
      <c r="AC241" s="359"/>
      <c r="AD241" s="359"/>
      <c r="AE241" s="40"/>
      <c r="AF241" s="359"/>
      <c r="AG241" s="297"/>
      <c r="AH241" s="297"/>
      <c r="AI241" s="363"/>
    </row>
    <row r="242" spans="1:35" ht="24.75" customHeight="1">
      <c r="B242" s="4826" t="s">
        <v>159</v>
      </c>
      <c r="C242" s="4598" t="s">
        <v>553</v>
      </c>
      <c r="D242" s="4593"/>
      <c r="E242" s="359"/>
      <c r="F242" s="367"/>
      <c r="G242" s="4598" t="s">
        <v>553</v>
      </c>
      <c r="H242" s="4593"/>
      <c r="I242" s="359"/>
      <c r="J242" s="367"/>
      <c r="K242" s="4598" t="s">
        <v>553</v>
      </c>
      <c r="L242" s="4593"/>
      <c r="M242" s="359"/>
      <c r="N242" s="367"/>
      <c r="O242" s="4598" t="s">
        <v>553</v>
      </c>
      <c r="P242" s="4593"/>
      <c r="Q242" s="359"/>
      <c r="R242" s="367"/>
      <c r="S242" s="369" t="s">
        <v>554</v>
      </c>
      <c r="T242" s="369"/>
      <c r="U242" s="359"/>
      <c r="V242" s="367"/>
      <c r="W242" s="368"/>
      <c r="X242" s="369"/>
      <c r="Y242" s="359"/>
      <c r="Z242" s="367"/>
      <c r="AA242" s="368"/>
      <c r="AB242" s="369"/>
      <c r="AC242" s="359"/>
      <c r="AD242" s="359"/>
      <c r="AE242" s="40"/>
      <c r="AF242" s="359"/>
      <c r="AG242" s="297"/>
      <c r="AH242" s="297"/>
      <c r="AI242" s="363"/>
    </row>
    <row r="243" spans="1:35" ht="24.75" customHeight="1">
      <c r="B243" s="4826" t="s">
        <v>163</v>
      </c>
      <c r="C243" s="4598" t="s">
        <v>555</v>
      </c>
      <c r="D243" s="4593"/>
      <c r="E243" s="359"/>
      <c r="F243" s="367"/>
      <c r="G243" s="4598" t="s">
        <v>555</v>
      </c>
      <c r="H243" s="4593"/>
      <c r="I243" s="359"/>
      <c r="J243" s="367"/>
      <c r="K243" s="4598" t="s">
        <v>555</v>
      </c>
      <c r="L243" s="4593"/>
      <c r="M243" s="359"/>
      <c r="N243" s="367"/>
      <c r="O243" s="4598" t="s">
        <v>555</v>
      </c>
      <c r="P243" s="4593"/>
      <c r="Q243" s="359"/>
      <c r="R243" s="367"/>
      <c r="S243" s="369" t="s">
        <v>556</v>
      </c>
      <c r="T243" s="369"/>
      <c r="U243" s="359"/>
      <c r="V243" s="367"/>
      <c r="W243" s="368"/>
      <c r="X243" s="369"/>
      <c r="Y243" s="359"/>
      <c r="Z243" s="367"/>
      <c r="AA243" s="368"/>
      <c r="AB243" s="369"/>
      <c r="AC243" s="359"/>
      <c r="AD243" s="359"/>
      <c r="AE243" s="40"/>
      <c r="AF243" s="359"/>
      <c r="AG243" s="297"/>
      <c r="AH243" s="297"/>
      <c r="AI243" s="363"/>
    </row>
    <row r="244" spans="1:35" ht="24.75" customHeight="1" thickBot="1">
      <c r="B244" s="4827" t="s">
        <v>171</v>
      </c>
      <c r="C244" s="4720" t="s">
        <v>557</v>
      </c>
      <c r="D244" s="4828"/>
      <c r="E244" s="4829"/>
      <c r="F244" s="4830"/>
      <c r="G244" s="4720" t="s">
        <v>557</v>
      </c>
      <c r="H244" s="4828"/>
      <c r="I244" s="4829"/>
      <c r="J244" s="4830"/>
      <c r="K244" s="4720" t="s">
        <v>557</v>
      </c>
      <c r="L244" s="4828"/>
      <c r="M244" s="4829"/>
      <c r="N244" s="4830"/>
      <c r="O244" s="4720" t="s">
        <v>557</v>
      </c>
      <c r="P244" s="4828"/>
      <c r="Q244" s="4829"/>
      <c r="R244" s="4830"/>
      <c r="S244" s="4831" t="s">
        <v>558</v>
      </c>
      <c r="T244" s="4831"/>
      <c r="U244" s="4829"/>
      <c r="V244" s="4830"/>
      <c r="W244" s="4832"/>
      <c r="X244" s="4831"/>
      <c r="Y244" s="4833"/>
      <c r="Z244" s="4834"/>
      <c r="AA244" s="4835"/>
      <c r="AB244" s="4831"/>
      <c r="AC244" s="4833"/>
      <c r="AD244" s="4833"/>
      <c r="AE244" s="4836"/>
      <c r="AF244" s="4833"/>
      <c r="AG244" s="4829"/>
      <c r="AH244" s="4829"/>
      <c r="AI244" s="4837"/>
    </row>
    <row r="245" spans="1:35" ht="24.75" customHeight="1">
      <c r="B245" s="195"/>
      <c r="C245" s="15"/>
      <c r="D245" s="370"/>
      <c r="G245" s="15"/>
      <c r="H245" s="370"/>
      <c r="K245" s="15"/>
      <c r="L245" s="370"/>
      <c r="O245" s="15"/>
      <c r="P245" s="370"/>
      <c r="S245" s="15"/>
      <c r="T245" s="15"/>
      <c r="X245" s="15"/>
      <c r="AB245" s="15"/>
      <c r="AE245" s="15"/>
    </row>
    <row r="246" spans="1:35" ht="24.75" customHeight="1">
      <c r="A246" s="374" t="s">
        <v>320</v>
      </c>
    </row>
    <row r="247" spans="1:35" ht="24.75" customHeight="1" thickBot="1">
      <c r="A247" s="4838"/>
      <c r="B247" s="3495" t="s">
        <v>29</v>
      </c>
      <c r="C247" s="4468">
        <v>1</v>
      </c>
      <c r="D247" s="4469">
        <v>2</v>
      </c>
      <c r="E247" s="4469">
        <v>3</v>
      </c>
      <c r="F247" s="4468">
        <v>4</v>
      </c>
      <c r="G247" s="4468">
        <v>5</v>
      </c>
      <c r="H247" s="4469">
        <v>6</v>
      </c>
      <c r="I247" s="4469">
        <v>7</v>
      </c>
      <c r="J247" s="4469">
        <v>8</v>
      </c>
      <c r="K247" s="4469">
        <v>9</v>
      </c>
      <c r="L247" s="4469">
        <v>10</v>
      </c>
      <c r="M247" s="4468">
        <v>11</v>
      </c>
      <c r="N247" s="4468">
        <v>12</v>
      </c>
      <c r="O247" s="4469">
        <v>13</v>
      </c>
      <c r="P247" s="4469">
        <v>14</v>
      </c>
      <c r="Q247" s="4469">
        <v>15</v>
      </c>
      <c r="R247" s="4469">
        <v>16</v>
      </c>
      <c r="S247" s="4469">
        <v>17</v>
      </c>
      <c r="T247" s="4468">
        <v>18</v>
      </c>
      <c r="U247" s="4468">
        <v>19</v>
      </c>
      <c r="V247" s="4469">
        <v>20</v>
      </c>
      <c r="W247" s="4469">
        <v>21</v>
      </c>
      <c r="X247" s="4469">
        <v>22</v>
      </c>
      <c r="Y247" s="4469">
        <v>23</v>
      </c>
      <c r="Z247" s="4469">
        <v>24</v>
      </c>
      <c r="AA247" s="4468">
        <v>25</v>
      </c>
      <c r="AB247" s="4468">
        <v>26</v>
      </c>
      <c r="AC247" s="4469">
        <v>27</v>
      </c>
      <c r="AD247" s="4469">
        <v>28</v>
      </c>
      <c r="AE247" s="4469">
        <v>29</v>
      </c>
      <c r="AF247" s="4469">
        <v>30</v>
      </c>
      <c r="AG247" s="4470">
        <v>31</v>
      </c>
      <c r="AH247" s="303"/>
      <c r="AI247" s="304"/>
    </row>
    <row r="248" spans="1:35" ht="24.75" customHeight="1">
      <c r="A248" s="4839">
        <v>3701</v>
      </c>
      <c r="B248" s="4492"/>
      <c r="C248" s="4564"/>
      <c r="D248" s="4564" t="s">
        <v>31</v>
      </c>
      <c r="E248" s="4564" t="s">
        <v>31</v>
      </c>
      <c r="F248" s="4564"/>
      <c r="G248" s="4815"/>
      <c r="H248" s="4564" t="s">
        <v>31</v>
      </c>
      <c r="I248" s="4564" t="s">
        <v>31</v>
      </c>
      <c r="J248" s="4564" t="s">
        <v>31</v>
      </c>
      <c r="K248" s="4649" t="s">
        <v>31</v>
      </c>
      <c r="L248" s="4649" t="s">
        <v>31</v>
      </c>
      <c r="M248" s="4649"/>
      <c r="N248" s="4649"/>
      <c r="O248" s="4649" t="s">
        <v>31</v>
      </c>
      <c r="P248" s="4649" t="s">
        <v>31</v>
      </c>
      <c r="Q248" s="4649" t="s">
        <v>31</v>
      </c>
      <c r="R248" s="4649" t="s">
        <v>31</v>
      </c>
      <c r="S248" s="4649" t="s">
        <v>31</v>
      </c>
      <c r="T248" s="4649"/>
      <c r="U248" s="4649"/>
      <c r="V248" s="4649" t="s">
        <v>31</v>
      </c>
      <c r="W248" s="4564" t="s">
        <v>31</v>
      </c>
      <c r="X248" s="4564" t="s">
        <v>31</v>
      </c>
      <c r="Y248" s="4564" t="s">
        <v>31</v>
      </c>
      <c r="Z248" s="4564" t="s">
        <v>31</v>
      </c>
      <c r="AA248" s="4564"/>
      <c r="AB248" s="4564"/>
      <c r="AC248" s="4565" t="s">
        <v>31</v>
      </c>
      <c r="AD248" s="4840" t="s">
        <v>31</v>
      </c>
      <c r="AE248" s="4840" t="s">
        <v>31</v>
      </c>
      <c r="AF248" s="4840" t="s">
        <v>31</v>
      </c>
      <c r="AG248" s="4841" t="s">
        <v>31</v>
      </c>
      <c r="AH248" s="313"/>
      <c r="AI248" s="305"/>
    </row>
    <row r="249" spans="1:35" ht="24.75" customHeight="1">
      <c r="A249" s="4839">
        <v>3702</v>
      </c>
      <c r="B249" s="4492" t="s">
        <v>321</v>
      </c>
      <c r="C249" s="4564"/>
      <c r="D249" s="4564" t="s">
        <v>31</v>
      </c>
      <c r="E249" s="4564" t="s">
        <v>31</v>
      </c>
      <c r="F249" s="4564"/>
      <c r="G249" s="4564"/>
      <c r="H249" s="4564" t="s">
        <v>31</v>
      </c>
      <c r="I249" s="4564" t="s">
        <v>31</v>
      </c>
      <c r="J249" s="4564" t="s">
        <v>31</v>
      </c>
      <c r="K249" s="4564" t="s">
        <v>31</v>
      </c>
      <c r="L249" s="4564" t="s">
        <v>31</v>
      </c>
      <c r="M249" s="4564"/>
      <c r="N249" s="4564"/>
      <c r="O249" s="4564" t="s">
        <v>31</v>
      </c>
      <c r="P249" s="4564" t="s">
        <v>31</v>
      </c>
      <c r="Q249" s="4564" t="s">
        <v>31</v>
      </c>
      <c r="R249" s="4564" t="s">
        <v>31</v>
      </c>
      <c r="S249" s="4564" t="s">
        <v>31</v>
      </c>
      <c r="T249" s="4564"/>
      <c r="U249" s="4564"/>
      <c r="V249" s="4564" t="s">
        <v>31</v>
      </c>
      <c r="W249" s="4564" t="s">
        <v>31</v>
      </c>
      <c r="X249" s="4564" t="s">
        <v>31</v>
      </c>
      <c r="Y249" s="4564" t="s">
        <v>31</v>
      </c>
      <c r="Z249" s="4564" t="s">
        <v>31</v>
      </c>
      <c r="AA249" s="4564"/>
      <c r="AB249" s="4564"/>
      <c r="AC249" s="4564" t="s">
        <v>31</v>
      </c>
      <c r="AD249" s="4564" t="s">
        <v>31</v>
      </c>
      <c r="AE249" s="4564" t="s">
        <v>31</v>
      </c>
      <c r="AF249" s="4564" t="s">
        <v>31</v>
      </c>
      <c r="AG249" s="4841" t="s">
        <v>31</v>
      </c>
      <c r="AH249" s="313"/>
      <c r="AI249" s="305"/>
    </row>
    <row r="250" spans="1:35" ht="24.75" customHeight="1">
      <c r="A250" s="4839"/>
      <c r="B250" s="4492"/>
      <c r="C250" s="4564"/>
      <c r="D250" s="4564"/>
      <c r="E250" s="4564"/>
      <c r="F250" s="4564"/>
      <c r="G250" s="4564"/>
      <c r="H250" s="4564"/>
      <c r="I250" s="4564"/>
      <c r="J250" s="4564"/>
      <c r="K250" s="4564"/>
      <c r="L250" s="4564"/>
      <c r="M250" s="4842"/>
      <c r="N250" s="4564"/>
      <c r="O250" s="4564"/>
      <c r="P250" s="4564"/>
      <c r="Q250" s="4564"/>
      <c r="R250" s="4564"/>
      <c r="S250" s="4564"/>
      <c r="T250" s="4564"/>
      <c r="U250" s="4564"/>
      <c r="V250" s="4564"/>
      <c r="W250" s="4564"/>
      <c r="X250" s="4564"/>
      <c r="Y250" s="4564"/>
      <c r="Z250" s="4564"/>
      <c r="AA250" s="4564"/>
      <c r="AB250" s="4564"/>
      <c r="AC250" s="4564"/>
      <c r="AD250" s="4564"/>
      <c r="AE250" s="4564"/>
      <c r="AF250" s="4564"/>
      <c r="AG250" s="4841"/>
      <c r="AH250" s="313"/>
      <c r="AI250" s="305"/>
    </row>
    <row r="251" spans="1:35" ht="24.75" customHeight="1">
      <c r="A251" s="4843"/>
      <c r="B251" s="375"/>
      <c r="C251" s="4565"/>
      <c r="D251" s="4565"/>
      <c r="E251" s="4565"/>
      <c r="F251" s="4565"/>
      <c r="G251" s="4565"/>
      <c r="H251" s="4565"/>
      <c r="I251" s="4565"/>
      <c r="J251" s="4565"/>
      <c r="K251" s="4565"/>
      <c r="L251" s="4565"/>
      <c r="M251" s="4565"/>
      <c r="N251" s="4565"/>
      <c r="O251" s="4565"/>
      <c r="P251" s="4565"/>
      <c r="Q251" s="4565"/>
      <c r="R251" s="4565"/>
      <c r="S251" s="4565"/>
      <c r="T251" s="4565"/>
      <c r="U251" s="4565"/>
      <c r="V251" s="4565"/>
      <c r="W251" s="4565"/>
      <c r="X251" s="4565"/>
      <c r="Y251" s="4565"/>
      <c r="Z251" s="4565"/>
      <c r="AA251" s="4565"/>
      <c r="AB251" s="4565"/>
      <c r="AC251" s="4565"/>
      <c r="AD251" s="4565"/>
      <c r="AE251" s="4565"/>
      <c r="AF251" s="4565"/>
      <c r="AG251" s="4844"/>
      <c r="AH251" s="313"/>
      <c r="AI251" s="305"/>
    </row>
    <row r="252" spans="1:35" ht="24.75" customHeight="1">
      <c r="A252" s="4845"/>
      <c r="B252" s="4498" t="s">
        <v>322</v>
      </c>
      <c r="C252" s="4846"/>
      <c r="D252" s="4846"/>
      <c r="E252" s="4846"/>
      <c r="F252" s="4846"/>
      <c r="G252" s="4846"/>
      <c r="H252" s="4846"/>
      <c r="I252" s="4846"/>
      <c r="J252" s="4846"/>
      <c r="K252" s="4846"/>
      <c r="L252" s="4846"/>
      <c r="M252" s="4846"/>
      <c r="N252" s="4846"/>
      <c r="O252" s="4846"/>
      <c r="P252" s="4846"/>
      <c r="Q252" s="4846"/>
      <c r="R252" s="4846"/>
      <c r="S252" s="4846"/>
      <c r="T252" s="4846"/>
      <c r="U252" s="4846"/>
      <c r="V252" s="4846"/>
      <c r="W252" s="4846"/>
      <c r="X252" s="4846"/>
      <c r="Y252" s="4846"/>
      <c r="Z252" s="4846"/>
      <c r="AA252" s="4846"/>
      <c r="AB252" s="4846"/>
      <c r="AC252" s="4846"/>
      <c r="AD252" s="4846"/>
      <c r="AE252" s="4846"/>
      <c r="AF252" s="4846"/>
      <c r="AG252" s="4847"/>
      <c r="AH252" s="376"/>
      <c r="AI252" s="306"/>
    </row>
    <row r="253" spans="1:35" ht="24.75" customHeight="1">
      <c r="A253" s="4839">
        <v>3702</v>
      </c>
      <c r="B253" s="4795" t="s">
        <v>323</v>
      </c>
      <c r="C253" s="4564"/>
      <c r="D253" s="4564" t="s">
        <v>152</v>
      </c>
      <c r="E253" s="4564" t="s">
        <v>152</v>
      </c>
      <c r="F253" s="4564"/>
      <c r="G253" s="4564"/>
      <c r="H253" s="4848" t="s">
        <v>152</v>
      </c>
      <c r="I253" s="4564" t="s">
        <v>152</v>
      </c>
      <c r="J253" s="4564" t="s">
        <v>152</v>
      </c>
      <c r="K253" s="4848" t="s">
        <v>152</v>
      </c>
      <c r="L253" s="4564" t="s">
        <v>152</v>
      </c>
      <c r="M253" s="4564"/>
      <c r="N253" s="4564"/>
      <c r="O253" s="4564" t="s">
        <v>152</v>
      </c>
      <c r="P253" s="4564" t="s">
        <v>152</v>
      </c>
      <c r="Q253" s="4564" t="s">
        <v>152</v>
      </c>
      <c r="R253" s="4564" t="s">
        <v>152</v>
      </c>
      <c r="S253" s="4564" t="s">
        <v>152</v>
      </c>
      <c r="T253" s="4564"/>
      <c r="U253" s="4815"/>
      <c r="V253" s="4564" t="s">
        <v>152</v>
      </c>
      <c r="W253" s="4564" t="s">
        <v>152</v>
      </c>
      <c r="X253" s="4564" t="s">
        <v>152</v>
      </c>
      <c r="Y253" s="4564" t="s">
        <v>152</v>
      </c>
      <c r="Z253" s="4564" t="s">
        <v>152</v>
      </c>
      <c r="AA253" s="4564"/>
      <c r="AB253" s="4564"/>
      <c r="AC253" s="4564" t="s">
        <v>152</v>
      </c>
      <c r="AD253" s="4564" t="s">
        <v>152</v>
      </c>
      <c r="AE253" s="4564" t="s">
        <v>152</v>
      </c>
      <c r="AF253" s="4564" t="s">
        <v>152</v>
      </c>
      <c r="AG253" s="4841" t="s">
        <v>152</v>
      </c>
      <c r="AH253" s="313"/>
      <c r="AI253" s="305"/>
    </row>
    <row r="254" spans="1:35" ht="24.75" customHeight="1">
      <c r="A254" s="4839"/>
      <c r="B254" s="4791" t="s">
        <v>325</v>
      </c>
      <c r="C254" s="4564"/>
      <c r="D254" s="4564" t="s">
        <v>326</v>
      </c>
      <c r="E254" s="4564" t="s">
        <v>326</v>
      </c>
      <c r="F254" s="4564"/>
      <c r="G254" s="4556"/>
      <c r="H254" s="4556" t="s">
        <v>326</v>
      </c>
      <c r="I254" s="4564" t="s">
        <v>326</v>
      </c>
      <c r="J254" s="4564" t="s">
        <v>326</v>
      </c>
      <c r="K254" s="4564" t="s">
        <v>326</v>
      </c>
      <c r="L254" s="4564" t="s">
        <v>326</v>
      </c>
      <c r="M254" s="4564"/>
      <c r="N254" s="4564"/>
      <c r="O254" s="4564" t="s">
        <v>326</v>
      </c>
      <c r="P254" s="4564" t="s">
        <v>326</v>
      </c>
      <c r="Q254" s="4564" t="s">
        <v>326</v>
      </c>
      <c r="R254" s="4849" t="s">
        <v>326</v>
      </c>
      <c r="S254" s="4849" t="s">
        <v>326</v>
      </c>
      <c r="T254" s="4849"/>
      <c r="U254" s="4849"/>
      <c r="V254" s="4616" t="s">
        <v>326</v>
      </c>
      <c r="W254" s="4815" t="s">
        <v>326</v>
      </c>
      <c r="X254" s="4564" t="s">
        <v>326</v>
      </c>
      <c r="Y254" s="4564" t="s">
        <v>326</v>
      </c>
      <c r="Z254" s="4564" t="s">
        <v>326</v>
      </c>
      <c r="AA254" s="4564"/>
      <c r="AB254" s="4564"/>
      <c r="AC254" s="4564" t="s">
        <v>326</v>
      </c>
      <c r="AD254" s="4564" t="s">
        <v>326</v>
      </c>
      <c r="AE254" s="4564" t="s">
        <v>326</v>
      </c>
      <c r="AF254" s="4564" t="s">
        <v>326</v>
      </c>
      <c r="AG254" s="4841" t="s">
        <v>326</v>
      </c>
      <c r="AH254" s="313"/>
      <c r="AI254" s="305"/>
    </row>
    <row r="255" spans="1:35" ht="24.75" customHeight="1" thickBot="1">
      <c r="A255" s="4850"/>
      <c r="B255" s="4800" t="s">
        <v>327</v>
      </c>
      <c r="C255" s="4560"/>
      <c r="D255" s="4686" t="s">
        <v>328</v>
      </c>
      <c r="E255" s="4686" t="s">
        <v>328</v>
      </c>
      <c r="F255" s="4560"/>
      <c r="G255" s="4560"/>
      <c r="H255" s="4851" t="s">
        <v>328</v>
      </c>
      <c r="I255" s="4560" t="s">
        <v>328</v>
      </c>
      <c r="J255" s="4560" t="s">
        <v>328</v>
      </c>
      <c r="K255" s="4560" t="s">
        <v>328</v>
      </c>
      <c r="L255" s="4852" t="s">
        <v>328</v>
      </c>
      <c r="M255" s="4852"/>
      <c r="N255" s="4852"/>
      <c r="O255" s="4852" t="s">
        <v>328</v>
      </c>
      <c r="P255" s="4852" t="s">
        <v>411</v>
      </c>
      <c r="Q255" s="4853" t="s">
        <v>328</v>
      </c>
      <c r="R255" s="4560" t="s">
        <v>328</v>
      </c>
      <c r="S255" s="4560" t="s">
        <v>328</v>
      </c>
      <c r="T255" s="4560"/>
      <c r="U255" s="4560"/>
      <c r="V255" s="4560" t="s">
        <v>328</v>
      </c>
      <c r="W255" s="4560" t="s">
        <v>328</v>
      </c>
      <c r="X255" s="4560" t="s">
        <v>328</v>
      </c>
      <c r="Y255" s="4560" t="s">
        <v>328</v>
      </c>
      <c r="Z255" s="4560" t="s">
        <v>328</v>
      </c>
      <c r="AA255" s="4560"/>
      <c r="AB255" s="4560"/>
      <c r="AC255" s="4686" t="s">
        <v>328</v>
      </c>
      <c r="AD255" s="4854" t="s">
        <v>328</v>
      </c>
      <c r="AE255" s="4560" t="s">
        <v>328</v>
      </c>
      <c r="AF255" s="3670" t="s">
        <v>411</v>
      </c>
      <c r="AG255" s="4855" t="s">
        <v>328</v>
      </c>
      <c r="AH255" s="313"/>
      <c r="AI255" s="305"/>
    </row>
    <row r="256" spans="1:35" ht="24.75" customHeight="1"/>
    <row r="257" spans="1:35" ht="24.75" customHeight="1"/>
    <row r="258" spans="1:35" ht="24.75" customHeight="1" thickBot="1">
      <c r="A258" s="299" t="s">
        <v>329</v>
      </c>
    </row>
    <row r="259" spans="1:35" ht="24.75" customHeight="1">
      <c r="B259" s="4825" t="s">
        <v>281</v>
      </c>
      <c r="C259" s="4693"/>
      <c r="D259" s="4702" t="s">
        <v>87</v>
      </c>
      <c r="E259" s="4530"/>
      <c r="F259" s="4695"/>
      <c r="G259" s="4693"/>
      <c r="H259" s="4702" t="s">
        <v>88</v>
      </c>
      <c r="I259" s="4530"/>
      <c r="J259" s="4695"/>
      <c r="K259" s="4693"/>
      <c r="L259" s="4702" t="s">
        <v>89</v>
      </c>
      <c r="M259" s="4530"/>
      <c r="N259" s="4695"/>
      <c r="O259" s="4693"/>
      <c r="P259" s="4702" t="s">
        <v>90</v>
      </c>
      <c r="Q259" s="4530"/>
      <c r="R259" s="4695"/>
      <c r="S259" s="4693"/>
      <c r="T259" s="4702" t="s">
        <v>91</v>
      </c>
      <c r="U259" s="4530"/>
      <c r="V259" s="4695"/>
      <c r="W259" s="4693"/>
      <c r="X259" s="4702" t="s">
        <v>92</v>
      </c>
      <c r="Y259" s="4530"/>
      <c r="Z259" s="4695"/>
      <c r="AA259" s="4693"/>
      <c r="AB259" s="4702" t="s">
        <v>93</v>
      </c>
      <c r="AC259" s="4530"/>
      <c r="AD259" s="4530"/>
      <c r="AE259" s="4705" t="s">
        <v>94</v>
      </c>
      <c r="AF259" s="4530"/>
      <c r="AG259" s="4530"/>
      <c r="AH259" s="4530"/>
      <c r="AI259" s="4531"/>
    </row>
    <row r="260" spans="1:35" ht="24.75" customHeight="1">
      <c r="B260" s="373">
        <v>8500</v>
      </c>
      <c r="C260" s="4592" t="s">
        <v>330</v>
      </c>
      <c r="D260" s="369"/>
      <c r="E260" s="297"/>
      <c r="F260" s="377"/>
      <c r="G260" s="4592" t="s">
        <v>330</v>
      </c>
      <c r="H260" s="369"/>
      <c r="I260" s="297"/>
      <c r="J260" s="377"/>
      <c r="K260" s="4592" t="s">
        <v>330</v>
      </c>
      <c r="L260" s="369"/>
      <c r="M260" s="297"/>
      <c r="N260" s="377"/>
      <c r="O260" s="4592" t="s">
        <v>330</v>
      </c>
      <c r="P260" s="369"/>
      <c r="Q260" s="297"/>
      <c r="R260" s="377"/>
      <c r="S260" s="4592" t="s">
        <v>331</v>
      </c>
      <c r="T260" s="369"/>
      <c r="U260" s="297"/>
      <c r="V260" s="377"/>
      <c r="W260" s="378"/>
      <c r="X260" s="369"/>
      <c r="Y260" s="297"/>
      <c r="Z260" s="377"/>
      <c r="AA260" s="378"/>
      <c r="AB260" s="369"/>
      <c r="AC260" s="297"/>
      <c r="AD260" s="297"/>
      <c r="AE260" s="40"/>
      <c r="AF260" s="297"/>
      <c r="AG260" s="297"/>
      <c r="AH260" s="297"/>
      <c r="AI260" s="363"/>
    </row>
    <row r="261" spans="1:35" ht="24.75" customHeight="1" thickBot="1">
      <c r="A261" s="345"/>
      <c r="B261" s="4856"/>
      <c r="C261" s="4857"/>
      <c r="D261" s="4858"/>
      <c r="E261" s="4829"/>
      <c r="F261" s="4830"/>
      <c r="G261" s="4857"/>
      <c r="H261" s="4831"/>
      <c r="I261" s="4829"/>
      <c r="J261" s="4830"/>
      <c r="K261" s="4857"/>
      <c r="L261" s="4831"/>
      <c r="M261" s="4829"/>
      <c r="N261" s="4830"/>
      <c r="O261" s="4857"/>
      <c r="P261" s="4831"/>
      <c r="Q261" s="4829"/>
      <c r="R261" s="4830"/>
      <c r="S261" s="4857"/>
      <c r="T261" s="4831"/>
      <c r="U261" s="4829"/>
      <c r="V261" s="4830"/>
      <c r="W261" s="4832"/>
      <c r="X261" s="4831"/>
      <c r="Y261" s="4829"/>
      <c r="Z261" s="4830"/>
      <c r="AA261" s="4832"/>
      <c r="AB261" s="4831"/>
      <c r="AC261" s="4829"/>
      <c r="AD261" s="4829"/>
      <c r="AE261" s="4836"/>
      <c r="AF261" s="4829"/>
      <c r="AG261" s="4829"/>
      <c r="AH261" s="4829"/>
      <c r="AI261" s="4837"/>
    </row>
    <row r="262" spans="1:35" ht="24.75" customHeight="1">
      <c r="A262" s="379" t="s">
        <v>332</v>
      </c>
    </row>
    <row r="263" spans="1:35" ht="24.75" customHeight="1" thickBot="1">
      <c r="A263" s="4859"/>
      <c r="B263" s="3495" t="s">
        <v>29</v>
      </c>
      <c r="C263" s="4468">
        <v>1</v>
      </c>
      <c r="D263" s="4469">
        <v>2</v>
      </c>
      <c r="E263" s="4469">
        <v>3</v>
      </c>
      <c r="F263" s="4468">
        <v>4</v>
      </c>
      <c r="G263" s="4468">
        <v>5</v>
      </c>
      <c r="H263" s="4469">
        <v>6</v>
      </c>
      <c r="I263" s="4469">
        <v>7</v>
      </c>
      <c r="J263" s="4469">
        <v>8</v>
      </c>
      <c r="K263" s="4469">
        <v>9</v>
      </c>
      <c r="L263" s="4469">
        <v>10</v>
      </c>
      <c r="M263" s="4468">
        <v>11</v>
      </c>
      <c r="N263" s="4468">
        <v>12</v>
      </c>
      <c r="O263" s="4469">
        <v>13</v>
      </c>
      <c r="P263" s="4469">
        <v>14</v>
      </c>
      <c r="Q263" s="4469">
        <v>15</v>
      </c>
      <c r="R263" s="4469">
        <v>16</v>
      </c>
      <c r="S263" s="4469">
        <v>17</v>
      </c>
      <c r="T263" s="4468">
        <v>18</v>
      </c>
      <c r="U263" s="4468">
        <v>19</v>
      </c>
      <c r="V263" s="4469">
        <v>20</v>
      </c>
      <c r="W263" s="4469">
        <v>21</v>
      </c>
      <c r="X263" s="4469">
        <v>22</v>
      </c>
      <c r="Y263" s="4469">
        <v>23</v>
      </c>
      <c r="Z263" s="4469">
        <v>24</v>
      </c>
      <c r="AA263" s="4468">
        <v>25</v>
      </c>
      <c r="AB263" s="4468">
        <v>26</v>
      </c>
      <c r="AC263" s="4469">
        <v>27</v>
      </c>
      <c r="AD263" s="4469">
        <v>28</v>
      </c>
      <c r="AE263" s="4469">
        <v>29</v>
      </c>
      <c r="AF263" s="4469">
        <v>30</v>
      </c>
      <c r="AG263" s="4470">
        <v>31</v>
      </c>
      <c r="AH263" s="303"/>
      <c r="AI263" s="304"/>
    </row>
    <row r="264" spans="1:35" ht="24.75" customHeight="1">
      <c r="A264" s="378">
        <v>8500</v>
      </c>
      <c r="B264" s="380" t="s">
        <v>333</v>
      </c>
      <c r="C264" s="4502"/>
      <c r="D264" s="4860" t="s">
        <v>31</v>
      </c>
      <c r="E264" s="4861" t="s">
        <v>31</v>
      </c>
      <c r="F264" s="4861"/>
      <c r="G264" s="4861"/>
      <c r="H264" s="4861" t="s">
        <v>31</v>
      </c>
      <c r="I264" s="4861" t="s">
        <v>31</v>
      </c>
      <c r="J264" s="4861" t="s">
        <v>31</v>
      </c>
      <c r="K264" s="4861" t="s">
        <v>31</v>
      </c>
      <c r="L264" s="4861" t="s">
        <v>31</v>
      </c>
      <c r="M264" s="4502"/>
      <c r="N264" s="4502"/>
      <c r="O264" s="4862" t="s">
        <v>304</v>
      </c>
      <c r="P264" s="4863" t="s">
        <v>31</v>
      </c>
      <c r="Q264" s="4863" t="s">
        <v>31</v>
      </c>
      <c r="R264" s="4863" t="s">
        <v>31</v>
      </c>
      <c r="S264" s="4863" t="s">
        <v>31</v>
      </c>
      <c r="T264" s="4502"/>
      <c r="U264" s="4502"/>
      <c r="V264" s="4502" t="s">
        <v>31</v>
      </c>
      <c r="W264" s="4502" t="s">
        <v>31</v>
      </c>
      <c r="X264" s="4502" t="s">
        <v>31</v>
      </c>
      <c r="Y264" s="4502" t="s">
        <v>31</v>
      </c>
      <c r="Z264" s="4502" t="s">
        <v>31</v>
      </c>
      <c r="AA264" s="4502"/>
      <c r="AB264" s="4502"/>
      <c r="AC264" s="4502" t="s">
        <v>31</v>
      </c>
      <c r="AD264" s="4862" t="s">
        <v>31</v>
      </c>
      <c r="AE264" s="4862" t="s">
        <v>31</v>
      </c>
      <c r="AF264" s="4862" t="s">
        <v>304</v>
      </c>
      <c r="AG264" s="3426" t="s">
        <v>31</v>
      </c>
      <c r="AH264" s="381"/>
      <c r="AI264" s="382"/>
    </row>
    <row r="265" spans="1:35" ht="24.75" customHeight="1">
      <c r="A265" s="4594"/>
      <c r="B265" s="4864" t="s">
        <v>334</v>
      </c>
      <c r="C265" s="4517"/>
      <c r="D265" s="4517" t="s">
        <v>31</v>
      </c>
      <c r="E265" s="4517" t="s">
        <v>31</v>
      </c>
      <c r="F265" s="4517"/>
      <c r="G265" s="4517"/>
      <c r="H265" s="4517" t="s">
        <v>31</v>
      </c>
      <c r="I265" s="4517" t="s">
        <v>31</v>
      </c>
      <c r="J265" s="4517" t="s">
        <v>31</v>
      </c>
      <c r="K265" s="4517" t="s">
        <v>31</v>
      </c>
      <c r="L265" s="4517" t="s">
        <v>31</v>
      </c>
      <c r="M265" s="4517"/>
      <c r="N265" s="4517"/>
      <c r="O265" s="4517" t="s">
        <v>31</v>
      </c>
      <c r="P265" s="4517" t="s">
        <v>31</v>
      </c>
      <c r="Q265" s="4517" t="s">
        <v>31</v>
      </c>
      <c r="R265" s="4517" t="s">
        <v>31</v>
      </c>
      <c r="S265" s="4517" t="s">
        <v>31</v>
      </c>
      <c r="T265" s="4517"/>
      <c r="U265" s="4517"/>
      <c r="V265" s="4517" t="s">
        <v>31</v>
      </c>
      <c r="W265" s="4517" t="s">
        <v>31</v>
      </c>
      <c r="X265" s="4517" t="s">
        <v>31</v>
      </c>
      <c r="Y265" s="4517" t="s">
        <v>31</v>
      </c>
      <c r="Z265" s="4517" t="s">
        <v>31</v>
      </c>
      <c r="AA265" s="4517"/>
      <c r="AB265" s="4517"/>
      <c r="AC265" s="4517" t="s">
        <v>31</v>
      </c>
      <c r="AD265" s="4517" t="s">
        <v>31</v>
      </c>
      <c r="AE265" s="4517" t="s">
        <v>31</v>
      </c>
      <c r="AF265" s="4517" t="s">
        <v>31</v>
      </c>
      <c r="AG265" s="4517" t="s">
        <v>31</v>
      </c>
      <c r="AH265" s="381"/>
      <c r="AI265" s="382"/>
    </row>
    <row r="266" spans="1:35" ht="24.75" customHeight="1">
      <c r="A266" s="4865"/>
      <c r="B266" s="4864" t="s">
        <v>335</v>
      </c>
      <c r="C266" s="4778"/>
      <c r="D266" s="4778" t="s">
        <v>31</v>
      </c>
      <c r="E266" s="4778" t="s">
        <v>31</v>
      </c>
      <c r="F266" s="4778"/>
      <c r="G266" s="4778"/>
      <c r="H266" s="4778" t="s">
        <v>31</v>
      </c>
      <c r="I266" s="4778" t="s">
        <v>31</v>
      </c>
      <c r="J266" s="4778" t="s">
        <v>31</v>
      </c>
      <c r="K266" s="4778" t="s">
        <v>31</v>
      </c>
      <c r="L266" s="4778" t="s">
        <v>31</v>
      </c>
      <c r="M266" s="4778"/>
      <c r="N266" s="4778"/>
      <c r="O266" s="4778" t="s">
        <v>31</v>
      </c>
      <c r="P266" s="4778" t="s">
        <v>31</v>
      </c>
      <c r="Q266" s="4778" t="s">
        <v>31</v>
      </c>
      <c r="R266" s="4778" t="s">
        <v>31</v>
      </c>
      <c r="S266" s="4778" t="s">
        <v>31</v>
      </c>
      <c r="T266" s="4778"/>
      <c r="U266" s="4778"/>
      <c r="V266" s="4778" t="s">
        <v>31</v>
      </c>
      <c r="W266" s="4778" t="s">
        <v>31</v>
      </c>
      <c r="X266" s="4778" t="s">
        <v>31</v>
      </c>
      <c r="Y266" s="4778" t="s">
        <v>31</v>
      </c>
      <c r="Z266" s="4778" t="s">
        <v>31</v>
      </c>
      <c r="AA266" s="4778"/>
      <c r="AB266" s="4778"/>
      <c r="AC266" s="4778" t="s">
        <v>31</v>
      </c>
      <c r="AD266" s="4778" t="s">
        <v>31</v>
      </c>
      <c r="AE266" s="4778" t="s">
        <v>31</v>
      </c>
      <c r="AF266" s="4778" t="s">
        <v>31</v>
      </c>
      <c r="AG266" s="4778" t="s">
        <v>304</v>
      </c>
      <c r="AH266" s="381"/>
      <c r="AI266" s="382"/>
    </row>
    <row r="267" spans="1:35" ht="24.75" customHeight="1">
      <c r="A267" s="309"/>
      <c r="B267" s="4866"/>
      <c r="C267" s="4517"/>
      <c r="D267" s="4517"/>
      <c r="E267" s="4517"/>
      <c r="F267" s="4517"/>
      <c r="G267" s="4517"/>
      <c r="H267" s="4517"/>
      <c r="I267" s="4517"/>
      <c r="J267" s="4517"/>
      <c r="K267" s="4517"/>
      <c r="L267" s="4517"/>
      <c r="M267" s="4517"/>
      <c r="N267" s="4517"/>
      <c r="O267" s="4517"/>
      <c r="P267" s="4517"/>
      <c r="Q267" s="4517"/>
      <c r="R267" s="4517"/>
      <c r="S267" s="4517"/>
      <c r="T267" s="4517"/>
      <c r="U267" s="4517"/>
      <c r="V267" s="4517"/>
      <c r="W267" s="4517"/>
      <c r="X267" s="4517"/>
      <c r="Y267" s="4517"/>
      <c r="Z267" s="4517"/>
      <c r="AA267" s="4517"/>
      <c r="AB267" s="4517"/>
      <c r="AC267" s="4517"/>
      <c r="AD267" s="4517"/>
      <c r="AE267" s="4517"/>
      <c r="AF267" s="4517"/>
      <c r="AG267" s="4647"/>
      <c r="AH267" s="381"/>
      <c r="AI267" s="382"/>
    </row>
    <row r="268" spans="1:35" ht="24.75" customHeight="1">
      <c r="A268" s="4765"/>
      <c r="B268" s="4866"/>
      <c r="C268" s="4564"/>
      <c r="D268" s="4564"/>
      <c r="E268" s="4564"/>
      <c r="F268" s="4564"/>
      <c r="G268" s="4564"/>
      <c r="H268" s="4564"/>
      <c r="I268" s="4564"/>
      <c r="J268" s="4564"/>
      <c r="K268" s="4564"/>
      <c r="L268" s="4564"/>
      <c r="M268" s="4564"/>
      <c r="N268" s="4565"/>
      <c r="O268" s="4565"/>
      <c r="P268" s="4564"/>
      <c r="Q268" s="4564"/>
      <c r="R268" s="4564"/>
      <c r="S268" s="4564"/>
      <c r="T268" s="4564"/>
      <c r="U268" s="4564"/>
      <c r="V268" s="4564"/>
      <c r="W268" s="4564"/>
      <c r="X268" s="4564"/>
      <c r="Y268" s="4564"/>
      <c r="Z268" s="4564"/>
      <c r="AA268" s="4564"/>
      <c r="AB268" s="4565"/>
      <c r="AC268" s="4565"/>
      <c r="AD268" s="4564"/>
      <c r="AE268" s="4564"/>
      <c r="AF268" s="4564"/>
      <c r="AG268" s="4564"/>
      <c r="AH268" s="383"/>
      <c r="AI268" s="384"/>
    </row>
    <row r="269" spans="1:35" ht="24.75" customHeight="1">
      <c r="A269" s="4867"/>
      <c r="B269" s="4868"/>
      <c r="C269" s="4564"/>
      <c r="D269" s="4564"/>
      <c r="E269" s="4564"/>
      <c r="F269" s="4564"/>
      <c r="G269" s="4564"/>
      <c r="H269" s="4564"/>
      <c r="I269" s="4564"/>
      <c r="J269" s="4564"/>
      <c r="K269" s="4564"/>
      <c r="L269" s="4564"/>
      <c r="M269" s="4564"/>
      <c r="N269" s="4565"/>
      <c r="O269" s="4565"/>
      <c r="P269" s="4564"/>
      <c r="Q269" s="4564"/>
      <c r="R269" s="4564"/>
      <c r="S269" s="4564"/>
      <c r="T269" s="4564"/>
      <c r="U269" s="4564"/>
      <c r="V269" s="4564"/>
      <c r="W269" s="4564"/>
      <c r="X269" s="4564"/>
      <c r="Y269" s="4564"/>
      <c r="Z269" s="4564"/>
      <c r="AA269" s="4564"/>
      <c r="AB269" s="4565"/>
      <c r="AC269" s="4565"/>
      <c r="AD269" s="4564"/>
      <c r="AE269" s="4564"/>
      <c r="AF269" s="4564"/>
      <c r="AG269" s="4564"/>
      <c r="AH269" s="383"/>
      <c r="AI269" s="384"/>
    </row>
    <row r="270" spans="1:35" ht="24.75" customHeight="1" thickBot="1">
      <c r="A270" s="446"/>
      <c r="B270" s="463"/>
      <c r="C270" s="4869"/>
      <c r="D270" s="4870"/>
      <c r="E270" s="4870"/>
      <c r="F270" s="4870"/>
      <c r="G270" s="4870"/>
      <c r="H270" s="4870"/>
      <c r="I270" s="4870"/>
      <c r="J270" s="4870"/>
      <c r="K270" s="4870"/>
      <c r="L270" s="4870"/>
      <c r="M270" s="4870"/>
      <c r="N270" s="4871"/>
      <c r="O270" s="4871"/>
      <c r="P270" s="4870"/>
      <c r="Q270" s="4870"/>
      <c r="R270" s="4870"/>
      <c r="S270" s="4870"/>
      <c r="T270" s="4870"/>
      <c r="U270" s="4870"/>
      <c r="V270" s="4870"/>
      <c r="W270" s="4870"/>
      <c r="X270" s="4870"/>
      <c r="Y270" s="4870"/>
      <c r="Z270" s="4870"/>
      <c r="AA270" s="4870"/>
      <c r="AB270" s="4871"/>
      <c r="AC270" s="4871"/>
      <c r="AD270" s="4870"/>
      <c r="AE270" s="4870"/>
      <c r="AF270" s="4870"/>
      <c r="AG270" s="4872"/>
      <c r="AH270" s="383"/>
      <c r="AI270" s="384"/>
    </row>
    <row r="271" spans="1:35" ht="24.75" customHeight="1"/>
    <row r="272" spans="1:35" ht="24.75" customHeight="1" thickBot="1">
      <c r="A272" s="299" t="s">
        <v>337</v>
      </c>
    </row>
    <row r="273" spans="1:35" ht="24.75" customHeight="1">
      <c r="A273" s="16"/>
      <c r="B273" s="4825" t="s">
        <v>281</v>
      </c>
      <c r="C273" s="4693"/>
      <c r="D273" s="4702" t="s">
        <v>87</v>
      </c>
      <c r="E273" s="4530"/>
      <c r="F273" s="4695"/>
      <c r="G273" s="4693"/>
      <c r="H273" s="4702" t="s">
        <v>88</v>
      </c>
      <c r="I273" s="4530"/>
      <c r="J273" s="4695"/>
      <c r="K273" s="4693"/>
      <c r="L273" s="4702" t="s">
        <v>89</v>
      </c>
      <c r="M273" s="4530"/>
      <c r="N273" s="4695"/>
      <c r="O273" s="4693"/>
      <c r="P273" s="4702" t="s">
        <v>90</v>
      </c>
      <c r="Q273" s="4530"/>
      <c r="R273" s="4695"/>
      <c r="S273" s="4693"/>
      <c r="T273" s="4702" t="s">
        <v>91</v>
      </c>
      <c r="U273" s="4530"/>
      <c r="V273" s="4695"/>
      <c r="W273" s="4693"/>
      <c r="X273" s="4702" t="s">
        <v>92</v>
      </c>
      <c r="Y273" s="4530"/>
      <c r="Z273" s="4695"/>
      <c r="AA273" s="4693"/>
      <c r="AB273" s="4702" t="s">
        <v>93</v>
      </c>
      <c r="AC273" s="4530"/>
      <c r="AD273" s="4530"/>
      <c r="AE273" s="4705" t="s">
        <v>94</v>
      </c>
      <c r="AF273" s="4530"/>
      <c r="AG273" s="4530"/>
      <c r="AH273" s="4530"/>
      <c r="AI273" s="4531"/>
    </row>
    <row r="274" spans="1:35" ht="24.75" customHeight="1">
      <c r="A274" s="16"/>
      <c r="B274" s="373"/>
      <c r="C274" s="378"/>
      <c r="D274" s="369"/>
      <c r="E274" s="297"/>
      <c r="F274" s="377"/>
      <c r="G274" s="378"/>
      <c r="H274" s="369"/>
      <c r="I274" s="297"/>
      <c r="J274" s="377"/>
      <c r="K274" s="378"/>
      <c r="L274" s="369"/>
      <c r="M274" s="297"/>
      <c r="N274" s="377"/>
      <c r="O274" s="378"/>
      <c r="P274" s="369"/>
      <c r="Q274" s="297"/>
      <c r="R274" s="377"/>
      <c r="S274" s="378"/>
      <c r="T274" s="369"/>
      <c r="U274" s="297"/>
      <c r="V274" s="377"/>
      <c r="W274" s="378"/>
      <c r="X274" s="369"/>
      <c r="Y274" s="297"/>
      <c r="Z274" s="377"/>
      <c r="AA274" s="378"/>
      <c r="AB274" s="369"/>
      <c r="AC274" s="297"/>
      <c r="AD274" s="297"/>
      <c r="AE274" s="40"/>
      <c r="AF274" s="297"/>
      <c r="AG274" s="297"/>
      <c r="AH274" s="297"/>
      <c r="AI274" s="363"/>
    </row>
    <row r="275" spans="1:35" ht="24.75" customHeight="1">
      <c r="A275" s="345"/>
      <c r="B275" s="4826"/>
      <c r="C275" s="4592"/>
      <c r="D275" s="4450"/>
      <c r="E275" s="4450"/>
      <c r="F275" s="4709"/>
      <c r="G275" s="4592"/>
      <c r="H275" s="4450"/>
      <c r="I275" s="4450"/>
      <c r="J275" s="4709"/>
      <c r="K275" s="4592"/>
      <c r="L275" s="4450"/>
      <c r="M275" s="4450"/>
      <c r="N275" s="4709"/>
      <c r="O275" s="4592"/>
      <c r="P275" s="4450"/>
      <c r="Q275" s="4450"/>
      <c r="R275" s="4709"/>
      <c r="S275" s="4592"/>
      <c r="T275" s="4450"/>
      <c r="U275" s="4450"/>
      <c r="V275" s="4709"/>
      <c r="W275" s="4592"/>
      <c r="X275" s="4450"/>
      <c r="Y275" s="4450"/>
      <c r="Z275" s="4709"/>
      <c r="AA275" s="4598"/>
      <c r="AB275" s="4450"/>
      <c r="AC275" s="4450"/>
      <c r="AD275" s="4593"/>
      <c r="AE275" s="4873"/>
      <c r="AF275" s="4450"/>
      <c r="AG275" s="4450"/>
      <c r="AH275" s="4593"/>
      <c r="AI275" s="4459"/>
    </row>
    <row r="276" spans="1:35" ht="24.75" customHeight="1" thickBot="1">
      <c r="A276" s="16"/>
      <c r="B276" s="4719"/>
      <c r="C276" s="4720"/>
      <c r="D276" s="4541"/>
      <c r="E276" s="4541"/>
      <c r="F276" s="4741"/>
      <c r="G276" s="4720"/>
      <c r="H276" s="4541"/>
      <c r="I276" s="4541"/>
      <c r="J276" s="4741"/>
      <c r="K276" s="4720"/>
      <c r="L276" s="4541"/>
      <c r="M276" s="4541"/>
      <c r="N276" s="4741"/>
      <c r="O276" s="4720"/>
      <c r="P276" s="4541"/>
      <c r="Q276" s="4541"/>
      <c r="R276" s="4741"/>
      <c r="S276" s="4720"/>
      <c r="T276" s="4541"/>
      <c r="U276" s="4541"/>
      <c r="V276" s="4741"/>
      <c r="W276" s="4739"/>
      <c r="X276" s="4541"/>
      <c r="Y276" s="4541"/>
      <c r="Z276" s="4741"/>
      <c r="AA276" s="4739"/>
      <c r="AB276" s="4541"/>
      <c r="AC276" s="4541"/>
      <c r="AD276" s="4722"/>
      <c r="AE276" s="4739"/>
      <c r="AF276" s="4541"/>
      <c r="AG276" s="4541"/>
      <c r="AH276" s="4722"/>
      <c r="AI276" s="4548"/>
    </row>
    <row r="277" spans="1:35" ht="24.75" customHeight="1">
      <c r="A277" s="16"/>
      <c r="B277" s="370"/>
      <c r="C277" s="15"/>
      <c r="F277" s="302"/>
      <c r="G277" s="15"/>
      <c r="J277" s="302"/>
      <c r="K277" s="15"/>
      <c r="N277" s="302"/>
      <c r="O277" s="15"/>
      <c r="R277" s="302"/>
      <c r="S277" s="15"/>
      <c r="V277" s="302"/>
      <c r="W277" s="302"/>
      <c r="Z277" s="302"/>
      <c r="AA277" s="302"/>
      <c r="AD277" s="302"/>
      <c r="AE277" s="302"/>
      <c r="AH277" s="302"/>
    </row>
    <row r="278" spans="1:35" ht="24.75" customHeight="1">
      <c r="A278" s="299" t="s">
        <v>338</v>
      </c>
      <c r="B278" s="370"/>
      <c r="C278" s="15"/>
      <c r="F278" s="302"/>
      <c r="G278" s="15"/>
      <c r="J278" s="302"/>
      <c r="K278" s="15"/>
      <c r="N278" s="302"/>
      <c r="O278" s="15"/>
      <c r="R278" s="302"/>
      <c r="S278" s="15"/>
      <c r="V278" s="302"/>
      <c r="W278" s="302"/>
      <c r="Z278" s="302"/>
      <c r="AA278" s="302"/>
      <c r="AD278" s="302"/>
      <c r="AE278" s="302"/>
      <c r="AH278" s="302"/>
    </row>
    <row r="279" spans="1:35" ht="24.75" customHeight="1" thickBot="1">
      <c r="A279" s="4838" t="s">
        <v>28</v>
      </c>
      <c r="B279" s="3495" t="s">
        <v>29</v>
      </c>
      <c r="C279" s="4468">
        <v>1</v>
      </c>
      <c r="D279" s="4469">
        <v>2</v>
      </c>
      <c r="E279" s="4469">
        <v>3</v>
      </c>
      <c r="F279" s="4468">
        <v>4</v>
      </c>
      <c r="G279" s="4468">
        <v>5</v>
      </c>
      <c r="H279" s="4469">
        <v>6</v>
      </c>
      <c r="I279" s="4469">
        <v>7</v>
      </c>
      <c r="J279" s="4469">
        <v>8</v>
      </c>
      <c r="K279" s="4469">
        <v>9</v>
      </c>
      <c r="L279" s="4469">
        <v>10</v>
      </c>
      <c r="M279" s="4468">
        <v>11</v>
      </c>
      <c r="N279" s="4468">
        <v>12</v>
      </c>
      <c r="O279" s="4469">
        <v>13</v>
      </c>
      <c r="P279" s="4469">
        <v>14</v>
      </c>
      <c r="Q279" s="4469">
        <v>15</v>
      </c>
      <c r="R279" s="4469">
        <v>16</v>
      </c>
      <c r="S279" s="4469">
        <v>17</v>
      </c>
      <c r="T279" s="4468">
        <v>18</v>
      </c>
      <c r="U279" s="4468">
        <v>19</v>
      </c>
      <c r="V279" s="4469">
        <v>20</v>
      </c>
      <c r="W279" s="4469">
        <v>21</v>
      </c>
      <c r="X279" s="4469">
        <v>22</v>
      </c>
      <c r="Y279" s="4469">
        <v>23</v>
      </c>
      <c r="Z279" s="4469">
        <v>24</v>
      </c>
      <c r="AA279" s="4468">
        <v>25</v>
      </c>
      <c r="AB279" s="4468">
        <v>26</v>
      </c>
      <c r="AC279" s="4469">
        <v>27</v>
      </c>
      <c r="AD279" s="4469">
        <v>28</v>
      </c>
      <c r="AE279" s="4469">
        <v>29</v>
      </c>
      <c r="AF279" s="4469">
        <v>30</v>
      </c>
      <c r="AG279" s="4470">
        <v>31</v>
      </c>
      <c r="AH279" s="385"/>
      <c r="AI279" s="304"/>
    </row>
    <row r="280" spans="1:35" ht="24.75" customHeight="1">
      <c r="A280" s="386"/>
      <c r="B280" s="387" t="s">
        <v>339</v>
      </c>
      <c r="C280" s="4517"/>
      <c r="D280" s="4815" t="s">
        <v>31</v>
      </c>
      <c r="E280" s="4517" t="s">
        <v>31</v>
      </c>
      <c r="F280" s="4517"/>
      <c r="G280" s="4517"/>
      <c r="H280" s="4517" t="s">
        <v>31</v>
      </c>
      <c r="I280" s="4517" t="s">
        <v>31</v>
      </c>
      <c r="J280" s="4517" t="s">
        <v>31</v>
      </c>
      <c r="K280" s="4517" t="s">
        <v>31</v>
      </c>
      <c r="L280" s="4517" t="s">
        <v>31</v>
      </c>
      <c r="M280" s="4517"/>
      <c r="N280" s="4517"/>
      <c r="O280" s="4517" t="s">
        <v>31</v>
      </c>
      <c r="P280" s="4517" t="s">
        <v>31</v>
      </c>
      <c r="Q280" s="4517" t="s">
        <v>31</v>
      </c>
      <c r="R280" s="4517" t="s">
        <v>31</v>
      </c>
      <c r="S280" s="4517" t="s">
        <v>31</v>
      </c>
      <c r="T280" s="4517"/>
      <c r="U280" s="4517"/>
      <c r="V280" s="4517" t="s">
        <v>31</v>
      </c>
      <c r="W280" s="4517" t="s">
        <v>31</v>
      </c>
      <c r="X280" s="4517" t="s">
        <v>31</v>
      </c>
      <c r="Y280" s="4517" t="s">
        <v>31</v>
      </c>
      <c r="Z280" s="4517" t="s">
        <v>31</v>
      </c>
      <c r="AA280" s="4517"/>
      <c r="AB280" s="4517"/>
      <c r="AC280" s="4517" t="s">
        <v>31</v>
      </c>
      <c r="AD280" s="4517" t="s">
        <v>31</v>
      </c>
      <c r="AE280" s="4517" t="s">
        <v>31</v>
      </c>
      <c r="AF280" s="4517" t="s">
        <v>31</v>
      </c>
      <c r="AG280" s="4517" t="s">
        <v>31</v>
      </c>
      <c r="AH280" s="388"/>
      <c r="AI280" s="382"/>
    </row>
    <row r="281" spans="1:35" ht="24.75" customHeight="1">
      <c r="A281" s="4874"/>
      <c r="B281" s="4875" t="s">
        <v>340</v>
      </c>
      <c r="C281" s="4517"/>
      <c r="D281" s="4511" t="s">
        <v>31</v>
      </c>
      <c r="E281" s="4511" t="s">
        <v>31</v>
      </c>
      <c r="F281" s="4511"/>
      <c r="G281" s="4616"/>
      <c r="H281" s="4616" t="s">
        <v>31</v>
      </c>
      <c r="I281" s="4517" t="s">
        <v>31</v>
      </c>
      <c r="J281" s="4517" t="s">
        <v>31</v>
      </c>
      <c r="K281" s="4517" t="s">
        <v>31</v>
      </c>
      <c r="L281" s="4517" t="s">
        <v>31</v>
      </c>
      <c r="M281" s="4517"/>
      <c r="N281" s="4517"/>
      <c r="O281" s="4517" t="s">
        <v>31</v>
      </c>
      <c r="P281" s="4517" t="s">
        <v>31</v>
      </c>
      <c r="Q281" s="4517" t="s">
        <v>31</v>
      </c>
      <c r="R281" s="4517" t="s">
        <v>31</v>
      </c>
      <c r="S281" s="4517" t="s">
        <v>31</v>
      </c>
      <c r="T281" s="4517"/>
      <c r="U281" s="4517"/>
      <c r="V281" s="4517" t="s">
        <v>31</v>
      </c>
      <c r="W281" s="4517" t="s">
        <v>31</v>
      </c>
      <c r="X281" s="4517" t="s">
        <v>31</v>
      </c>
      <c r="Y281" s="4517" t="s">
        <v>31</v>
      </c>
      <c r="Z281" s="4517" t="s">
        <v>31</v>
      </c>
      <c r="AA281" s="4517"/>
      <c r="AB281" s="4517"/>
      <c r="AC281" s="4517" t="s">
        <v>31</v>
      </c>
      <c r="AD281" s="4517" t="s">
        <v>31</v>
      </c>
      <c r="AE281" s="4517" t="s">
        <v>31</v>
      </c>
      <c r="AF281" s="4517" t="s">
        <v>31</v>
      </c>
      <c r="AG281" s="4517" t="s">
        <v>31</v>
      </c>
      <c r="AH281" s="388"/>
      <c r="AI281" s="382"/>
    </row>
    <row r="282" spans="1:35" ht="24.75" customHeight="1">
      <c r="A282" s="4839"/>
      <c r="B282" s="4875" t="s">
        <v>341</v>
      </c>
      <c r="C282" s="4517"/>
      <c r="D282" s="4815" t="s">
        <v>31</v>
      </c>
      <c r="E282" s="4517" t="s">
        <v>31</v>
      </c>
      <c r="F282" s="4517"/>
      <c r="G282" s="4517"/>
      <c r="H282" s="4517" t="s">
        <v>31</v>
      </c>
      <c r="I282" s="4517" t="s">
        <v>31</v>
      </c>
      <c r="J282" s="4517" t="s">
        <v>31</v>
      </c>
      <c r="K282" s="4517" t="s">
        <v>31</v>
      </c>
      <c r="L282" s="4517" t="s">
        <v>31</v>
      </c>
      <c r="M282" s="4517"/>
      <c r="N282" s="4517"/>
      <c r="O282" s="4517" t="s">
        <v>31</v>
      </c>
      <c r="P282" s="4517" t="s">
        <v>31</v>
      </c>
      <c r="Q282" s="4517" t="s">
        <v>31</v>
      </c>
      <c r="R282" s="4517" t="s">
        <v>31</v>
      </c>
      <c r="S282" s="4517" t="s">
        <v>31</v>
      </c>
      <c r="T282" s="4517"/>
      <c r="U282" s="4517"/>
      <c r="V282" s="4517" t="s">
        <v>31</v>
      </c>
      <c r="W282" s="4517" t="s">
        <v>31</v>
      </c>
      <c r="X282" s="4517" t="s">
        <v>31</v>
      </c>
      <c r="Y282" s="4517" t="s">
        <v>31</v>
      </c>
      <c r="Z282" s="4517" t="s">
        <v>31</v>
      </c>
      <c r="AA282" s="4517"/>
      <c r="AB282" s="4517"/>
      <c r="AC282" s="4517" t="s">
        <v>31</v>
      </c>
      <c r="AD282" s="4517" t="s">
        <v>31</v>
      </c>
      <c r="AE282" s="4517" t="s">
        <v>31</v>
      </c>
      <c r="AF282" s="4517" t="s">
        <v>31</v>
      </c>
      <c r="AG282" s="4517" t="s">
        <v>31</v>
      </c>
      <c r="AH282" s="388"/>
      <c r="AI282" s="382"/>
    </row>
    <row r="283" spans="1:35" ht="24.75" customHeight="1">
      <c r="A283" s="4839"/>
      <c r="B283" s="4875" t="s">
        <v>342</v>
      </c>
      <c r="C283" s="4517"/>
      <c r="D283" s="4778" t="s">
        <v>31</v>
      </c>
      <c r="E283" s="4778" t="s">
        <v>304</v>
      </c>
      <c r="F283" s="4517"/>
      <c r="G283" s="4517"/>
      <c r="H283" s="4517" t="s">
        <v>31</v>
      </c>
      <c r="I283" s="4517" t="s">
        <v>31</v>
      </c>
      <c r="J283" s="4517" t="s">
        <v>31</v>
      </c>
      <c r="K283" s="4517" t="s">
        <v>31</v>
      </c>
      <c r="L283" s="4517" t="s">
        <v>31</v>
      </c>
      <c r="M283" s="4517"/>
      <c r="N283" s="4517"/>
      <c r="O283" s="4517" t="s">
        <v>31</v>
      </c>
      <c r="P283" s="4517" t="s">
        <v>31</v>
      </c>
      <c r="Q283" s="4517" t="s">
        <v>31</v>
      </c>
      <c r="R283" s="4517" t="s">
        <v>31</v>
      </c>
      <c r="S283" s="4517" t="s">
        <v>31</v>
      </c>
      <c r="T283" s="4517"/>
      <c r="U283" s="4517"/>
      <c r="V283" s="4517" t="s">
        <v>31</v>
      </c>
      <c r="W283" s="4517" t="s">
        <v>31</v>
      </c>
      <c r="X283" s="4517" t="s">
        <v>31</v>
      </c>
      <c r="Y283" s="4517" t="s">
        <v>31</v>
      </c>
      <c r="Z283" s="4517" t="s">
        <v>31</v>
      </c>
      <c r="AA283" s="4517"/>
      <c r="AB283" s="4517"/>
      <c r="AC283" s="4517" t="s">
        <v>31</v>
      </c>
      <c r="AD283" s="4517" t="s">
        <v>31</v>
      </c>
      <c r="AE283" s="4517" t="s">
        <v>31</v>
      </c>
      <c r="AF283" s="4517" t="s">
        <v>31</v>
      </c>
      <c r="AG283" s="4517" t="s">
        <v>31</v>
      </c>
      <c r="AH283" s="388"/>
      <c r="AI283" s="382"/>
    </row>
    <row r="284" spans="1:35" ht="24.75" customHeight="1">
      <c r="A284" s="4839"/>
      <c r="B284" s="4875" t="s">
        <v>343</v>
      </c>
      <c r="C284" s="4620"/>
      <c r="D284" s="4620" t="s">
        <v>31</v>
      </c>
      <c r="E284" s="4620" t="s">
        <v>31</v>
      </c>
      <c r="F284" s="4620"/>
      <c r="G284" s="4620"/>
      <c r="H284" s="4517" t="s">
        <v>31</v>
      </c>
      <c r="I284" s="4517" t="s">
        <v>31</v>
      </c>
      <c r="J284" s="4620" t="s">
        <v>31</v>
      </c>
      <c r="K284" s="4517" t="s">
        <v>31</v>
      </c>
      <c r="L284" s="4517" t="s">
        <v>31</v>
      </c>
      <c r="M284" s="4517"/>
      <c r="N284" s="4517"/>
      <c r="O284" s="4517" t="s">
        <v>31</v>
      </c>
      <c r="P284" s="4517" t="s">
        <v>31</v>
      </c>
      <c r="Q284" s="4517" t="s">
        <v>31</v>
      </c>
      <c r="R284" s="4517" t="s">
        <v>31</v>
      </c>
      <c r="S284" s="4517" t="s">
        <v>31</v>
      </c>
      <c r="T284" s="4517"/>
      <c r="U284" s="4517"/>
      <c r="V284" s="4517" t="s">
        <v>31</v>
      </c>
      <c r="W284" s="4517" t="s">
        <v>31</v>
      </c>
      <c r="X284" s="4517" t="s">
        <v>31</v>
      </c>
      <c r="Y284" s="4517" t="s">
        <v>31</v>
      </c>
      <c r="Z284" s="4517" t="s">
        <v>31</v>
      </c>
      <c r="AA284" s="4517"/>
      <c r="AB284" s="4517"/>
      <c r="AC284" s="4517" t="s">
        <v>31</v>
      </c>
      <c r="AD284" s="4517" t="s">
        <v>31</v>
      </c>
      <c r="AE284" s="4517" t="s">
        <v>31</v>
      </c>
      <c r="AF284" s="4517" t="s">
        <v>31</v>
      </c>
      <c r="AG284" s="4489" t="s">
        <v>31</v>
      </c>
      <c r="AH284" s="388"/>
      <c r="AI284" s="382"/>
    </row>
    <row r="285" spans="1:35" ht="24.75" customHeight="1">
      <c r="A285" s="4839"/>
      <c r="B285" s="4875" t="s">
        <v>344</v>
      </c>
      <c r="C285" s="4517"/>
      <c r="D285" s="4617" t="s">
        <v>31</v>
      </c>
      <c r="E285" s="4617" t="s">
        <v>31</v>
      </c>
      <c r="F285" s="4511"/>
      <c r="G285" s="4616"/>
      <c r="H285" s="4616" t="s">
        <v>31</v>
      </c>
      <c r="I285" s="4517" t="s">
        <v>31</v>
      </c>
      <c r="J285" s="4517" t="s">
        <v>31</v>
      </c>
      <c r="K285" s="4517" t="s">
        <v>31</v>
      </c>
      <c r="L285" s="4517" t="s">
        <v>31</v>
      </c>
      <c r="M285" s="4517"/>
      <c r="N285" s="4517"/>
      <c r="O285" s="4517" t="s">
        <v>31</v>
      </c>
      <c r="P285" s="4517" t="s">
        <v>31</v>
      </c>
      <c r="Q285" s="4517" t="s">
        <v>31</v>
      </c>
      <c r="R285" s="4517" t="s">
        <v>31</v>
      </c>
      <c r="S285" s="4517" t="s">
        <v>31</v>
      </c>
      <c r="T285" s="4517"/>
      <c r="U285" s="4517"/>
      <c r="V285" s="4517" t="s">
        <v>31</v>
      </c>
      <c r="W285" s="4517" t="s">
        <v>31</v>
      </c>
      <c r="X285" s="4517" t="s">
        <v>31</v>
      </c>
      <c r="Y285" s="4517" t="s">
        <v>31</v>
      </c>
      <c r="Z285" s="4517" t="s">
        <v>31</v>
      </c>
      <c r="AA285" s="4517"/>
      <c r="AB285" s="4517"/>
      <c r="AC285" s="4517" t="s">
        <v>31</v>
      </c>
      <c r="AD285" s="4517" t="s">
        <v>31</v>
      </c>
      <c r="AE285" s="4517" t="s">
        <v>31</v>
      </c>
      <c r="AF285" s="4517" t="s">
        <v>31</v>
      </c>
      <c r="AG285" s="3600" t="s">
        <v>31</v>
      </c>
      <c r="AH285" s="388"/>
      <c r="AI285" s="382"/>
    </row>
    <row r="286" spans="1:35" ht="24.75" customHeight="1">
      <c r="A286" s="4839"/>
      <c r="B286" s="4875" t="s">
        <v>345</v>
      </c>
      <c r="C286" s="4517"/>
      <c r="D286" s="4815" t="s">
        <v>31</v>
      </c>
      <c r="E286" s="4517" t="s">
        <v>31</v>
      </c>
      <c r="F286" s="4517"/>
      <c r="G286" s="4517"/>
      <c r="H286" s="4517" t="s">
        <v>31</v>
      </c>
      <c r="I286" s="4517" t="s">
        <v>31</v>
      </c>
      <c r="J286" s="4517" t="s">
        <v>31</v>
      </c>
      <c r="K286" s="4517" t="s">
        <v>31</v>
      </c>
      <c r="L286" s="4517" t="s">
        <v>31</v>
      </c>
      <c r="M286" s="4517"/>
      <c r="N286" s="4517"/>
      <c r="O286" s="4517" t="s">
        <v>31</v>
      </c>
      <c r="P286" s="4517" t="s">
        <v>31</v>
      </c>
      <c r="Q286" s="4517" t="s">
        <v>31</v>
      </c>
      <c r="R286" s="4517" t="s">
        <v>31</v>
      </c>
      <c r="S286" s="3426" t="s">
        <v>31</v>
      </c>
      <c r="T286" s="3426"/>
      <c r="U286" s="3426"/>
      <c r="V286" s="3426" t="s">
        <v>31</v>
      </c>
      <c r="W286" s="3426" t="s">
        <v>31</v>
      </c>
      <c r="X286" s="4517" t="s">
        <v>31</v>
      </c>
      <c r="Y286" s="4517" t="s">
        <v>31</v>
      </c>
      <c r="Z286" s="4517" t="s">
        <v>31</v>
      </c>
      <c r="AA286" s="4517"/>
      <c r="AB286" s="4517"/>
      <c r="AC286" s="4517" t="s">
        <v>31</v>
      </c>
      <c r="AD286" s="4517" t="s">
        <v>31</v>
      </c>
      <c r="AE286" s="4517" t="s">
        <v>31</v>
      </c>
      <c r="AF286" s="4517" t="s">
        <v>31</v>
      </c>
      <c r="AG286" s="4564" t="s">
        <v>31</v>
      </c>
      <c r="AH286" s="388"/>
      <c r="AI286" s="382"/>
    </row>
    <row r="287" spans="1:35" ht="24.75" customHeight="1">
      <c r="A287" s="4839"/>
      <c r="B287" s="4875" t="s">
        <v>346</v>
      </c>
      <c r="C287" s="4517"/>
      <c r="D287" s="4519" t="s">
        <v>31</v>
      </c>
      <c r="E287" s="4519" t="s">
        <v>31</v>
      </c>
      <c r="F287" s="4517"/>
      <c r="G287" s="4517"/>
      <c r="H287" s="4517" t="s">
        <v>31</v>
      </c>
      <c r="I287" s="4517" t="s">
        <v>31</v>
      </c>
      <c r="J287" s="4517" t="s">
        <v>31</v>
      </c>
      <c r="K287" s="4517" t="s">
        <v>31</v>
      </c>
      <c r="L287" s="4517" t="s">
        <v>31</v>
      </c>
      <c r="M287" s="4517"/>
      <c r="N287" s="4517"/>
      <c r="O287" s="4778" t="s">
        <v>304</v>
      </c>
      <c r="P287" s="4608" t="s">
        <v>31</v>
      </c>
      <c r="Q287" s="4608" t="s">
        <v>31</v>
      </c>
      <c r="R287" s="4608" t="s">
        <v>31</v>
      </c>
      <c r="S287" s="4608" t="s">
        <v>31</v>
      </c>
      <c r="T287" s="4517"/>
      <c r="U287" s="4517"/>
      <c r="V287" s="4517" t="s">
        <v>31</v>
      </c>
      <c r="W287" s="4517" t="s">
        <v>31</v>
      </c>
      <c r="X287" s="4517" t="s">
        <v>31</v>
      </c>
      <c r="Y287" s="4517" t="s">
        <v>31</v>
      </c>
      <c r="Z287" s="4517" t="s">
        <v>31</v>
      </c>
      <c r="AA287" s="4517"/>
      <c r="AB287" s="4517"/>
      <c r="AC287" s="4517" t="s">
        <v>31</v>
      </c>
      <c r="AD287" s="4517" t="s">
        <v>31</v>
      </c>
      <c r="AE287" s="4517" t="s">
        <v>31</v>
      </c>
      <c r="AF287" s="4517" t="s">
        <v>31</v>
      </c>
      <c r="AG287" s="4564" t="s">
        <v>31</v>
      </c>
      <c r="AH287" s="388"/>
      <c r="AI287" s="382"/>
    </row>
    <row r="288" spans="1:35" ht="24.75" customHeight="1">
      <c r="A288" s="4839"/>
      <c r="B288" s="4864"/>
      <c r="C288" s="4647"/>
      <c r="D288" s="4647" t="s">
        <v>31</v>
      </c>
      <c r="E288" s="4517" t="s">
        <v>31</v>
      </c>
      <c r="F288" s="4517"/>
      <c r="G288" s="4517"/>
      <c r="H288" s="4517" t="s">
        <v>31</v>
      </c>
      <c r="I288" s="4517" t="s">
        <v>31</v>
      </c>
      <c r="J288" s="4517" t="s">
        <v>31</v>
      </c>
      <c r="K288" s="4517" t="s">
        <v>31</v>
      </c>
      <c r="L288" s="4517" t="s">
        <v>31</v>
      </c>
      <c r="M288" s="4517"/>
      <c r="N288" s="4517"/>
      <c r="O288" s="4517" t="s">
        <v>31</v>
      </c>
      <c r="P288" s="4517" t="s">
        <v>31</v>
      </c>
      <c r="Q288" s="4517" t="s">
        <v>31</v>
      </c>
      <c r="R288" s="4517" t="s">
        <v>31</v>
      </c>
      <c r="S288" s="4517" t="s">
        <v>31</v>
      </c>
      <c r="T288" s="4517"/>
      <c r="U288" s="4517"/>
      <c r="V288" s="4517" t="s">
        <v>31</v>
      </c>
      <c r="W288" s="4517" t="s">
        <v>31</v>
      </c>
      <c r="X288" s="4517" t="s">
        <v>31</v>
      </c>
      <c r="Y288" s="4517" t="s">
        <v>31</v>
      </c>
      <c r="Z288" s="4517" t="s">
        <v>31</v>
      </c>
      <c r="AA288" s="4517"/>
      <c r="AB288" s="4517"/>
      <c r="AC288" s="4517" t="s">
        <v>31</v>
      </c>
      <c r="AD288" s="4517" t="s">
        <v>31</v>
      </c>
      <c r="AE288" s="4517" t="s">
        <v>31</v>
      </c>
      <c r="AF288" s="4517" t="s">
        <v>31</v>
      </c>
      <c r="AG288" s="4564" t="s">
        <v>31</v>
      </c>
      <c r="AH288" s="388"/>
      <c r="AI288" s="382"/>
    </row>
    <row r="289" spans="1:35" ht="24.75" customHeight="1">
      <c r="A289" s="4839"/>
      <c r="B289" s="4876" t="s">
        <v>348</v>
      </c>
      <c r="C289" s="4517"/>
      <c r="D289" s="4511" t="s">
        <v>31</v>
      </c>
      <c r="E289" s="4511" t="s">
        <v>31</v>
      </c>
      <c r="F289" s="4511"/>
      <c r="G289" s="4616"/>
      <c r="H289" s="4616" t="s">
        <v>31</v>
      </c>
      <c r="I289" s="4517" t="s">
        <v>31</v>
      </c>
      <c r="J289" s="4519" t="s">
        <v>31</v>
      </c>
      <c r="K289" s="4517" t="s">
        <v>31</v>
      </c>
      <c r="L289" s="4517" t="s">
        <v>31</v>
      </c>
      <c r="M289" s="4517"/>
      <c r="N289" s="4517"/>
      <c r="O289" s="4517" t="s">
        <v>31</v>
      </c>
      <c r="P289" s="4517" t="s">
        <v>31</v>
      </c>
      <c r="Q289" s="4517" t="s">
        <v>31</v>
      </c>
      <c r="R289" s="4517" t="s">
        <v>31</v>
      </c>
      <c r="S289" s="4517" t="s">
        <v>31</v>
      </c>
      <c r="T289" s="4517"/>
      <c r="U289" s="4517"/>
      <c r="V289" s="4517" t="s">
        <v>31</v>
      </c>
      <c r="W289" s="4517" t="s">
        <v>31</v>
      </c>
      <c r="X289" s="4517" t="s">
        <v>31</v>
      </c>
      <c r="Y289" s="4517" t="s">
        <v>31</v>
      </c>
      <c r="Z289" s="4517" t="s">
        <v>31</v>
      </c>
      <c r="AA289" s="4517"/>
      <c r="AB289" s="4517"/>
      <c r="AC289" s="4517" t="s">
        <v>31</v>
      </c>
      <c r="AD289" s="4517" t="s">
        <v>31</v>
      </c>
      <c r="AE289" s="4517" t="s">
        <v>31</v>
      </c>
      <c r="AF289" s="4517" t="s">
        <v>31</v>
      </c>
      <c r="AG289" s="4564" t="s">
        <v>31</v>
      </c>
      <c r="AH289" s="388"/>
      <c r="AI289" s="382"/>
    </row>
    <row r="290" spans="1:35" ht="24.75" customHeight="1">
      <c r="A290" s="4839"/>
      <c r="B290" s="4555" t="s">
        <v>349</v>
      </c>
      <c r="C290" s="4517"/>
      <c r="D290" s="4815" t="s">
        <v>31</v>
      </c>
      <c r="E290" s="4517" t="s">
        <v>31</v>
      </c>
      <c r="F290" s="4517"/>
      <c r="G290" s="4517"/>
      <c r="H290" s="4517" t="s">
        <v>31</v>
      </c>
      <c r="I290" s="4517" t="s">
        <v>31</v>
      </c>
      <c r="J290" s="4517" t="s">
        <v>31</v>
      </c>
      <c r="K290" s="4517" t="s">
        <v>31</v>
      </c>
      <c r="L290" s="4517" t="s">
        <v>31</v>
      </c>
      <c r="M290" s="4517"/>
      <c r="N290" s="4517"/>
      <c r="O290" s="4517" t="s">
        <v>31</v>
      </c>
      <c r="P290" s="4517" t="s">
        <v>31</v>
      </c>
      <c r="Q290" s="4517" t="s">
        <v>31</v>
      </c>
      <c r="R290" s="4517" t="s">
        <v>31</v>
      </c>
      <c r="S290" s="4517" t="s">
        <v>31</v>
      </c>
      <c r="T290" s="4517"/>
      <c r="U290" s="4517"/>
      <c r="V290" s="4517" t="s">
        <v>31</v>
      </c>
      <c r="W290" s="4517" t="s">
        <v>31</v>
      </c>
      <c r="X290" s="4517" t="s">
        <v>31</v>
      </c>
      <c r="Y290" s="4517" t="s">
        <v>31</v>
      </c>
      <c r="Z290" s="4517" t="s">
        <v>31</v>
      </c>
      <c r="AA290" s="4517"/>
      <c r="AB290" s="4517"/>
      <c r="AC290" s="4517" t="s">
        <v>31</v>
      </c>
      <c r="AD290" s="4517" t="s">
        <v>31</v>
      </c>
      <c r="AE290" s="4517" t="s">
        <v>31</v>
      </c>
      <c r="AF290" s="4517" t="s">
        <v>31</v>
      </c>
      <c r="AG290" s="4564" t="s">
        <v>31</v>
      </c>
      <c r="AH290" s="388"/>
      <c r="AI290" s="382"/>
    </row>
    <row r="291" spans="1:35" ht="24.75" customHeight="1">
      <c r="A291" s="4839"/>
      <c r="B291" s="4876"/>
      <c r="C291" s="4517"/>
      <c r="D291" s="4815"/>
      <c r="E291" s="4517"/>
      <c r="F291" s="4517"/>
      <c r="G291" s="4517"/>
      <c r="H291" s="4517"/>
      <c r="I291" s="4517"/>
      <c r="J291" s="4517"/>
      <c r="K291" s="4517"/>
      <c r="L291" s="4517"/>
      <c r="M291" s="4517"/>
      <c r="N291" s="4517"/>
      <c r="O291" s="4517"/>
      <c r="P291" s="4517"/>
      <c r="Q291" s="4517"/>
      <c r="R291" s="4517"/>
      <c r="S291" s="4517"/>
      <c r="T291" s="4517"/>
      <c r="U291" s="4517"/>
      <c r="V291" s="4517"/>
      <c r="W291" s="4517"/>
      <c r="X291" s="4517"/>
      <c r="Y291" s="4517"/>
      <c r="Z291" s="4517"/>
      <c r="AA291" s="4517"/>
      <c r="AB291" s="4517"/>
      <c r="AC291" s="4517"/>
      <c r="AD291" s="4517"/>
      <c r="AE291" s="4517"/>
      <c r="AF291" s="4517"/>
      <c r="AG291" s="4564"/>
      <c r="AH291" s="388"/>
      <c r="AI291" s="382"/>
    </row>
    <row r="292" spans="1:35" ht="24.75" customHeight="1">
      <c r="A292" s="4588"/>
      <c r="B292" s="4876"/>
      <c r="C292" s="4564"/>
      <c r="D292" s="4564"/>
      <c r="E292" s="4564"/>
      <c r="F292" s="4564"/>
      <c r="G292" s="4564"/>
      <c r="H292" s="4564"/>
      <c r="I292" s="4564"/>
      <c r="J292" s="4564"/>
      <c r="K292" s="4564"/>
      <c r="L292" s="4564"/>
      <c r="M292" s="4564"/>
      <c r="N292" s="4565"/>
      <c r="O292" s="4565"/>
      <c r="P292" s="4564"/>
      <c r="Q292" s="4564"/>
      <c r="R292" s="4564"/>
      <c r="S292" s="4564"/>
      <c r="T292" s="4564"/>
      <c r="U292" s="4564"/>
      <c r="V292" s="4564"/>
      <c r="W292" s="4564"/>
      <c r="X292" s="4564"/>
      <c r="Y292" s="4564"/>
      <c r="Z292" s="4564"/>
      <c r="AA292" s="4564"/>
      <c r="AB292" s="4565"/>
      <c r="AC292" s="4565"/>
      <c r="AD292" s="4564"/>
      <c r="AE292" s="4564"/>
      <c r="AF292" s="4564"/>
      <c r="AG292" s="4564"/>
      <c r="AH292" s="388"/>
      <c r="AI292" s="384"/>
    </row>
    <row r="293" spans="1:35" ht="24.75" customHeight="1" thickBot="1">
      <c r="A293" s="459"/>
      <c r="B293" s="464"/>
      <c r="C293" s="4869"/>
      <c r="D293" s="4870"/>
      <c r="E293" s="4870"/>
      <c r="F293" s="4870"/>
      <c r="G293" s="4870"/>
      <c r="H293" s="4870"/>
      <c r="I293" s="4870"/>
      <c r="J293" s="4870"/>
      <c r="K293" s="4870"/>
      <c r="L293" s="4870"/>
      <c r="M293" s="4870"/>
      <c r="N293" s="4871"/>
      <c r="O293" s="4871"/>
      <c r="P293" s="4870"/>
      <c r="Q293" s="4870"/>
      <c r="R293" s="4870"/>
      <c r="S293" s="4870"/>
      <c r="T293" s="4870"/>
      <c r="U293" s="4870"/>
      <c r="V293" s="4870"/>
      <c r="W293" s="4870"/>
      <c r="X293" s="4870"/>
      <c r="Y293" s="4870"/>
      <c r="Z293" s="4870"/>
      <c r="AA293" s="4870"/>
      <c r="AB293" s="4871"/>
      <c r="AC293" s="4871"/>
      <c r="AD293" s="4870"/>
      <c r="AE293" s="4870"/>
      <c r="AF293" s="4870"/>
      <c r="AG293" s="4870"/>
      <c r="AH293" s="388"/>
      <c r="AI293" s="384"/>
    </row>
    <row r="294" spans="1:35" ht="18.75" customHeight="1"/>
  </sheetData>
  <sheetProtection algorithmName="SHA-512" hashValue="bjQ/5tnU1rlFL5c3N0b49Hwm4Mn0rxuqkrca75juQJYMYHFa7rHk8mZgP7Oq4DwnNt/BKpIq/EYwbR7vrTIfZw==" saltValue="OIZ2gmlzroMM9C0CT5G/UA==" spinCount="100000" sheet="1" objects="1" scenarios="1"/>
  <protectedRanges>
    <protectedRange sqref="B219" name="Område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19:B120" name="Område1_3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22:B123" name="Område1_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</protectedRanges>
  <mergeCells count="1">
    <mergeCell ref="T31:Z31"/>
  </mergeCells>
  <pageMargins left="0.7" right="0.7" top="0.75" bottom="0.75" header="0.3" footer="0.3"/>
  <pageSetup paperSize="9" scale="58" fitToHeight="0" orientation="landscape" r:id="rId1"/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7EC11-852C-41AD-A604-8E98CA10EF9F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E59DD-F3CB-4E84-BF25-E0E122BA6358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2CFB0-AC5C-4287-BE5E-834A359C8D1D}">
  <sheetPr codeName="Ark13"/>
  <dimension ref="A1:AG70"/>
  <sheetViews>
    <sheetView zoomScale="80" zoomScaleNormal="80" workbookViewId="0">
      <selection activeCell="AL28" sqref="AL28"/>
    </sheetView>
  </sheetViews>
  <sheetFormatPr defaultRowHeight="15"/>
  <cols>
    <col min="2" max="2" width="27.28515625" customWidth="1"/>
    <col min="3" max="34" width="6.28515625" customWidth="1"/>
  </cols>
  <sheetData>
    <row r="1" spans="1:33">
      <c r="B1" s="1" t="s">
        <v>559</v>
      </c>
      <c r="C1" t="s">
        <v>560</v>
      </c>
      <c r="D1" t="s">
        <v>561</v>
      </c>
      <c r="E1" t="s">
        <v>562</v>
      </c>
      <c r="F1" t="s">
        <v>563</v>
      </c>
      <c r="G1" t="s">
        <v>564</v>
      </c>
      <c r="H1" t="s">
        <v>565</v>
      </c>
      <c r="I1" t="s">
        <v>566</v>
      </c>
      <c r="J1" t="s">
        <v>560</v>
      </c>
      <c r="K1" t="s">
        <v>561</v>
      </c>
      <c r="L1" t="s">
        <v>562</v>
      </c>
      <c r="M1" t="s">
        <v>563</v>
      </c>
      <c r="N1" t="s">
        <v>564</v>
      </c>
      <c r="O1" t="s">
        <v>565</v>
      </c>
      <c r="P1" t="s">
        <v>566</v>
      </c>
      <c r="Q1" t="s">
        <v>560</v>
      </c>
      <c r="R1" t="s">
        <v>561</v>
      </c>
      <c r="S1" t="s">
        <v>562</v>
      </c>
      <c r="T1" t="s">
        <v>563</v>
      </c>
      <c r="U1" t="s">
        <v>564</v>
      </c>
      <c r="V1" t="s">
        <v>565</v>
      </c>
      <c r="W1" t="s">
        <v>566</v>
      </c>
      <c r="X1" t="s">
        <v>560</v>
      </c>
      <c r="Y1" t="s">
        <v>561</v>
      </c>
      <c r="Z1" t="s">
        <v>562</v>
      </c>
      <c r="AA1" t="s">
        <v>563</v>
      </c>
      <c r="AB1" t="s">
        <v>564</v>
      </c>
      <c r="AC1" t="s">
        <v>565</v>
      </c>
      <c r="AD1" t="s">
        <v>566</v>
      </c>
      <c r="AE1" t="s">
        <v>560</v>
      </c>
      <c r="AF1" t="s">
        <v>561</v>
      </c>
      <c r="AG1" t="s">
        <v>562</v>
      </c>
    </row>
    <row r="2" spans="1:33" ht="15.75" thickBot="1">
      <c r="A2" s="3711"/>
      <c r="B2" s="3661" t="s">
        <v>29</v>
      </c>
      <c r="C2" s="3410">
        <v>1</v>
      </c>
      <c r="D2" s="3410">
        <v>2</v>
      </c>
      <c r="E2" s="4877">
        <v>3</v>
      </c>
      <c r="F2" s="4877">
        <v>4</v>
      </c>
      <c r="G2" s="4877">
        <v>5</v>
      </c>
      <c r="H2" s="4877">
        <v>6</v>
      </c>
      <c r="I2" s="4877">
        <v>7</v>
      </c>
      <c r="J2" s="3410">
        <v>8</v>
      </c>
      <c r="K2" s="3410">
        <v>9</v>
      </c>
      <c r="L2" s="4877">
        <v>10</v>
      </c>
      <c r="M2" s="4877">
        <v>11</v>
      </c>
      <c r="N2" s="4877">
        <v>12</v>
      </c>
      <c r="O2" s="4877">
        <v>13</v>
      </c>
      <c r="P2" s="4877">
        <v>14</v>
      </c>
      <c r="Q2" s="3410">
        <v>15</v>
      </c>
      <c r="R2" s="3410">
        <v>16</v>
      </c>
      <c r="S2" s="4877">
        <v>17</v>
      </c>
      <c r="T2" s="4877">
        <v>18</v>
      </c>
      <c r="U2" s="4877">
        <v>19</v>
      </c>
      <c r="V2" s="4877">
        <v>20</v>
      </c>
      <c r="W2" s="4877">
        <v>21</v>
      </c>
      <c r="X2" s="3410">
        <v>22</v>
      </c>
      <c r="Y2" s="3410">
        <v>23</v>
      </c>
      <c r="Z2" s="4877">
        <v>24</v>
      </c>
      <c r="AA2" s="4877">
        <v>25</v>
      </c>
      <c r="AB2" s="4877">
        <v>26</v>
      </c>
      <c r="AC2" s="4877">
        <v>27</v>
      </c>
      <c r="AD2" s="4877">
        <v>28</v>
      </c>
      <c r="AE2" s="3410">
        <v>29</v>
      </c>
      <c r="AF2" s="3410">
        <v>30</v>
      </c>
      <c r="AG2" s="4878">
        <v>31</v>
      </c>
    </row>
    <row r="3" spans="1:33">
      <c r="A3" s="4282">
        <v>1</v>
      </c>
      <c r="B3" s="4311" t="s">
        <v>223</v>
      </c>
      <c r="C3" s="4879"/>
      <c r="D3" s="4879"/>
      <c r="E3" s="4879" t="s">
        <v>31</v>
      </c>
      <c r="F3" s="4879" t="s">
        <v>31</v>
      </c>
      <c r="G3" s="4879" t="s">
        <v>31</v>
      </c>
      <c r="H3" s="4879" t="s">
        <v>31</v>
      </c>
      <c r="I3" s="4879" t="s">
        <v>31</v>
      </c>
      <c r="J3" s="4879"/>
      <c r="K3" s="4879"/>
      <c r="L3" s="4879" t="s">
        <v>31</v>
      </c>
      <c r="M3" s="4879" t="s">
        <v>31</v>
      </c>
      <c r="N3" s="4879" t="s">
        <v>31</v>
      </c>
      <c r="O3" s="4879" t="s">
        <v>31</v>
      </c>
      <c r="P3" s="4879" t="s">
        <v>31</v>
      </c>
      <c r="Q3" s="4879"/>
      <c r="R3" s="4879"/>
      <c r="S3" s="4879" t="s">
        <v>31</v>
      </c>
      <c r="T3" s="4879" t="s">
        <v>31</v>
      </c>
      <c r="U3" s="4880" t="s">
        <v>31</v>
      </c>
      <c r="V3" s="4880" t="s">
        <v>31</v>
      </c>
      <c r="W3" s="4880" t="s">
        <v>31</v>
      </c>
      <c r="X3" s="4108"/>
      <c r="Y3" s="4880"/>
      <c r="Z3" s="4880" t="s">
        <v>31</v>
      </c>
      <c r="AA3" s="4881" t="s">
        <v>31</v>
      </c>
      <c r="AB3" s="4108" t="s">
        <v>31</v>
      </c>
      <c r="AC3" s="4880" t="s">
        <v>31</v>
      </c>
      <c r="AD3" s="4880" t="s">
        <v>31</v>
      </c>
      <c r="AE3" s="4880"/>
      <c r="AF3" s="4880"/>
      <c r="AG3" s="4882" t="s">
        <v>31</v>
      </c>
    </row>
    <row r="4" spans="1:33">
      <c r="A4" s="3887">
        <v>2</v>
      </c>
      <c r="B4" s="3916" t="s">
        <v>224</v>
      </c>
      <c r="C4" s="3600" t="s">
        <v>115</v>
      </c>
      <c r="D4" s="3600"/>
      <c r="E4" s="3600" t="s">
        <v>225</v>
      </c>
      <c r="F4" s="3600" t="s">
        <v>225</v>
      </c>
      <c r="G4" s="3600" t="s">
        <v>225</v>
      </c>
      <c r="H4" s="3600" t="s">
        <v>225</v>
      </c>
      <c r="I4" s="3600" t="s">
        <v>35</v>
      </c>
      <c r="J4" s="3600"/>
      <c r="K4" s="3600"/>
      <c r="L4" s="3684" t="s">
        <v>114</v>
      </c>
      <c r="M4" s="3684" t="s">
        <v>114</v>
      </c>
      <c r="N4" s="3684" t="s">
        <v>114</v>
      </c>
      <c r="O4" s="3684" t="s">
        <v>114</v>
      </c>
      <c r="P4" s="3684" t="s">
        <v>114</v>
      </c>
      <c r="Q4" s="3684"/>
      <c r="R4" s="3684"/>
      <c r="S4" s="3684" t="s">
        <v>115</v>
      </c>
      <c r="T4" s="3684" t="s">
        <v>115</v>
      </c>
      <c r="U4" s="3684" t="s">
        <v>115</v>
      </c>
      <c r="V4" s="3684" t="s">
        <v>115</v>
      </c>
      <c r="W4" s="3684" t="s">
        <v>115</v>
      </c>
      <c r="X4" s="3684" t="s">
        <v>115</v>
      </c>
      <c r="Y4" s="3677"/>
      <c r="Z4" s="3684" t="s">
        <v>225</v>
      </c>
      <c r="AA4" s="3684" t="s">
        <v>225</v>
      </c>
      <c r="AB4" s="3684" t="s">
        <v>225</v>
      </c>
      <c r="AC4" s="3684" t="s">
        <v>225</v>
      </c>
      <c r="AD4" s="3684" t="s">
        <v>35</v>
      </c>
      <c r="AE4" s="3684"/>
      <c r="AF4" s="3684"/>
      <c r="AG4" s="3767" t="s">
        <v>114</v>
      </c>
    </row>
    <row r="5" spans="1:33">
      <c r="A5" s="3887">
        <v>3</v>
      </c>
      <c r="B5" s="3920" t="s">
        <v>444</v>
      </c>
      <c r="C5" s="3684"/>
      <c r="D5" s="3684"/>
      <c r="E5" s="3684" t="s">
        <v>114</v>
      </c>
      <c r="F5" s="3827" t="s">
        <v>114</v>
      </c>
      <c r="G5" s="3827" t="s">
        <v>114</v>
      </c>
      <c r="H5" s="3827" t="s">
        <v>114</v>
      </c>
      <c r="I5" s="3827" t="s">
        <v>114</v>
      </c>
      <c r="J5" s="3827"/>
      <c r="K5" s="3827"/>
      <c r="L5" s="3827" t="s">
        <v>115</v>
      </c>
      <c r="M5" s="3827" t="s">
        <v>115</v>
      </c>
      <c r="N5" s="3827" t="s">
        <v>115</v>
      </c>
      <c r="O5" s="3827" t="s">
        <v>115</v>
      </c>
      <c r="P5" s="3827" t="s">
        <v>115</v>
      </c>
      <c r="Q5" s="3827" t="s">
        <v>115</v>
      </c>
      <c r="R5" s="3827"/>
      <c r="S5" s="3827" t="s">
        <v>225</v>
      </c>
      <c r="T5" s="3827" t="s">
        <v>225</v>
      </c>
      <c r="U5" s="3684" t="s">
        <v>225</v>
      </c>
      <c r="V5" s="3684" t="s">
        <v>225</v>
      </c>
      <c r="W5" s="3684" t="s">
        <v>35</v>
      </c>
      <c r="X5" s="3684"/>
      <c r="Y5" s="3684"/>
      <c r="Z5" s="3684" t="s">
        <v>114</v>
      </c>
      <c r="AA5" s="3891" t="s">
        <v>114</v>
      </c>
      <c r="AB5" s="3891" t="s">
        <v>114</v>
      </c>
      <c r="AC5" s="3891" t="s">
        <v>114</v>
      </c>
      <c r="AD5" s="3891" t="s">
        <v>114</v>
      </c>
      <c r="AE5" s="3684"/>
      <c r="AF5" s="3891"/>
      <c r="AG5" s="3767" t="s">
        <v>115</v>
      </c>
    </row>
    <row r="6" spans="1:33">
      <c r="A6" s="3887">
        <v>4</v>
      </c>
      <c r="B6" s="3920" t="s">
        <v>227</v>
      </c>
      <c r="C6" s="3684"/>
      <c r="D6" s="3684"/>
      <c r="E6" s="3684"/>
      <c r="F6" s="3684" t="s">
        <v>107</v>
      </c>
      <c r="G6" s="3684"/>
      <c r="H6" s="3684"/>
      <c r="I6" s="3684" t="s">
        <v>31</v>
      </c>
      <c r="J6" s="3684" t="s">
        <v>115</v>
      </c>
      <c r="K6" s="3684"/>
      <c r="L6" s="3684"/>
      <c r="M6" s="3684" t="s">
        <v>107</v>
      </c>
      <c r="N6" s="3684" t="s">
        <v>107</v>
      </c>
      <c r="O6" s="3684"/>
      <c r="P6" s="3684" t="s">
        <v>107</v>
      </c>
      <c r="Q6" s="3667"/>
      <c r="R6" s="3667"/>
      <c r="S6" s="3667"/>
      <c r="T6" s="3667" t="s">
        <v>107</v>
      </c>
      <c r="U6" s="3667" t="s">
        <v>107</v>
      </c>
      <c r="V6" s="3684"/>
      <c r="W6" s="3684" t="s">
        <v>107</v>
      </c>
      <c r="X6" s="3684"/>
      <c r="Y6" s="3684"/>
      <c r="Z6" s="3684"/>
      <c r="AA6" s="3684" t="s">
        <v>107</v>
      </c>
      <c r="AB6" s="3684"/>
      <c r="AC6" s="3684"/>
      <c r="AD6" s="3684" t="s">
        <v>107</v>
      </c>
      <c r="AE6" s="3684" t="s">
        <v>115</v>
      </c>
      <c r="AF6" s="3684"/>
      <c r="AG6" s="3767"/>
    </row>
    <row r="7" spans="1:33">
      <c r="A7" s="3887">
        <v>5</v>
      </c>
      <c r="B7" s="3920" t="s">
        <v>228</v>
      </c>
      <c r="C7" s="3684"/>
      <c r="D7" s="3684"/>
      <c r="E7" s="3684" t="s">
        <v>107</v>
      </c>
      <c r="F7" s="3684"/>
      <c r="G7" s="3684"/>
      <c r="H7" s="3684" t="s">
        <v>31</v>
      </c>
      <c r="I7" s="3684"/>
      <c r="J7" s="3684"/>
      <c r="K7" s="3684"/>
      <c r="L7" s="3684" t="s">
        <v>107</v>
      </c>
      <c r="M7" s="3684"/>
      <c r="N7" s="3684"/>
      <c r="O7" s="3684" t="s">
        <v>31</v>
      </c>
      <c r="P7" s="3684"/>
      <c r="Q7" s="3684"/>
      <c r="R7" s="3684"/>
      <c r="S7" s="3684" t="s">
        <v>107</v>
      </c>
      <c r="T7" s="3684"/>
      <c r="U7" s="3684"/>
      <c r="V7" s="3684" t="s">
        <v>31</v>
      </c>
      <c r="W7" s="3684"/>
      <c r="X7" s="3684"/>
      <c r="Y7" s="3684"/>
      <c r="Z7" s="3684" t="s">
        <v>107</v>
      </c>
      <c r="AA7" s="3684"/>
      <c r="AB7" s="3684"/>
      <c r="AC7" s="3684" t="s">
        <v>31</v>
      </c>
      <c r="AD7" s="3684"/>
      <c r="AE7" s="3684"/>
      <c r="AF7" s="3684"/>
      <c r="AG7" s="3767" t="s">
        <v>107</v>
      </c>
    </row>
    <row r="8" spans="1:33" ht="15.75" thickBot="1">
      <c r="A8" s="3893">
        <v>6</v>
      </c>
      <c r="B8" s="3606" t="s">
        <v>229</v>
      </c>
      <c r="C8" s="3600"/>
      <c r="D8" s="3600"/>
      <c r="E8" s="3600" t="s">
        <v>31</v>
      </c>
      <c r="F8" s="3600" t="s">
        <v>31</v>
      </c>
      <c r="G8" s="3600" t="s">
        <v>31</v>
      </c>
      <c r="H8" s="3684" t="s">
        <v>31</v>
      </c>
      <c r="I8" s="3684" t="s">
        <v>31</v>
      </c>
      <c r="J8" s="3597"/>
      <c r="K8" s="3684"/>
      <c r="L8" s="3684" t="s">
        <v>31</v>
      </c>
      <c r="M8" s="3684" t="s">
        <v>31</v>
      </c>
      <c r="N8" s="3684" t="s">
        <v>31</v>
      </c>
      <c r="O8" s="3684" t="s">
        <v>31</v>
      </c>
      <c r="P8" s="3684" t="s">
        <v>31</v>
      </c>
      <c r="Q8" s="3684"/>
      <c r="R8" s="3684"/>
      <c r="S8" s="3684" t="s">
        <v>31</v>
      </c>
      <c r="T8" s="3667" t="s">
        <v>31</v>
      </c>
      <c r="U8" s="3667" t="s">
        <v>31</v>
      </c>
      <c r="V8" s="3667" t="s">
        <v>31</v>
      </c>
      <c r="W8" s="3667" t="s">
        <v>31</v>
      </c>
      <c r="X8" s="3667"/>
      <c r="Y8" s="3684"/>
      <c r="Z8" s="3684" t="s">
        <v>31</v>
      </c>
      <c r="AA8" s="3684" t="s">
        <v>31</v>
      </c>
      <c r="AB8" s="3684" t="s">
        <v>31</v>
      </c>
      <c r="AC8" s="3684" t="s">
        <v>31</v>
      </c>
      <c r="AD8" s="3684" t="s">
        <v>31</v>
      </c>
      <c r="AE8" s="3684"/>
      <c r="AF8" s="3684"/>
      <c r="AG8" s="3767" t="s">
        <v>31</v>
      </c>
    </row>
    <row r="11" spans="1:33">
      <c r="A11" s="82"/>
      <c r="B11" s="1" t="s">
        <v>567</v>
      </c>
      <c r="C11" t="s">
        <v>563</v>
      </c>
      <c r="D11" t="s">
        <v>564</v>
      </c>
      <c r="E11" t="s">
        <v>565</v>
      </c>
      <c r="F11" t="s">
        <v>566</v>
      </c>
      <c r="G11" t="s">
        <v>560</v>
      </c>
      <c r="H11" t="s">
        <v>561</v>
      </c>
      <c r="I11" t="s">
        <v>562</v>
      </c>
      <c r="J11" t="s">
        <v>563</v>
      </c>
      <c r="K11" t="s">
        <v>564</v>
      </c>
      <c r="L11" t="s">
        <v>565</v>
      </c>
      <c r="M11" t="s">
        <v>566</v>
      </c>
      <c r="N11" t="s">
        <v>560</v>
      </c>
      <c r="O11" t="s">
        <v>561</v>
      </c>
      <c r="P11" t="s">
        <v>562</v>
      </c>
      <c r="Q11" t="s">
        <v>563</v>
      </c>
      <c r="R11" t="s">
        <v>564</v>
      </c>
      <c r="S11" t="s">
        <v>565</v>
      </c>
      <c r="T11" t="s">
        <v>566</v>
      </c>
      <c r="U11" t="s">
        <v>560</v>
      </c>
      <c r="V11" t="s">
        <v>561</v>
      </c>
      <c r="W11" t="s">
        <v>562</v>
      </c>
      <c r="X11" t="s">
        <v>563</v>
      </c>
      <c r="Y11" t="s">
        <v>564</v>
      </c>
      <c r="Z11" t="s">
        <v>565</v>
      </c>
      <c r="AA11" t="s">
        <v>566</v>
      </c>
      <c r="AB11" t="s">
        <v>560</v>
      </c>
      <c r="AC11" t="s">
        <v>561</v>
      </c>
      <c r="AD11" t="s">
        <v>562</v>
      </c>
      <c r="AE11" t="s">
        <v>563</v>
      </c>
      <c r="AF11" t="s">
        <v>564</v>
      </c>
    </row>
    <row r="12" spans="1:33" ht="15.75" thickBot="1">
      <c r="A12" s="3711"/>
      <c r="B12" s="3661" t="s">
        <v>29</v>
      </c>
      <c r="C12" s="3694">
        <v>1</v>
      </c>
      <c r="D12" s="3694">
        <v>2</v>
      </c>
      <c r="E12" s="3694">
        <v>3</v>
      </c>
      <c r="F12" s="3694">
        <v>4</v>
      </c>
      <c r="G12" s="3713">
        <v>5</v>
      </c>
      <c r="H12" s="3713">
        <v>6</v>
      </c>
      <c r="I12" s="3694">
        <v>7</v>
      </c>
      <c r="J12" s="3694">
        <v>8</v>
      </c>
      <c r="K12" s="3694">
        <v>9</v>
      </c>
      <c r="L12" s="3694">
        <v>10</v>
      </c>
      <c r="M12" s="3694">
        <v>11</v>
      </c>
      <c r="N12" s="3713">
        <v>12</v>
      </c>
      <c r="O12" s="3713">
        <v>13</v>
      </c>
      <c r="P12" s="3694">
        <v>14</v>
      </c>
      <c r="Q12" s="3694">
        <v>15</v>
      </c>
      <c r="R12" s="3694">
        <v>16</v>
      </c>
      <c r="S12" s="3694">
        <v>17</v>
      </c>
      <c r="T12" s="3694">
        <v>18</v>
      </c>
      <c r="U12" s="3713">
        <v>19</v>
      </c>
      <c r="V12" s="3713">
        <v>20</v>
      </c>
      <c r="W12" s="3694">
        <v>21</v>
      </c>
      <c r="X12" s="3694">
        <v>22</v>
      </c>
      <c r="Y12" s="3694">
        <v>23</v>
      </c>
      <c r="Z12" s="3694">
        <v>24</v>
      </c>
      <c r="AA12" s="3694">
        <v>25</v>
      </c>
      <c r="AB12" s="3713">
        <v>26</v>
      </c>
      <c r="AC12" s="3713">
        <v>27</v>
      </c>
      <c r="AD12" s="3694">
        <v>28</v>
      </c>
      <c r="AE12" s="3694">
        <v>29</v>
      </c>
      <c r="AF12" s="3694">
        <v>30</v>
      </c>
      <c r="AG12" s="3585"/>
    </row>
    <row r="13" spans="1:33">
      <c r="A13" s="4282">
        <v>1</v>
      </c>
      <c r="B13" s="4311" t="s">
        <v>223</v>
      </c>
      <c r="C13" s="4108" t="s">
        <v>31</v>
      </c>
      <c r="D13" s="4880" t="s">
        <v>31</v>
      </c>
      <c r="E13" s="4880" t="s">
        <v>31</v>
      </c>
      <c r="F13" s="4880" t="s">
        <v>31</v>
      </c>
      <c r="G13" s="4880"/>
      <c r="H13" s="4880"/>
      <c r="I13" s="4880" t="s">
        <v>31</v>
      </c>
      <c r="J13" s="4108" t="s">
        <v>31</v>
      </c>
      <c r="K13" s="4880" t="s">
        <v>31</v>
      </c>
      <c r="L13" s="4880" t="s">
        <v>31</v>
      </c>
      <c r="M13" s="4880" t="s">
        <v>31</v>
      </c>
      <c r="N13" s="4880"/>
      <c r="O13" s="4880"/>
      <c r="P13" s="4880" t="s">
        <v>31</v>
      </c>
      <c r="Q13" s="4108" t="s">
        <v>31</v>
      </c>
      <c r="R13" s="4880" t="s">
        <v>31</v>
      </c>
      <c r="S13" s="4880" t="s">
        <v>31</v>
      </c>
      <c r="T13" s="4880" t="s">
        <v>31</v>
      </c>
      <c r="U13" s="4880"/>
      <c r="V13" s="4880"/>
      <c r="W13" s="4880" t="s">
        <v>31</v>
      </c>
      <c r="X13" s="4108" t="s">
        <v>31</v>
      </c>
      <c r="Y13" s="4880" t="s">
        <v>31</v>
      </c>
      <c r="Z13" s="4880" t="s">
        <v>31</v>
      </c>
      <c r="AA13" s="4881" t="s">
        <v>31</v>
      </c>
      <c r="AB13" s="4108"/>
      <c r="AC13" s="4880"/>
      <c r="AD13" s="4880" t="s">
        <v>31</v>
      </c>
      <c r="AE13" s="4880" t="s">
        <v>31</v>
      </c>
      <c r="AF13" s="4880" t="s">
        <v>31</v>
      </c>
      <c r="AG13" s="4313"/>
    </row>
    <row r="14" spans="1:33">
      <c r="A14" s="3887">
        <v>2</v>
      </c>
      <c r="B14" s="3916" t="s">
        <v>224</v>
      </c>
      <c r="C14" s="3684" t="s">
        <v>114</v>
      </c>
      <c r="D14" s="3677" t="s">
        <v>114</v>
      </c>
      <c r="E14" s="3684" t="s">
        <v>114</v>
      </c>
      <c r="F14" s="3684" t="s">
        <v>114</v>
      </c>
      <c r="G14" s="3684"/>
      <c r="H14" s="3684"/>
      <c r="I14" s="3684" t="s">
        <v>115</v>
      </c>
      <c r="J14" s="3684" t="s">
        <v>115</v>
      </c>
      <c r="K14" s="3684" t="s">
        <v>115</v>
      </c>
      <c r="L14" s="3684" t="s">
        <v>115</v>
      </c>
      <c r="M14" s="3684" t="s">
        <v>115</v>
      </c>
      <c r="N14" s="3684" t="s">
        <v>115</v>
      </c>
      <c r="O14" s="3684"/>
      <c r="P14" s="3684" t="s">
        <v>225</v>
      </c>
      <c r="Q14" s="3684" t="s">
        <v>225</v>
      </c>
      <c r="R14" s="3684" t="s">
        <v>225</v>
      </c>
      <c r="S14" s="3684" t="s">
        <v>225</v>
      </c>
      <c r="T14" s="3684" t="s">
        <v>35</v>
      </c>
      <c r="U14" s="3684"/>
      <c r="V14" s="3684"/>
      <c r="W14" s="3684" t="s">
        <v>114</v>
      </c>
      <c r="X14" s="3684" t="s">
        <v>114</v>
      </c>
      <c r="Y14" s="3677" t="s">
        <v>114</v>
      </c>
      <c r="Z14" s="3684" t="s">
        <v>114</v>
      </c>
      <c r="AA14" s="3684" t="s">
        <v>114</v>
      </c>
      <c r="AB14" s="3684"/>
      <c r="AC14" s="3684"/>
      <c r="AD14" s="3684" t="s">
        <v>115</v>
      </c>
      <c r="AE14" s="3684" t="s">
        <v>115</v>
      </c>
      <c r="AF14" s="3684" t="s">
        <v>115</v>
      </c>
      <c r="AG14" s="3919"/>
    </row>
    <row r="15" spans="1:33">
      <c r="A15" s="3887">
        <v>3</v>
      </c>
      <c r="B15" s="3920" t="s">
        <v>444</v>
      </c>
      <c r="C15" s="3684" t="s">
        <v>115</v>
      </c>
      <c r="D15" s="3684" t="s">
        <v>115</v>
      </c>
      <c r="E15" s="3684" t="s">
        <v>115</v>
      </c>
      <c r="F15" s="3827" t="s">
        <v>115</v>
      </c>
      <c r="G15" s="3827" t="s">
        <v>115</v>
      </c>
      <c r="H15" s="3827"/>
      <c r="I15" s="3827" t="s">
        <v>225</v>
      </c>
      <c r="J15" s="3827" t="s">
        <v>225</v>
      </c>
      <c r="K15" s="3827" t="s">
        <v>225</v>
      </c>
      <c r="L15" s="3827" t="s">
        <v>225</v>
      </c>
      <c r="M15" s="3827" t="s">
        <v>35</v>
      </c>
      <c r="N15" s="3827"/>
      <c r="O15" s="3827"/>
      <c r="P15" s="3827" t="s">
        <v>114</v>
      </c>
      <c r="Q15" s="3827" t="s">
        <v>114</v>
      </c>
      <c r="R15" s="3827" t="s">
        <v>114</v>
      </c>
      <c r="S15" s="3827" t="s">
        <v>114</v>
      </c>
      <c r="T15" s="3827" t="s">
        <v>114</v>
      </c>
      <c r="U15" s="3684"/>
      <c r="V15" s="3684"/>
      <c r="W15" s="3684" t="s">
        <v>115</v>
      </c>
      <c r="X15" s="3684" t="s">
        <v>115</v>
      </c>
      <c r="Y15" s="3684" t="s">
        <v>115</v>
      </c>
      <c r="Z15" s="3684" t="s">
        <v>115</v>
      </c>
      <c r="AA15" s="3891" t="s">
        <v>115</v>
      </c>
      <c r="AB15" s="3891" t="s">
        <v>115</v>
      </c>
      <c r="AC15" s="3891"/>
      <c r="AD15" s="3891" t="s">
        <v>225</v>
      </c>
      <c r="AE15" s="3891" t="s">
        <v>225</v>
      </c>
      <c r="AF15" s="3891" t="s">
        <v>225</v>
      </c>
      <c r="AG15" s="3919"/>
    </row>
    <row r="16" spans="1:33">
      <c r="A16" s="3887">
        <v>4</v>
      </c>
      <c r="B16" s="3920" t="s">
        <v>227</v>
      </c>
      <c r="C16" s="3684" t="s">
        <v>107</v>
      </c>
      <c r="D16" s="3684" t="s">
        <v>31</v>
      </c>
      <c r="E16" s="3684"/>
      <c r="F16" s="3684" t="s">
        <v>31</v>
      </c>
      <c r="G16" s="3684"/>
      <c r="H16" s="3684"/>
      <c r="I16" s="3684"/>
      <c r="J16" s="3684" t="s">
        <v>107</v>
      </c>
      <c r="K16" s="3684" t="s">
        <v>107</v>
      </c>
      <c r="L16" s="3684"/>
      <c r="M16" s="3684" t="s">
        <v>107</v>
      </c>
      <c r="N16" s="3684"/>
      <c r="O16" s="3684"/>
      <c r="P16" s="3684"/>
      <c r="Q16" s="3667" t="s">
        <v>107</v>
      </c>
      <c r="R16" s="3667"/>
      <c r="S16" s="3667"/>
      <c r="T16" s="3667" t="s">
        <v>107</v>
      </c>
      <c r="U16" s="3684" t="s">
        <v>115</v>
      </c>
      <c r="V16" s="3684"/>
      <c r="W16" s="3684"/>
      <c r="X16" s="3684" t="s">
        <v>107</v>
      </c>
      <c r="Y16" s="3684" t="s">
        <v>107</v>
      </c>
      <c r="Z16" s="3684"/>
      <c r="AA16" s="3684" t="s">
        <v>107</v>
      </c>
      <c r="AB16" s="3684"/>
      <c r="AC16" s="3684"/>
      <c r="AD16" s="3684"/>
      <c r="AE16" s="3684" t="s">
        <v>107</v>
      </c>
      <c r="AF16" s="3684" t="s">
        <v>107</v>
      </c>
      <c r="AG16" s="3919"/>
    </row>
    <row r="17" spans="1:33">
      <c r="A17" s="3887">
        <v>5</v>
      </c>
      <c r="B17" s="3920" t="s">
        <v>228</v>
      </c>
      <c r="C17" s="3684"/>
      <c r="D17" s="3684"/>
      <c r="E17" s="3684" t="s">
        <v>31</v>
      </c>
      <c r="F17" s="3684"/>
      <c r="G17" s="3684"/>
      <c r="H17" s="3684"/>
      <c r="I17" s="3684" t="s">
        <v>107</v>
      </c>
      <c r="J17" s="3684"/>
      <c r="K17" s="3684"/>
      <c r="L17" s="3684" t="s">
        <v>31</v>
      </c>
      <c r="M17" s="3684"/>
      <c r="N17" s="3684"/>
      <c r="O17" s="3684"/>
      <c r="P17" s="3684" t="s">
        <v>107</v>
      </c>
      <c r="Q17" s="3684"/>
      <c r="R17" s="3684"/>
      <c r="S17" s="3684" t="s">
        <v>31</v>
      </c>
      <c r="T17" s="3684"/>
      <c r="U17" s="3684"/>
      <c r="V17" s="3684"/>
      <c r="W17" s="3684" t="s">
        <v>107</v>
      </c>
      <c r="X17" s="3684"/>
      <c r="Y17" s="3684"/>
      <c r="Z17" s="3684" t="s">
        <v>31</v>
      </c>
      <c r="AA17" s="3684"/>
      <c r="AB17" s="3684"/>
      <c r="AC17" s="3684"/>
      <c r="AD17" s="3684" t="s">
        <v>107</v>
      </c>
      <c r="AE17" s="3684"/>
      <c r="AF17" s="3684"/>
      <c r="AG17" s="3919"/>
    </row>
    <row r="18" spans="1:33" ht="15.75" thickBot="1">
      <c r="A18" s="3893">
        <v>6</v>
      </c>
      <c r="B18" s="3606" t="s">
        <v>229</v>
      </c>
      <c r="C18" s="3684" t="s">
        <v>31</v>
      </c>
      <c r="D18" s="3684" t="s">
        <v>31</v>
      </c>
      <c r="E18" s="3684" t="s">
        <v>31</v>
      </c>
      <c r="F18" s="3684" t="s">
        <v>31</v>
      </c>
      <c r="G18" s="3684"/>
      <c r="H18" s="3684"/>
      <c r="I18" s="3684" t="s">
        <v>31</v>
      </c>
      <c r="J18" s="3597" t="s">
        <v>31</v>
      </c>
      <c r="K18" s="3684" t="s">
        <v>31</v>
      </c>
      <c r="L18" s="3684" t="s">
        <v>31</v>
      </c>
      <c r="M18" s="3684" t="s">
        <v>31</v>
      </c>
      <c r="N18" s="3684"/>
      <c r="O18" s="3684"/>
      <c r="P18" s="3684" t="s">
        <v>31</v>
      </c>
      <c r="Q18" s="3684" t="s">
        <v>31</v>
      </c>
      <c r="R18" s="3684" t="s">
        <v>31</v>
      </c>
      <c r="S18" s="3684" t="s">
        <v>31</v>
      </c>
      <c r="T18" s="3667" t="s">
        <v>31</v>
      </c>
      <c r="U18" s="3667"/>
      <c r="V18" s="3667"/>
      <c r="W18" s="3667" t="s">
        <v>31</v>
      </c>
      <c r="X18" s="3667" t="s">
        <v>31</v>
      </c>
      <c r="Y18" s="3684" t="s">
        <v>31</v>
      </c>
      <c r="Z18" s="3684" t="s">
        <v>31</v>
      </c>
      <c r="AA18" s="3684" t="s">
        <v>31</v>
      </c>
      <c r="AB18" s="3684"/>
      <c r="AC18" s="3684"/>
      <c r="AD18" s="3684" t="s">
        <v>31</v>
      </c>
      <c r="AE18" s="3684" t="s">
        <v>31</v>
      </c>
      <c r="AF18" s="3684" t="s">
        <v>31</v>
      </c>
      <c r="AG18" s="4883"/>
    </row>
    <row r="21" spans="1:33">
      <c r="A21" s="82"/>
      <c r="B21" s="1" t="s">
        <v>568</v>
      </c>
      <c r="C21" t="s">
        <v>565</v>
      </c>
      <c r="D21" t="s">
        <v>566</v>
      </c>
      <c r="E21" t="s">
        <v>560</v>
      </c>
      <c r="F21" t="s">
        <v>561</v>
      </c>
      <c r="G21" t="s">
        <v>562</v>
      </c>
      <c r="H21" t="s">
        <v>563</v>
      </c>
      <c r="I21" t="s">
        <v>564</v>
      </c>
      <c r="J21" t="s">
        <v>565</v>
      </c>
      <c r="K21" t="s">
        <v>566</v>
      </c>
      <c r="L21" t="s">
        <v>560</v>
      </c>
      <c r="M21" t="s">
        <v>561</v>
      </c>
      <c r="N21" t="s">
        <v>562</v>
      </c>
      <c r="O21" t="s">
        <v>563</v>
      </c>
      <c r="P21" t="s">
        <v>564</v>
      </c>
      <c r="Q21" t="s">
        <v>565</v>
      </c>
      <c r="R21" t="s">
        <v>566</v>
      </c>
      <c r="S21" t="s">
        <v>560</v>
      </c>
      <c r="T21" t="s">
        <v>561</v>
      </c>
      <c r="U21" t="s">
        <v>562</v>
      </c>
      <c r="V21" t="s">
        <v>563</v>
      </c>
      <c r="W21" t="s">
        <v>564</v>
      </c>
      <c r="X21" t="s">
        <v>565</v>
      </c>
      <c r="Y21" t="s">
        <v>566</v>
      </c>
      <c r="Z21" t="s">
        <v>560</v>
      </c>
      <c r="AA21" t="s">
        <v>561</v>
      </c>
      <c r="AB21" t="s">
        <v>562</v>
      </c>
      <c r="AC21" t="s">
        <v>563</v>
      </c>
      <c r="AD21" t="s">
        <v>564</v>
      </c>
      <c r="AE21" t="s">
        <v>565</v>
      </c>
      <c r="AF21" t="s">
        <v>566</v>
      </c>
      <c r="AG21" t="s">
        <v>560</v>
      </c>
    </row>
    <row r="22" spans="1:33" ht="15.75" thickBot="1">
      <c r="A22" s="3711"/>
      <c r="B22" s="3661" t="s">
        <v>29</v>
      </c>
      <c r="C22" s="4877">
        <v>1</v>
      </c>
      <c r="D22" s="4877">
        <v>2</v>
      </c>
      <c r="E22" s="3410">
        <v>3</v>
      </c>
      <c r="F22" s="3410">
        <v>4</v>
      </c>
      <c r="G22" s="4877">
        <v>5</v>
      </c>
      <c r="H22" s="4877">
        <v>6</v>
      </c>
      <c r="I22" s="4877">
        <v>7</v>
      </c>
      <c r="J22" s="4877">
        <v>8</v>
      </c>
      <c r="K22" s="4877">
        <v>9</v>
      </c>
      <c r="L22" s="3410">
        <v>10</v>
      </c>
      <c r="M22" s="3410">
        <v>11</v>
      </c>
      <c r="N22" s="4877">
        <v>12</v>
      </c>
      <c r="O22" s="4877">
        <v>13</v>
      </c>
      <c r="P22" s="4877">
        <v>14</v>
      </c>
      <c r="Q22" s="4877">
        <v>15</v>
      </c>
      <c r="R22" s="4877">
        <v>16</v>
      </c>
      <c r="S22" s="3410">
        <v>17</v>
      </c>
      <c r="T22" s="3410">
        <v>18</v>
      </c>
      <c r="U22" s="4877">
        <v>19</v>
      </c>
      <c r="V22" s="4877">
        <v>20</v>
      </c>
      <c r="W22" s="4877">
        <v>21</v>
      </c>
      <c r="X22" s="4877">
        <v>22</v>
      </c>
      <c r="Y22" s="4877">
        <v>23</v>
      </c>
      <c r="Z22" s="3410">
        <v>24</v>
      </c>
      <c r="AA22" s="3410">
        <v>25</v>
      </c>
      <c r="AB22" s="4877">
        <v>26</v>
      </c>
      <c r="AC22" s="4877">
        <v>27</v>
      </c>
      <c r="AD22" s="4877">
        <v>28</v>
      </c>
      <c r="AE22" s="4877">
        <v>29</v>
      </c>
      <c r="AF22" s="4877">
        <v>30</v>
      </c>
      <c r="AG22" s="3412">
        <v>31</v>
      </c>
    </row>
    <row r="23" spans="1:33">
      <c r="A23" s="4282">
        <v>1</v>
      </c>
      <c r="B23" s="4311" t="s">
        <v>223</v>
      </c>
      <c r="C23" s="4108" t="s">
        <v>31</v>
      </c>
      <c r="D23" s="4880" t="s">
        <v>31</v>
      </c>
      <c r="E23" s="4880"/>
      <c r="F23" s="4880"/>
      <c r="G23" s="4880" t="s">
        <v>31</v>
      </c>
      <c r="H23" s="4880" t="s">
        <v>31</v>
      </c>
      <c r="I23" s="4880" t="s">
        <v>31</v>
      </c>
      <c r="J23" s="4108" t="s">
        <v>31</v>
      </c>
      <c r="K23" s="4880" t="s">
        <v>31</v>
      </c>
      <c r="L23" s="4880"/>
      <c r="M23" s="4880"/>
      <c r="N23" s="4880" t="s">
        <v>31</v>
      </c>
      <c r="O23" s="4880" t="s">
        <v>31</v>
      </c>
      <c r="P23" s="4880" t="s">
        <v>31</v>
      </c>
      <c r="Q23" s="4108" t="s">
        <v>31</v>
      </c>
      <c r="R23" s="4880" t="s">
        <v>31</v>
      </c>
      <c r="S23" s="4880"/>
      <c r="T23" s="4880"/>
      <c r="U23" s="4880" t="s">
        <v>31</v>
      </c>
      <c r="V23" s="4880" t="s">
        <v>31</v>
      </c>
      <c r="W23" s="4880" t="s">
        <v>31</v>
      </c>
      <c r="X23" s="4108" t="s">
        <v>31</v>
      </c>
      <c r="Y23" s="4880" t="s">
        <v>31</v>
      </c>
      <c r="Z23" s="4880"/>
      <c r="AA23" s="4881"/>
      <c r="AB23" s="4108" t="s">
        <v>31</v>
      </c>
      <c r="AC23" s="4880" t="s">
        <v>31</v>
      </c>
      <c r="AD23" s="4880" t="s">
        <v>31</v>
      </c>
      <c r="AE23" s="4880" t="s">
        <v>31</v>
      </c>
      <c r="AF23" s="4880" t="s">
        <v>31</v>
      </c>
      <c r="AG23" s="4882"/>
    </row>
    <row r="24" spans="1:33">
      <c r="A24" s="3887">
        <v>2</v>
      </c>
      <c r="B24" s="3916" t="s">
        <v>224</v>
      </c>
      <c r="C24" s="3684" t="s">
        <v>115</v>
      </c>
      <c r="D24" s="3677" t="s">
        <v>115</v>
      </c>
      <c r="E24" s="3684" t="s">
        <v>115</v>
      </c>
      <c r="F24" s="3684"/>
      <c r="G24" s="3684" t="s">
        <v>225</v>
      </c>
      <c r="H24" s="3684" t="s">
        <v>225</v>
      </c>
      <c r="I24" s="3684" t="s">
        <v>225</v>
      </c>
      <c r="J24" s="3684" t="s">
        <v>225</v>
      </c>
      <c r="K24" s="3684" t="s">
        <v>35</v>
      </c>
      <c r="L24" s="3684"/>
      <c r="M24" s="3684"/>
      <c r="N24" s="3684" t="s">
        <v>114</v>
      </c>
      <c r="O24" s="3684" t="s">
        <v>114</v>
      </c>
      <c r="P24" s="3684" t="s">
        <v>114</v>
      </c>
      <c r="Q24" s="3684" t="s">
        <v>114</v>
      </c>
      <c r="R24" s="3684" t="s">
        <v>114</v>
      </c>
      <c r="S24" s="3684"/>
      <c r="T24" s="3684"/>
      <c r="U24" s="3684" t="s">
        <v>115</v>
      </c>
      <c r="V24" s="3684" t="s">
        <v>115</v>
      </c>
      <c r="W24" s="3684" t="s">
        <v>115</v>
      </c>
      <c r="X24" s="3684" t="s">
        <v>115</v>
      </c>
      <c r="Y24" s="3677" t="s">
        <v>115</v>
      </c>
      <c r="Z24" s="3684" t="s">
        <v>115</v>
      </c>
      <c r="AA24" s="3684"/>
      <c r="AB24" s="3684" t="s">
        <v>225</v>
      </c>
      <c r="AC24" s="3684" t="s">
        <v>225</v>
      </c>
      <c r="AD24" s="3684" t="s">
        <v>225</v>
      </c>
      <c r="AE24" s="3684" t="s">
        <v>225</v>
      </c>
      <c r="AF24" s="3684" t="s">
        <v>35</v>
      </c>
      <c r="AG24" s="3767"/>
    </row>
    <row r="25" spans="1:33">
      <c r="A25" s="3887">
        <v>3</v>
      </c>
      <c r="B25" s="3920" t="s">
        <v>444</v>
      </c>
      <c r="C25" s="3684" t="s">
        <v>225</v>
      </c>
      <c r="D25" s="3684" t="s">
        <v>35</v>
      </c>
      <c r="E25" s="3684"/>
      <c r="F25" s="3827"/>
      <c r="G25" s="3827" t="s">
        <v>114</v>
      </c>
      <c r="H25" s="3827" t="s">
        <v>114</v>
      </c>
      <c r="I25" s="3827" t="s">
        <v>114</v>
      </c>
      <c r="J25" s="3827" t="s">
        <v>114</v>
      </c>
      <c r="K25" s="3827" t="s">
        <v>114</v>
      </c>
      <c r="L25" s="3827"/>
      <c r="M25" s="3827"/>
      <c r="N25" s="3827" t="s">
        <v>115</v>
      </c>
      <c r="O25" s="3827" t="s">
        <v>115</v>
      </c>
      <c r="P25" s="3827" t="s">
        <v>115</v>
      </c>
      <c r="Q25" s="3827" t="s">
        <v>115</v>
      </c>
      <c r="R25" s="3827" t="s">
        <v>115</v>
      </c>
      <c r="S25" s="3827" t="s">
        <v>115</v>
      </c>
      <c r="T25" s="3827"/>
      <c r="U25" s="3684" t="s">
        <v>225</v>
      </c>
      <c r="V25" s="3684" t="s">
        <v>225</v>
      </c>
      <c r="W25" s="3684" t="s">
        <v>225</v>
      </c>
      <c r="X25" s="3684" t="s">
        <v>225</v>
      </c>
      <c r="Y25" s="3684" t="s">
        <v>35</v>
      </c>
      <c r="Z25" s="3684"/>
      <c r="AA25" s="3891"/>
      <c r="AB25" s="3891" t="s">
        <v>114</v>
      </c>
      <c r="AC25" s="3891" t="s">
        <v>114</v>
      </c>
      <c r="AD25" s="3891" t="s">
        <v>114</v>
      </c>
      <c r="AE25" s="3891" t="s">
        <v>114</v>
      </c>
      <c r="AF25" s="3891" t="s">
        <v>114</v>
      </c>
      <c r="AG25" s="3767"/>
    </row>
    <row r="26" spans="1:33">
      <c r="A26" s="3887">
        <v>4</v>
      </c>
      <c r="B26" s="3920" t="s">
        <v>227</v>
      </c>
      <c r="C26" s="3684"/>
      <c r="D26" s="3684" t="s">
        <v>31</v>
      </c>
      <c r="E26" s="3684"/>
      <c r="F26" s="3684"/>
      <c r="G26" s="3684"/>
      <c r="H26" s="3684"/>
      <c r="I26" s="3684" t="s">
        <v>107</v>
      </c>
      <c r="J26" s="3684"/>
      <c r="K26" s="3684" t="s">
        <v>31</v>
      </c>
      <c r="L26" s="3684" t="s">
        <v>115</v>
      </c>
      <c r="M26" s="3684"/>
      <c r="N26" s="3684"/>
      <c r="O26" s="3684" t="s">
        <v>107</v>
      </c>
      <c r="P26" s="3684" t="s">
        <v>107</v>
      </c>
      <c r="Q26" s="3667"/>
      <c r="R26" s="3667" t="s">
        <v>107</v>
      </c>
      <c r="S26" s="3667"/>
      <c r="T26" s="3667"/>
      <c r="U26" s="3667"/>
      <c r="V26" s="3684" t="s">
        <v>107</v>
      </c>
      <c r="W26" s="3684"/>
      <c r="X26" s="3684"/>
      <c r="Y26" s="3684" t="s">
        <v>107</v>
      </c>
      <c r="Z26" s="3684"/>
      <c r="AA26" s="3684"/>
      <c r="AB26" s="3684"/>
      <c r="AC26" s="3684"/>
      <c r="AD26" s="3684"/>
      <c r="AE26" s="3684"/>
      <c r="AF26" s="3684" t="s">
        <v>107</v>
      </c>
      <c r="AG26" s="3684" t="s">
        <v>115</v>
      </c>
    </row>
    <row r="27" spans="1:33">
      <c r="A27" s="3887">
        <v>5</v>
      </c>
      <c r="B27" s="3920" t="s">
        <v>228</v>
      </c>
      <c r="C27" s="3684" t="s">
        <v>31</v>
      </c>
      <c r="D27" s="3684"/>
      <c r="E27" s="3684"/>
      <c r="F27" s="3684"/>
      <c r="G27" s="3684" t="s">
        <v>107</v>
      </c>
      <c r="H27" s="3684"/>
      <c r="I27" s="3684"/>
      <c r="J27" s="3684" t="s">
        <v>31</v>
      </c>
      <c r="K27" s="3684"/>
      <c r="L27" s="3684"/>
      <c r="M27" s="3684"/>
      <c r="N27" s="3684" t="s">
        <v>107</v>
      </c>
      <c r="O27" s="3684"/>
      <c r="P27" s="3684"/>
      <c r="Q27" s="3684" t="s">
        <v>31</v>
      </c>
      <c r="R27" s="3684"/>
      <c r="S27" s="3684"/>
      <c r="T27" s="3684"/>
      <c r="U27" s="3684" t="s">
        <v>107</v>
      </c>
      <c r="V27" s="3684"/>
      <c r="W27" s="3684"/>
      <c r="X27" s="3684" t="s">
        <v>31</v>
      </c>
      <c r="Y27" s="3684"/>
      <c r="Z27" s="3684"/>
      <c r="AA27" s="3684"/>
      <c r="AB27" s="3684" t="s">
        <v>107</v>
      </c>
      <c r="AC27" s="3684"/>
      <c r="AD27" s="3684"/>
      <c r="AE27" s="3684" t="s">
        <v>31</v>
      </c>
      <c r="AF27" s="3684"/>
      <c r="AG27" s="3767"/>
    </row>
    <row r="28" spans="1:33" ht="15.75" thickBot="1">
      <c r="A28" s="3893">
        <v>6</v>
      </c>
      <c r="B28" s="3606" t="s">
        <v>229</v>
      </c>
      <c r="C28" s="3684" t="s">
        <v>31</v>
      </c>
      <c r="D28" s="3684" t="s">
        <v>31</v>
      </c>
      <c r="E28" s="3684"/>
      <c r="F28" s="3684"/>
      <c r="G28" s="3684" t="s">
        <v>31</v>
      </c>
      <c r="H28" s="3684" t="s">
        <v>31</v>
      </c>
      <c r="I28" s="3684" t="s">
        <v>31</v>
      </c>
      <c r="J28" s="3597" t="s">
        <v>31</v>
      </c>
      <c r="K28" s="3684" t="s">
        <v>31</v>
      </c>
      <c r="L28" s="3684"/>
      <c r="M28" s="3684"/>
      <c r="N28" s="3684" t="s">
        <v>31</v>
      </c>
      <c r="O28" s="3684" t="s">
        <v>31</v>
      </c>
      <c r="P28" s="3684" t="s">
        <v>31</v>
      </c>
      <c r="Q28" s="3684" t="s">
        <v>31</v>
      </c>
      <c r="R28" s="3684" t="s">
        <v>31</v>
      </c>
      <c r="S28" s="3684"/>
      <c r="T28" s="3667"/>
      <c r="U28" s="3667" t="s">
        <v>31</v>
      </c>
      <c r="V28" s="3667" t="s">
        <v>31</v>
      </c>
      <c r="W28" s="3667" t="s">
        <v>31</v>
      </c>
      <c r="X28" s="3667" t="s">
        <v>31</v>
      </c>
      <c r="Y28" s="3684" t="s">
        <v>31</v>
      </c>
      <c r="Z28" s="3684"/>
      <c r="AA28" s="3684"/>
      <c r="AB28" s="3684" t="s">
        <v>31</v>
      </c>
      <c r="AC28" s="3684" t="s">
        <v>31</v>
      </c>
      <c r="AD28" s="3684" t="s">
        <v>31</v>
      </c>
      <c r="AE28" s="3684" t="s">
        <v>31</v>
      </c>
      <c r="AF28" s="3684" t="s">
        <v>31</v>
      </c>
      <c r="AG28" s="3767"/>
    </row>
    <row r="31" spans="1:33">
      <c r="A31" s="82"/>
      <c r="B31" s="1" t="s">
        <v>569</v>
      </c>
      <c r="C31" t="s">
        <v>561</v>
      </c>
      <c r="D31" t="s">
        <v>562</v>
      </c>
      <c r="E31" t="s">
        <v>563</v>
      </c>
      <c r="F31" t="s">
        <v>564</v>
      </c>
      <c r="G31" t="s">
        <v>565</v>
      </c>
      <c r="H31" t="s">
        <v>566</v>
      </c>
      <c r="I31" t="s">
        <v>560</v>
      </c>
      <c r="J31" t="s">
        <v>561</v>
      </c>
      <c r="K31" t="s">
        <v>562</v>
      </c>
      <c r="L31" t="s">
        <v>563</v>
      </c>
      <c r="M31" t="s">
        <v>564</v>
      </c>
      <c r="N31" t="s">
        <v>565</v>
      </c>
      <c r="O31" t="s">
        <v>566</v>
      </c>
      <c r="P31" t="s">
        <v>560</v>
      </c>
      <c r="Q31" t="s">
        <v>561</v>
      </c>
      <c r="R31" t="s">
        <v>562</v>
      </c>
      <c r="S31" t="s">
        <v>563</v>
      </c>
      <c r="T31" t="s">
        <v>564</v>
      </c>
      <c r="U31" t="s">
        <v>565</v>
      </c>
      <c r="V31" t="s">
        <v>566</v>
      </c>
      <c r="W31" t="s">
        <v>560</v>
      </c>
      <c r="X31" t="s">
        <v>561</v>
      </c>
      <c r="Y31" t="s">
        <v>562</v>
      </c>
      <c r="Z31" t="s">
        <v>563</v>
      </c>
      <c r="AA31" t="s">
        <v>564</v>
      </c>
      <c r="AB31" t="s">
        <v>565</v>
      </c>
      <c r="AC31" t="s">
        <v>566</v>
      </c>
      <c r="AD31" t="s">
        <v>560</v>
      </c>
      <c r="AE31" t="s">
        <v>561</v>
      </c>
      <c r="AF31" t="s">
        <v>562</v>
      </c>
      <c r="AG31" s="30"/>
    </row>
    <row r="32" spans="1:33" ht="15.75" thickBot="1">
      <c r="A32" s="3711"/>
      <c r="B32" s="3661" t="s">
        <v>29</v>
      </c>
      <c r="C32" s="3410">
        <v>1</v>
      </c>
      <c r="D32" s="4877">
        <v>2</v>
      </c>
      <c r="E32" s="4877">
        <v>3</v>
      </c>
      <c r="F32" s="4877">
        <v>4</v>
      </c>
      <c r="G32" s="4877">
        <v>5</v>
      </c>
      <c r="H32" s="4877">
        <v>6</v>
      </c>
      <c r="I32" s="3410">
        <v>7</v>
      </c>
      <c r="J32" s="3410">
        <v>8</v>
      </c>
      <c r="K32" s="4877">
        <v>9</v>
      </c>
      <c r="L32" s="4877">
        <v>10</v>
      </c>
      <c r="M32" s="4877">
        <v>11</v>
      </c>
      <c r="N32" s="4877">
        <v>12</v>
      </c>
      <c r="O32" s="4877">
        <v>13</v>
      </c>
      <c r="P32" s="3410">
        <v>14</v>
      </c>
      <c r="Q32" s="3410">
        <v>15</v>
      </c>
      <c r="R32" s="4877">
        <v>16</v>
      </c>
      <c r="S32" s="4877">
        <v>17</v>
      </c>
      <c r="T32" s="4877">
        <v>18</v>
      </c>
      <c r="U32" s="4877">
        <v>19</v>
      </c>
      <c r="V32" s="4877">
        <v>20</v>
      </c>
      <c r="W32" s="3410">
        <v>21</v>
      </c>
      <c r="X32" s="3410">
        <v>22</v>
      </c>
      <c r="Y32" s="4877">
        <v>23</v>
      </c>
      <c r="Z32" s="4877">
        <v>24</v>
      </c>
      <c r="AA32" s="4877">
        <v>25</v>
      </c>
      <c r="AB32" s="4877">
        <v>26</v>
      </c>
      <c r="AC32" s="4877">
        <v>27</v>
      </c>
      <c r="AD32" s="3410">
        <v>28</v>
      </c>
      <c r="AE32" s="3410">
        <v>29</v>
      </c>
      <c r="AF32" s="4877">
        <v>30</v>
      </c>
      <c r="AG32" s="3585"/>
    </row>
    <row r="33" spans="1:33">
      <c r="A33" s="4282">
        <v>1</v>
      </c>
      <c r="B33" s="4311" t="s">
        <v>223</v>
      </c>
      <c r="C33" s="4108"/>
      <c r="D33" s="4880" t="s">
        <v>31</v>
      </c>
      <c r="E33" s="4880" t="s">
        <v>31</v>
      </c>
      <c r="F33" s="4880" t="s">
        <v>31</v>
      </c>
      <c r="G33" s="4880" t="s">
        <v>31</v>
      </c>
      <c r="H33" s="4880" t="s">
        <v>31</v>
      </c>
      <c r="I33" s="4880"/>
      <c r="J33" s="4108"/>
      <c r="K33" s="4880" t="s">
        <v>31</v>
      </c>
      <c r="L33" s="4880" t="s">
        <v>31</v>
      </c>
      <c r="M33" s="4880" t="s">
        <v>31</v>
      </c>
      <c r="N33" s="4880" t="s">
        <v>31</v>
      </c>
      <c r="O33" s="4880" t="s">
        <v>31</v>
      </c>
      <c r="P33" s="4880"/>
      <c r="Q33" s="4108"/>
      <c r="R33" s="4880" t="s">
        <v>31</v>
      </c>
      <c r="S33" s="4880" t="s">
        <v>31</v>
      </c>
      <c r="T33" s="4880" t="s">
        <v>31</v>
      </c>
      <c r="U33" s="4880" t="s">
        <v>31</v>
      </c>
      <c r="V33" s="4880" t="s">
        <v>31</v>
      </c>
      <c r="W33" s="4880"/>
      <c r="X33" s="4108"/>
      <c r="Y33" s="4880" t="s">
        <v>31</v>
      </c>
      <c r="Z33" s="4880" t="s">
        <v>31</v>
      </c>
      <c r="AA33" s="4881" t="s">
        <v>31</v>
      </c>
      <c r="AB33" s="4108" t="s">
        <v>31</v>
      </c>
      <c r="AC33" s="4880" t="s">
        <v>31</v>
      </c>
      <c r="AD33" s="4880"/>
      <c r="AE33" s="4880"/>
      <c r="AF33" s="4880" t="s">
        <v>31</v>
      </c>
      <c r="AG33" s="4882"/>
    </row>
    <row r="34" spans="1:33">
      <c r="A34" s="3887">
        <v>2</v>
      </c>
      <c r="B34" s="3916" t="s">
        <v>224</v>
      </c>
      <c r="C34" s="3684"/>
      <c r="D34" s="3677" t="s">
        <v>114</v>
      </c>
      <c r="E34" s="3684" t="s">
        <v>114</v>
      </c>
      <c r="F34" s="3684" t="s">
        <v>114</v>
      </c>
      <c r="G34" s="3684" t="s">
        <v>114</v>
      </c>
      <c r="H34" s="3684" t="s">
        <v>114</v>
      </c>
      <c r="I34" s="3684"/>
      <c r="J34" s="3684"/>
      <c r="K34" s="3684" t="s">
        <v>115</v>
      </c>
      <c r="L34" s="3684" t="s">
        <v>115</v>
      </c>
      <c r="M34" s="3684" t="s">
        <v>115</v>
      </c>
      <c r="N34" s="3684" t="s">
        <v>115</v>
      </c>
      <c r="O34" s="3684" t="s">
        <v>115</v>
      </c>
      <c r="P34" s="3684" t="s">
        <v>115</v>
      </c>
      <c r="Q34" s="3684"/>
      <c r="R34" s="3684" t="s">
        <v>225</v>
      </c>
      <c r="S34" s="3684" t="s">
        <v>225</v>
      </c>
      <c r="T34" s="3684" t="s">
        <v>225</v>
      </c>
      <c r="U34" s="3684" t="s">
        <v>225</v>
      </c>
      <c r="V34" s="3684" t="s">
        <v>35</v>
      </c>
      <c r="W34" s="3684"/>
      <c r="X34" s="3684"/>
      <c r="Y34" s="3677" t="s">
        <v>114</v>
      </c>
      <c r="Z34" s="3684" t="s">
        <v>114</v>
      </c>
      <c r="AA34" s="3684" t="s">
        <v>114</v>
      </c>
      <c r="AB34" s="3684" t="s">
        <v>114</v>
      </c>
      <c r="AC34" s="3684" t="s">
        <v>114</v>
      </c>
      <c r="AD34" s="3684"/>
      <c r="AE34" s="3684"/>
      <c r="AF34" s="3684" t="s">
        <v>115</v>
      </c>
      <c r="AG34" s="3767"/>
    </row>
    <row r="35" spans="1:33">
      <c r="A35" s="3887">
        <v>3</v>
      </c>
      <c r="B35" s="3920" t="s">
        <v>444</v>
      </c>
      <c r="C35" s="3684"/>
      <c r="D35" s="3684" t="s">
        <v>115</v>
      </c>
      <c r="E35" s="3684" t="s">
        <v>115</v>
      </c>
      <c r="F35" s="3827" t="s">
        <v>115</v>
      </c>
      <c r="G35" s="3827" t="s">
        <v>115</v>
      </c>
      <c r="H35" s="3827" t="s">
        <v>115</v>
      </c>
      <c r="I35" s="3827" t="s">
        <v>115</v>
      </c>
      <c r="J35" s="3827"/>
      <c r="K35" s="3827" t="s">
        <v>225</v>
      </c>
      <c r="L35" s="3827" t="s">
        <v>225</v>
      </c>
      <c r="M35" s="3827" t="s">
        <v>225</v>
      </c>
      <c r="N35" s="3827" t="s">
        <v>225</v>
      </c>
      <c r="O35" s="3827" t="s">
        <v>35</v>
      </c>
      <c r="P35" s="3827"/>
      <c r="Q35" s="3827"/>
      <c r="R35" s="3827" t="s">
        <v>114</v>
      </c>
      <c r="S35" s="3827" t="s">
        <v>114</v>
      </c>
      <c r="T35" s="3827" t="s">
        <v>114</v>
      </c>
      <c r="U35" s="3684" t="s">
        <v>114</v>
      </c>
      <c r="V35" s="3684" t="s">
        <v>114</v>
      </c>
      <c r="W35" s="3684"/>
      <c r="X35" s="3684"/>
      <c r="Y35" s="3684" t="s">
        <v>115</v>
      </c>
      <c r="Z35" s="3684" t="s">
        <v>115</v>
      </c>
      <c r="AA35" s="3891" t="s">
        <v>115</v>
      </c>
      <c r="AB35" s="3891" t="s">
        <v>115</v>
      </c>
      <c r="AC35" s="3891" t="s">
        <v>115</v>
      </c>
      <c r="AD35" s="3891" t="s">
        <v>115</v>
      </c>
      <c r="AE35" s="3891"/>
      <c r="AF35" s="3891" t="s">
        <v>225</v>
      </c>
      <c r="AG35" s="3767"/>
    </row>
    <row r="36" spans="1:33">
      <c r="A36" s="3887">
        <v>4</v>
      </c>
      <c r="B36" s="3920" t="s">
        <v>227</v>
      </c>
      <c r="C36" s="3684"/>
      <c r="D36" s="3684"/>
      <c r="E36" s="3684" t="s">
        <v>107</v>
      </c>
      <c r="F36" s="3684" t="s">
        <v>107</v>
      </c>
      <c r="G36" s="3684"/>
      <c r="H36" s="3684" t="s">
        <v>107</v>
      </c>
      <c r="I36" s="3684"/>
      <c r="J36" s="3684"/>
      <c r="K36" s="3684"/>
      <c r="L36" s="3684" t="s">
        <v>107</v>
      </c>
      <c r="M36" s="3684" t="s">
        <v>107</v>
      </c>
      <c r="N36" s="3684"/>
      <c r="O36" s="3684" t="s">
        <v>107</v>
      </c>
      <c r="P36" s="3684"/>
      <c r="Q36" s="3667"/>
      <c r="R36" s="3667"/>
      <c r="S36" s="3667" t="s">
        <v>107</v>
      </c>
      <c r="T36" s="3667"/>
      <c r="U36" s="3667"/>
      <c r="V36" s="3684" t="s">
        <v>107</v>
      </c>
      <c r="W36" s="3684" t="s">
        <v>115</v>
      </c>
      <c r="X36" s="3684"/>
      <c r="Y36" s="3684"/>
      <c r="Z36" s="3684" t="s">
        <v>107</v>
      </c>
      <c r="AA36" s="3684" t="s">
        <v>107</v>
      </c>
      <c r="AB36" s="3684"/>
      <c r="AC36" s="3684" t="s">
        <v>107</v>
      </c>
      <c r="AD36" s="3684"/>
      <c r="AE36" s="3684"/>
      <c r="AF36" s="3684"/>
      <c r="AG36" s="3767"/>
    </row>
    <row r="37" spans="1:33">
      <c r="A37" s="3887">
        <v>5</v>
      </c>
      <c r="B37" s="3920" t="s">
        <v>228</v>
      </c>
      <c r="C37" s="3684"/>
      <c r="D37" s="3684" t="s">
        <v>107</v>
      </c>
      <c r="E37" s="3684"/>
      <c r="F37" s="3684"/>
      <c r="G37" s="3684" t="s">
        <v>31</v>
      </c>
      <c r="H37" s="3684"/>
      <c r="I37" s="3684"/>
      <c r="J37" s="3684"/>
      <c r="K37" s="3684" t="s">
        <v>107</v>
      </c>
      <c r="L37" s="3684"/>
      <c r="M37" s="3684"/>
      <c r="N37" s="3684" t="s">
        <v>31</v>
      </c>
      <c r="O37" s="3684"/>
      <c r="P37" s="3684"/>
      <c r="Q37" s="3684"/>
      <c r="R37" s="3684" t="s">
        <v>107</v>
      </c>
      <c r="S37" s="3684"/>
      <c r="T37" s="3684"/>
      <c r="U37" s="3684" t="s">
        <v>31</v>
      </c>
      <c r="V37" s="3684"/>
      <c r="W37" s="3684"/>
      <c r="X37" s="3684"/>
      <c r="Y37" s="3684" t="s">
        <v>107</v>
      </c>
      <c r="Z37" s="3684"/>
      <c r="AA37" s="3684"/>
      <c r="AB37" s="3684" t="s">
        <v>31</v>
      </c>
      <c r="AC37" s="3684"/>
      <c r="AD37" s="3684"/>
      <c r="AE37" s="3684"/>
      <c r="AF37" s="3684" t="s">
        <v>107</v>
      </c>
      <c r="AG37" s="3767"/>
    </row>
    <row r="38" spans="1:33" ht="15.75" thickBot="1">
      <c r="A38" s="3893">
        <v>6</v>
      </c>
      <c r="B38" s="3606" t="s">
        <v>229</v>
      </c>
      <c r="C38" s="3684"/>
      <c r="D38" s="3684" t="s">
        <v>31</v>
      </c>
      <c r="E38" s="3684" t="s">
        <v>31</v>
      </c>
      <c r="F38" s="3684" t="s">
        <v>31</v>
      </c>
      <c r="G38" s="3684" t="s">
        <v>31</v>
      </c>
      <c r="H38" s="3684" t="s">
        <v>31</v>
      </c>
      <c r="I38" s="3684"/>
      <c r="J38" s="3597"/>
      <c r="K38" s="3684" t="s">
        <v>31</v>
      </c>
      <c r="L38" s="3684" t="s">
        <v>31</v>
      </c>
      <c r="M38" s="3684" t="s">
        <v>31</v>
      </c>
      <c r="N38" s="3684" t="s">
        <v>31</v>
      </c>
      <c r="O38" s="3684" t="s">
        <v>31</v>
      </c>
      <c r="P38" s="3684"/>
      <c r="Q38" s="3684"/>
      <c r="R38" s="3684" t="s">
        <v>31</v>
      </c>
      <c r="S38" s="3684" t="s">
        <v>31</v>
      </c>
      <c r="T38" s="3667" t="s">
        <v>31</v>
      </c>
      <c r="U38" s="3667" t="s">
        <v>31</v>
      </c>
      <c r="V38" s="3667" t="s">
        <v>31</v>
      </c>
      <c r="W38" s="3667"/>
      <c r="X38" s="3667"/>
      <c r="Y38" s="3684" t="s">
        <v>31</v>
      </c>
      <c r="Z38" s="3684" t="s">
        <v>31</v>
      </c>
      <c r="AA38" s="3684" t="s">
        <v>31</v>
      </c>
      <c r="AB38" s="3684" t="s">
        <v>31</v>
      </c>
      <c r="AC38" s="3684" t="s">
        <v>31</v>
      </c>
      <c r="AD38" s="3684"/>
      <c r="AE38" s="3684"/>
      <c r="AF38" s="3684" t="s">
        <v>31</v>
      </c>
      <c r="AG38" s="3767"/>
    </row>
    <row r="41" spans="1:33">
      <c r="A41" s="82"/>
      <c r="B41" s="1" t="s">
        <v>570</v>
      </c>
      <c r="C41" t="s">
        <v>563</v>
      </c>
      <c r="D41" t="s">
        <v>564</v>
      </c>
      <c r="E41" t="s">
        <v>565</v>
      </c>
      <c r="F41" t="s">
        <v>566</v>
      </c>
      <c r="G41" t="s">
        <v>560</v>
      </c>
      <c r="H41" t="s">
        <v>561</v>
      </c>
      <c r="I41" t="s">
        <v>562</v>
      </c>
      <c r="J41" t="s">
        <v>563</v>
      </c>
      <c r="K41" t="s">
        <v>564</v>
      </c>
      <c r="L41" t="s">
        <v>565</v>
      </c>
      <c r="M41" t="s">
        <v>566</v>
      </c>
      <c r="N41" t="s">
        <v>560</v>
      </c>
      <c r="O41" t="s">
        <v>561</v>
      </c>
      <c r="P41" t="s">
        <v>562</v>
      </c>
      <c r="Q41" t="s">
        <v>563</v>
      </c>
      <c r="R41" t="s">
        <v>564</v>
      </c>
      <c r="S41" t="s">
        <v>565</v>
      </c>
      <c r="T41" t="s">
        <v>566</v>
      </c>
      <c r="U41" t="s">
        <v>560</v>
      </c>
      <c r="V41" t="s">
        <v>561</v>
      </c>
      <c r="W41" t="s">
        <v>562</v>
      </c>
      <c r="X41" t="s">
        <v>563</v>
      </c>
      <c r="Y41" t="s">
        <v>564</v>
      </c>
      <c r="Z41" t="s">
        <v>565</v>
      </c>
      <c r="AA41" t="s">
        <v>566</v>
      </c>
      <c r="AB41" t="s">
        <v>560</v>
      </c>
      <c r="AC41" t="s">
        <v>561</v>
      </c>
      <c r="AD41" t="s">
        <v>562</v>
      </c>
      <c r="AE41" t="s">
        <v>563</v>
      </c>
      <c r="AF41" t="s">
        <v>564</v>
      </c>
      <c r="AG41" t="s">
        <v>565</v>
      </c>
    </row>
    <row r="42" spans="1:33" ht="15.75" thickBot="1">
      <c r="A42" s="3711"/>
      <c r="B42" s="3661" t="s">
        <v>29</v>
      </c>
      <c r="C42" s="3411">
        <v>1</v>
      </c>
      <c r="D42" s="3411">
        <v>2</v>
      </c>
      <c r="E42" s="3411">
        <v>3</v>
      </c>
      <c r="F42" s="3411">
        <v>4</v>
      </c>
      <c r="G42" s="3410">
        <v>5</v>
      </c>
      <c r="H42" s="3410">
        <v>6</v>
      </c>
      <c r="I42" s="3411">
        <v>7</v>
      </c>
      <c r="J42" s="3411">
        <v>8</v>
      </c>
      <c r="K42" s="3411">
        <v>9</v>
      </c>
      <c r="L42" s="3411">
        <v>10</v>
      </c>
      <c r="M42" s="3411">
        <v>11</v>
      </c>
      <c r="N42" s="3410">
        <v>12</v>
      </c>
      <c r="O42" s="3410">
        <v>13</v>
      </c>
      <c r="P42" s="3411">
        <v>14</v>
      </c>
      <c r="Q42" s="3411">
        <v>15</v>
      </c>
      <c r="R42" s="3411">
        <v>16</v>
      </c>
      <c r="S42" s="3411">
        <v>17</v>
      </c>
      <c r="T42" s="3411">
        <v>18</v>
      </c>
      <c r="U42" s="3410">
        <v>19</v>
      </c>
      <c r="V42" s="3410">
        <v>20</v>
      </c>
      <c r="W42" s="3411">
        <v>21</v>
      </c>
      <c r="X42" s="3411">
        <v>22</v>
      </c>
      <c r="Y42" s="3411">
        <v>23</v>
      </c>
      <c r="Z42" s="3410">
        <v>24</v>
      </c>
      <c r="AA42" s="3410">
        <v>25</v>
      </c>
      <c r="AB42" s="3410">
        <v>26</v>
      </c>
      <c r="AC42" s="3410">
        <v>27</v>
      </c>
      <c r="AD42" s="3411">
        <v>28</v>
      </c>
      <c r="AE42" s="3411">
        <v>29</v>
      </c>
      <c r="AF42" s="3411">
        <v>30</v>
      </c>
      <c r="AG42" s="3412">
        <v>31</v>
      </c>
    </row>
    <row r="43" spans="1:33">
      <c r="A43" s="4282">
        <v>1</v>
      </c>
      <c r="B43" s="4311" t="s">
        <v>223</v>
      </c>
      <c r="C43" s="4108" t="s">
        <v>31</v>
      </c>
      <c r="D43" s="4880" t="s">
        <v>31</v>
      </c>
      <c r="E43" s="4880" t="s">
        <v>31</v>
      </c>
      <c r="F43" s="4880" t="s">
        <v>31</v>
      </c>
      <c r="G43" s="4880"/>
      <c r="H43" s="4880"/>
      <c r="I43" s="4880" t="s">
        <v>31</v>
      </c>
      <c r="J43" s="4108" t="s">
        <v>31</v>
      </c>
      <c r="K43" s="4880" t="s">
        <v>31</v>
      </c>
      <c r="L43" s="4880" t="s">
        <v>31</v>
      </c>
      <c r="M43" s="4880" t="s">
        <v>31</v>
      </c>
      <c r="N43" s="4880"/>
      <c r="O43" s="4880"/>
      <c r="P43" s="4880" t="s">
        <v>31</v>
      </c>
      <c r="Q43" s="4108" t="s">
        <v>31</v>
      </c>
      <c r="R43" s="4880" t="s">
        <v>31</v>
      </c>
      <c r="S43" s="4880" t="s">
        <v>31</v>
      </c>
      <c r="T43" s="4880" t="s">
        <v>31</v>
      </c>
      <c r="U43" s="4880"/>
      <c r="V43" s="4880"/>
      <c r="W43" s="4880" t="s">
        <v>31</v>
      </c>
      <c r="X43" s="4108" t="s">
        <v>31</v>
      </c>
      <c r="Y43" s="4880" t="s">
        <v>31</v>
      </c>
      <c r="Z43" s="4880"/>
      <c r="AA43" s="4881"/>
      <c r="AB43" s="4108"/>
      <c r="AC43" s="4880"/>
      <c r="AD43" s="4880" t="s">
        <v>31</v>
      </c>
      <c r="AE43" s="4880" t="s">
        <v>31</v>
      </c>
      <c r="AF43" s="4880" t="s">
        <v>31</v>
      </c>
      <c r="AG43" s="4882"/>
    </row>
    <row r="44" spans="1:33">
      <c r="A44" s="3887">
        <v>2</v>
      </c>
      <c r="B44" s="3916" t="s">
        <v>224</v>
      </c>
      <c r="C44" s="3684" t="s">
        <v>115</v>
      </c>
      <c r="D44" s="3677" t="s">
        <v>115</v>
      </c>
      <c r="E44" s="3684" t="s">
        <v>115</v>
      </c>
      <c r="F44" s="3684" t="s">
        <v>115</v>
      </c>
      <c r="G44" s="3684" t="s">
        <v>115</v>
      </c>
      <c r="H44" s="3684"/>
      <c r="I44" s="3684" t="s">
        <v>225</v>
      </c>
      <c r="J44" s="3684" t="s">
        <v>225</v>
      </c>
      <c r="K44" s="3684" t="s">
        <v>225</v>
      </c>
      <c r="L44" s="3684" t="s">
        <v>225</v>
      </c>
      <c r="M44" s="3684" t="s">
        <v>35</v>
      </c>
      <c r="N44" s="3684"/>
      <c r="O44" s="3684"/>
      <c r="P44" s="3684" t="s">
        <v>114</v>
      </c>
      <c r="Q44" s="3684" t="s">
        <v>114</v>
      </c>
      <c r="R44" s="3684" t="s">
        <v>114</v>
      </c>
      <c r="S44" s="3684" t="s">
        <v>114</v>
      </c>
      <c r="T44" s="3684" t="s">
        <v>114</v>
      </c>
      <c r="U44" s="3684"/>
      <c r="V44" s="3684"/>
      <c r="W44" s="3684" t="s">
        <v>115</v>
      </c>
      <c r="X44" s="3684" t="s">
        <v>115</v>
      </c>
      <c r="Y44" s="3677" t="s">
        <v>115</v>
      </c>
      <c r="Z44" s="3684"/>
      <c r="AA44" s="3684"/>
      <c r="AB44" s="3684"/>
      <c r="AC44" s="3684"/>
      <c r="AD44" s="3684" t="s">
        <v>225</v>
      </c>
      <c r="AE44" s="3684" t="s">
        <v>225</v>
      </c>
      <c r="AF44" s="3684" t="s">
        <v>225</v>
      </c>
      <c r="AG44" s="3767"/>
    </row>
    <row r="45" spans="1:33">
      <c r="A45" s="3887">
        <v>3</v>
      </c>
      <c r="B45" s="3920" t="s">
        <v>444</v>
      </c>
      <c r="C45" s="3684" t="s">
        <v>225</v>
      </c>
      <c r="D45" s="3684" t="s">
        <v>225</v>
      </c>
      <c r="E45" s="3684" t="s">
        <v>225</v>
      </c>
      <c r="F45" s="3827" t="s">
        <v>35</v>
      </c>
      <c r="G45" s="3827"/>
      <c r="H45" s="3827"/>
      <c r="I45" s="3827" t="s">
        <v>114</v>
      </c>
      <c r="J45" s="3827" t="s">
        <v>114</v>
      </c>
      <c r="K45" s="3827" t="s">
        <v>114</v>
      </c>
      <c r="L45" s="3827" t="s">
        <v>114</v>
      </c>
      <c r="M45" s="3827" t="s">
        <v>114</v>
      </c>
      <c r="N45" s="3827"/>
      <c r="O45" s="3827"/>
      <c r="P45" s="3827" t="s">
        <v>115</v>
      </c>
      <c r="Q45" s="3827" t="s">
        <v>115</v>
      </c>
      <c r="R45" s="3827" t="s">
        <v>115</v>
      </c>
      <c r="S45" s="3827" t="s">
        <v>115</v>
      </c>
      <c r="T45" s="3827" t="s">
        <v>115</v>
      </c>
      <c r="U45" s="3684" t="s">
        <v>115</v>
      </c>
      <c r="V45" s="3684"/>
      <c r="W45" s="3684" t="s">
        <v>225</v>
      </c>
      <c r="X45" s="3684" t="s">
        <v>225</v>
      </c>
      <c r="Y45" s="3684" t="s">
        <v>225</v>
      </c>
      <c r="Z45" s="3684"/>
      <c r="AA45" s="3891" t="s">
        <v>35</v>
      </c>
      <c r="AB45" s="3891"/>
      <c r="AC45" s="3891"/>
      <c r="AD45" s="3891" t="s">
        <v>114</v>
      </c>
      <c r="AE45" s="3891" t="s">
        <v>114</v>
      </c>
      <c r="AF45" s="3891" t="s">
        <v>114</v>
      </c>
      <c r="AG45" s="3767"/>
    </row>
    <row r="46" spans="1:33">
      <c r="A46" s="3887">
        <v>4</v>
      </c>
      <c r="B46" s="3920" t="s">
        <v>227</v>
      </c>
      <c r="C46" s="3684" t="s">
        <v>107</v>
      </c>
      <c r="D46" s="3684" t="s">
        <v>31</v>
      </c>
      <c r="E46" s="3684"/>
      <c r="F46" s="3684" t="s">
        <v>31</v>
      </c>
      <c r="G46" s="3684"/>
      <c r="H46" s="3684"/>
      <c r="I46" s="3684"/>
      <c r="J46" s="3684" t="s">
        <v>107</v>
      </c>
      <c r="K46" s="3684"/>
      <c r="L46" s="3684"/>
      <c r="M46" s="3684" t="s">
        <v>107</v>
      </c>
      <c r="N46" s="3684" t="s">
        <v>115</v>
      </c>
      <c r="O46" s="3684"/>
      <c r="P46" s="3684"/>
      <c r="Q46" s="3667" t="s">
        <v>107</v>
      </c>
      <c r="R46" s="3667" t="s">
        <v>107</v>
      </c>
      <c r="S46" s="3667"/>
      <c r="T46" s="3667" t="s">
        <v>107</v>
      </c>
      <c r="U46" s="3667"/>
      <c r="V46" s="3684"/>
      <c r="W46" s="3684"/>
      <c r="X46" s="3684" t="s">
        <v>107</v>
      </c>
      <c r="Y46" s="3684" t="s">
        <v>107</v>
      </c>
      <c r="Z46" s="3684"/>
      <c r="AA46" s="3684"/>
      <c r="AB46" s="3684"/>
      <c r="AC46" s="3684"/>
      <c r="AD46" s="3684" t="s">
        <v>107</v>
      </c>
      <c r="AE46" s="3684" t="s">
        <v>107</v>
      </c>
      <c r="AF46" s="3684"/>
      <c r="AG46" s="3767"/>
    </row>
    <row r="47" spans="1:33">
      <c r="A47" s="3887">
        <v>5</v>
      </c>
      <c r="B47" s="3920" t="s">
        <v>228</v>
      </c>
      <c r="C47" s="3684" t="s">
        <v>31</v>
      </c>
      <c r="D47" s="3684"/>
      <c r="E47" s="3684" t="s">
        <v>31</v>
      </c>
      <c r="F47" s="3684"/>
      <c r="G47" s="3684"/>
      <c r="H47" s="3684"/>
      <c r="I47" s="3684" t="s">
        <v>107</v>
      </c>
      <c r="J47" s="3684"/>
      <c r="K47" s="3684"/>
      <c r="L47" s="3684" t="s">
        <v>31</v>
      </c>
      <c r="M47" s="3684"/>
      <c r="N47" s="3684"/>
      <c r="O47" s="3684"/>
      <c r="P47" s="3684" t="s">
        <v>107</v>
      </c>
      <c r="Q47" s="3684"/>
      <c r="R47" s="3684"/>
      <c r="S47" s="3684" t="s">
        <v>31</v>
      </c>
      <c r="T47" s="3684"/>
      <c r="U47" s="3684"/>
      <c r="V47" s="3684"/>
      <c r="W47" s="3684" t="s">
        <v>107</v>
      </c>
      <c r="X47" s="3684"/>
      <c r="Y47" s="3684"/>
      <c r="Z47" s="3684"/>
      <c r="AA47" s="3684"/>
      <c r="AB47" s="3684"/>
      <c r="AC47" s="3684"/>
      <c r="AD47" s="3684" t="s">
        <v>107</v>
      </c>
      <c r="AE47" s="3684"/>
      <c r="AF47" s="3684"/>
      <c r="AG47" s="3767"/>
    </row>
    <row r="48" spans="1:33" ht="15.75" thickBot="1">
      <c r="A48" s="3893">
        <v>6</v>
      </c>
      <c r="B48" s="3606" t="s">
        <v>229</v>
      </c>
      <c r="C48" s="3684" t="s">
        <v>31</v>
      </c>
      <c r="D48" s="3684" t="s">
        <v>31</v>
      </c>
      <c r="E48" s="3684" t="s">
        <v>31</v>
      </c>
      <c r="F48" s="3684" t="s">
        <v>31</v>
      </c>
      <c r="G48" s="3684"/>
      <c r="H48" s="3684"/>
      <c r="I48" s="3684" t="s">
        <v>31</v>
      </c>
      <c r="J48" s="3597" t="s">
        <v>31</v>
      </c>
      <c r="K48" s="3684" t="s">
        <v>31</v>
      </c>
      <c r="L48" s="3684" t="s">
        <v>31</v>
      </c>
      <c r="M48" s="3684" t="s">
        <v>31</v>
      </c>
      <c r="N48" s="3684"/>
      <c r="O48" s="3684"/>
      <c r="P48" s="3684" t="s">
        <v>31</v>
      </c>
      <c r="Q48" s="3684" t="s">
        <v>31</v>
      </c>
      <c r="R48" s="3684" t="s">
        <v>31</v>
      </c>
      <c r="S48" s="3684" t="s">
        <v>31</v>
      </c>
      <c r="T48" s="3667" t="s">
        <v>31</v>
      </c>
      <c r="U48" s="3667"/>
      <c r="V48" s="3667"/>
      <c r="W48" s="3667" t="s">
        <v>31</v>
      </c>
      <c r="X48" s="3667" t="s">
        <v>31</v>
      </c>
      <c r="Y48" s="3684" t="s">
        <v>31</v>
      </c>
      <c r="Z48" s="3684"/>
      <c r="AA48" s="3684"/>
      <c r="AB48" s="3684"/>
      <c r="AC48" s="3684"/>
      <c r="AD48" s="3684" t="s">
        <v>31</v>
      </c>
      <c r="AE48" s="3684" t="s">
        <v>31</v>
      </c>
      <c r="AF48" s="3684" t="s">
        <v>31</v>
      </c>
      <c r="AG48" s="3767"/>
    </row>
    <row r="53" spans="1:33">
      <c r="A53" s="82"/>
      <c r="B53" s="1"/>
      <c r="H53" s="30"/>
      <c r="O53" s="30"/>
      <c r="V53" s="30"/>
      <c r="AC53" s="30"/>
    </row>
    <row r="54" spans="1:33" ht="15.75" thickBot="1">
      <c r="A54" s="3711"/>
      <c r="B54" s="3694"/>
      <c r="C54" s="4877"/>
      <c r="D54" s="4877"/>
      <c r="E54" s="4877"/>
      <c r="F54" s="4877"/>
      <c r="G54" s="4877"/>
      <c r="H54" s="4877"/>
      <c r="I54" s="4877"/>
      <c r="J54" s="4877"/>
      <c r="K54" s="4877"/>
      <c r="L54" s="4877"/>
      <c r="M54" s="4877"/>
      <c r="N54" s="4877"/>
      <c r="O54" s="4877"/>
      <c r="P54" s="4877"/>
      <c r="Q54" s="4877"/>
      <c r="R54" s="4877"/>
      <c r="S54" s="4877"/>
      <c r="T54" s="4877"/>
      <c r="U54" s="4877"/>
      <c r="V54" s="4877"/>
      <c r="W54" s="4877"/>
      <c r="X54" s="4877"/>
      <c r="Y54" s="4877"/>
      <c r="Z54" s="4877"/>
      <c r="AA54" s="4877"/>
      <c r="AB54" s="4877"/>
      <c r="AC54" s="4877"/>
      <c r="AD54" s="4877"/>
      <c r="AE54" s="4877"/>
      <c r="AF54" s="4877"/>
      <c r="AG54" s="4878"/>
    </row>
    <row r="55" spans="1:33">
      <c r="A55" s="4282"/>
      <c r="B55" s="4199"/>
      <c r="C55" s="4199"/>
      <c r="D55" s="4199"/>
      <c r="E55" s="4199"/>
      <c r="F55" s="4199"/>
      <c r="G55" s="4199"/>
      <c r="H55" s="4199"/>
      <c r="I55" s="4199"/>
      <c r="J55" s="4199"/>
      <c r="K55" s="4199"/>
      <c r="L55" s="4199"/>
      <c r="M55" s="4199"/>
      <c r="N55" s="4199"/>
      <c r="O55" s="4199"/>
      <c r="P55" s="4199"/>
      <c r="Q55" s="4199"/>
      <c r="R55" s="4199"/>
      <c r="S55" s="4199"/>
      <c r="T55" s="4199"/>
      <c r="U55" s="4199"/>
      <c r="V55" s="4199"/>
      <c r="W55" s="4199"/>
      <c r="X55" s="4199"/>
      <c r="Y55" s="4199"/>
      <c r="Z55" s="4199"/>
      <c r="AA55" s="4199"/>
      <c r="AB55" s="4199"/>
      <c r="AC55" s="4199"/>
      <c r="AD55" s="4199"/>
      <c r="AE55" s="4199"/>
      <c r="AF55" s="4199"/>
      <c r="AG55" s="4884"/>
    </row>
    <row r="56" spans="1:33">
      <c r="A56" s="3887"/>
      <c r="B56" s="3692"/>
      <c r="C56" s="3692"/>
      <c r="D56" s="3692"/>
      <c r="E56" s="3692"/>
      <c r="F56" s="3692"/>
      <c r="G56" s="3692"/>
      <c r="H56" s="3692"/>
      <c r="I56" s="3692"/>
      <c r="J56" s="3692"/>
      <c r="K56" s="3692"/>
      <c r="L56" s="3692"/>
      <c r="M56" s="3692"/>
      <c r="N56" s="3692"/>
      <c r="O56" s="3692"/>
      <c r="P56" s="3692"/>
      <c r="Q56" s="3692"/>
      <c r="R56" s="3692"/>
      <c r="S56" s="3692"/>
      <c r="T56" s="3692"/>
      <c r="U56" s="3692"/>
      <c r="V56" s="3692"/>
      <c r="W56" s="3692"/>
      <c r="X56" s="3692"/>
      <c r="Y56" s="3692"/>
      <c r="Z56" s="3692"/>
      <c r="AA56" s="3692"/>
      <c r="AB56" s="3692"/>
      <c r="AC56" s="3692"/>
      <c r="AD56" s="3692"/>
      <c r="AE56" s="3692"/>
      <c r="AF56" s="3692"/>
      <c r="AG56" s="4885"/>
    </row>
    <row r="57" spans="1:33">
      <c r="A57" s="3887"/>
      <c r="B57" s="3692"/>
      <c r="C57" s="3692"/>
      <c r="D57" s="3692"/>
      <c r="E57" s="3692"/>
      <c r="F57" s="3692"/>
      <c r="G57" s="3692"/>
      <c r="H57" s="3692"/>
      <c r="I57" s="3692"/>
      <c r="J57" s="3692"/>
      <c r="K57" s="3692"/>
      <c r="L57" s="3692"/>
      <c r="M57" s="3692"/>
      <c r="N57" s="3692"/>
      <c r="O57" s="3692"/>
      <c r="P57" s="3692"/>
      <c r="Q57" s="3692"/>
      <c r="R57" s="3692"/>
      <c r="S57" s="3692"/>
      <c r="T57" s="3692"/>
      <c r="U57" s="3692"/>
      <c r="V57" s="3692"/>
      <c r="W57" s="3692"/>
      <c r="X57" s="3692"/>
      <c r="Y57" s="3692"/>
      <c r="Z57" s="3692"/>
      <c r="AA57" s="3692"/>
      <c r="AB57" s="3692"/>
      <c r="AC57" s="3692"/>
      <c r="AD57" s="3692"/>
      <c r="AE57" s="3692"/>
      <c r="AF57" s="3692"/>
      <c r="AG57" s="4885"/>
    </row>
    <row r="58" spans="1:33">
      <c r="A58" s="3887"/>
      <c r="B58" s="3692"/>
      <c r="C58" s="3692"/>
      <c r="D58" s="3692"/>
      <c r="E58" s="3692"/>
      <c r="F58" s="3692"/>
      <c r="G58" s="3692"/>
      <c r="H58" s="3692"/>
      <c r="I58" s="3692"/>
      <c r="J58" s="3692"/>
      <c r="K58" s="3692"/>
      <c r="L58" s="3692"/>
      <c r="M58" s="3692"/>
      <c r="N58" s="3692"/>
      <c r="O58" s="3692"/>
      <c r="P58" s="3692"/>
      <c r="Q58" s="3692"/>
      <c r="R58" s="3692"/>
      <c r="S58" s="3692"/>
      <c r="T58" s="3692"/>
      <c r="U58" s="3692"/>
      <c r="V58" s="3692"/>
      <c r="W58" s="3692"/>
      <c r="X58" s="3692"/>
      <c r="Y58" s="3692"/>
      <c r="Z58" s="3692"/>
      <c r="AA58" s="3692"/>
      <c r="AB58" s="3692"/>
      <c r="AC58" s="3692"/>
      <c r="AD58" s="3692"/>
      <c r="AE58" s="3692"/>
      <c r="AF58" s="3692"/>
      <c r="AG58" s="4885"/>
    </row>
    <row r="59" spans="1:33">
      <c r="A59" s="3887"/>
      <c r="B59" s="3692"/>
      <c r="C59" s="3692"/>
      <c r="D59" s="3692"/>
      <c r="E59" s="3692"/>
      <c r="F59" s="3692"/>
      <c r="G59" s="3692"/>
      <c r="H59" s="3692"/>
      <c r="I59" s="3692"/>
      <c r="J59" s="3692"/>
      <c r="K59" s="3692"/>
      <c r="L59" s="3692"/>
      <c r="M59" s="3692"/>
      <c r="N59" s="3692"/>
      <c r="O59" s="3692"/>
      <c r="P59" s="3692"/>
      <c r="Q59" s="3692"/>
      <c r="R59" s="3692"/>
      <c r="S59" s="3692"/>
      <c r="T59" s="3692"/>
      <c r="U59" s="3692"/>
      <c r="V59" s="3692"/>
      <c r="W59" s="3692"/>
      <c r="X59" s="3692"/>
      <c r="Y59" s="3692"/>
      <c r="Z59" s="3692"/>
      <c r="AA59" s="3692"/>
      <c r="AB59" s="3692"/>
      <c r="AC59" s="3692"/>
      <c r="AD59" s="3692"/>
      <c r="AE59" s="3692"/>
      <c r="AF59" s="3692"/>
      <c r="AG59" s="4885"/>
    </row>
    <row r="60" spans="1:33" ht="15.75" thickBot="1">
      <c r="A60" s="3893"/>
      <c r="B60" s="4877"/>
      <c r="C60" s="4877"/>
      <c r="D60" s="4877"/>
      <c r="E60" s="4877"/>
      <c r="F60" s="4877"/>
      <c r="G60" s="4877"/>
      <c r="H60" s="4877"/>
      <c r="I60" s="4877"/>
      <c r="J60" s="4877"/>
      <c r="K60" s="4877"/>
      <c r="L60" s="4877"/>
      <c r="M60" s="4877"/>
      <c r="N60" s="4877"/>
      <c r="O60" s="4877"/>
      <c r="P60" s="4877"/>
      <c r="Q60" s="4877"/>
      <c r="R60" s="4877"/>
      <c r="S60" s="4877"/>
      <c r="T60" s="4877"/>
      <c r="U60" s="4877"/>
      <c r="V60" s="4877"/>
      <c r="W60" s="4877"/>
      <c r="X60" s="4877"/>
      <c r="Y60" s="4877"/>
      <c r="Z60" s="4877"/>
      <c r="AA60" s="4877"/>
      <c r="AB60" s="4877"/>
      <c r="AC60" s="4877"/>
      <c r="AD60" s="4877"/>
      <c r="AE60" s="4877"/>
      <c r="AF60" s="4877"/>
      <c r="AG60" s="4878"/>
    </row>
    <row r="63" spans="1:33">
      <c r="A63" s="82"/>
      <c r="E63" s="271"/>
      <c r="L63" s="271"/>
      <c r="S63" s="271"/>
      <c r="Z63" s="271"/>
      <c r="AG63" s="271"/>
    </row>
    <row r="64" spans="1:33" ht="15.75" thickBot="1">
      <c r="A64" s="3711"/>
      <c r="B64" s="3694"/>
      <c r="C64" s="4877"/>
      <c r="D64" s="4877"/>
      <c r="E64" s="4877"/>
      <c r="F64" s="4877"/>
      <c r="G64" s="4877"/>
      <c r="H64" s="4877"/>
      <c r="I64" s="4877"/>
      <c r="J64" s="4877"/>
      <c r="K64" s="4877"/>
      <c r="L64" s="4877"/>
      <c r="M64" s="4877"/>
      <c r="N64" s="4877"/>
      <c r="O64" s="4877"/>
      <c r="P64" s="4877"/>
      <c r="Q64" s="4877"/>
      <c r="R64" s="4877"/>
      <c r="S64" s="4877"/>
      <c r="T64" s="4877"/>
      <c r="U64" s="4877"/>
      <c r="V64" s="4877"/>
      <c r="W64" s="4877"/>
      <c r="X64" s="4877"/>
      <c r="Y64" s="4877"/>
      <c r="Z64" s="4877"/>
      <c r="AA64" s="4877"/>
      <c r="AB64" s="4877"/>
      <c r="AC64" s="4877"/>
      <c r="AD64" s="4877"/>
      <c r="AE64" s="4877"/>
      <c r="AF64" s="4877"/>
      <c r="AG64" s="4878"/>
    </row>
    <row r="65" spans="1:33">
      <c r="A65" s="4282"/>
      <c r="B65" s="4199"/>
      <c r="C65" s="4199"/>
      <c r="D65" s="4199"/>
      <c r="E65" s="4199"/>
      <c r="F65" s="4199"/>
      <c r="G65" s="4199"/>
      <c r="H65" s="4199"/>
      <c r="I65" s="4199"/>
      <c r="J65" s="4199"/>
      <c r="K65" s="4199"/>
      <c r="L65" s="4199"/>
      <c r="M65" s="4199"/>
      <c r="N65" s="4199"/>
      <c r="O65" s="4199"/>
      <c r="P65" s="4199"/>
      <c r="Q65" s="4199"/>
      <c r="R65" s="4199"/>
      <c r="S65" s="4199"/>
      <c r="T65" s="4199"/>
      <c r="U65" s="4199"/>
      <c r="V65" s="4199"/>
      <c r="W65" s="4199"/>
      <c r="X65" s="4199"/>
      <c r="Y65" s="4199"/>
      <c r="Z65" s="4199"/>
      <c r="AA65" s="4199"/>
      <c r="AB65" s="4199"/>
      <c r="AC65" s="4199"/>
      <c r="AD65" s="4199"/>
      <c r="AE65" s="4199"/>
      <c r="AF65" s="4199"/>
      <c r="AG65" s="4884"/>
    </row>
    <row r="66" spans="1:33">
      <c r="A66" s="3887"/>
      <c r="B66" s="3692"/>
      <c r="C66" s="3692"/>
      <c r="D66" s="3692"/>
      <c r="E66" s="3692"/>
      <c r="F66" s="3692"/>
      <c r="G66" s="3692"/>
      <c r="H66" s="3692"/>
      <c r="I66" s="3692"/>
      <c r="J66" s="3692"/>
      <c r="K66" s="3692"/>
      <c r="L66" s="3692"/>
      <c r="M66" s="3692"/>
      <c r="N66" s="3692"/>
      <c r="O66" s="3692"/>
      <c r="P66" s="3692"/>
      <c r="Q66" s="3692"/>
      <c r="R66" s="3692"/>
      <c r="S66" s="3692"/>
      <c r="T66" s="3692"/>
      <c r="U66" s="3692"/>
      <c r="V66" s="3692"/>
      <c r="W66" s="3692"/>
      <c r="X66" s="3692"/>
      <c r="Y66" s="3692"/>
      <c r="Z66" s="3692"/>
      <c r="AA66" s="3692"/>
      <c r="AB66" s="3692"/>
      <c r="AC66" s="3692"/>
      <c r="AD66" s="3692"/>
      <c r="AE66" s="3692"/>
      <c r="AF66" s="3692"/>
      <c r="AG66" s="4885"/>
    </row>
    <row r="67" spans="1:33">
      <c r="A67" s="3887"/>
      <c r="B67" s="3692"/>
      <c r="C67" s="3692"/>
      <c r="D67" s="3692"/>
      <c r="E67" s="3692"/>
      <c r="F67" s="3692"/>
      <c r="G67" s="3692"/>
      <c r="H67" s="3692"/>
      <c r="I67" s="3692"/>
      <c r="J67" s="3692"/>
      <c r="K67" s="3692"/>
      <c r="L67" s="3692"/>
      <c r="M67" s="3692"/>
      <c r="N67" s="3692"/>
      <c r="O67" s="3692"/>
      <c r="P67" s="3692"/>
      <c r="Q67" s="3692"/>
      <c r="R67" s="3692"/>
      <c r="S67" s="3692"/>
      <c r="T67" s="3692"/>
      <c r="U67" s="3692"/>
      <c r="V67" s="3692"/>
      <c r="W67" s="3692"/>
      <c r="X67" s="3692"/>
      <c r="Y67" s="3692"/>
      <c r="Z67" s="3692"/>
      <c r="AA67" s="3692"/>
      <c r="AB67" s="3692"/>
      <c r="AC67" s="3692"/>
      <c r="AD67" s="3692"/>
      <c r="AE67" s="3692"/>
      <c r="AF67" s="3692"/>
      <c r="AG67" s="4885"/>
    </row>
    <row r="68" spans="1:33">
      <c r="A68" s="3887"/>
      <c r="B68" s="3692"/>
      <c r="C68" s="3692"/>
      <c r="D68" s="3692"/>
      <c r="E68" s="3692"/>
      <c r="F68" s="3692"/>
      <c r="G68" s="3692"/>
      <c r="H68" s="3692"/>
      <c r="I68" s="3692"/>
      <c r="J68" s="3692"/>
      <c r="K68" s="3692"/>
      <c r="L68" s="3692"/>
      <c r="M68" s="3692"/>
      <c r="N68" s="3692"/>
      <c r="O68" s="3692"/>
      <c r="P68" s="3692"/>
      <c r="Q68" s="3692"/>
      <c r="R68" s="3692"/>
      <c r="S68" s="3692"/>
      <c r="T68" s="3692"/>
      <c r="U68" s="3692"/>
      <c r="V68" s="3692"/>
      <c r="W68" s="3692"/>
      <c r="X68" s="3692"/>
      <c r="Y68" s="3692"/>
      <c r="Z68" s="3692"/>
      <c r="AA68" s="3692"/>
      <c r="AB68" s="3692"/>
      <c r="AC68" s="3692"/>
      <c r="AD68" s="3692"/>
      <c r="AE68" s="3692"/>
      <c r="AF68" s="3692"/>
      <c r="AG68" s="4885"/>
    </row>
    <row r="69" spans="1:33">
      <c r="A69" s="3887"/>
      <c r="B69" s="3692"/>
      <c r="C69" s="3692"/>
      <c r="D69" s="3692"/>
      <c r="E69" s="3692"/>
      <c r="F69" s="3692"/>
      <c r="G69" s="3692"/>
      <c r="H69" s="3692"/>
      <c r="I69" s="3692"/>
      <c r="J69" s="3692"/>
      <c r="K69" s="3692"/>
      <c r="L69" s="3692"/>
      <c r="M69" s="3692"/>
      <c r="N69" s="3692"/>
      <c r="O69" s="3692"/>
      <c r="P69" s="3692"/>
      <c r="Q69" s="3692"/>
      <c r="R69" s="3692"/>
      <c r="S69" s="3692"/>
      <c r="T69" s="3692"/>
      <c r="U69" s="3692"/>
      <c r="V69" s="3692"/>
      <c r="W69" s="3692"/>
      <c r="X69" s="3692"/>
      <c r="Y69" s="3692"/>
      <c r="Z69" s="3692"/>
      <c r="AA69" s="3692"/>
      <c r="AB69" s="3692"/>
      <c r="AC69" s="3692"/>
      <c r="AD69" s="3692"/>
      <c r="AE69" s="3692"/>
      <c r="AF69" s="3692"/>
      <c r="AG69" s="4885"/>
    </row>
    <row r="70" spans="1:33" ht="15.75" thickBot="1">
      <c r="A70" s="3893"/>
      <c r="B70" s="4877"/>
      <c r="C70" s="4877"/>
      <c r="D70" s="4877"/>
      <c r="E70" s="4877"/>
      <c r="F70" s="4877"/>
      <c r="G70" s="4877"/>
      <c r="H70" s="4877"/>
      <c r="I70" s="4877"/>
      <c r="J70" s="4877"/>
      <c r="K70" s="4877"/>
      <c r="L70" s="4877"/>
      <c r="M70" s="4877"/>
      <c r="N70" s="4877"/>
      <c r="O70" s="4877"/>
      <c r="P70" s="4877"/>
      <c r="Q70" s="4877"/>
      <c r="R70" s="4877"/>
      <c r="S70" s="4877"/>
      <c r="T70" s="4877"/>
      <c r="U70" s="4877"/>
      <c r="V70" s="4877"/>
      <c r="W70" s="4877"/>
      <c r="X70" s="4877"/>
      <c r="Y70" s="4877"/>
      <c r="Z70" s="4877"/>
      <c r="AA70" s="4877"/>
      <c r="AB70" s="4877"/>
      <c r="AC70" s="4877"/>
      <c r="AD70" s="4877"/>
      <c r="AE70" s="4877"/>
      <c r="AF70" s="4877"/>
      <c r="AG70" s="4878"/>
    </row>
  </sheetData>
  <pageMargins left="0.7" right="0.7" top="0.75" bottom="0.75" header="0.3" footer="0.3"/>
  <pageSetup paperSize="9" orientation="portrait" r:id="rId1"/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01241-170C-4813-A825-8D5494C263D1}">
  <sheetPr codeName="Ark16"/>
  <dimension ref="A1:N160"/>
  <sheetViews>
    <sheetView topLeftCell="A24" workbookViewId="0">
      <selection activeCell="M24" sqref="M24"/>
    </sheetView>
  </sheetViews>
  <sheetFormatPr defaultRowHeight="15"/>
  <sheetData>
    <row r="1" spans="1:10" ht="24" thickBot="1">
      <c r="A1" s="1" t="s">
        <v>571</v>
      </c>
      <c r="B1" s="1"/>
      <c r="D1" s="170"/>
      <c r="E1" s="170"/>
    </row>
    <row r="2" spans="1:10">
      <c r="A2" s="4886" t="s">
        <v>572</v>
      </c>
      <c r="B2" s="4887" t="s">
        <v>87</v>
      </c>
      <c r="C2" s="4888" t="s">
        <v>88</v>
      </c>
      <c r="D2" s="4888" t="s">
        <v>89</v>
      </c>
      <c r="E2" s="4888" t="s">
        <v>90</v>
      </c>
      <c r="F2" s="4888" t="s">
        <v>91</v>
      </c>
      <c r="G2" s="4888" t="s">
        <v>92</v>
      </c>
      <c r="H2" s="3837" t="s">
        <v>93</v>
      </c>
      <c r="I2" s="3834" t="s">
        <v>158</v>
      </c>
      <c r="J2" s="4889" t="s">
        <v>94</v>
      </c>
    </row>
    <row r="3" spans="1:10">
      <c r="A3" s="116"/>
      <c r="B3" s="171" t="s">
        <v>286</v>
      </c>
      <c r="C3" s="171" t="s">
        <v>286</v>
      </c>
      <c r="D3" s="171" t="s">
        <v>286</v>
      </c>
      <c r="E3" s="171" t="s">
        <v>286</v>
      </c>
      <c r="F3" s="172" t="s">
        <v>287</v>
      </c>
      <c r="G3" s="173"/>
      <c r="H3" s="174"/>
      <c r="I3" s="121"/>
      <c r="J3" s="175"/>
    </row>
    <row r="4" spans="1:10" ht="15.75" thickBot="1">
      <c r="A4" s="4309" t="s">
        <v>573</v>
      </c>
      <c r="B4" s="4890">
        <v>7.75</v>
      </c>
      <c r="C4" s="4890">
        <v>7.75</v>
      </c>
      <c r="D4" s="4890">
        <v>7.75</v>
      </c>
      <c r="E4" s="4890">
        <v>7.75</v>
      </c>
      <c r="F4" s="4891">
        <v>6</v>
      </c>
      <c r="G4" s="4892"/>
      <c r="H4" s="4893"/>
      <c r="I4" s="4894">
        <f>SUM(B4:H4)</f>
        <v>37</v>
      </c>
      <c r="J4" s="4895"/>
    </row>
    <row r="6" spans="1:10" ht="24" thickBot="1">
      <c r="A6" s="1" t="s">
        <v>19</v>
      </c>
      <c r="B6" s="1"/>
      <c r="D6" s="170"/>
      <c r="E6" s="170"/>
    </row>
    <row r="7" spans="1:10" ht="15.75" thickBot="1">
      <c r="A7" s="3833" t="s">
        <v>574</v>
      </c>
      <c r="B7" s="4896" t="s">
        <v>87</v>
      </c>
      <c r="C7" s="4897" t="s">
        <v>88</v>
      </c>
      <c r="D7" s="4897" t="s">
        <v>89</v>
      </c>
      <c r="E7" s="4897" t="s">
        <v>90</v>
      </c>
      <c r="F7" s="4897" t="s">
        <v>91</v>
      </c>
      <c r="G7" s="4897" t="s">
        <v>92</v>
      </c>
      <c r="H7" s="4898" t="s">
        <v>93</v>
      </c>
      <c r="I7" s="4899" t="s">
        <v>158</v>
      </c>
      <c r="J7" s="4900" t="s">
        <v>94</v>
      </c>
    </row>
    <row r="8" spans="1:10">
      <c r="A8" s="4901"/>
      <c r="B8" s="4902" t="s">
        <v>575</v>
      </c>
      <c r="C8" s="4902" t="s">
        <v>576</v>
      </c>
      <c r="D8" s="4903" t="s">
        <v>577</v>
      </c>
      <c r="E8" s="4903" t="s">
        <v>577</v>
      </c>
      <c r="F8" s="4903" t="s">
        <v>577</v>
      </c>
      <c r="G8" s="4903" t="s">
        <v>578</v>
      </c>
      <c r="H8" s="4903" t="s">
        <v>578</v>
      </c>
      <c r="I8" s="3834"/>
      <c r="J8" s="4904"/>
    </row>
    <row r="9" spans="1:10" ht="15.75" thickBot="1">
      <c r="A9" s="4905" t="s">
        <v>579</v>
      </c>
      <c r="B9" s="4906">
        <v>7.4</v>
      </c>
      <c r="C9" s="4890">
        <v>8</v>
      </c>
      <c r="D9" s="4891">
        <v>8</v>
      </c>
      <c r="E9" s="4891">
        <v>8</v>
      </c>
      <c r="F9" s="4891">
        <v>8</v>
      </c>
      <c r="G9" s="4891">
        <v>12</v>
      </c>
      <c r="H9" s="4907">
        <v>12</v>
      </c>
      <c r="I9" s="4908">
        <f>SUM(B9:H9)</f>
        <v>63.4</v>
      </c>
      <c r="J9" s="4909"/>
    </row>
    <row r="10" spans="1:10">
      <c r="A10" s="176"/>
      <c r="B10" s="171" t="s">
        <v>577</v>
      </c>
      <c r="C10" s="171" t="s">
        <v>577</v>
      </c>
      <c r="D10" s="4902" t="s">
        <v>575</v>
      </c>
      <c r="E10" s="4902" t="s">
        <v>575</v>
      </c>
      <c r="F10" s="4902" t="s">
        <v>575</v>
      </c>
      <c r="G10" s="172"/>
      <c r="H10" s="177"/>
      <c r="I10" s="121"/>
      <c r="J10" s="178"/>
    </row>
    <row r="11" spans="1:10" ht="15.75" thickBot="1">
      <c r="A11" s="4309" t="s">
        <v>580</v>
      </c>
      <c r="B11" s="4890">
        <v>8</v>
      </c>
      <c r="C11" s="4891">
        <v>8</v>
      </c>
      <c r="D11" s="4906">
        <v>7.4</v>
      </c>
      <c r="E11" s="4906">
        <v>7.4</v>
      </c>
      <c r="F11" s="4906">
        <v>7.4</v>
      </c>
      <c r="G11" s="4891"/>
      <c r="H11" s="4907"/>
      <c r="I11" s="4908">
        <f>SUM(B11:H11)</f>
        <v>38.199999999999996</v>
      </c>
      <c r="J11" s="4909"/>
    </row>
    <row r="12" spans="1:10">
      <c r="A12" s="4910"/>
      <c r="B12" s="4902" t="s">
        <v>581</v>
      </c>
      <c r="C12" s="4902" t="s">
        <v>581</v>
      </c>
      <c r="D12" s="4902" t="s">
        <v>581</v>
      </c>
      <c r="E12" s="4902" t="s">
        <v>581</v>
      </c>
      <c r="F12" s="4902" t="s">
        <v>581</v>
      </c>
      <c r="G12" s="4903"/>
      <c r="H12" s="4911"/>
      <c r="I12" s="3834"/>
      <c r="J12" s="4904"/>
    </row>
    <row r="13" spans="1:10" ht="15.75" thickBot="1">
      <c r="A13" s="4309" t="s">
        <v>582</v>
      </c>
      <c r="B13" s="4890">
        <v>8</v>
      </c>
      <c r="C13" s="4891">
        <v>8</v>
      </c>
      <c r="D13" s="4891">
        <v>8</v>
      </c>
      <c r="E13" s="4891">
        <v>8</v>
      </c>
      <c r="F13" s="4891">
        <v>8</v>
      </c>
      <c r="G13" s="4891"/>
      <c r="H13" s="4907"/>
      <c r="I13" s="4908">
        <f>SUM(B13:H13)</f>
        <v>40</v>
      </c>
      <c r="J13" s="4909"/>
    </row>
    <row r="14" spans="1:10">
      <c r="A14" s="4910"/>
      <c r="B14" s="4902" t="s">
        <v>583</v>
      </c>
      <c r="C14" s="4902" t="s">
        <v>583</v>
      </c>
      <c r="D14" s="4902" t="s">
        <v>583</v>
      </c>
      <c r="E14" s="4902" t="s">
        <v>583</v>
      </c>
      <c r="F14" s="4912" t="s">
        <v>583</v>
      </c>
      <c r="G14" s="4913" t="s">
        <v>584</v>
      </c>
      <c r="H14" s="4199" t="s">
        <v>584</v>
      </c>
      <c r="I14" s="3834"/>
      <c r="J14" s="4884"/>
    </row>
    <row r="15" spans="1:10" ht="15.75" thickBot="1">
      <c r="A15" s="3875" t="s">
        <v>585</v>
      </c>
      <c r="B15" s="4906">
        <v>8</v>
      </c>
      <c r="C15" s="4906">
        <v>8</v>
      </c>
      <c r="D15" s="4906">
        <v>8</v>
      </c>
      <c r="E15" s="4906">
        <v>8</v>
      </c>
      <c r="F15" s="4906">
        <v>8</v>
      </c>
      <c r="G15" s="4906">
        <v>12</v>
      </c>
      <c r="H15" s="3484">
        <v>12</v>
      </c>
      <c r="I15" s="4908">
        <f>SUM(B15:H15)</f>
        <v>64</v>
      </c>
      <c r="J15" s="4878"/>
    </row>
    <row r="16" spans="1:10">
      <c r="A16" s="4910"/>
      <c r="B16" s="4902" t="s">
        <v>575</v>
      </c>
      <c r="C16" s="4902" t="s">
        <v>575</v>
      </c>
      <c r="D16" s="4902" t="s">
        <v>575</v>
      </c>
      <c r="E16" s="4902" t="s">
        <v>575</v>
      </c>
      <c r="F16" s="4902" t="s">
        <v>575</v>
      </c>
      <c r="G16" s="4914"/>
      <c r="H16" s="3640"/>
      <c r="I16" s="3834"/>
      <c r="J16" s="4884"/>
    </row>
    <row r="17" spans="1:14" ht="15.75" thickBot="1">
      <c r="A17" s="3875" t="s">
        <v>586</v>
      </c>
      <c r="B17" s="4906">
        <v>7.4</v>
      </c>
      <c r="C17" s="4906">
        <v>7.4</v>
      </c>
      <c r="D17" s="4906">
        <v>7.4</v>
      </c>
      <c r="E17" s="4906">
        <v>7.4</v>
      </c>
      <c r="F17" s="4906">
        <v>7.4</v>
      </c>
      <c r="G17" s="4877"/>
      <c r="H17" s="3652"/>
      <c r="I17" s="4908">
        <f>SUM(B17:H17)</f>
        <v>37</v>
      </c>
      <c r="J17" s="4878"/>
    </row>
    <row r="18" spans="1:14">
      <c r="A18" s="176"/>
      <c r="B18" s="171" t="s">
        <v>583</v>
      </c>
      <c r="C18" s="171" t="s">
        <v>583</v>
      </c>
      <c r="D18" s="171" t="s">
        <v>583</v>
      </c>
      <c r="E18" s="171" t="s">
        <v>583</v>
      </c>
      <c r="F18" s="171" t="s">
        <v>583</v>
      </c>
      <c r="G18" s="134"/>
      <c r="H18" s="8"/>
      <c r="I18" s="4902" t="s">
        <v>0</v>
      </c>
      <c r="J18" s="159"/>
    </row>
    <row r="19" spans="1:14" ht="15.75" thickBot="1">
      <c r="A19" s="3875" t="s">
        <v>587</v>
      </c>
      <c r="B19" s="4906">
        <v>8</v>
      </c>
      <c r="C19" s="4906">
        <v>8</v>
      </c>
      <c r="D19" s="4906">
        <v>8</v>
      </c>
      <c r="E19" s="4906">
        <v>8</v>
      </c>
      <c r="F19" s="4906">
        <v>8</v>
      </c>
      <c r="G19" s="4877"/>
      <c r="H19" s="3898"/>
      <c r="I19" s="4908">
        <f>SUM(B19:H19)</f>
        <v>40</v>
      </c>
      <c r="J19" s="4878"/>
    </row>
    <row r="20" spans="1:14" ht="15.75" thickBot="1">
      <c r="A20" s="4915" t="s">
        <v>588</v>
      </c>
      <c r="B20" s="4915">
        <f t="shared" ref="B20:I20" si="0">SUM(B9,B11,B13,B15,B17,B19)</f>
        <v>46.8</v>
      </c>
      <c r="C20" s="4915">
        <f t="shared" si="0"/>
        <v>47.4</v>
      </c>
      <c r="D20" s="4915">
        <f t="shared" si="0"/>
        <v>46.8</v>
      </c>
      <c r="E20" s="4915">
        <f t="shared" si="0"/>
        <v>46.8</v>
      </c>
      <c r="F20" s="4915">
        <f t="shared" si="0"/>
        <v>46.8</v>
      </c>
      <c r="G20" s="4915">
        <f t="shared" si="0"/>
        <v>24</v>
      </c>
      <c r="H20" s="4915">
        <f t="shared" si="0"/>
        <v>24</v>
      </c>
      <c r="I20" s="4915">
        <f t="shared" si="0"/>
        <v>282.60000000000002</v>
      </c>
      <c r="J20" s="4916"/>
    </row>
    <row r="21" spans="1:14" ht="24" thickTop="1">
      <c r="D21" s="170"/>
      <c r="E21" s="170"/>
    </row>
    <row r="22" spans="1:14" ht="24" thickBot="1">
      <c r="A22" s="122" t="s">
        <v>589</v>
      </c>
      <c r="D22" s="170"/>
      <c r="E22" s="170"/>
    </row>
    <row r="23" spans="1:14" ht="15.75" thickBot="1">
      <c r="A23" s="4917" t="s">
        <v>590</v>
      </c>
      <c r="B23" s="4918" t="s">
        <v>87</v>
      </c>
      <c r="C23" s="4919" t="s">
        <v>88</v>
      </c>
      <c r="D23" s="4919" t="s">
        <v>89</v>
      </c>
      <c r="E23" s="4919" t="s">
        <v>90</v>
      </c>
      <c r="F23" s="4919" t="s">
        <v>91</v>
      </c>
      <c r="G23" s="4919" t="s">
        <v>92</v>
      </c>
      <c r="H23" s="4920" t="s">
        <v>93</v>
      </c>
      <c r="I23" s="4921" t="s">
        <v>158</v>
      </c>
      <c r="J23" s="4922" t="s">
        <v>94</v>
      </c>
    </row>
    <row r="24" spans="1:14">
      <c r="A24" s="4910"/>
      <c r="B24" s="4902" t="s">
        <v>330</v>
      </c>
      <c r="C24" s="4902" t="s">
        <v>330</v>
      </c>
      <c r="D24" s="4902" t="s">
        <v>330</v>
      </c>
      <c r="E24" s="4902" t="s">
        <v>330</v>
      </c>
      <c r="F24" s="4903" t="s">
        <v>331</v>
      </c>
      <c r="G24" s="4903"/>
      <c r="H24" s="4911"/>
      <c r="I24" s="3834"/>
      <c r="J24" s="4923"/>
    </row>
    <row r="25" spans="1:14" ht="15.75" thickBot="1">
      <c r="A25" s="4309" t="s">
        <v>591</v>
      </c>
      <c r="B25" s="4890">
        <v>7.75</v>
      </c>
      <c r="C25" s="4890">
        <v>7.75</v>
      </c>
      <c r="D25" s="4890">
        <v>7.75</v>
      </c>
      <c r="E25" s="4890">
        <v>7.75</v>
      </c>
      <c r="F25" s="4891">
        <v>6</v>
      </c>
      <c r="G25" s="4891"/>
      <c r="H25" s="4907"/>
      <c r="I25" s="4908">
        <f>SUM(B25:H25)</f>
        <v>37</v>
      </c>
      <c r="J25" s="4924"/>
    </row>
    <row r="26" spans="1:14">
      <c r="A26" s="4910"/>
      <c r="B26" s="4902" t="s">
        <v>330</v>
      </c>
      <c r="C26" s="4902" t="s">
        <v>330</v>
      </c>
      <c r="D26" s="4902" t="s">
        <v>330</v>
      </c>
      <c r="E26" s="4902" t="s">
        <v>330</v>
      </c>
      <c r="F26" s="4903" t="s">
        <v>331</v>
      </c>
      <c r="G26" s="4903"/>
      <c r="H26" s="4911"/>
      <c r="I26" s="3834"/>
      <c r="J26" s="4923"/>
    </row>
    <row r="27" spans="1:14" ht="15.75" thickBot="1">
      <c r="A27" s="4309" t="s">
        <v>592</v>
      </c>
      <c r="B27" s="4890">
        <v>7.75</v>
      </c>
      <c r="C27" s="4890">
        <v>7.75</v>
      </c>
      <c r="D27" s="4890">
        <v>7.75</v>
      </c>
      <c r="E27" s="4890">
        <v>7.75</v>
      </c>
      <c r="F27" s="4891">
        <v>6</v>
      </c>
      <c r="G27" s="4891"/>
      <c r="H27" s="4907"/>
      <c r="I27" s="4908">
        <f>SUM(B27:H27)</f>
        <v>37</v>
      </c>
      <c r="J27" s="4924"/>
      <c r="L27" s="16"/>
      <c r="M27" s="16"/>
      <c r="N27" s="16"/>
    </row>
    <row r="28" spans="1:14">
      <c r="A28" s="4910"/>
      <c r="B28" s="4902" t="s">
        <v>330</v>
      </c>
      <c r="C28" s="4902" t="s">
        <v>330</v>
      </c>
      <c r="D28" s="4902" t="s">
        <v>330</v>
      </c>
      <c r="E28" s="4902" t="s">
        <v>330</v>
      </c>
      <c r="F28" s="4903" t="s">
        <v>331</v>
      </c>
      <c r="G28" s="4903"/>
      <c r="H28" s="4911"/>
      <c r="I28" s="3834"/>
      <c r="J28" s="4923"/>
    </row>
    <row r="29" spans="1:14" ht="15.75" thickBot="1">
      <c r="A29" s="4309" t="s">
        <v>593</v>
      </c>
      <c r="B29" s="4890">
        <v>7.75</v>
      </c>
      <c r="C29" s="4890">
        <v>7.75</v>
      </c>
      <c r="D29" s="4890">
        <v>7.75</v>
      </c>
      <c r="E29" s="4890">
        <v>7.75</v>
      </c>
      <c r="F29" s="4891">
        <v>6</v>
      </c>
      <c r="G29" s="4891"/>
      <c r="H29" s="4907"/>
      <c r="I29" s="4908">
        <f>SUM(B29:H29)</f>
        <v>37</v>
      </c>
      <c r="J29" s="4924"/>
    </row>
    <row r="30" spans="1:14" ht="15.75" thickBot="1">
      <c r="A30" s="4915" t="s">
        <v>588</v>
      </c>
      <c r="B30" s="4915">
        <f t="shared" ref="B30:I30" si="1">SUM(B25,B27,B29)</f>
        <v>23.25</v>
      </c>
      <c r="C30" s="4915">
        <f t="shared" si="1"/>
        <v>23.25</v>
      </c>
      <c r="D30" s="4915">
        <f t="shared" si="1"/>
        <v>23.25</v>
      </c>
      <c r="E30" s="4915">
        <f t="shared" si="1"/>
        <v>23.25</v>
      </c>
      <c r="F30" s="4915">
        <f t="shared" si="1"/>
        <v>18</v>
      </c>
      <c r="G30" s="4915">
        <f t="shared" si="1"/>
        <v>0</v>
      </c>
      <c r="H30" s="4915">
        <f t="shared" si="1"/>
        <v>0</v>
      </c>
      <c r="I30" s="4925">
        <f t="shared" si="1"/>
        <v>111</v>
      </c>
      <c r="J30" s="4926"/>
    </row>
    <row r="31" spans="1:14" ht="15.75" thickTop="1">
      <c r="A31" s="113"/>
      <c r="B31" s="113"/>
      <c r="C31" s="113"/>
      <c r="D31" s="113"/>
      <c r="E31" s="113"/>
      <c r="F31" s="113"/>
      <c r="G31" s="113"/>
      <c r="H31" s="113"/>
      <c r="I31" s="113"/>
      <c r="J31" s="18"/>
    </row>
    <row r="32" spans="1:14">
      <c r="A32" s="113"/>
      <c r="B32" s="113"/>
      <c r="C32" s="113"/>
      <c r="D32" s="113"/>
      <c r="E32" s="113"/>
      <c r="F32" s="113"/>
      <c r="G32" s="113"/>
      <c r="H32" s="113"/>
      <c r="I32" s="113"/>
      <c r="J32" s="18"/>
    </row>
    <row r="33" spans="1:14" ht="15.75" thickBot="1">
      <c r="A33" s="1" t="s">
        <v>594</v>
      </c>
      <c r="B33" s="113"/>
      <c r="C33" s="113"/>
      <c r="D33" s="113"/>
      <c r="E33" s="113"/>
      <c r="F33" s="113"/>
    </row>
    <row r="34" spans="1:14" ht="15.75" thickBot="1">
      <c r="A34" s="4886" t="s">
        <v>595</v>
      </c>
      <c r="B34" s="4887" t="s">
        <v>87</v>
      </c>
      <c r="C34" s="4888" t="s">
        <v>88</v>
      </c>
      <c r="D34" s="4888" t="s">
        <v>89</v>
      </c>
      <c r="E34" s="4888" t="s">
        <v>90</v>
      </c>
      <c r="F34" s="4888" t="s">
        <v>91</v>
      </c>
      <c r="G34" s="4888" t="s">
        <v>92</v>
      </c>
      <c r="H34" s="3837" t="s">
        <v>93</v>
      </c>
      <c r="I34" s="3834" t="s">
        <v>158</v>
      </c>
      <c r="J34" s="4889" t="s">
        <v>94</v>
      </c>
    </row>
    <row r="35" spans="1:14">
      <c r="A35" s="179" t="s">
        <v>596</v>
      </c>
      <c r="B35" s="180" t="s">
        <v>597</v>
      </c>
      <c r="C35" s="180" t="s">
        <v>597</v>
      </c>
      <c r="D35" s="4927" t="s">
        <v>577</v>
      </c>
      <c r="E35" s="4927" t="s">
        <v>577</v>
      </c>
      <c r="F35" s="4927" t="s">
        <v>577</v>
      </c>
      <c r="G35" s="4928" t="s">
        <v>578</v>
      </c>
      <c r="H35" s="4929" t="s">
        <v>577</v>
      </c>
      <c r="I35" s="121"/>
      <c r="J35" s="178"/>
      <c r="L35" s="200" t="s">
        <v>598</v>
      </c>
      <c r="M35" s="181"/>
    </row>
    <row r="36" spans="1:14" ht="15.75" thickBot="1">
      <c r="A36" s="4930" t="s">
        <v>599</v>
      </c>
      <c r="B36" s="4931">
        <v>7.75</v>
      </c>
      <c r="C36" s="4931">
        <v>7.75</v>
      </c>
      <c r="D36" s="4932">
        <v>8</v>
      </c>
      <c r="E36" s="4932">
        <v>8</v>
      </c>
      <c r="F36" s="4932">
        <v>8</v>
      </c>
      <c r="G36" s="4933">
        <v>12</v>
      </c>
      <c r="H36" s="4934">
        <v>8</v>
      </c>
      <c r="I36" s="4908">
        <f>SUM(B36:H36)</f>
        <v>59.5</v>
      </c>
      <c r="J36" s="4935"/>
      <c r="L36" s="201" t="s">
        <v>600</v>
      </c>
      <c r="M36" s="182"/>
    </row>
    <row r="37" spans="1:14">
      <c r="A37" s="4936"/>
      <c r="B37" s="4902" t="s">
        <v>576</v>
      </c>
      <c r="C37" s="4903" t="s">
        <v>331</v>
      </c>
      <c r="D37" s="4937" t="s">
        <v>601</v>
      </c>
      <c r="E37" s="4937" t="s">
        <v>601</v>
      </c>
      <c r="F37" s="4937" t="s">
        <v>601</v>
      </c>
      <c r="G37" s="4937" t="s">
        <v>602</v>
      </c>
      <c r="H37" s="4938" t="s">
        <v>601</v>
      </c>
      <c r="I37" s="3834"/>
      <c r="J37" s="4904"/>
      <c r="L37" s="202" t="s">
        <v>603</v>
      </c>
      <c r="M37" s="183"/>
    </row>
    <row r="38" spans="1:14" ht="15.75" thickBot="1">
      <c r="A38" s="4930" t="s">
        <v>604</v>
      </c>
      <c r="B38" s="4890">
        <v>8</v>
      </c>
      <c r="C38" s="4891">
        <v>6</v>
      </c>
      <c r="D38" s="4939">
        <v>7</v>
      </c>
      <c r="E38" s="4939">
        <v>7</v>
      </c>
      <c r="F38" s="4939">
        <v>7</v>
      </c>
      <c r="G38" s="4939">
        <v>11</v>
      </c>
      <c r="H38" s="4940">
        <v>7</v>
      </c>
      <c r="I38" s="4908">
        <f>SUM(B38:H38)</f>
        <v>53</v>
      </c>
      <c r="J38" s="4909"/>
      <c r="L38" s="87"/>
    </row>
    <row r="39" spans="1:14">
      <c r="A39" s="4936"/>
      <c r="B39" s="4902" t="s">
        <v>575</v>
      </c>
      <c r="C39" s="4902" t="s">
        <v>575</v>
      </c>
      <c r="D39" s="4937" t="s">
        <v>601</v>
      </c>
      <c r="E39" s="4937" t="s">
        <v>601</v>
      </c>
      <c r="F39" s="4937" t="s">
        <v>601</v>
      </c>
      <c r="G39" s="4937" t="s">
        <v>602</v>
      </c>
      <c r="H39" s="4938" t="s">
        <v>601</v>
      </c>
      <c r="I39" s="3834"/>
      <c r="J39" s="4904"/>
      <c r="L39" s="203" t="s">
        <v>605</v>
      </c>
      <c r="M39" s="184" t="s">
        <v>606</v>
      </c>
    </row>
    <row r="40" spans="1:14" ht="15.75" thickBot="1">
      <c r="A40" s="4930" t="s">
        <v>607</v>
      </c>
      <c r="B40" s="4906">
        <v>7.4</v>
      </c>
      <c r="C40" s="4906">
        <v>7.4</v>
      </c>
      <c r="D40" s="4939">
        <v>7</v>
      </c>
      <c r="E40" s="4939">
        <v>7</v>
      </c>
      <c r="F40" s="4939">
        <v>7</v>
      </c>
      <c r="G40" s="4939">
        <v>11</v>
      </c>
      <c r="H40" s="4940">
        <v>7</v>
      </c>
      <c r="I40" s="4908">
        <f>SUM(B40:H40)</f>
        <v>53.8</v>
      </c>
      <c r="J40" s="4909"/>
      <c r="L40" s="87"/>
    </row>
    <row r="41" spans="1:14">
      <c r="A41" s="4941" t="s">
        <v>608</v>
      </c>
      <c r="B41" s="4937" t="s">
        <v>601</v>
      </c>
      <c r="C41" s="4937" t="s">
        <v>601</v>
      </c>
      <c r="D41" s="4902" t="s">
        <v>575</v>
      </c>
      <c r="E41" s="4902" t="s">
        <v>575</v>
      </c>
      <c r="F41" s="4902" t="s">
        <v>575</v>
      </c>
      <c r="G41" s="4199"/>
      <c r="H41" s="3640"/>
      <c r="I41" s="3834"/>
      <c r="J41" s="4884"/>
      <c r="L41" s="87"/>
    </row>
    <row r="42" spans="1:14" ht="15.75" thickBot="1">
      <c r="A42" s="4930" t="s">
        <v>609</v>
      </c>
      <c r="B42" s="4939">
        <v>7</v>
      </c>
      <c r="C42" s="4939">
        <v>7</v>
      </c>
      <c r="D42" s="4906">
        <v>7.4</v>
      </c>
      <c r="E42" s="4906">
        <v>7.4</v>
      </c>
      <c r="F42" s="4906">
        <v>7.4</v>
      </c>
      <c r="G42" s="4877"/>
      <c r="H42" s="3652"/>
      <c r="I42" s="4908">
        <f>SUM(B42:H42)</f>
        <v>36.199999999999996</v>
      </c>
      <c r="J42" s="4878"/>
      <c r="L42" s="87"/>
    </row>
    <row r="43" spans="1:14">
      <c r="A43" s="4936"/>
      <c r="B43" s="4927" t="s">
        <v>577</v>
      </c>
      <c r="C43" s="4927" t="s">
        <v>577</v>
      </c>
      <c r="D43" s="4902" t="s">
        <v>575</v>
      </c>
      <c r="E43" s="4902" t="s">
        <v>575</v>
      </c>
      <c r="F43" s="4902" t="s">
        <v>575</v>
      </c>
      <c r="G43" s="4914"/>
      <c r="H43" s="3640"/>
      <c r="I43" s="3834"/>
      <c r="J43" s="4884"/>
      <c r="L43" s="87"/>
    </row>
    <row r="44" spans="1:14" ht="15.75" thickBot="1">
      <c r="A44" s="4942" t="s">
        <v>610</v>
      </c>
      <c r="B44" s="4932">
        <v>8</v>
      </c>
      <c r="C44" s="4932">
        <v>8</v>
      </c>
      <c r="D44" s="4906">
        <v>7.4</v>
      </c>
      <c r="E44" s="4906">
        <v>7.4</v>
      </c>
      <c r="F44" s="4906">
        <v>7.4</v>
      </c>
      <c r="G44" s="4877"/>
      <c r="H44" s="3652"/>
      <c r="I44" s="4908">
        <f>SUM(B44:H44)</f>
        <v>38.199999999999996</v>
      </c>
      <c r="J44" s="4878"/>
      <c r="L44" s="204" t="s">
        <v>611</v>
      </c>
      <c r="M44" s="185"/>
      <c r="N44" s="185"/>
    </row>
    <row r="45" spans="1:14">
      <c r="A45" s="186"/>
      <c r="B45" s="4937" t="s">
        <v>601</v>
      </c>
      <c r="C45" s="4937" t="s">
        <v>601</v>
      </c>
      <c r="D45" s="4902" t="s">
        <v>575</v>
      </c>
      <c r="E45" s="4902" t="s">
        <v>575</v>
      </c>
      <c r="F45" s="4902" t="s">
        <v>575</v>
      </c>
      <c r="G45" s="134"/>
      <c r="H45" s="8"/>
      <c r="I45" s="121"/>
      <c r="J45" s="159"/>
      <c r="L45" s="205" t="s">
        <v>612</v>
      </c>
      <c r="M45" s="187"/>
      <c r="N45" s="187"/>
    </row>
    <row r="46" spans="1:14" ht="15.75" thickBot="1">
      <c r="A46" s="4942" t="s">
        <v>613</v>
      </c>
      <c r="B46" s="4939">
        <v>7</v>
      </c>
      <c r="C46" s="4939">
        <v>7</v>
      </c>
      <c r="D46" s="4906">
        <v>7.4</v>
      </c>
      <c r="E46" s="4906">
        <v>7.4</v>
      </c>
      <c r="F46" s="4906">
        <v>7.4</v>
      </c>
      <c r="G46" s="4877"/>
      <c r="H46" s="3898"/>
      <c r="I46" s="4908">
        <f>SUM(B46:H46)</f>
        <v>36.199999999999996</v>
      </c>
      <c r="J46" s="4878"/>
      <c r="L46" s="206" t="s">
        <v>614</v>
      </c>
      <c r="M46" s="188"/>
      <c r="N46" s="188"/>
    </row>
    <row r="47" spans="1:14">
      <c r="A47" s="4941" t="s">
        <v>615</v>
      </c>
      <c r="B47" s="4943" t="s">
        <v>576</v>
      </c>
      <c r="C47" s="4943" t="s">
        <v>576</v>
      </c>
      <c r="D47" s="4943" t="s">
        <v>576</v>
      </c>
      <c r="E47" s="4943" t="s">
        <v>576</v>
      </c>
      <c r="F47" s="4943" t="s">
        <v>331</v>
      </c>
      <c r="G47" s="4903"/>
      <c r="H47" s="4911"/>
      <c r="I47" s="3834"/>
      <c r="J47" s="4904"/>
      <c r="L47" s="207" t="s">
        <v>616</v>
      </c>
      <c r="M47" s="189"/>
      <c r="N47" s="189"/>
    </row>
    <row r="48" spans="1:14" ht="15.75" thickBot="1">
      <c r="A48" s="4942" t="s">
        <v>617</v>
      </c>
      <c r="B48" s="4944">
        <v>8</v>
      </c>
      <c r="C48" s="4944">
        <v>8</v>
      </c>
      <c r="D48" s="4944">
        <v>8</v>
      </c>
      <c r="E48" s="4944">
        <v>8</v>
      </c>
      <c r="F48" s="4944">
        <v>6</v>
      </c>
      <c r="G48" s="4891"/>
      <c r="H48" s="4907"/>
      <c r="I48" s="4908">
        <f>SUM(B48:H48)</f>
        <v>38</v>
      </c>
      <c r="J48" s="4909"/>
    </row>
    <row r="49" spans="1:10">
      <c r="A49" s="4936"/>
      <c r="B49" s="4945" t="s">
        <v>576</v>
      </c>
      <c r="C49" s="4945" t="s">
        <v>576</v>
      </c>
      <c r="D49" s="4945" t="s">
        <v>576</v>
      </c>
      <c r="E49" s="4945" t="s">
        <v>576</v>
      </c>
      <c r="F49" s="4945" t="s">
        <v>331</v>
      </c>
      <c r="G49" s="4199"/>
      <c r="H49" s="3640"/>
      <c r="I49" s="3834"/>
      <c r="J49" s="4884"/>
    </row>
    <row r="50" spans="1:10" ht="15.75" thickBot="1">
      <c r="A50" s="4930" t="s">
        <v>618</v>
      </c>
      <c r="B50" s="4946">
        <v>8</v>
      </c>
      <c r="C50" s="4946">
        <v>8</v>
      </c>
      <c r="D50" s="4946">
        <v>8</v>
      </c>
      <c r="E50" s="4946">
        <v>8</v>
      </c>
      <c r="F50" s="4946">
        <v>6</v>
      </c>
      <c r="G50" s="4877"/>
      <c r="H50" s="3652"/>
      <c r="I50" s="4908">
        <f>SUM(B50:H50)</f>
        <v>38</v>
      </c>
      <c r="J50" s="4878"/>
    </row>
    <row r="51" spans="1:10">
      <c r="A51" s="4936"/>
      <c r="B51" s="4945" t="s">
        <v>576</v>
      </c>
      <c r="C51" s="4945" t="s">
        <v>576</v>
      </c>
      <c r="D51" s="4945" t="s">
        <v>576</v>
      </c>
      <c r="E51" s="4945" t="s">
        <v>576</v>
      </c>
      <c r="F51" s="4945" t="s">
        <v>331</v>
      </c>
      <c r="G51" s="4914"/>
      <c r="H51" s="3640"/>
      <c r="I51" s="3834"/>
      <c r="J51" s="4884"/>
    </row>
    <row r="52" spans="1:10" ht="15.75" thickBot="1">
      <c r="A52" s="4930" t="s">
        <v>619</v>
      </c>
      <c r="B52" s="4946">
        <v>8</v>
      </c>
      <c r="C52" s="4946">
        <v>8</v>
      </c>
      <c r="D52" s="4946">
        <v>8</v>
      </c>
      <c r="E52" s="4946">
        <v>8</v>
      </c>
      <c r="F52" s="4946">
        <v>6</v>
      </c>
      <c r="G52" s="4877"/>
      <c r="H52" s="3652"/>
      <c r="I52" s="4908">
        <f>SUM(B52:H52)</f>
        <v>38</v>
      </c>
      <c r="J52" s="4878"/>
    </row>
    <row r="53" spans="1:10">
      <c r="A53" s="179" t="s">
        <v>620</v>
      </c>
      <c r="B53" s="190" t="s">
        <v>621</v>
      </c>
      <c r="C53" s="190" t="s">
        <v>621</v>
      </c>
      <c r="D53" s="190" t="s">
        <v>621</v>
      </c>
      <c r="E53" s="190" t="s">
        <v>621</v>
      </c>
      <c r="F53" s="190" t="s">
        <v>621</v>
      </c>
      <c r="G53" s="134" t="s">
        <v>584</v>
      </c>
      <c r="H53" s="191" t="s">
        <v>621</v>
      </c>
      <c r="I53" s="121"/>
      <c r="J53" s="159"/>
    </row>
    <row r="54" spans="1:10" ht="15.75" thickBot="1">
      <c r="A54" s="4930" t="s">
        <v>622</v>
      </c>
      <c r="B54" s="4947">
        <v>7</v>
      </c>
      <c r="C54" s="4947">
        <v>7</v>
      </c>
      <c r="D54" s="4947">
        <v>7</v>
      </c>
      <c r="E54" s="4947">
        <v>7</v>
      </c>
      <c r="F54" s="4947">
        <v>7</v>
      </c>
      <c r="G54" s="4906">
        <v>12</v>
      </c>
      <c r="H54" s="4948">
        <v>7</v>
      </c>
      <c r="I54" s="4908">
        <f>SUM(B54:H54)</f>
        <v>54</v>
      </c>
      <c r="J54" s="4878"/>
    </row>
    <row r="55" spans="1:10">
      <c r="A55" s="4936"/>
      <c r="B55" s="4949" t="s">
        <v>583</v>
      </c>
      <c r="C55" s="4949" t="s">
        <v>583</v>
      </c>
      <c r="D55" s="4949" t="s">
        <v>583</v>
      </c>
      <c r="E55" s="4949" t="s">
        <v>583</v>
      </c>
      <c r="F55" s="4949" t="s">
        <v>583</v>
      </c>
      <c r="G55" s="4903" t="s">
        <v>623</v>
      </c>
      <c r="H55" s="4950" t="s">
        <v>583</v>
      </c>
      <c r="I55" s="3834"/>
      <c r="J55" s="4904"/>
    </row>
    <row r="56" spans="1:10" ht="15.75" thickBot="1">
      <c r="A56" s="192" t="s">
        <v>624</v>
      </c>
      <c r="B56" s="4951">
        <v>8</v>
      </c>
      <c r="C56" s="4951">
        <v>8</v>
      </c>
      <c r="D56" s="4951">
        <v>8</v>
      </c>
      <c r="E56" s="4951">
        <v>8</v>
      </c>
      <c r="F56" s="4951">
        <v>8</v>
      </c>
      <c r="G56" s="4891">
        <v>8</v>
      </c>
      <c r="H56" s="4952">
        <v>8</v>
      </c>
      <c r="I56" s="4908">
        <f>SUM(B56:H56)</f>
        <v>56</v>
      </c>
      <c r="J56" s="4909"/>
    </row>
    <row r="57" spans="1:10">
      <c r="A57" s="4936"/>
      <c r="B57" s="190" t="s">
        <v>621</v>
      </c>
      <c r="C57" s="190" t="s">
        <v>621</v>
      </c>
      <c r="D57" s="190" t="s">
        <v>621</v>
      </c>
      <c r="E57" s="190" t="s">
        <v>621</v>
      </c>
      <c r="F57" s="190" t="s">
        <v>621</v>
      </c>
      <c r="G57" s="134" t="s">
        <v>584</v>
      </c>
      <c r="H57" s="191" t="s">
        <v>621</v>
      </c>
      <c r="I57" s="3834"/>
      <c r="J57" s="4884"/>
    </row>
    <row r="58" spans="1:10" ht="15.75" thickBot="1">
      <c r="A58" s="4930" t="s">
        <v>625</v>
      </c>
      <c r="B58" s="4947">
        <v>7</v>
      </c>
      <c r="C58" s="4947">
        <v>7</v>
      </c>
      <c r="D58" s="4947">
        <v>7</v>
      </c>
      <c r="E58" s="4947">
        <v>7</v>
      </c>
      <c r="F58" s="4947">
        <v>7</v>
      </c>
      <c r="G58" s="4906">
        <v>12</v>
      </c>
      <c r="H58" s="4948">
        <v>7</v>
      </c>
      <c r="I58" s="4908">
        <f>SUM(B58:H58)</f>
        <v>54</v>
      </c>
      <c r="J58" s="4878"/>
    </row>
    <row r="59" spans="1:10">
      <c r="A59" s="4941" t="s">
        <v>626</v>
      </c>
      <c r="B59" s="4902" t="s">
        <v>575</v>
      </c>
      <c r="C59" s="4902" t="s">
        <v>575</v>
      </c>
      <c r="D59" s="4945" t="s">
        <v>576</v>
      </c>
      <c r="E59" s="4945" t="s">
        <v>576</v>
      </c>
      <c r="F59" s="4945" t="s">
        <v>331</v>
      </c>
      <c r="G59" s="4914"/>
      <c r="H59" s="3640"/>
      <c r="I59" s="3834"/>
      <c r="J59" s="4884"/>
    </row>
    <row r="60" spans="1:10" ht="15.75" thickBot="1">
      <c r="A60" s="4942" t="s">
        <v>627</v>
      </c>
      <c r="B60" s="4906">
        <v>7.4</v>
      </c>
      <c r="C60" s="4906">
        <v>7.4</v>
      </c>
      <c r="D60" s="4946">
        <v>8</v>
      </c>
      <c r="E60" s="4946">
        <v>8</v>
      </c>
      <c r="F60" s="4946">
        <v>6</v>
      </c>
      <c r="G60" s="4877"/>
      <c r="H60" s="3652"/>
      <c r="I60" s="4908">
        <f>SUM(B60:H60)</f>
        <v>36.799999999999997</v>
      </c>
      <c r="J60" s="4878"/>
    </row>
    <row r="61" spans="1:10">
      <c r="A61" s="4936"/>
      <c r="B61" s="4902" t="s">
        <v>575</v>
      </c>
      <c r="C61" s="4902" t="s">
        <v>575</v>
      </c>
      <c r="D61" s="4953" t="s">
        <v>576</v>
      </c>
      <c r="E61" s="4953" t="s">
        <v>576</v>
      </c>
      <c r="F61" s="4953" t="s">
        <v>331</v>
      </c>
      <c r="G61" s="4914"/>
      <c r="H61" s="3640"/>
      <c r="I61" s="3834"/>
      <c r="J61" s="4884"/>
    </row>
    <row r="62" spans="1:10" ht="15.75" thickBot="1">
      <c r="A62" s="4954" t="s">
        <v>628</v>
      </c>
      <c r="B62" s="4906">
        <v>7.4</v>
      </c>
      <c r="C62" s="4906">
        <v>7.4</v>
      </c>
      <c r="D62" s="4955">
        <v>8</v>
      </c>
      <c r="E62" s="4955">
        <v>8</v>
      </c>
      <c r="F62" s="4955">
        <v>6</v>
      </c>
      <c r="G62" s="4877"/>
      <c r="H62" s="3652"/>
      <c r="I62" s="4908">
        <f>SUM(B62:H62)</f>
        <v>36.799999999999997</v>
      </c>
      <c r="J62" s="4878"/>
    </row>
    <row r="63" spans="1:10">
      <c r="A63" s="186"/>
      <c r="B63" s="4902" t="s">
        <v>575</v>
      </c>
      <c r="C63" s="4902" t="s">
        <v>575</v>
      </c>
      <c r="D63" s="180" t="s">
        <v>597</v>
      </c>
      <c r="E63" s="180" t="s">
        <v>597</v>
      </c>
      <c r="F63" s="180" t="s">
        <v>597</v>
      </c>
      <c r="G63" s="134"/>
      <c r="H63" s="8"/>
      <c r="I63" s="121"/>
      <c r="J63" s="159"/>
    </row>
    <row r="64" spans="1:10" ht="15.75" thickBot="1">
      <c r="A64" s="4930" t="s">
        <v>629</v>
      </c>
      <c r="B64" s="4906">
        <v>7.4</v>
      </c>
      <c r="C64" s="4906">
        <v>7.4</v>
      </c>
      <c r="D64" s="4956">
        <v>7.75</v>
      </c>
      <c r="E64" s="4956">
        <v>7.75</v>
      </c>
      <c r="F64" s="4956">
        <v>7.75</v>
      </c>
      <c r="G64" s="4877"/>
      <c r="H64" s="3898"/>
      <c r="I64" s="4908">
        <f>SUM(B64:H64)</f>
        <v>38.049999999999997</v>
      </c>
      <c r="J64" s="4878"/>
    </row>
    <row r="65" spans="1:10" ht="15.75" thickBot="1">
      <c r="A65" s="4915" t="s">
        <v>588</v>
      </c>
      <c r="B65" s="4915">
        <f t="shared" ref="B65:I65" si="2">SUM(B36,B38,B40,B42,B44,B46,B48,B50,B52,B54,B56,B58,B60,B62,B64)</f>
        <v>113.35000000000002</v>
      </c>
      <c r="C65" s="4915">
        <f t="shared" si="2"/>
        <v>111.35000000000002</v>
      </c>
      <c r="D65" s="4915">
        <f t="shared" si="2"/>
        <v>113.94999999999999</v>
      </c>
      <c r="E65" s="4915">
        <f t="shared" si="2"/>
        <v>113.94999999999999</v>
      </c>
      <c r="F65" s="4915">
        <f t="shared" si="2"/>
        <v>103.94999999999999</v>
      </c>
      <c r="G65" s="4915">
        <f t="shared" si="2"/>
        <v>66</v>
      </c>
      <c r="H65" s="4915">
        <f t="shared" si="2"/>
        <v>44</v>
      </c>
      <c r="I65" s="4925">
        <f t="shared" si="2"/>
        <v>666.54999999999984</v>
      </c>
      <c r="J65" s="4916"/>
    </row>
    <row r="66" spans="1:10" ht="16.5" thickTop="1" thickBot="1">
      <c r="A66" s="1" t="s">
        <v>630</v>
      </c>
      <c r="B66" s="113"/>
      <c r="C66" s="113"/>
      <c r="D66" s="113"/>
      <c r="E66" s="113"/>
      <c r="F66" s="113"/>
    </row>
    <row r="67" spans="1:10" ht="15.75" thickBot="1">
      <c r="A67" s="4917" t="s">
        <v>631</v>
      </c>
      <c r="B67" s="4918" t="s">
        <v>87</v>
      </c>
      <c r="C67" s="4919" t="s">
        <v>88</v>
      </c>
      <c r="D67" s="4919" t="s">
        <v>89</v>
      </c>
      <c r="E67" s="4919" t="s">
        <v>90</v>
      </c>
      <c r="F67" s="4919" t="s">
        <v>91</v>
      </c>
      <c r="G67" s="4919" t="s">
        <v>92</v>
      </c>
      <c r="H67" s="4920" t="s">
        <v>93</v>
      </c>
      <c r="I67" s="4921" t="s">
        <v>158</v>
      </c>
      <c r="J67" s="4922" t="s">
        <v>94</v>
      </c>
    </row>
    <row r="68" spans="1:10">
      <c r="A68" s="4910" t="s">
        <v>632</v>
      </c>
      <c r="B68" s="3839" t="s">
        <v>313</v>
      </c>
      <c r="C68" s="3839" t="s">
        <v>313</v>
      </c>
      <c r="D68" s="3839" t="s">
        <v>313</v>
      </c>
      <c r="E68" s="3839" t="s">
        <v>313</v>
      </c>
      <c r="F68" s="3839" t="s">
        <v>313</v>
      </c>
      <c r="G68" s="4888"/>
      <c r="H68" s="3841"/>
      <c r="I68" s="3839"/>
      <c r="J68" s="4904"/>
    </row>
    <row r="69" spans="1:10" ht="15.75" thickBot="1">
      <c r="A69" s="4957"/>
      <c r="B69" s="4890">
        <v>7</v>
      </c>
      <c r="C69" s="4890">
        <v>7</v>
      </c>
      <c r="D69" s="4890">
        <v>7</v>
      </c>
      <c r="E69" s="4890">
        <v>7</v>
      </c>
      <c r="F69" s="4891">
        <v>7</v>
      </c>
      <c r="G69" s="4892"/>
      <c r="H69" s="4893"/>
      <c r="I69" s="4908">
        <f>SUM(B69:H69)</f>
        <v>35</v>
      </c>
      <c r="J69" s="4909"/>
    </row>
    <row r="70" spans="1:10">
      <c r="A70" s="176" t="s">
        <v>633</v>
      </c>
      <c r="B70" s="3699" t="s">
        <v>634</v>
      </c>
      <c r="C70" s="3699" t="s">
        <v>634</v>
      </c>
      <c r="D70" s="3699" t="s">
        <v>634</v>
      </c>
      <c r="E70" s="3699" t="s">
        <v>634</v>
      </c>
      <c r="F70" s="3699" t="s">
        <v>635</v>
      </c>
      <c r="G70" s="173"/>
      <c r="H70" s="174"/>
      <c r="I70" s="193"/>
      <c r="J70" s="178"/>
    </row>
    <row r="71" spans="1:10" ht="15.75" thickBot="1">
      <c r="A71" s="194"/>
      <c r="B71" s="4958">
        <v>7</v>
      </c>
      <c r="C71" s="4958">
        <v>7</v>
      </c>
      <c r="D71" s="4958">
        <v>7</v>
      </c>
      <c r="E71" s="4958">
        <v>7</v>
      </c>
      <c r="F71" s="4959">
        <v>6</v>
      </c>
      <c r="G71" s="4960"/>
      <c r="H71" s="195"/>
      <c r="I71" s="4908">
        <f>SUM(B71:H71)</f>
        <v>34</v>
      </c>
      <c r="J71" s="4935"/>
    </row>
    <row r="72" spans="1:10">
      <c r="A72" s="4910" t="s">
        <v>636</v>
      </c>
      <c r="B72" s="3839" t="s">
        <v>637</v>
      </c>
      <c r="C72" s="3839" t="s">
        <v>637</v>
      </c>
      <c r="D72" s="3839" t="s">
        <v>637</v>
      </c>
      <c r="E72" s="3839" t="s">
        <v>638</v>
      </c>
      <c r="F72" s="3839" t="s">
        <v>639</v>
      </c>
      <c r="G72" s="3839"/>
      <c r="H72" s="3839" t="s">
        <v>581</v>
      </c>
      <c r="I72" s="3839"/>
      <c r="J72" s="4904"/>
    </row>
    <row r="73" spans="1:10" ht="15.75" thickBot="1">
      <c r="A73" s="4309"/>
      <c r="B73" s="4890">
        <v>6.5</v>
      </c>
      <c r="C73" s="4890">
        <v>6.5</v>
      </c>
      <c r="D73" s="4890">
        <v>6.5</v>
      </c>
      <c r="E73" s="4891">
        <v>5.5</v>
      </c>
      <c r="F73" s="4891">
        <v>7.25</v>
      </c>
      <c r="G73" s="4891"/>
      <c r="H73" s="4907">
        <v>8</v>
      </c>
      <c r="I73" s="4908">
        <f>SUM(B73:H73)</f>
        <v>40.25</v>
      </c>
      <c r="J73" s="4909"/>
    </row>
    <row r="74" spans="1:10" ht="15.75" thickBot="1">
      <c r="A74" s="4915" t="s">
        <v>588</v>
      </c>
      <c r="B74" s="4915">
        <f t="shared" ref="B74:I74" si="3">SUM(B69,B71,B73)</f>
        <v>20.5</v>
      </c>
      <c r="C74" s="4915">
        <f t="shared" si="3"/>
        <v>20.5</v>
      </c>
      <c r="D74" s="4915">
        <f t="shared" si="3"/>
        <v>20.5</v>
      </c>
      <c r="E74" s="4915">
        <f t="shared" si="3"/>
        <v>19.5</v>
      </c>
      <c r="F74" s="4915">
        <f t="shared" si="3"/>
        <v>20.25</v>
      </c>
      <c r="G74" s="4915">
        <f t="shared" si="3"/>
        <v>0</v>
      </c>
      <c r="H74" s="4915">
        <f t="shared" si="3"/>
        <v>8</v>
      </c>
      <c r="I74" s="4925">
        <f t="shared" si="3"/>
        <v>109.25</v>
      </c>
      <c r="J74" s="4926"/>
    </row>
    <row r="75" spans="1:10" ht="16.5" thickTop="1" thickBot="1">
      <c r="A75" s="1" t="s">
        <v>640</v>
      </c>
      <c r="B75" s="113"/>
      <c r="C75" s="113"/>
      <c r="D75" s="113"/>
      <c r="E75" s="113"/>
      <c r="F75" s="113"/>
    </row>
    <row r="76" spans="1:10" ht="15.75" thickBot="1">
      <c r="A76" s="4917" t="s">
        <v>641</v>
      </c>
      <c r="B76" s="4918" t="s">
        <v>87</v>
      </c>
      <c r="C76" s="4919" t="s">
        <v>88</v>
      </c>
      <c r="D76" s="4919" t="s">
        <v>89</v>
      </c>
      <c r="E76" s="4919" t="s">
        <v>90</v>
      </c>
      <c r="F76" s="4919" t="s">
        <v>91</v>
      </c>
      <c r="G76" s="4919" t="s">
        <v>92</v>
      </c>
      <c r="H76" s="4920" t="s">
        <v>93</v>
      </c>
      <c r="I76" s="4921" t="s">
        <v>158</v>
      </c>
      <c r="J76" s="4922" t="s">
        <v>94</v>
      </c>
    </row>
    <row r="77" spans="1:10">
      <c r="A77" s="176" t="s">
        <v>642</v>
      </c>
      <c r="B77" s="3699" t="s">
        <v>643</v>
      </c>
      <c r="C77" s="3868" t="s">
        <v>643</v>
      </c>
      <c r="D77" s="193" t="s">
        <v>643</v>
      </c>
      <c r="E77" s="3868" t="s">
        <v>643</v>
      </c>
      <c r="F77" s="3699" t="s">
        <v>312</v>
      </c>
      <c r="G77" s="173"/>
      <c r="H77" s="174"/>
      <c r="I77" s="193"/>
      <c r="J77" s="178" t="s">
        <v>644</v>
      </c>
    </row>
    <row r="78" spans="1:10" ht="15.75" thickBot="1">
      <c r="A78" s="194"/>
      <c r="B78" s="4958">
        <v>8</v>
      </c>
      <c r="C78" s="4958">
        <v>8</v>
      </c>
      <c r="D78" s="4958">
        <v>8</v>
      </c>
      <c r="E78" s="4958">
        <v>8</v>
      </c>
      <c r="F78" s="4959">
        <v>7</v>
      </c>
      <c r="G78" s="4960"/>
      <c r="H78" s="195"/>
      <c r="I78" s="4908">
        <f>SUM(B78:H78)</f>
        <v>39</v>
      </c>
      <c r="J78" s="4935"/>
    </row>
    <row r="79" spans="1:10">
      <c r="A79" s="4910" t="s">
        <v>645</v>
      </c>
      <c r="B79" s="3839" t="s">
        <v>646</v>
      </c>
      <c r="C79" s="3839" t="s">
        <v>646</v>
      </c>
      <c r="D79" s="3839" t="s">
        <v>646</v>
      </c>
      <c r="E79" s="3839" t="s">
        <v>646</v>
      </c>
      <c r="F79" s="3839" t="s">
        <v>647</v>
      </c>
      <c r="G79" s="4888"/>
      <c r="H79" s="3841"/>
      <c r="I79" s="3839"/>
      <c r="J79" s="4904"/>
    </row>
    <row r="80" spans="1:10" ht="15.75" thickBot="1">
      <c r="A80" s="194"/>
      <c r="B80" s="4958">
        <v>6.5</v>
      </c>
      <c r="C80" s="4958">
        <v>6.5</v>
      </c>
      <c r="D80" s="4958">
        <v>6.5</v>
      </c>
      <c r="E80" s="4958">
        <v>6.5</v>
      </c>
      <c r="F80" s="4959">
        <v>7</v>
      </c>
      <c r="G80" s="4960"/>
      <c r="H80" s="195"/>
      <c r="I80" s="4908">
        <f>SUM(B80:H80)</f>
        <v>33</v>
      </c>
      <c r="J80" s="4935"/>
    </row>
    <row r="81" spans="1:10">
      <c r="A81" s="4910" t="s">
        <v>648</v>
      </c>
      <c r="B81" s="4902" t="s">
        <v>649</v>
      </c>
      <c r="C81" s="3839" t="s">
        <v>650</v>
      </c>
      <c r="D81" s="3839" t="s">
        <v>649</v>
      </c>
      <c r="E81" s="3839" t="s">
        <v>649</v>
      </c>
      <c r="F81" s="3839" t="s">
        <v>651</v>
      </c>
      <c r="G81" s="3839" t="s">
        <v>652</v>
      </c>
      <c r="H81" s="4903"/>
      <c r="I81" s="3839"/>
      <c r="J81" s="4904" t="s">
        <v>653</v>
      </c>
    </row>
    <row r="82" spans="1:10" ht="15.75" thickBot="1">
      <c r="A82" s="4309"/>
      <c r="B82" s="4890">
        <v>7</v>
      </c>
      <c r="C82" s="4891">
        <v>4</v>
      </c>
      <c r="D82" s="4891">
        <v>7</v>
      </c>
      <c r="E82" s="4891">
        <v>7</v>
      </c>
      <c r="F82" s="4891">
        <v>6.25</v>
      </c>
      <c r="G82" s="4891">
        <v>6.5</v>
      </c>
      <c r="H82" s="4907"/>
      <c r="I82" s="4908">
        <f>SUM(B82:H82)</f>
        <v>37.75</v>
      </c>
      <c r="J82" s="4909"/>
    </row>
    <row r="83" spans="1:10">
      <c r="A83" s="3863" t="s">
        <v>654</v>
      </c>
      <c r="B83" s="3698" t="s">
        <v>643</v>
      </c>
      <c r="C83" s="4961" t="s">
        <v>643</v>
      </c>
      <c r="D83" s="193" t="s">
        <v>643</v>
      </c>
      <c r="E83" s="3868" t="s">
        <v>643</v>
      </c>
      <c r="F83" s="3868" t="s">
        <v>312</v>
      </c>
      <c r="G83" s="4199"/>
      <c r="H83" s="3640"/>
      <c r="I83" s="3839"/>
      <c r="J83" s="178" t="s">
        <v>644</v>
      </c>
    </row>
    <row r="84" spans="1:10" ht="15.75" thickBot="1">
      <c r="A84" s="3875"/>
      <c r="B84" s="4906">
        <v>8</v>
      </c>
      <c r="C84" s="4906">
        <v>8</v>
      </c>
      <c r="D84" s="4906">
        <v>8</v>
      </c>
      <c r="E84" s="4906">
        <v>8</v>
      </c>
      <c r="F84" s="4906">
        <v>7</v>
      </c>
      <c r="G84" s="4877"/>
      <c r="H84" s="3652"/>
      <c r="I84" s="4908">
        <f>SUM(B84:H84)</f>
        <v>39</v>
      </c>
      <c r="J84" s="4878"/>
    </row>
    <row r="85" spans="1:10">
      <c r="A85" s="3863" t="s">
        <v>655</v>
      </c>
      <c r="B85" s="193" t="s">
        <v>646</v>
      </c>
      <c r="C85" s="3868" t="s">
        <v>646</v>
      </c>
      <c r="D85" s="3868" t="s">
        <v>646</v>
      </c>
      <c r="E85" s="3698" t="s">
        <v>646</v>
      </c>
      <c r="F85" s="3868" t="s">
        <v>647</v>
      </c>
      <c r="G85" s="4914"/>
      <c r="H85" s="3640"/>
      <c r="I85" s="3839"/>
      <c r="J85" s="4884"/>
    </row>
    <row r="86" spans="1:10" ht="15.75" thickBot="1">
      <c r="A86" s="4962"/>
      <c r="B86" s="4963">
        <v>6.5</v>
      </c>
      <c r="C86" s="4963">
        <v>6.5</v>
      </c>
      <c r="D86" s="4963">
        <v>6.5</v>
      </c>
      <c r="E86" s="4963">
        <v>6.5</v>
      </c>
      <c r="F86" s="4963">
        <v>7</v>
      </c>
      <c r="G86" s="3694"/>
      <c r="H86" s="3580"/>
      <c r="I86" s="4908">
        <f>SUM(B86:H86)</f>
        <v>33</v>
      </c>
      <c r="J86" s="4964"/>
    </row>
    <row r="87" spans="1:10">
      <c r="A87" s="4965" t="s">
        <v>656</v>
      </c>
      <c r="B87" s="3839" t="s">
        <v>313</v>
      </c>
      <c r="C87" s="4902" t="s">
        <v>313</v>
      </c>
      <c r="D87" s="3839" t="s">
        <v>313</v>
      </c>
      <c r="E87" s="3839" t="s">
        <v>313</v>
      </c>
      <c r="F87" s="4902" t="s">
        <v>575</v>
      </c>
      <c r="G87" s="3839"/>
      <c r="H87" s="4902" t="s">
        <v>581</v>
      </c>
      <c r="I87" s="3839"/>
      <c r="J87" s="4884"/>
    </row>
    <row r="88" spans="1:10" ht="15.75" thickBot="1">
      <c r="A88" s="4309"/>
      <c r="B88" s="4890">
        <v>7</v>
      </c>
      <c r="C88" s="4890">
        <v>7</v>
      </c>
      <c r="D88" s="4890">
        <v>7</v>
      </c>
      <c r="E88" s="4890">
        <v>7</v>
      </c>
      <c r="F88" s="4906">
        <v>7.4</v>
      </c>
      <c r="G88" s="4966"/>
      <c r="H88" s="4908">
        <v>8</v>
      </c>
      <c r="I88" s="4908">
        <f>SUM(B88:H88)</f>
        <v>43.4</v>
      </c>
      <c r="J88" s="4878"/>
    </row>
    <row r="89" spans="1:10" ht="15.75" thickBot="1">
      <c r="A89" s="4915" t="s">
        <v>588</v>
      </c>
      <c r="B89" s="4915">
        <f t="shared" ref="B89:I89" si="4">SUM(B78,B80,B82,B84,B86,B88)</f>
        <v>43</v>
      </c>
      <c r="C89" s="4915">
        <f t="shared" si="4"/>
        <v>40</v>
      </c>
      <c r="D89" s="4915">
        <f t="shared" si="4"/>
        <v>43</v>
      </c>
      <c r="E89" s="4915">
        <f t="shared" si="4"/>
        <v>43</v>
      </c>
      <c r="F89" s="4915">
        <f t="shared" si="4"/>
        <v>41.65</v>
      </c>
      <c r="G89" s="4915">
        <f t="shared" si="4"/>
        <v>6.5</v>
      </c>
      <c r="H89" s="4915">
        <f t="shared" si="4"/>
        <v>8</v>
      </c>
      <c r="I89" s="4925">
        <f t="shared" si="4"/>
        <v>225.15</v>
      </c>
      <c r="J89" s="4916"/>
    </row>
    <row r="90" spans="1:10" ht="16.5" thickTop="1" thickBot="1">
      <c r="A90" s="1" t="s">
        <v>657</v>
      </c>
      <c r="B90" s="113"/>
      <c r="C90" s="113"/>
      <c r="D90" s="113"/>
      <c r="E90" s="113"/>
      <c r="F90" s="113"/>
    </row>
    <row r="91" spans="1:10" ht="15.75" thickBot="1">
      <c r="A91" s="4917" t="s">
        <v>658</v>
      </c>
      <c r="B91" s="4918" t="s">
        <v>87</v>
      </c>
      <c r="C91" s="4919" t="s">
        <v>88</v>
      </c>
      <c r="D91" s="4919" t="s">
        <v>89</v>
      </c>
      <c r="E91" s="4919" t="s">
        <v>90</v>
      </c>
      <c r="F91" s="4919" t="s">
        <v>91</v>
      </c>
      <c r="G91" s="4919" t="s">
        <v>92</v>
      </c>
      <c r="H91" s="4920" t="s">
        <v>93</v>
      </c>
      <c r="I91" s="4921" t="s">
        <v>158</v>
      </c>
      <c r="J91" s="4922" t="s">
        <v>94</v>
      </c>
    </row>
    <row r="92" spans="1:10">
      <c r="A92" s="4910" t="s">
        <v>659</v>
      </c>
      <c r="B92" s="3839" t="s">
        <v>312</v>
      </c>
      <c r="C92" s="3839" t="s">
        <v>312</v>
      </c>
      <c r="D92" s="3839" t="s">
        <v>312</v>
      </c>
      <c r="E92" s="3839" t="s">
        <v>312</v>
      </c>
      <c r="F92" s="3839" t="s">
        <v>313</v>
      </c>
      <c r="G92" s="4888"/>
      <c r="H92" s="3841"/>
      <c r="I92" s="3839"/>
      <c r="J92" s="4904"/>
    </row>
    <row r="93" spans="1:10" ht="15.75" thickBot="1">
      <c r="A93" s="4957"/>
      <c r="B93" s="4890">
        <v>7.5</v>
      </c>
      <c r="C93" s="4890">
        <v>7.5</v>
      </c>
      <c r="D93" s="4890">
        <v>7.5</v>
      </c>
      <c r="E93" s="4890">
        <v>7.5</v>
      </c>
      <c r="F93" s="4891">
        <v>7</v>
      </c>
      <c r="G93" s="4892"/>
      <c r="H93" s="4893"/>
      <c r="I93" s="4908">
        <f>SUM(B93:H93)</f>
        <v>37</v>
      </c>
      <c r="J93" s="4909"/>
    </row>
    <row r="94" spans="1:10">
      <c r="A94" s="3863" t="s">
        <v>660</v>
      </c>
      <c r="B94" s="3868" t="s">
        <v>661</v>
      </c>
      <c r="C94" s="3868" t="s">
        <v>661</v>
      </c>
      <c r="D94" s="3868" t="s">
        <v>661</v>
      </c>
      <c r="E94" s="3868" t="s">
        <v>661</v>
      </c>
      <c r="F94" s="3868" t="s">
        <v>635</v>
      </c>
      <c r="G94" s="173"/>
      <c r="H94" s="174"/>
      <c r="I94" s="193"/>
      <c r="J94" s="178"/>
    </row>
    <row r="95" spans="1:10" ht="15.75" thickBot="1">
      <c r="A95" s="194"/>
      <c r="B95" s="4958">
        <v>7.5</v>
      </c>
      <c r="C95" s="4958">
        <v>7.5</v>
      </c>
      <c r="D95" s="4958">
        <v>7.5</v>
      </c>
      <c r="E95" s="4958">
        <v>7.5</v>
      </c>
      <c r="F95" s="4959">
        <v>6</v>
      </c>
      <c r="G95" s="4960"/>
      <c r="H95" s="195"/>
      <c r="I95" s="4908">
        <f>SUM(B95:H95)</f>
        <v>36</v>
      </c>
      <c r="J95" s="4935"/>
    </row>
    <row r="96" spans="1:10">
      <c r="A96" s="4901" t="s">
        <v>662</v>
      </c>
      <c r="B96" s="3839" t="s">
        <v>663</v>
      </c>
      <c r="C96" s="3839" t="s">
        <v>663</v>
      </c>
      <c r="D96" s="3839" t="s">
        <v>663</v>
      </c>
      <c r="E96" s="3839" t="s">
        <v>663</v>
      </c>
      <c r="F96" s="3839" t="s">
        <v>664</v>
      </c>
      <c r="G96" s="3839"/>
      <c r="H96" s="3839"/>
      <c r="I96" s="3839"/>
      <c r="J96" s="4904"/>
    </row>
    <row r="97" spans="1:10" ht="15.75" thickBot="1">
      <c r="A97" s="4309"/>
      <c r="B97" s="4890">
        <v>7.5</v>
      </c>
      <c r="C97" s="4890">
        <v>7.5</v>
      </c>
      <c r="D97" s="4890">
        <v>7.5</v>
      </c>
      <c r="E97" s="4890">
        <v>7.5</v>
      </c>
      <c r="F97" s="4891">
        <v>6</v>
      </c>
      <c r="G97" s="4891"/>
      <c r="H97" s="4907"/>
      <c r="I97" s="4908">
        <f>SUM(B97:H97)</f>
        <v>36</v>
      </c>
      <c r="J97" s="4909"/>
    </row>
    <row r="98" spans="1:10" ht="15.75" thickBot="1">
      <c r="A98" s="4915" t="s">
        <v>588</v>
      </c>
      <c r="B98" s="4915">
        <f t="shared" ref="B98:I98" si="5">SUM(B93,B95,B97)</f>
        <v>22.5</v>
      </c>
      <c r="C98" s="4915">
        <f t="shared" si="5"/>
        <v>22.5</v>
      </c>
      <c r="D98" s="4915">
        <f t="shared" si="5"/>
        <v>22.5</v>
      </c>
      <c r="E98" s="4915">
        <f t="shared" si="5"/>
        <v>22.5</v>
      </c>
      <c r="F98" s="4915">
        <f t="shared" si="5"/>
        <v>19</v>
      </c>
      <c r="G98" s="4915">
        <f t="shared" si="5"/>
        <v>0</v>
      </c>
      <c r="H98" s="4915">
        <f t="shared" si="5"/>
        <v>0</v>
      </c>
      <c r="I98" s="4925">
        <f t="shared" si="5"/>
        <v>109</v>
      </c>
      <c r="J98" s="4926"/>
    </row>
    <row r="99" spans="1:10" ht="16.5" thickTop="1" thickBot="1">
      <c r="A99" s="1" t="s">
        <v>665</v>
      </c>
      <c r="B99" s="113"/>
      <c r="C99" s="113"/>
      <c r="D99" s="113"/>
      <c r="E99" s="113"/>
      <c r="F99" s="113"/>
    </row>
    <row r="100" spans="1:10" ht="15.75" thickBot="1">
      <c r="A100" s="3833" t="s">
        <v>590</v>
      </c>
      <c r="B100" s="4896" t="s">
        <v>87</v>
      </c>
      <c r="C100" s="4897" t="s">
        <v>88</v>
      </c>
      <c r="D100" s="4897" t="s">
        <v>89</v>
      </c>
      <c r="E100" s="4897" t="s">
        <v>90</v>
      </c>
      <c r="F100" s="4897" t="s">
        <v>91</v>
      </c>
      <c r="G100" s="4897" t="s">
        <v>92</v>
      </c>
      <c r="H100" s="4898" t="s">
        <v>93</v>
      </c>
      <c r="I100" s="4899" t="s">
        <v>158</v>
      </c>
      <c r="J100" s="4900" t="s">
        <v>94</v>
      </c>
    </row>
    <row r="101" spans="1:10">
      <c r="A101" s="4886"/>
      <c r="B101" s="4902" t="s">
        <v>330</v>
      </c>
      <c r="C101" s="4902" t="s">
        <v>330</v>
      </c>
      <c r="D101" s="4902" t="s">
        <v>330</v>
      </c>
      <c r="E101" s="4902" t="s">
        <v>330</v>
      </c>
      <c r="F101" s="4902" t="s">
        <v>331</v>
      </c>
      <c r="G101" s="4888"/>
      <c r="H101" s="3841"/>
      <c r="I101" s="3834"/>
      <c r="J101" s="4889"/>
    </row>
    <row r="102" spans="1:10" ht="15.75" thickBot="1">
      <c r="A102" s="4309" t="s">
        <v>666</v>
      </c>
      <c r="B102" s="4890">
        <v>7.75</v>
      </c>
      <c r="C102" s="4890">
        <v>7.75</v>
      </c>
      <c r="D102" s="4890">
        <v>7.75</v>
      </c>
      <c r="E102" s="4890">
        <v>7.75</v>
      </c>
      <c r="F102" s="4890">
        <v>6</v>
      </c>
      <c r="G102" s="4892"/>
      <c r="H102" s="4893"/>
      <c r="I102" s="4894">
        <f>SUM(B102:H102)</f>
        <v>37</v>
      </c>
      <c r="J102" s="4895"/>
    </row>
    <row r="104" spans="1:10" ht="15.75" thickBot="1">
      <c r="A104" s="1" t="s">
        <v>667</v>
      </c>
      <c r="B104" s="113"/>
      <c r="C104" s="113"/>
      <c r="D104" s="113"/>
      <c r="E104" s="113"/>
      <c r="F104" s="113"/>
    </row>
    <row r="105" spans="1:10" ht="15.75" thickBot="1">
      <c r="A105" s="3833" t="s">
        <v>668</v>
      </c>
      <c r="B105" s="4896" t="s">
        <v>87</v>
      </c>
      <c r="C105" s="4897" t="s">
        <v>88</v>
      </c>
      <c r="D105" s="4897" t="s">
        <v>89</v>
      </c>
      <c r="E105" s="4897" t="s">
        <v>90</v>
      </c>
      <c r="F105" s="4897" t="s">
        <v>91</v>
      </c>
      <c r="G105" s="4897" t="s">
        <v>92</v>
      </c>
      <c r="H105" s="4898" t="s">
        <v>93</v>
      </c>
      <c r="I105" s="4899" t="s">
        <v>158</v>
      </c>
      <c r="J105" s="4900" t="s">
        <v>94</v>
      </c>
    </row>
    <row r="106" spans="1:10">
      <c r="A106" s="4886"/>
      <c r="B106" s="4902" t="s">
        <v>669</v>
      </c>
      <c r="C106" s="4902" t="s">
        <v>669</v>
      </c>
      <c r="D106" s="4902" t="s">
        <v>581</v>
      </c>
      <c r="E106" s="4902" t="s">
        <v>581</v>
      </c>
      <c r="F106" s="4902" t="s">
        <v>182</v>
      </c>
      <c r="G106" s="4903"/>
      <c r="H106" s="4911"/>
      <c r="I106" s="3834"/>
      <c r="J106" s="4904"/>
    </row>
    <row r="107" spans="1:10" ht="15.75" thickBot="1">
      <c r="A107" s="4309" t="s">
        <v>670</v>
      </c>
      <c r="B107" s="4890">
        <v>7.5</v>
      </c>
      <c r="C107" s="4891">
        <v>7.5</v>
      </c>
      <c r="D107" s="4891">
        <v>8</v>
      </c>
      <c r="E107" s="4891">
        <v>8</v>
      </c>
      <c r="F107" s="4891">
        <v>6</v>
      </c>
      <c r="G107" s="4891"/>
      <c r="H107" s="4907"/>
      <c r="I107" s="4894">
        <f>SUM(B107:H107)</f>
        <v>37</v>
      </c>
      <c r="J107" s="4909"/>
    </row>
    <row r="109" spans="1:10" ht="15.75" thickBot="1">
      <c r="A109" s="1" t="s">
        <v>671</v>
      </c>
      <c r="B109" s="113"/>
      <c r="C109" s="113"/>
      <c r="D109" s="113"/>
      <c r="E109" s="113"/>
      <c r="F109" s="113"/>
    </row>
    <row r="110" spans="1:10" ht="15.75" thickBot="1">
      <c r="A110" s="3833" t="s">
        <v>590</v>
      </c>
      <c r="B110" s="4896" t="s">
        <v>87</v>
      </c>
      <c r="C110" s="4897" t="s">
        <v>88</v>
      </c>
      <c r="D110" s="4897" t="s">
        <v>89</v>
      </c>
      <c r="E110" s="4897" t="s">
        <v>90</v>
      </c>
      <c r="F110" s="4897" t="s">
        <v>91</v>
      </c>
      <c r="G110" s="4897" t="s">
        <v>92</v>
      </c>
      <c r="H110" s="4898" t="s">
        <v>93</v>
      </c>
      <c r="I110" s="4899" t="s">
        <v>158</v>
      </c>
      <c r="J110" s="4900" t="s">
        <v>94</v>
      </c>
    </row>
    <row r="111" spans="1:10">
      <c r="A111" s="4910"/>
      <c r="B111" s="4902" t="s">
        <v>330</v>
      </c>
      <c r="C111" s="4902" t="s">
        <v>330</v>
      </c>
      <c r="D111" s="4902" t="s">
        <v>330</v>
      </c>
      <c r="E111" s="4902" t="s">
        <v>330</v>
      </c>
      <c r="F111" s="4902" t="s">
        <v>331</v>
      </c>
      <c r="G111" s="4903"/>
      <c r="H111" s="4911"/>
      <c r="I111" s="3834"/>
      <c r="J111" s="4904"/>
    </row>
    <row r="112" spans="1:10" ht="15.75" thickBot="1">
      <c r="A112" s="4309" t="s">
        <v>672</v>
      </c>
      <c r="B112" s="4890">
        <v>7.75</v>
      </c>
      <c r="C112" s="4890">
        <v>7.75</v>
      </c>
      <c r="D112" s="4890">
        <v>7.75</v>
      </c>
      <c r="E112" s="4890">
        <v>7.75</v>
      </c>
      <c r="F112" s="4890">
        <v>6</v>
      </c>
      <c r="G112" s="4891"/>
      <c r="H112" s="4907"/>
      <c r="I112" s="4908">
        <f>SUM(B112:H112)</f>
        <v>37</v>
      </c>
      <c r="J112" s="4909"/>
    </row>
    <row r="113" spans="1:10">
      <c r="A113" s="4910"/>
      <c r="B113" s="4902" t="s">
        <v>330</v>
      </c>
      <c r="C113" s="4902" t="s">
        <v>330</v>
      </c>
      <c r="D113" s="4902" t="s">
        <v>330</v>
      </c>
      <c r="E113" s="4902" t="s">
        <v>330</v>
      </c>
      <c r="F113" s="4902" t="s">
        <v>331</v>
      </c>
      <c r="G113" s="4903"/>
      <c r="H113" s="4911"/>
      <c r="I113" s="3834"/>
      <c r="J113" s="4904"/>
    </row>
    <row r="114" spans="1:10" ht="15.75" thickBot="1">
      <c r="A114" s="4309" t="s">
        <v>673</v>
      </c>
      <c r="B114" s="4890">
        <v>7.75</v>
      </c>
      <c r="C114" s="4890">
        <v>7.75</v>
      </c>
      <c r="D114" s="4890">
        <v>7.75</v>
      </c>
      <c r="E114" s="4890">
        <v>7.75</v>
      </c>
      <c r="F114" s="4890">
        <v>6</v>
      </c>
      <c r="G114" s="4891"/>
      <c r="H114" s="4907"/>
      <c r="I114" s="4908">
        <f>SUM(B114:H114)</f>
        <v>37</v>
      </c>
      <c r="J114" s="4909"/>
    </row>
    <row r="115" spans="1:10">
      <c r="A115" s="4910"/>
      <c r="B115" s="4902" t="s">
        <v>330</v>
      </c>
      <c r="C115" s="4902" t="s">
        <v>330</v>
      </c>
      <c r="D115" s="4902" t="s">
        <v>330</v>
      </c>
      <c r="E115" s="4902" t="s">
        <v>330</v>
      </c>
      <c r="F115" s="4902" t="s">
        <v>331</v>
      </c>
      <c r="G115" s="4903"/>
      <c r="H115" s="4911"/>
      <c r="I115" s="3834"/>
      <c r="J115" s="4904"/>
    </row>
    <row r="116" spans="1:10" ht="15.75" thickBot="1">
      <c r="A116" s="4309" t="s">
        <v>674</v>
      </c>
      <c r="B116" s="4890">
        <v>7.75</v>
      </c>
      <c r="C116" s="4890">
        <v>7.75</v>
      </c>
      <c r="D116" s="4890">
        <v>7.75</v>
      </c>
      <c r="E116" s="4890">
        <v>7.75</v>
      </c>
      <c r="F116" s="4890">
        <v>6</v>
      </c>
      <c r="G116" s="4891"/>
      <c r="H116" s="4907"/>
      <c r="I116" s="4908">
        <f>SUM(B116:H116)</f>
        <v>37</v>
      </c>
      <c r="J116" s="4909"/>
    </row>
    <row r="117" spans="1:10" ht="15.75" thickBot="1">
      <c r="A117" s="4915" t="s">
        <v>588</v>
      </c>
      <c r="B117" s="4915">
        <f t="shared" ref="B117:I117" si="6">SUM(B112,B114,B116)</f>
        <v>23.25</v>
      </c>
      <c r="C117" s="4915">
        <f t="shared" si="6"/>
        <v>23.25</v>
      </c>
      <c r="D117" s="4915">
        <f t="shared" si="6"/>
        <v>23.25</v>
      </c>
      <c r="E117" s="4915">
        <f t="shared" si="6"/>
        <v>23.25</v>
      </c>
      <c r="F117" s="4915">
        <f t="shared" si="6"/>
        <v>18</v>
      </c>
      <c r="G117" s="4915">
        <f t="shared" si="6"/>
        <v>0</v>
      </c>
      <c r="H117" s="4915">
        <f t="shared" si="6"/>
        <v>0</v>
      </c>
      <c r="I117" s="4925">
        <f t="shared" si="6"/>
        <v>111</v>
      </c>
      <c r="J117" s="4926"/>
    </row>
    <row r="118" spans="1:10" ht="15.75" thickTop="1">
      <c r="A118" s="113"/>
      <c r="B118" s="113"/>
      <c r="C118" s="113"/>
      <c r="D118" s="113"/>
      <c r="E118" s="113"/>
      <c r="F118" s="113"/>
      <c r="G118" s="100"/>
      <c r="H118" s="100"/>
      <c r="I118" s="113"/>
      <c r="J118" s="18"/>
    </row>
    <row r="119" spans="1:10" ht="15.75" thickBot="1">
      <c r="A119" s="1" t="s">
        <v>675</v>
      </c>
      <c r="B119" s="113"/>
      <c r="C119" s="113"/>
      <c r="D119" s="113"/>
      <c r="E119" s="113"/>
      <c r="F119" s="113"/>
    </row>
    <row r="120" spans="1:10" ht="15.75" thickBot="1">
      <c r="A120" s="3833" t="s">
        <v>676</v>
      </c>
      <c r="B120" s="4896" t="s">
        <v>87</v>
      </c>
      <c r="C120" s="4897" t="s">
        <v>88</v>
      </c>
      <c r="D120" s="4897" t="s">
        <v>89</v>
      </c>
      <c r="E120" s="4897" t="s">
        <v>90</v>
      </c>
      <c r="F120" s="4897" t="s">
        <v>91</v>
      </c>
      <c r="G120" s="4897" t="s">
        <v>92</v>
      </c>
      <c r="H120" s="4898" t="s">
        <v>93</v>
      </c>
      <c r="I120" s="4899" t="s">
        <v>158</v>
      </c>
      <c r="J120" s="4900" t="s">
        <v>94</v>
      </c>
    </row>
    <row r="121" spans="1:10">
      <c r="A121" s="4901" t="s">
        <v>0</v>
      </c>
      <c r="B121" s="4902" t="s">
        <v>283</v>
      </c>
      <c r="C121" s="4902" t="s">
        <v>283</v>
      </c>
      <c r="D121" s="4902" t="s">
        <v>283</v>
      </c>
      <c r="E121" s="4902" t="s">
        <v>283</v>
      </c>
      <c r="F121" s="4903" t="s">
        <v>284</v>
      </c>
      <c r="G121" s="4903"/>
      <c r="H121" s="4903"/>
      <c r="I121" s="3834"/>
      <c r="J121" s="4904"/>
    </row>
    <row r="122" spans="1:10" ht="15.75" thickBot="1">
      <c r="A122" s="4905" t="s">
        <v>677</v>
      </c>
      <c r="B122" s="4906">
        <v>7.75</v>
      </c>
      <c r="C122" s="4906">
        <v>7.75</v>
      </c>
      <c r="D122" s="4906">
        <v>7.75</v>
      </c>
      <c r="E122" s="4906">
        <v>7.75</v>
      </c>
      <c r="F122" s="4967">
        <v>6</v>
      </c>
      <c r="G122" s="4967"/>
      <c r="H122" s="4967"/>
      <c r="I122" s="4968">
        <f>SUM(B122:H122)</f>
        <v>37</v>
      </c>
      <c r="J122" s="4969"/>
    </row>
    <row r="123" spans="1:10">
      <c r="A123" s="81"/>
      <c r="B123" s="4958"/>
      <c r="C123" s="4958"/>
      <c r="D123" s="4958"/>
      <c r="E123" s="4958"/>
      <c r="F123" s="4959"/>
      <c r="G123" s="4959"/>
      <c r="H123" s="100"/>
      <c r="I123" s="4970"/>
      <c r="J123" s="3291"/>
    </row>
    <row r="124" spans="1:10" ht="15.75" thickBot="1">
      <c r="A124" s="196" t="s">
        <v>678</v>
      </c>
      <c r="B124" s="4958"/>
      <c r="C124" s="4958"/>
      <c r="D124" s="4958"/>
      <c r="E124" s="4958"/>
      <c r="F124" s="4959"/>
      <c r="G124" s="4959"/>
      <c r="H124" s="100"/>
      <c r="I124" s="4970"/>
      <c r="J124" s="3291"/>
    </row>
    <row r="125" spans="1:10" ht="15.75" thickBot="1">
      <c r="A125" s="4917" t="s">
        <v>679</v>
      </c>
      <c r="B125" s="4918" t="s">
        <v>87</v>
      </c>
      <c r="C125" s="4919" t="s">
        <v>88</v>
      </c>
      <c r="D125" s="4919" t="s">
        <v>89</v>
      </c>
      <c r="E125" s="4919" t="s">
        <v>90</v>
      </c>
      <c r="F125" s="4919" t="s">
        <v>91</v>
      </c>
      <c r="G125" s="4919" t="s">
        <v>92</v>
      </c>
      <c r="H125" s="4920" t="s">
        <v>93</v>
      </c>
      <c r="I125" s="4921" t="s">
        <v>158</v>
      </c>
      <c r="J125" s="4922" t="s">
        <v>94</v>
      </c>
    </row>
    <row r="126" spans="1:10">
      <c r="A126" s="197" t="s">
        <v>0</v>
      </c>
      <c r="B126" s="171" t="s">
        <v>680</v>
      </c>
      <c r="C126" s="171" t="s">
        <v>680</v>
      </c>
      <c r="D126" s="171" t="s">
        <v>680</v>
      </c>
      <c r="E126" s="171" t="s">
        <v>680</v>
      </c>
      <c r="F126" s="172" t="s">
        <v>312</v>
      </c>
      <c r="G126" s="172"/>
      <c r="H126" s="172"/>
      <c r="I126" s="121"/>
      <c r="J126" s="178"/>
    </row>
    <row r="127" spans="1:10" ht="15.75" thickBot="1">
      <c r="A127" s="4905" t="s">
        <v>681</v>
      </c>
      <c r="B127" s="4906">
        <v>7.5</v>
      </c>
      <c r="C127" s="4906">
        <v>7.5</v>
      </c>
      <c r="D127" s="4906">
        <v>7.5</v>
      </c>
      <c r="E127" s="4906">
        <v>7.5</v>
      </c>
      <c r="F127" s="4967">
        <v>7</v>
      </c>
      <c r="G127" s="4967"/>
      <c r="H127" s="4967"/>
      <c r="I127" s="4971">
        <f>SUM(B127:H127)</f>
        <v>37</v>
      </c>
      <c r="J127" s="4909" t="s">
        <v>653</v>
      </c>
    </row>
    <row r="128" spans="1:10">
      <c r="A128" s="113"/>
      <c r="B128" s="113"/>
      <c r="C128" s="113"/>
      <c r="D128" s="113"/>
      <c r="E128" s="113"/>
      <c r="F128" s="100"/>
      <c r="G128" s="100"/>
      <c r="H128" s="100"/>
      <c r="I128" s="113"/>
      <c r="J128" s="18"/>
    </row>
    <row r="129" spans="1:10">
      <c r="A129" s="113"/>
      <c r="B129" s="113"/>
      <c r="C129" s="113"/>
      <c r="D129" s="113"/>
      <c r="E129" s="113"/>
      <c r="F129" s="100"/>
      <c r="G129" s="100"/>
      <c r="H129" s="100"/>
      <c r="I129" s="113"/>
      <c r="J129" s="18"/>
    </row>
    <row r="130" spans="1:10">
      <c r="A130" s="113"/>
      <c r="B130" s="113"/>
      <c r="C130" s="113"/>
      <c r="D130" s="113"/>
      <c r="E130" s="113"/>
      <c r="F130" s="100"/>
      <c r="G130" s="100"/>
      <c r="H130" s="100"/>
      <c r="I130" s="113"/>
      <c r="J130" s="18"/>
    </row>
    <row r="131" spans="1:10">
      <c r="A131" s="113"/>
      <c r="B131" s="113"/>
      <c r="C131" s="113"/>
      <c r="D131" s="113"/>
      <c r="E131" s="113"/>
      <c r="F131" s="100"/>
      <c r="G131" s="100"/>
      <c r="H131" s="100"/>
      <c r="I131" s="113"/>
      <c r="J131" s="18"/>
    </row>
    <row r="132" spans="1:10" ht="15.75" thickBot="1">
      <c r="A132" s="4368" t="s">
        <v>682</v>
      </c>
      <c r="B132" s="113"/>
      <c r="C132" s="113"/>
      <c r="D132" s="113"/>
      <c r="E132" s="113"/>
      <c r="F132" s="100"/>
      <c r="G132" s="100"/>
      <c r="H132" s="100"/>
      <c r="I132" s="113"/>
      <c r="J132" s="18"/>
    </row>
    <row r="133" spans="1:10" ht="15.75" thickBot="1">
      <c r="A133" s="194" t="s">
        <v>679</v>
      </c>
      <c r="B133" s="4896" t="s">
        <v>87</v>
      </c>
      <c r="C133" s="4897" t="s">
        <v>88</v>
      </c>
      <c r="D133" s="4897" t="s">
        <v>89</v>
      </c>
      <c r="E133" s="4897" t="s">
        <v>90</v>
      </c>
      <c r="F133" s="4897" t="s">
        <v>91</v>
      </c>
      <c r="G133" s="4897" t="s">
        <v>92</v>
      </c>
      <c r="H133" s="4898" t="s">
        <v>93</v>
      </c>
      <c r="I133" s="4899" t="s">
        <v>158</v>
      </c>
      <c r="J133" s="4900" t="s">
        <v>94</v>
      </c>
    </row>
    <row r="134" spans="1:10">
      <c r="A134" s="4901" t="s">
        <v>0</v>
      </c>
      <c r="B134" s="4902" t="s">
        <v>680</v>
      </c>
      <c r="C134" s="4902" t="s">
        <v>680</v>
      </c>
      <c r="D134" s="4902" t="s">
        <v>680</v>
      </c>
      <c r="E134" s="4902" t="s">
        <v>680</v>
      </c>
      <c r="F134" s="4903" t="s">
        <v>312</v>
      </c>
      <c r="G134" s="4903"/>
      <c r="H134" s="4903"/>
      <c r="I134" s="3834"/>
      <c r="J134" s="4904"/>
    </row>
    <row r="135" spans="1:10" ht="15.75" thickBot="1">
      <c r="A135" s="4905" t="s">
        <v>683</v>
      </c>
      <c r="B135" s="4906">
        <v>7.5</v>
      </c>
      <c r="C135" s="4906">
        <v>7.5</v>
      </c>
      <c r="D135" s="4906">
        <v>7.5</v>
      </c>
      <c r="E135" s="4906">
        <v>7.5</v>
      </c>
      <c r="F135" s="4967">
        <v>7</v>
      </c>
      <c r="G135" s="4967"/>
      <c r="H135" s="4967"/>
      <c r="I135" s="4906">
        <f>SUM(B135:H135)</f>
        <v>37</v>
      </c>
      <c r="J135" s="4909" t="s">
        <v>653</v>
      </c>
    </row>
    <row r="136" spans="1:10">
      <c r="A136" s="4901" t="s">
        <v>0</v>
      </c>
      <c r="B136" s="4902" t="s">
        <v>680</v>
      </c>
      <c r="C136" s="4902" t="s">
        <v>680</v>
      </c>
      <c r="D136" s="4902" t="s">
        <v>680</v>
      </c>
      <c r="E136" s="4902" t="s">
        <v>680</v>
      </c>
      <c r="F136" s="4903" t="s">
        <v>312</v>
      </c>
      <c r="G136" s="4903"/>
      <c r="H136" s="4903"/>
      <c r="I136" s="3834"/>
      <c r="J136" s="4904"/>
    </row>
    <row r="137" spans="1:10" ht="15.75" thickBot="1">
      <c r="A137" s="4905" t="s">
        <v>684</v>
      </c>
      <c r="B137" s="4906">
        <v>7.5</v>
      </c>
      <c r="C137" s="4906">
        <v>7.5</v>
      </c>
      <c r="D137" s="4906">
        <v>7.5</v>
      </c>
      <c r="E137" s="4906">
        <v>7.5</v>
      </c>
      <c r="F137" s="4967">
        <v>7</v>
      </c>
      <c r="G137" s="4967"/>
      <c r="H137" s="4967"/>
      <c r="I137" s="4906">
        <f>SUM(B137:H137)</f>
        <v>37</v>
      </c>
      <c r="J137" s="4909" t="s">
        <v>653</v>
      </c>
    </row>
    <row r="138" spans="1:10">
      <c r="A138" s="4901" t="s">
        <v>0</v>
      </c>
      <c r="B138" s="4902" t="s">
        <v>680</v>
      </c>
      <c r="C138" s="4902" t="s">
        <v>680</v>
      </c>
      <c r="D138" s="4902" t="s">
        <v>680</v>
      </c>
      <c r="E138" s="4902" t="s">
        <v>680</v>
      </c>
      <c r="F138" s="4903" t="s">
        <v>312</v>
      </c>
      <c r="G138" s="4903"/>
      <c r="H138" s="4903"/>
      <c r="I138" s="3834"/>
      <c r="J138" s="4904"/>
    </row>
    <row r="139" spans="1:10" ht="15.75" thickBot="1">
      <c r="A139" s="4905" t="s">
        <v>685</v>
      </c>
      <c r="B139" s="4906">
        <v>7.5</v>
      </c>
      <c r="C139" s="4906">
        <v>7.5</v>
      </c>
      <c r="D139" s="4906">
        <v>7.5</v>
      </c>
      <c r="E139" s="4906">
        <v>7.5</v>
      </c>
      <c r="F139" s="4967">
        <v>7</v>
      </c>
      <c r="G139" s="4967"/>
      <c r="H139" s="4967"/>
      <c r="I139" s="4906">
        <f>SUM(B139:H139)</f>
        <v>37</v>
      </c>
      <c r="J139" s="4909" t="s">
        <v>653</v>
      </c>
    </row>
    <row r="140" spans="1:10">
      <c r="A140" s="4901" t="s">
        <v>0</v>
      </c>
      <c r="B140" s="4902" t="s">
        <v>680</v>
      </c>
      <c r="C140" s="4902" t="s">
        <v>680</v>
      </c>
      <c r="D140" s="4902" t="s">
        <v>680</v>
      </c>
      <c r="E140" s="4902" t="s">
        <v>680</v>
      </c>
      <c r="F140" s="4903" t="s">
        <v>312</v>
      </c>
      <c r="G140" s="4903"/>
      <c r="H140" s="4903"/>
      <c r="I140" s="3834"/>
      <c r="J140" s="4904"/>
    </row>
    <row r="141" spans="1:10" ht="15.75" thickBot="1">
      <c r="A141" s="4905" t="s">
        <v>686</v>
      </c>
      <c r="B141" s="4906">
        <v>7.5</v>
      </c>
      <c r="C141" s="4906">
        <v>7.5</v>
      </c>
      <c r="D141" s="4906">
        <v>7.5</v>
      </c>
      <c r="E141" s="4906">
        <v>7.5</v>
      </c>
      <c r="F141" s="4967">
        <v>7</v>
      </c>
      <c r="G141" s="4967"/>
      <c r="H141" s="4967"/>
      <c r="I141" s="4906">
        <f>SUM(B141:H141)</f>
        <v>37</v>
      </c>
      <c r="J141" s="4909" t="s">
        <v>653</v>
      </c>
    </row>
    <row r="142" spans="1:10">
      <c r="A142" s="4901" t="s">
        <v>0</v>
      </c>
      <c r="B142" s="4902" t="s">
        <v>680</v>
      </c>
      <c r="C142" s="4902" t="s">
        <v>680</v>
      </c>
      <c r="D142" s="4902" t="s">
        <v>680</v>
      </c>
      <c r="E142" s="4902" t="s">
        <v>680</v>
      </c>
      <c r="F142" s="4903" t="s">
        <v>312</v>
      </c>
      <c r="G142" s="4903"/>
      <c r="H142" s="4903"/>
      <c r="I142" s="3834"/>
      <c r="J142" s="4904"/>
    </row>
    <row r="143" spans="1:10" ht="15.75" thickBot="1">
      <c r="A143" s="4905" t="s">
        <v>687</v>
      </c>
      <c r="B143" s="4906">
        <v>7.5</v>
      </c>
      <c r="C143" s="4906">
        <v>7.5</v>
      </c>
      <c r="D143" s="4906">
        <v>7.5</v>
      </c>
      <c r="E143" s="4906">
        <v>7.5</v>
      </c>
      <c r="F143" s="4967">
        <v>7</v>
      </c>
      <c r="G143" s="4967"/>
      <c r="H143" s="4967"/>
      <c r="I143" s="4906">
        <f>SUM(B143:H143)</f>
        <v>37</v>
      </c>
      <c r="J143" s="4909" t="s">
        <v>653</v>
      </c>
    </row>
    <row r="144" spans="1:10" ht="15.75" thickBot="1">
      <c r="A144" s="4915" t="s">
        <v>588</v>
      </c>
      <c r="B144" s="4915">
        <f t="shared" ref="B144:I144" si="7">SUM(B135,B137,B139,B141,B143)</f>
        <v>37.5</v>
      </c>
      <c r="C144" s="4915">
        <f t="shared" si="7"/>
        <v>37.5</v>
      </c>
      <c r="D144" s="4915">
        <f t="shared" si="7"/>
        <v>37.5</v>
      </c>
      <c r="E144" s="4915">
        <f t="shared" si="7"/>
        <v>37.5</v>
      </c>
      <c r="F144" s="4915">
        <f t="shared" si="7"/>
        <v>35</v>
      </c>
      <c r="G144" s="4915">
        <f t="shared" si="7"/>
        <v>0</v>
      </c>
      <c r="H144" s="4915">
        <f t="shared" si="7"/>
        <v>0</v>
      </c>
      <c r="I144" s="4925">
        <f t="shared" si="7"/>
        <v>185</v>
      </c>
      <c r="J144" s="4926"/>
    </row>
    <row r="145" spans="1:10" ht="15.75" thickTop="1">
      <c r="A145" s="113"/>
      <c r="B145" s="113"/>
      <c r="C145" s="113"/>
      <c r="D145" s="113"/>
      <c r="E145" s="113"/>
      <c r="F145" s="100"/>
      <c r="G145" s="100"/>
      <c r="H145" s="100"/>
      <c r="I145" s="113"/>
      <c r="J145" s="18"/>
    </row>
    <row r="146" spans="1:10" ht="15.75" thickBot="1">
      <c r="A146" s="113"/>
      <c r="B146" s="113"/>
      <c r="C146" s="113"/>
      <c r="D146" s="113"/>
      <c r="E146" s="113"/>
      <c r="F146" s="100"/>
      <c r="G146" s="100"/>
      <c r="H146" s="100"/>
      <c r="I146" s="113"/>
      <c r="J146" s="18"/>
    </row>
    <row r="147" spans="1:10" ht="15.75" thickBot="1">
      <c r="B147" s="4972" t="s">
        <v>87</v>
      </c>
      <c r="C147" s="4919" t="s">
        <v>88</v>
      </c>
      <c r="D147" s="4919" t="s">
        <v>89</v>
      </c>
      <c r="E147" s="4919" t="s">
        <v>90</v>
      </c>
      <c r="F147" s="4919" t="s">
        <v>91</v>
      </c>
      <c r="G147" s="4919" t="s">
        <v>92</v>
      </c>
      <c r="H147" s="4973" t="s">
        <v>93</v>
      </c>
      <c r="I147" s="4974" t="s">
        <v>688</v>
      </c>
      <c r="J147" s="100" t="s">
        <v>0</v>
      </c>
    </row>
    <row r="148" spans="1:10">
      <c r="A148" s="3692" t="s">
        <v>689</v>
      </c>
      <c r="B148" s="171">
        <f t="shared" ref="B148:I148" si="8">SUM(B4,B20,B30,B65,B74,B89,B98,B102,B107,B117,B122,B127,B144)</f>
        <v>368.40000000000003</v>
      </c>
      <c r="C148" s="171">
        <f t="shared" si="8"/>
        <v>364</v>
      </c>
      <c r="D148" s="171">
        <f t="shared" si="8"/>
        <v>369.5</v>
      </c>
      <c r="E148" s="171">
        <f t="shared" si="8"/>
        <v>368.5</v>
      </c>
      <c r="F148" s="171">
        <f t="shared" si="8"/>
        <v>333.65</v>
      </c>
      <c r="G148" s="171">
        <f t="shared" si="8"/>
        <v>96.5</v>
      </c>
      <c r="H148" s="171">
        <f t="shared" si="8"/>
        <v>84</v>
      </c>
      <c r="I148" s="171">
        <f t="shared" si="8"/>
        <v>1984.55</v>
      </c>
      <c r="J148" s="4970" t="s">
        <v>0</v>
      </c>
    </row>
    <row r="149" spans="1:10">
      <c r="A149" s="3692" t="s">
        <v>690</v>
      </c>
      <c r="B149" s="3698">
        <f>SUM(G148)*4</f>
        <v>386</v>
      </c>
      <c r="C149" s="3698">
        <f>SUM(G148)*1</f>
        <v>96.5</v>
      </c>
      <c r="D149" s="3698">
        <f>SUM(G148)*0</f>
        <v>0</v>
      </c>
      <c r="E149" s="3698">
        <f>SUM(G148)*2</f>
        <v>193</v>
      </c>
      <c r="F149" s="3698">
        <f>SUM(G148)*2</f>
        <v>193</v>
      </c>
      <c r="G149" s="3698">
        <f>SUM(G148)*0</f>
        <v>0</v>
      </c>
      <c r="H149" s="3698">
        <f>SUM(G148)*0</f>
        <v>0</v>
      </c>
      <c r="I149" s="171">
        <f>SUM(B149:H149)</f>
        <v>868.5</v>
      </c>
    </row>
    <row r="150" spans="1:10">
      <c r="A150" s="3692" t="s">
        <v>691</v>
      </c>
      <c r="B150" s="171">
        <f>SUM(B148*48)+B149</f>
        <v>18069.2</v>
      </c>
      <c r="C150" s="171">
        <f>SUM(C148*51)+C149</f>
        <v>18660.5</v>
      </c>
      <c r="D150" s="171">
        <f>SUM(D148*52)+D149</f>
        <v>19214</v>
      </c>
      <c r="E150" s="171">
        <f>SUM(E148*52)+E149</f>
        <v>19355</v>
      </c>
      <c r="F150" s="171">
        <f>SUM(F148*52)+F149</f>
        <v>17542.8</v>
      </c>
      <c r="G150" s="171">
        <f>SUM(G148*52)+G149</f>
        <v>5018</v>
      </c>
      <c r="H150" s="171">
        <f>SUM(H148*52)+H149</f>
        <v>4368</v>
      </c>
      <c r="I150" s="198">
        <f>SUM(B150:H150)</f>
        <v>102227.5</v>
      </c>
    </row>
    <row r="153" spans="1:10">
      <c r="A153" s="3692" t="s">
        <v>692</v>
      </c>
      <c r="B153" s="3692"/>
      <c r="C153" s="3692"/>
      <c r="D153" s="3692"/>
      <c r="E153" s="3698">
        <v>56</v>
      </c>
      <c r="F153" s="3692"/>
      <c r="G153" s="3692"/>
      <c r="H153" s="4975"/>
      <c r="I153" s="4976">
        <f>SUM(E153)*52</f>
        <v>2912</v>
      </c>
    </row>
    <row r="154" spans="1:10">
      <c r="A154" s="3568" t="s">
        <v>693</v>
      </c>
      <c r="B154" s="3568"/>
      <c r="C154" s="3568"/>
      <c r="D154" s="3568"/>
      <c r="E154" s="3568"/>
      <c r="F154" s="3568"/>
      <c r="G154" s="3568"/>
      <c r="H154" s="3568"/>
      <c r="I154" s="4976">
        <f>SUM(I153*2)</f>
        <v>5824</v>
      </c>
    </row>
    <row r="155" spans="1:10">
      <c r="A155" s="3692" t="s">
        <v>694</v>
      </c>
      <c r="B155" s="3692"/>
      <c r="C155" s="4975"/>
      <c r="D155" s="3568"/>
      <c r="E155" s="3568"/>
      <c r="F155" s="3568"/>
      <c r="G155" s="3568"/>
      <c r="H155" s="3568"/>
      <c r="I155" s="4976">
        <f>48*12</f>
        <v>576</v>
      </c>
    </row>
    <row r="156" spans="1:10" ht="15.75" thickBot="1">
      <c r="A156" s="4977" t="s">
        <v>688</v>
      </c>
      <c r="B156" s="4977"/>
      <c r="C156" s="4977"/>
      <c r="D156" s="4977"/>
      <c r="E156" s="4977"/>
      <c r="F156" s="4977"/>
      <c r="G156" s="4977"/>
      <c r="H156" s="4977"/>
      <c r="I156" s="4978">
        <f>SUM(I153:I155)</f>
        <v>9312</v>
      </c>
    </row>
    <row r="157" spans="1:10" ht="15.75" thickTop="1">
      <c r="I157" s="199"/>
    </row>
    <row r="158" spans="1:10">
      <c r="I158" s="199"/>
    </row>
    <row r="159" spans="1:10" ht="15.75" thickBot="1">
      <c r="A159" s="4977" t="s">
        <v>695</v>
      </c>
      <c r="B159" s="4977"/>
      <c r="C159" s="4977"/>
      <c r="D159" s="4977"/>
      <c r="E159" s="4977"/>
      <c r="F159" s="4977"/>
      <c r="G159" s="4977"/>
      <c r="H159" s="4977"/>
      <c r="I159" s="4979">
        <f>SUM(I150:I156)</f>
        <v>120851.5</v>
      </c>
      <c r="J159" t="s">
        <v>696</v>
      </c>
    </row>
    <row r="160" spans="1:10" ht="15.75" thickTop="1"/>
  </sheetData>
  <sheetProtection algorithmName="SHA-512" hashValue="wk0oyEs+aaimkEwCb/MTMfaZBH9cNE7CjirSeTvJ5XZrQ4TOsN94G15arzW9CdOiP7YZFSufeID99g+ufP++kg==" saltValue="Bm4ERZtryYqV6Qak01oDnQ==" spinCount="100000" sheet="1" objects="1" scenarios="1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175AB-A554-452D-884B-32CC156829D6}">
  <sheetPr codeName="Ark17"/>
  <dimension ref="A1:V267"/>
  <sheetViews>
    <sheetView topLeftCell="A148" workbookViewId="0">
      <selection activeCell="J222" sqref="J222"/>
    </sheetView>
  </sheetViews>
  <sheetFormatPr defaultRowHeight="15"/>
  <sheetData>
    <row r="1" spans="1:15" ht="24" thickBot="1">
      <c r="A1" s="1" t="s">
        <v>571</v>
      </c>
      <c r="B1" s="1"/>
      <c r="D1" s="170"/>
      <c r="E1" s="170"/>
    </row>
    <row r="2" spans="1:15">
      <c r="A2" s="4886" t="s">
        <v>697</v>
      </c>
      <c r="B2" s="4887" t="s">
        <v>87</v>
      </c>
      <c r="C2" s="4888" t="s">
        <v>88</v>
      </c>
      <c r="D2" s="4888" t="s">
        <v>89</v>
      </c>
      <c r="E2" s="4888" t="s">
        <v>90</v>
      </c>
      <c r="F2" s="4888" t="s">
        <v>91</v>
      </c>
      <c r="G2" s="4888" t="s">
        <v>92</v>
      </c>
      <c r="H2" s="3837" t="s">
        <v>93</v>
      </c>
      <c r="I2" s="3834" t="s">
        <v>158</v>
      </c>
      <c r="J2" s="4889" t="s">
        <v>94</v>
      </c>
    </row>
    <row r="3" spans="1:15">
      <c r="A3" s="116"/>
      <c r="B3" s="171" t="s">
        <v>194</v>
      </c>
      <c r="C3" s="171" t="s">
        <v>194</v>
      </c>
      <c r="D3" s="171" t="s">
        <v>194</v>
      </c>
      <c r="E3" s="171" t="s">
        <v>194</v>
      </c>
      <c r="F3" s="172" t="s">
        <v>698</v>
      </c>
      <c r="G3" s="173"/>
      <c r="H3" s="174"/>
      <c r="I3" s="121"/>
      <c r="J3" s="175"/>
    </row>
    <row r="4" spans="1:15" ht="15.75" thickBot="1">
      <c r="A4" s="4980" t="s">
        <v>699</v>
      </c>
      <c r="B4" s="4890">
        <v>7.75</v>
      </c>
      <c r="C4" s="4890">
        <v>7.75</v>
      </c>
      <c r="D4" s="4890">
        <v>7.75</v>
      </c>
      <c r="E4" s="4890">
        <v>7.75</v>
      </c>
      <c r="F4" s="4891">
        <v>6</v>
      </c>
      <c r="G4" s="4892"/>
      <c r="H4" s="4893"/>
      <c r="I4" s="4894">
        <f>SUM(B4:H4)</f>
        <v>37</v>
      </c>
      <c r="J4" s="4895"/>
    </row>
    <row r="5" spans="1:15" ht="24" thickBot="1">
      <c r="A5" s="1" t="s">
        <v>700</v>
      </c>
      <c r="B5" s="1"/>
      <c r="D5" s="170"/>
      <c r="E5" s="170"/>
    </row>
    <row r="6" spans="1:15">
      <c r="A6" s="4365" t="s">
        <v>590</v>
      </c>
      <c r="B6" s="4887" t="s">
        <v>87</v>
      </c>
      <c r="C6" s="4888" t="s">
        <v>88</v>
      </c>
      <c r="D6" s="4888" t="s">
        <v>89</v>
      </c>
      <c r="E6" s="4888" t="s">
        <v>90</v>
      </c>
      <c r="F6" s="4888" t="s">
        <v>91</v>
      </c>
      <c r="G6" s="4888" t="s">
        <v>92</v>
      </c>
      <c r="H6" s="4888" t="s">
        <v>93</v>
      </c>
      <c r="I6" s="4199" t="s">
        <v>158</v>
      </c>
      <c r="J6" s="4889" t="s">
        <v>94</v>
      </c>
    </row>
    <row r="7" spans="1:15">
      <c r="A7" s="3851"/>
      <c r="B7" s="4981" t="s">
        <v>330</v>
      </c>
      <c r="C7" s="4981" t="s">
        <v>330</v>
      </c>
      <c r="D7" s="4981" t="s">
        <v>330</v>
      </c>
      <c r="E7" s="4981" t="s">
        <v>330</v>
      </c>
      <c r="F7" s="4981" t="s">
        <v>331</v>
      </c>
      <c r="G7" s="4982"/>
      <c r="H7" s="4982"/>
      <c r="I7" s="3692"/>
      <c r="J7" s="4983"/>
    </row>
    <row r="8" spans="1:15" ht="15.75" thickBot="1">
      <c r="A8" s="4980" t="s">
        <v>30</v>
      </c>
      <c r="B8" s="4967">
        <v>7.75</v>
      </c>
      <c r="C8" s="4967">
        <v>7.75</v>
      </c>
      <c r="D8" s="4967">
        <v>7.75</v>
      </c>
      <c r="E8" s="4967">
        <v>7.75</v>
      </c>
      <c r="F8" s="4967">
        <v>6</v>
      </c>
      <c r="G8" s="4892"/>
      <c r="H8" s="4893"/>
      <c r="I8" s="4894">
        <f>SUM(B8:H8)</f>
        <v>37</v>
      </c>
      <c r="J8" s="4895"/>
    </row>
    <row r="9" spans="1:15">
      <c r="A9" s="113"/>
      <c r="E9" s="113"/>
      <c r="F9" s="100"/>
      <c r="G9" s="4984" t="s">
        <v>701</v>
      </c>
      <c r="H9" s="4984" t="s">
        <v>702</v>
      </c>
      <c r="I9" s="4984" t="s">
        <v>703</v>
      </c>
      <c r="J9" s="15"/>
    </row>
    <row r="10" spans="1:15">
      <c r="A10" s="113"/>
      <c r="E10" s="113"/>
      <c r="F10" s="100"/>
      <c r="G10" s="3698">
        <f>I4+I8</f>
        <v>74</v>
      </c>
      <c r="H10" s="4985">
        <f>SUM(G10*13/3)</f>
        <v>320.66666666666669</v>
      </c>
      <c r="I10" s="3698">
        <f>SUM(H10*12)</f>
        <v>3848</v>
      </c>
      <c r="J10" s="15"/>
    </row>
    <row r="11" spans="1:15" ht="24" thickBot="1">
      <c r="A11" s="208" t="s">
        <v>19</v>
      </c>
      <c r="B11" s="208"/>
      <c r="D11" s="170"/>
      <c r="E11" s="170"/>
    </row>
    <row r="12" spans="1:15" ht="15.75" thickBot="1">
      <c r="A12" s="3833" t="s">
        <v>574</v>
      </c>
      <c r="B12" s="4896" t="s">
        <v>87</v>
      </c>
      <c r="C12" s="4897" t="s">
        <v>88</v>
      </c>
      <c r="D12" s="4897" t="s">
        <v>89</v>
      </c>
      <c r="E12" s="4897" t="s">
        <v>90</v>
      </c>
      <c r="F12" s="4897" t="s">
        <v>91</v>
      </c>
      <c r="G12" s="4897" t="s">
        <v>92</v>
      </c>
      <c r="H12" s="4898" t="s">
        <v>93</v>
      </c>
      <c r="I12" s="4899" t="s">
        <v>158</v>
      </c>
      <c r="J12" s="4900" t="s">
        <v>94</v>
      </c>
    </row>
    <row r="13" spans="1:15">
      <c r="A13" s="4986" t="s">
        <v>0</v>
      </c>
      <c r="B13" s="4888" t="s">
        <v>704</v>
      </c>
      <c r="C13" s="4888" t="s">
        <v>704</v>
      </c>
      <c r="D13" s="4888" t="s">
        <v>704</v>
      </c>
      <c r="E13" s="4888" t="s">
        <v>704</v>
      </c>
      <c r="F13" s="4888" t="s">
        <v>704</v>
      </c>
      <c r="G13" s="4888" t="s">
        <v>705</v>
      </c>
      <c r="H13" s="4888" t="s">
        <v>705</v>
      </c>
      <c r="I13" s="4257"/>
      <c r="J13" s="4987" t="s">
        <v>706</v>
      </c>
      <c r="M13" s="4988"/>
      <c r="N13" s="4989" t="s">
        <v>707</v>
      </c>
    </row>
    <row r="14" spans="1:15" ht="15.75" thickBot="1">
      <c r="A14" s="4990" t="s">
        <v>38</v>
      </c>
      <c r="B14" s="4967">
        <v>8.25</v>
      </c>
      <c r="C14" s="4967">
        <v>8.25</v>
      </c>
      <c r="D14" s="4891">
        <v>8.25</v>
      </c>
      <c r="E14" s="4891">
        <v>8.25</v>
      </c>
      <c r="F14" s="4891">
        <v>8.25</v>
      </c>
      <c r="G14" s="4891">
        <v>12.25</v>
      </c>
      <c r="H14" s="4891">
        <v>12.25</v>
      </c>
      <c r="I14" s="4991">
        <f>SUM(B14:H14)</f>
        <v>65.75</v>
      </c>
      <c r="J14" s="4992" t="s">
        <v>708</v>
      </c>
      <c r="K14" s="4993"/>
      <c r="M14" s="4994"/>
      <c r="N14" s="4995" t="s">
        <v>709</v>
      </c>
      <c r="O14" s="113"/>
    </row>
    <row r="15" spans="1:15">
      <c r="A15" s="4986" t="s">
        <v>0</v>
      </c>
      <c r="B15" s="4902" t="s">
        <v>172</v>
      </c>
      <c r="C15" s="4902" t="s">
        <v>172</v>
      </c>
      <c r="D15" s="4902" t="s">
        <v>172</v>
      </c>
      <c r="E15" s="4902" t="s">
        <v>172</v>
      </c>
      <c r="F15" s="4902" t="s">
        <v>172</v>
      </c>
      <c r="G15" s="4257"/>
      <c r="H15" s="4257"/>
      <c r="I15" s="4996"/>
      <c r="J15" s="4997" t="s">
        <v>710</v>
      </c>
      <c r="K15" s="113"/>
      <c r="M15" s="4994" t="s">
        <v>159</v>
      </c>
      <c r="N15" s="4995">
        <f>I14</f>
        <v>65.75</v>
      </c>
      <c r="O15" s="113"/>
    </row>
    <row r="16" spans="1:15" ht="15.75" thickBot="1">
      <c r="A16" s="4990" t="s">
        <v>711</v>
      </c>
      <c r="B16" s="4967"/>
      <c r="C16" s="4967"/>
      <c r="D16" s="4967"/>
      <c r="E16" s="4967"/>
      <c r="F16" s="4967"/>
      <c r="G16" s="4998"/>
      <c r="H16" s="4998"/>
      <c r="I16" s="4991">
        <f>SUM(B16:H16)</f>
        <v>0</v>
      </c>
      <c r="J16" s="4992" t="s">
        <v>22</v>
      </c>
      <c r="K16" s="113"/>
      <c r="M16" s="4994" t="s">
        <v>163</v>
      </c>
      <c r="N16" s="4995">
        <f>I16</f>
        <v>0</v>
      </c>
      <c r="O16" s="113"/>
    </row>
    <row r="17" spans="1:17">
      <c r="A17" s="4986" t="s">
        <v>0</v>
      </c>
      <c r="B17" s="4888" t="s">
        <v>712</v>
      </c>
      <c r="C17" s="4888" t="s">
        <v>712</v>
      </c>
      <c r="D17" s="4888" t="s">
        <v>712</v>
      </c>
      <c r="E17" s="4888" t="s">
        <v>712</v>
      </c>
      <c r="F17" s="4888" t="s">
        <v>712</v>
      </c>
      <c r="G17" s="4999"/>
      <c r="H17" s="4999"/>
      <c r="I17" s="4996"/>
      <c r="J17" s="4997" t="s">
        <v>713</v>
      </c>
      <c r="K17" s="113"/>
      <c r="M17" s="4994" t="s">
        <v>171</v>
      </c>
      <c r="N17" s="4995">
        <v>0</v>
      </c>
      <c r="O17" s="113"/>
    </row>
    <row r="18" spans="1:17" ht="15.75" thickBot="1">
      <c r="A18" s="5000" t="s">
        <v>350</v>
      </c>
      <c r="B18" s="4891">
        <v>8.25</v>
      </c>
      <c r="C18" s="4891">
        <v>8.25</v>
      </c>
      <c r="D18" s="4891">
        <v>8.25</v>
      </c>
      <c r="E18" s="4891">
        <v>8.25</v>
      </c>
      <c r="F18" s="4891">
        <v>8.25</v>
      </c>
      <c r="G18" s="4967"/>
      <c r="H18" s="4967"/>
      <c r="I18" s="4991">
        <f>SUM(B18:H18)</f>
        <v>41.25</v>
      </c>
      <c r="J18" s="4992" t="s">
        <v>714</v>
      </c>
      <c r="K18" s="4970"/>
      <c r="M18" s="4994" t="s">
        <v>173</v>
      </c>
      <c r="N18" s="4995">
        <f>I20</f>
        <v>64.5</v>
      </c>
      <c r="O18" s="113"/>
    </row>
    <row r="19" spans="1:17">
      <c r="A19" s="5001" t="s">
        <v>0</v>
      </c>
      <c r="B19" s="4888" t="s">
        <v>715</v>
      </c>
      <c r="C19" s="4888" t="s">
        <v>715</v>
      </c>
      <c r="D19" s="4888" t="s">
        <v>715</v>
      </c>
      <c r="E19" s="4888" t="s">
        <v>715</v>
      </c>
      <c r="F19" s="4888" t="s">
        <v>715</v>
      </c>
      <c r="G19" s="4999" t="s">
        <v>716</v>
      </c>
      <c r="H19" s="4999" t="s">
        <v>716</v>
      </c>
      <c r="I19" s="4996"/>
      <c r="J19" s="4884"/>
      <c r="K19" s="113"/>
      <c r="M19" s="4994" t="s">
        <v>193</v>
      </c>
      <c r="N19" s="4995">
        <v>0</v>
      </c>
      <c r="O19" s="113"/>
    </row>
    <row r="20" spans="1:17" ht="15.75" thickBot="1">
      <c r="A20" s="4990" t="s">
        <v>33</v>
      </c>
      <c r="B20" s="4967">
        <v>8</v>
      </c>
      <c r="C20" s="4967">
        <v>8</v>
      </c>
      <c r="D20" s="4967">
        <v>8</v>
      </c>
      <c r="E20" s="4967">
        <v>8</v>
      </c>
      <c r="F20" s="4967">
        <v>8</v>
      </c>
      <c r="G20" s="4981">
        <v>12.25</v>
      </c>
      <c r="H20" s="4981">
        <v>12.25</v>
      </c>
      <c r="I20" s="4991">
        <f>SUM(B20:H20)</f>
        <v>64.5</v>
      </c>
      <c r="J20" s="4878"/>
      <c r="K20" s="113"/>
      <c r="M20" s="4994" t="s">
        <v>209</v>
      </c>
      <c r="N20" s="4995">
        <v>0</v>
      </c>
      <c r="O20" s="113"/>
    </row>
    <row r="21" spans="1:17" ht="15.75" thickBot="1">
      <c r="A21" s="4986" t="s">
        <v>0</v>
      </c>
      <c r="B21" s="4902" t="s">
        <v>172</v>
      </c>
      <c r="C21" s="4902" t="s">
        <v>172</v>
      </c>
      <c r="D21" s="4902" t="s">
        <v>172</v>
      </c>
      <c r="E21" s="4902" t="s">
        <v>172</v>
      </c>
      <c r="F21" s="4902" t="s">
        <v>172</v>
      </c>
      <c r="G21" s="5002"/>
      <c r="H21" s="5003"/>
      <c r="I21" s="4996"/>
      <c r="J21" s="4884"/>
      <c r="K21" s="113"/>
      <c r="M21" s="5004" t="s">
        <v>717</v>
      </c>
      <c r="N21" s="5005">
        <f>SUM(N15:N20)</f>
        <v>130.25</v>
      </c>
      <c r="O21" s="113"/>
    </row>
    <row r="22" spans="1:17" ht="15.75" thickBot="1">
      <c r="A22" s="4990" t="s">
        <v>718</v>
      </c>
      <c r="B22" s="4958"/>
      <c r="C22" s="4958"/>
      <c r="D22" s="4958"/>
      <c r="E22" s="4958"/>
      <c r="F22" s="4958"/>
      <c r="G22" s="4998"/>
      <c r="H22" s="3878"/>
      <c r="I22" s="4991">
        <f>SUM(B22:H22)</f>
        <v>0</v>
      </c>
      <c r="J22" s="4878"/>
      <c r="K22" s="113"/>
    </row>
    <row r="23" spans="1:17">
      <c r="A23" s="4986" t="s">
        <v>0</v>
      </c>
      <c r="B23" s="4888" t="s">
        <v>719</v>
      </c>
      <c r="C23" s="4888" t="s">
        <v>719</v>
      </c>
      <c r="D23" s="4888" t="s">
        <v>719</v>
      </c>
      <c r="E23" s="4888" t="s">
        <v>719</v>
      </c>
      <c r="F23" s="4888" t="s">
        <v>719</v>
      </c>
      <c r="G23" s="4257"/>
      <c r="H23" s="5003"/>
      <c r="I23" s="4996"/>
      <c r="J23" s="4884" t="s">
        <v>720</v>
      </c>
      <c r="K23" s="113"/>
      <c r="M23" t="s">
        <v>721</v>
      </c>
      <c r="N23" t="s">
        <v>722</v>
      </c>
      <c r="P23">
        <v>148</v>
      </c>
      <c r="Q23" t="s">
        <v>723</v>
      </c>
    </row>
    <row r="24" spans="1:17" ht="15.75" thickBot="1">
      <c r="A24" s="4990" t="s">
        <v>724</v>
      </c>
      <c r="B24" s="4967">
        <v>7.25</v>
      </c>
      <c r="C24" s="4967">
        <v>7.25</v>
      </c>
      <c r="D24" s="4967">
        <v>7.25</v>
      </c>
      <c r="E24" s="4967">
        <v>7.25</v>
      </c>
      <c r="F24" s="4967">
        <v>7.25</v>
      </c>
      <c r="G24" s="4998"/>
      <c r="H24" s="5006"/>
      <c r="I24" s="4991">
        <f>SUM(B24:H24)</f>
        <v>36.25</v>
      </c>
      <c r="J24" s="4878"/>
      <c r="K24" s="113"/>
      <c r="O24" t="s">
        <v>0</v>
      </c>
    </row>
    <row r="25" spans="1:17" ht="15.75" thickBot="1">
      <c r="A25" s="4915" t="s">
        <v>588</v>
      </c>
      <c r="B25" s="5007">
        <f t="shared" ref="B25:I25" si="0">SUM(B14,B16,B18,B20,B22,B24)</f>
        <v>31.75</v>
      </c>
      <c r="C25" s="5007">
        <f t="shared" si="0"/>
        <v>31.75</v>
      </c>
      <c r="D25" s="5007">
        <f t="shared" si="0"/>
        <v>31.75</v>
      </c>
      <c r="E25" s="5007">
        <f t="shared" si="0"/>
        <v>31.75</v>
      </c>
      <c r="F25" s="5007">
        <f t="shared" si="0"/>
        <v>31.75</v>
      </c>
      <c r="G25" s="5007">
        <f t="shared" si="0"/>
        <v>24.5</v>
      </c>
      <c r="H25" s="5007">
        <f t="shared" si="0"/>
        <v>24.5</v>
      </c>
      <c r="I25" s="5007">
        <f t="shared" si="0"/>
        <v>207.75</v>
      </c>
      <c r="J25" s="4916"/>
      <c r="K25" s="113"/>
      <c r="M25" t="s">
        <v>725</v>
      </c>
      <c r="O25" s="22">
        <f>N21</f>
        <v>130.25</v>
      </c>
    </row>
    <row r="26" spans="1:17" ht="24.75" thickTop="1" thickBot="1">
      <c r="A26" s="122" t="s">
        <v>589</v>
      </c>
      <c r="D26" s="170"/>
      <c r="E26" s="170"/>
    </row>
    <row r="27" spans="1:17" ht="15.75" thickBot="1">
      <c r="A27" s="3833" t="s">
        <v>590</v>
      </c>
      <c r="B27" s="4896" t="s">
        <v>87</v>
      </c>
      <c r="C27" s="4897" t="s">
        <v>88</v>
      </c>
      <c r="D27" s="4897" t="s">
        <v>89</v>
      </c>
      <c r="E27" s="4897" t="s">
        <v>90</v>
      </c>
      <c r="F27" s="4897" t="s">
        <v>91</v>
      </c>
      <c r="G27" s="4897" t="s">
        <v>92</v>
      </c>
      <c r="H27" s="4898" t="s">
        <v>93</v>
      </c>
      <c r="I27" s="4899" t="s">
        <v>158</v>
      </c>
      <c r="J27" s="4900" t="s">
        <v>94</v>
      </c>
      <c r="M27">
        <f>O25</f>
        <v>130.25</v>
      </c>
      <c r="N27" t="s">
        <v>726</v>
      </c>
      <c r="P27" s="199">
        <f>SUM(N21/37)</f>
        <v>3.5202702702702702</v>
      </c>
      <c r="Q27" t="s">
        <v>723</v>
      </c>
    </row>
    <row r="28" spans="1:17">
      <c r="A28" s="4901"/>
      <c r="B28" s="4903" t="s">
        <v>330</v>
      </c>
      <c r="C28" s="4903" t="s">
        <v>330</v>
      </c>
      <c r="D28" s="4903" t="s">
        <v>330</v>
      </c>
      <c r="E28" s="4903" t="s">
        <v>330</v>
      </c>
      <c r="F28" s="4903" t="s">
        <v>331</v>
      </c>
      <c r="G28" s="4903"/>
      <c r="H28" s="4903"/>
      <c r="I28" s="4257"/>
      <c r="J28" s="4904"/>
    </row>
    <row r="29" spans="1:17" ht="15.75" thickBot="1">
      <c r="A29" s="4905" t="s">
        <v>727</v>
      </c>
      <c r="B29" s="4967">
        <v>7.75</v>
      </c>
      <c r="C29" s="4967">
        <v>7.75</v>
      </c>
      <c r="D29" s="4967">
        <v>7.75</v>
      </c>
      <c r="E29" s="4967">
        <v>7.75</v>
      </c>
      <c r="F29" s="4967">
        <v>6</v>
      </c>
      <c r="G29" s="4967"/>
      <c r="H29" s="4967"/>
      <c r="I29" s="4967">
        <f>SUM(B29:H29)</f>
        <v>37</v>
      </c>
      <c r="J29" s="4969"/>
      <c r="M29" s="199">
        <f>P27</f>
        <v>3.5202702702702702</v>
      </c>
      <c r="N29" t="s">
        <v>728</v>
      </c>
      <c r="P29" s="199">
        <f>SUM(P27*3)</f>
        <v>10.560810810810811</v>
      </c>
      <c r="Q29" t="s">
        <v>723</v>
      </c>
    </row>
    <row r="30" spans="1:17">
      <c r="A30" s="4901"/>
      <c r="B30" s="4903" t="s">
        <v>330</v>
      </c>
      <c r="C30" s="4903" t="s">
        <v>330</v>
      </c>
      <c r="D30" s="4903" t="s">
        <v>330</v>
      </c>
      <c r="E30" s="4903" t="s">
        <v>330</v>
      </c>
      <c r="F30" s="4903" t="s">
        <v>331</v>
      </c>
      <c r="G30" s="4903"/>
      <c r="H30" s="4903"/>
      <c r="I30" s="4257"/>
      <c r="J30" s="4904"/>
      <c r="M30" s="199"/>
      <c r="P30" s="199"/>
    </row>
    <row r="31" spans="1:17" ht="15.75" thickBot="1">
      <c r="A31" s="4309" t="s">
        <v>729</v>
      </c>
      <c r="B31" s="4967">
        <v>7.75</v>
      </c>
      <c r="C31" s="4967">
        <v>7.75</v>
      </c>
      <c r="D31" s="4967">
        <v>7.75</v>
      </c>
      <c r="E31" s="4967">
        <v>7.75</v>
      </c>
      <c r="F31" s="4967">
        <v>6</v>
      </c>
      <c r="G31" s="4967"/>
      <c r="H31" s="4967"/>
      <c r="I31" s="4967">
        <f>SUM(B31:H31)</f>
        <v>37</v>
      </c>
      <c r="J31" s="4969"/>
      <c r="M31" s="199"/>
      <c r="P31" s="199"/>
    </row>
    <row r="32" spans="1:17">
      <c r="A32" s="176"/>
      <c r="B32" s="172" t="s">
        <v>330</v>
      </c>
      <c r="C32" s="172" t="s">
        <v>330</v>
      </c>
      <c r="D32" s="172" t="s">
        <v>330</v>
      </c>
      <c r="E32" s="172" t="s">
        <v>330</v>
      </c>
      <c r="F32" s="172" t="s">
        <v>331</v>
      </c>
      <c r="G32" s="172"/>
      <c r="H32" s="177"/>
      <c r="I32" s="136"/>
      <c r="J32" s="178"/>
    </row>
    <row r="33" spans="1:22" ht="15.75" thickBot="1">
      <c r="A33" s="4309" t="s">
        <v>353</v>
      </c>
      <c r="B33" s="4967">
        <v>7.75</v>
      </c>
      <c r="C33" s="4967">
        <v>7.75</v>
      </c>
      <c r="D33" s="4967">
        <v>7.75</v>
      </c>
      <c r="E33" s="4967">
        <v>7.75</v>
      </c>
      <c r="F33" s="4967">
        <v>6</v>
      </c>
      <c r="G33" s="4891"/>
      <c r="H33" s="4907"/>
      <c r="I33" s="4991">
        <f>SUM(B33:H33)</f>
        <v>37</v>
      </c>
      <c r="J33" s="4909"/>
      <c r="M33">
        <f>P23</f>
        <v>148</v>
      </c>
      <c r="N33" t="s">
        <v>730</v>
      </c>
      <c r="P33" s="209">
        <f>P29</f>
        <v>10.560810810810811</v>
      </c>
      <c r="Q33" t="s">
        <v>731</v>
      </c>
      <c r="R33" s="199">
        <f>SUM(M33-P33)</f>
        <v>137.43918918918919</v>
      </c>
      <c r="S33" t="s">
        <v>732</v>
      </c>
    </row>
    <row r="34" spans="1:22" ht="15.75" thickBot="1">
      <c r="A34" s="4915" t="s">
        <v>588</v>
      </c>
      <c r="B34" s="5008">
        <f t="shared" ref="B34:I34" si="1">SUM(B29,B31,B33)</f>
        <v>23.25</v>
      </c>
      <c r="C34" s="5008">
        <f t="shared" si="1"/>
        <v>23.25</v>
      </c>
      <c r="D34" s="5008">
        <f t="shared" si="1"/>
        <v>23.25</v>
      </c>
      <c r="E34" s="5008">
        <f t="shared" si="1"/>
        <v>23.25</v>
      </c>
      <c r="F34" s="5008">
        <f t="shared" si="1"/>
        <v>18</v>
      </c>
      <c r="G34" s="5008">
        <f t="shared" si="1"/>
        <v>0</v>
      </c>
      <c r="H34" s="5008">
        <f t="shared" si="1"/>
        <v>0</v>
      </c>
      <c r="I34" s="5008">
        <f t="shared" si="1"/>
        <v>111</v>
      </c>
      <c r="J34" s="4926"/>
    </row>
    <row r="35" spans="1:22" ht="16.5" thickTop="1" thickBot="1">
      <c r="A35" s="113"/>
      <c r="B35" s="113"/>
      <c r="C35" s="113"/>
      <c r="D35" s="113"/>
      <c r="E35" s="113"/>
      <c r="F35" s="113"/>
      <c r="G35" s="4984" t="s">
        <v>701</v>
      </c>
      <c r="H35" s="4984" t="s">
        <v>702</v>
      </c>
      <c r="I35" s="4984" t="s">
        <v>703</v>
      </c>
      <c r="J35" s="18"/>
      <c r="M35">
        <f>I25</f>
        <v>207.75</v>
      </c>
      <c r="N35" t="s">
        <v>733</v>
      </c>
      <c r="O35" s="199">
        <f>R33</f>
        <v>137.43918918918919</v>
      </c>
      <c r="P35" s="5009">
        <f>SUM(M35-O35)</f>
        <v>70.310810810810807</v>
      </c>
    </row>
    <row r="36" spans="1:22">
      <c r="A36" s="113"/>
      <c r="B36" s="113"/>
      <c r="C36" s="113"/>
      <c r="D36" s="113"/>
      <c r="E36" s="113"/>
      <c r="F36" s="113"/>
      <c r="G36" s="3698">
        <f>I25+I34</f>
        <v>318.75</v>
      </c>
      <c r="H36" s="4985">
        <f>SUM(G36*13/3)</f>
        <v>1381.25</v>
      </c>
      <c r="I36" s="3698">
        <f>SUM(H36*12)</f>
        <v>16575</v>
      </c>
      <c r="J36" s="18"/>
    </row>
    <row r="37" spans="1:22">
      <c r="A37" s="113"/>
      <c r="B37" s="113"/>
      <c r="C37" s="113"/>
      <c r="D37" s="113"/>
      <c r="E37" s="113"/>
      <c r="F37" s="113"/>
      <c r="G37" s="113"/>
      <c r="H37" s="210"/>
      <c r="I37" s="113"/>
      <c r="J37" s="18"/>
    </row>
    <row r="38" spans="1:22" ht="15.75" thickBot="1">
      <c r="A38" s="208" t="s">
        <v>734</v>
      </c>
      <c r="B38" s="113"/>
      <c r="C38" s="113"/>
      <c r="D38" s="113"/>
      <c r="E38" s="113"/>
      <c r="F38" s="113"/>
    </row>
    <row r="39" spans="1:22" ht="15.75" thickBot="1">
      <c r="A39" s="5010" t="s">
        <v>735</v>
      </c>
      <c r="B39" s="4896" t="s">
        <v>87</v>
      </c>
      <c r="C39" s="4897" t="s">
        <v>88</v>
      </c>
      <c r="D39" s="4897" t="s">
        <v>89</v>
      </c>
      <c r="E39" s="4897" t="s">
        <v>90</v>
      </c>
      <c r="F39" s="4897" t="s">
        <v>91</v>
      </c>
      <c r="G39" s="4897" t="s">
        <v>92</v>
      </c>
      <c r="H39" s="5011" t="s">
        <v>93</v>
      </c>
      <c r="I39" s="5012" t="s">
        <v>158</v>
      </c>
      <c r="J39" s="5013" t="s">
        <v>94</v>
      </c>
      <c r="K39" t="s">
        <v>0</v>
      </c>
      <c r="M39" s="5014" t="s">
        <v>707</v>
      </c>
      <c r="N39" s="5015"/>
      <c r="P39" s="17"/>
      <c r="Q39" s="17"/>
      <c r="R39" s="17"/>
      <c r="S39" t="s">
        <v>736</v>
      </c>
      <c r="V39" s="1" t="s">
        <v>0</v>
      </c>
    </row>
    <row r="40" spans="1:22">
      <c r="A40" s="5016" t="s">
        <v>596</v>
      </c>
      <c r="B40" s="5017" t="s">
        <v>737</v>
      </c>
      <c r="C40" s="5017" t="s">
        <v>737</v>
      </c>
      <c r="D40" s="5017" t="s">
        <v>737</v>
      </c>
      <c r="E40" s="5017" t="s">
        <v>737</v>
      </c>
      <c r="F40" s="5017" t="s">
        <v>737</v>
      </c>
      <c r="G40" s="5018" t="s">
        <v>738</v>
      </c>
      <c r="H40" s="5018" t="s">
        <v>738</v>
      </c>
      <c r="I40" s="5012"/>
      <c r="J40" s="5019" t="s">
        <v>596</v>
      </c>
      <c r="M40" s="211"/>
      <c r="N40" s="212" t="s">
        <v>739</v>
      </c>
      <c r="S40" s="5020" t="s">
        <v>740</v>
      </c>
      <c r="T40" s="5021"/>
      <c r="U40" s="3556"/>
      <c r="V40" s="3556"/>
    </row>
    <row r="41" spans="1:22" ht="15.75" thickBot="1">
      <c r="A41" s="4942" t="s">
        <v>599</v>
      </c>
      <c r="B41" s="5022">
        <v>8.25</v>
      </c>
      <c r="C41" s="5022">
        <v>8.25</v>
      </c>
      <c r="D41" s="5022">
        <v>8.25</v>
      </c>
      <c r="E41" s="5022">
        <v>8.25</v>
      </c>
      <c r="F41" s="5022">
        <v>8.25</v>
      </c>
      <c r="G41" s="5023">
        <v>12.25</v>
      </c>
      <c r="H41" s="5023">
        <v>12.25</v>
      </c>
      <c r="I41" s="4890">
        <f>SUM(B41:H41)</f>
        <v>65.75</v>
      </c>
      <c r="J41" s="5024" t="s">
        <v>741</v>
      </c>
      <c r="M41" s="4994" t="s">
        <v>159</v>
      </c>
      <c r="N41" s="4995">
        <f>I41</f>
        <v>65.75</v>
      </c>
      <c r="S41" s="5025" t="s">
        <v>742</v>
      </c>
      <c r="T41" s="5026"/>
      <c r="U41" s="5026"/>
      <c r="V41" s="5026"/>
    </row>
    <row r="42" spans="1:22">
      <c r="A42" s="5027"/>
      <c r="B42" s="5028" t="s">
        <v>743</v>
      </c>
      <c r="C42" s="5028" t="s">
        <v>743</v>
      </c>
      <c r="D42" s="5028" t="s">
        <v>743</v>
      </c>
      <c r="E42" s="5028" t="s">
        <v>743</v>
      </c>
      <c r="F42" s="5028" t="s">
        <v>743</v>
      </c>
      <c r="G42" s="5029" t="s">
        <v>744</v>
      </c>
      <c r="H42" s="5030" t="s">
        <v>744</v>
      </c>
      <c r="I42" s="5012"/>
      <c r="J42" s="5031"/>
      <c r="M42" s="4994" t="s">
        <v>163</v>
      </c>
      <c r="N42" s="4995">
        <f>I47</f>
        <v>0</v>
      </c>
      <c r="S42" s="5032" t="s">
        <v>745</v>
      </c>
      <c r="T42" s="5033"/>
      <c r="U42" s="5033"/>
      <c r="V42" s="5033"/>
    </row>
    <row r="43" spans="1:22" ht="15.75" thickBot="1">
      <c r="A43" s="4942" t="s">
        <v>746</v>
      </c>
      <c r="B43" s="4939">
        <v>7</v>
      </c>
      <c r="C43" s="4939">
        <v>7</v>
      </c>
      <c r="D43" s="4939">
        <v>7</v>
      </c>
      <c r="E43" s="4939">
        <v>7</v>
      </c>
      <c r="F43" s="4939">
        <v>7</v>
      </c>
      <c r="G43" s="5034">
        <v>11</v>
      </c>
      <c r="H43" s="5035">
        <v>11</v>
      </c>
      <c r="I43" s="4890">
        <f>SUM(B43:H43)</f>
        <v>57</v>
      </c>
      <c r="J43" s="5024" t="s">
        <v>747</v>
      </c>
      <c r="K43" s="1" t="s">
        <v>0</v>
      </c>
      <c r="M43" s="4994" t="s">
        <v>171</v>
      </c>
      <c r="N43" s="4995">
        <f>I53</f>
        <v>58.5</v>
      </c>
      <c r="S43" s="5036" t="s">
        <v>748</v>
      </c>
      <c r="T43" s="5037"/>
      <c r="U43" s="5037"/>
      <c r="V43" s="5037"/>
    </row>
    <row r="44" spans="1:22">
      <c r="A44" s="5027"/>
      <c r="B44" s="5038" t="s">
        <v>749</v>
      </c>
      <c r="C44" s="5038" t="s">
        <v>749</v>
      </c>
      <c r="D44" s="5038" t="s">
        <v>749</v>
      </c>
      <c r="E44" s="5038" t="s">
        <v>749</v>
      </c>
      <c r="F44" s="5038" t="s">
        <v>749</v>
      </c>
      <c r="G44" s="5030" t="s">
        <v>750</v>
      </c>
      <c r="H44" s="5030" t="s">
        <v>750</v>
      </c>
      <c r="I44" s="5012"/>
      <c r="J44" s="5031"/>
      <c r="M44" s="4994" t="s">
        <v>173</v>
      </c>
      <c r="N44" s="4995">
        <f>I59</f>
        <v>0</v>
      </c>
      <c r="S44" s="213"/>
      <c r="T44" s="214"/>
    </row>
    <row r="45" spans="1:22" ht="15.75" thickBot="1">
      <c r="A45" s="4942" t="s">
        <v>751</v>
      </c>
      <c r="B45" s="5039">
        <v>8</v>
      </c>
      <c r="C45" s="5039">
        <v>8</v>
      </c>
      <c r="D45" s="5039">
        <v>8</v>
      </c>
      <c r="E45" s="5039">
        <v>8</v>
      </c>
      <c r="F45" s="5039">
        <v>8</v>
      </c>
      <c r="G45" s="5034">
        <v>12</v>
      </c>
      <c r="H45" s="5034">
        <v>12</v>
      </c>
      <c r="I45" s="4890">
        <f>SUM(B45:H45)</f>
        <v>64</v>
      </c>
      <c r="J45" s="5024" t="s">
        <v>752</v>
      </c>
      <c r="M45" s="4994" t="s">
        <v>193</v>
      </c>
      <c r="N45" s="4995">
        <v>0</v>
      </c>
    </row>
    <row r="46" spans="1:22">
      <c r="A46" s="5016" t="s">
        <v>608</v>
      </c>
      <c r="B46" s="4902" t="s">
        <v>575</v>
      </c>
      <c r="C46" s="4902" t="s">
        <v>575</v>
      </c>
      <c r="D46" s="4902" t="s">
        <v>575</v>
      </c>
      <c r="E46" s="4902" t="s">
        <v>575</v>
      </c>
      <c r="F46" s="4902" t="s">
        <v>575</v>
      </c>
      <c r="G46" s="5040"/>
      <c r="H46" s="5041"/>
      <c r="I46" s="5042"/>
      <c r="J46" s="5019" t="s">
        <v>608</v>
      </c>
      <c r="M46" s="4994" t="s">
        <v>209</v>
      </c>
      <c r="N46" s="4995">
        <f>I43</f>
        <v>57</v>
      </c>
      <c r="S46" s="5043" t="s">
        <v>753</v>
      </c>
      <c r="T46" s="3547"/>
      <c r="U46" s="3547"/>
      <c r="V46" s="3547"/>
    </row>
    <row r="47" spans="1:22" ht="15.75" thickBot="1">
      <c r="A47" s="4942" t="s">
        <v>754</v>
      </c>
      <c r="B47" s="4906"/>
      <c r="C47" s="4906"/>
      <c r="D47" s="4906"/>
      <c r="E47" s="4906"/>
      <c r="F47" s="4906"/>
      <c r="G47" s="4891"/>
      <c r="H47" s="5044"/>
      <c r="I47" s="4890">
        <f>SUM(B47:H47)</f>
        <v>0</v>
      </c>
      <c r="J47" s="5024" t="s">
        <v>755</v>
      </c>
      <c r="M47" s="4994" t="s">
        <v>756</v>
      </c>
      <c r="N47" s="4995">
        <f>I49</f>
        <v>0</v>
      </c>
      <c r="S47" s="1"/>
    </row>
    <row r="48" spans="1:22">
      <c r="A48" s="5027"/>
      <c r="B48" s="4902" t="s">
        <v>575</v>
      </c>
      <c r="C48" s="4902" t="s">
        <v>575</v>
      </c>
      <c r="D48" s="4902" t="s">
        <v>575</v>
      </c>
      <c r="E48" s="4902" t="s">
        <v>575</v>
      </c>
      <c r="F48" s="4902" t="s">
        <v>575</v>
      </c>
      <c r="G48" s="5012"/>
      <c r="H48" s="5045"/>
      <c r="I48" s="5012"/>
      <c r="J48" s="5031"/>
      <c r="M48" s="4994" t="s">
        <v>757</v>
      </c>
      <c r="N48" s="4995">
        <f>I55</f>
        <v>56</v>
      </c>
      <c r="S48" s="5043" t="s">
        <v>758</v>
      </c>
      <c r="T48" s="3547"/>
      <c r="U48" s="3547"/>
      <c r="V48" s="3547"/>
    </row>
    <row r="49" spans="1:22" ht="15.75" thickBot="1">
      <c r="A49" s="4942" t="s">
        <v>759</v>
      </c>
      <c r="B49" s="4906"/>
      <c r="C49" s="4906"/>
      <c r="D49" s="4906"/>
      <c r="E49" s="4906"/>
      <c r="F49" s="4906"/>
      <c r="G49" s="4966"/>
      <c r="H49" s="4367"/>
      <c r="I49" s="4890">
        <f>SUM(B49:H49)</f>
        <v>0</v>
      </c>
      <c r="J49" s="5024" t="s">
        <v>756</v>
      </c>
      <c r="M49" s="4994" t="s">
        <v>760</v>
      </c>
      <c r="N49" s="4995">
        <f>I61</f>
        <v>0</v>
      </c>
      <c r="S49" s="1"/>
    </row>
    <row r="50" spans="1:22">
      <c r="A50" s="5010"/>
      <c r="B50" s="4902" t="s">
        <v>575</v>
      </c>
      <c r="C50" s="4902" t="s">
        <v>575</v>
      </c>
      <c r="D50" s="4902" t="s">
        <v>575</v>
      </c>
      <c r="E50" s="4902" t="s">
        <v>575</v>
      </c>
      <c r="F50" s="4902" t="s">
        <v>575</v>
      </c>
      <c r="G50" s="5046" t="s">
        <v>761</v>
      </c>
      <c r="H50" s="5047" t="s">
        <v>762</v>
      </c>
      <c r="I50" s="5012"/>
      <c r="J50" s="5048"/>
      <c r="M50" s="4994" t="s">
        <v>763</v>
      </c>
      <c r="N50" s="4995">
        <v>41.5</v>
      </c>
      <c r="S50" s="5043" t="s">
        <v>764</v>
      </c>
      <c r="T50" s="3547"/>
      <c r="U50" s="3547"/>
      <c r="V50" s="3547"/>
    </row>
    <row r="51" spans="1:22" ht="15.75" thickBot="1">
      <c r="A51" s="4942" t="s">
        <v>765</v>
      </c>
      <c r="B51" s="4906"/>
      <c r="C51" s="4906"/>
      <c r="D51" s="4906"/>
      <c r="E51" s="4906"/>
      <c r="F51" s="4906"/>
      <c r="G51" s="5049">
        <v>12.25</v>
      </c>
      <c r="H51" s="5050">
        <v>12.25</v>
      </c>
      <c r="I51" s="4890">
        <f>SUM(B51:H51)</f>
        <v>24.5</v>
      </c>
      <c r="J51" s="5024" t="s">
        <v>766</v>
      </c>
      <c r="M51" s="4994" t="s">
        <v>767</v>
      </c>
      <c r="N51" s="4995">
        <f>I45</f>
        <v>64</v>
      </c>
    </row>
    <row r="52" spans="1:22">
      <c r="A52" s="5016" t="s">
        <v>615</v>
      </c>
      <c r="B52" s="5051" t="s">
        <v>768</v>
      </c>
      <c r="C52" s="5051" t="s">
        <v>768</v>
      </c>
      <c r="D52" s="5051" t="s">
        <v>768</v>
      </c>
      <c r="E52" s="5051" t="s">
        <v>768</v>
      </c>
      <c r="F52" s="5051" t="s">
        <v>769</v>
      </c>
      <c r="G52" s="5046" t="s">
        <v>770</v>
      </c>
      <c r="H52" s="5047" t="s">
        <v>770</v>
      </c>
      <c r="I52" s="5012"/>
      <c r="J52" s="5019" t="s">
        <v>615</v>
      </c>
      <c r="K52" s="1" t="s">
        <v>0</v>
      </c>
      <c r="M52" s="4994" t="s">
        <v>771</v>
      </c>
      <c r="N52" s="4995">
        <f>I51</f>
        <v>24.5</v>
      </c>
      <c r="S52" t="s">
        <v>772</v>
      </c>
    </row>
    <row r="53" spans="1:22" ht="15.75" thickBot="1">
      <c r="A53" s="4942" t="s">
        <v>617</v>
      </c>
      <c r="B53" s="5052">
        <v>7</v>
      </c>
      <c r="C53" s="5052">
        <v>7</v>
      </c>
      <c r="D53" s="5052">
        <v>7</v>
      </c>
      <c r="E53" s="5052">
        <v>7</v>
      </c>
      <c r="F53" s="5052">
        <v>6.5</v>
      </c>
      <c r="G53" s="5049">
        <v>12</v>
      </c>
      <c r="H53" s="5050">
        <v>12</v>
      </c>
      <c r="I53" s="4890">
        <f>SUM(B53:H53)</f>
        <v>58.5</v>
      </c>
      <c r="J53" s="5024" t="s">
        <v>773</v>
      </c>
      <c r="M53" s="4994" t="s">
        <v>774</v>
      </c>
      <c r="N53" s="4995">
        <f>I57</f>
        <v>40</v>
      </c>
      <c r="S53" s="5053" t="s">
        <v>775</v>
      </c>
      <c r="T53" s="5054"/>
      <c r="U53" s="5054"/>
      <c r="V53" s="5054"/>
    </row>
    <row r="54" spans="1:22">
      <c r="A54" s="5027"/>
      <c r="B54" s="5055" t="s">
        <v>776</v>
      </c>
      <c r="C54" s="5055" t="s">
        <v>776</v>
      </c>
      <c r="D54" s="5055" t="s">
        <v>776</v>
      </c>
      <c r="E54" s="5055" t="s">
        <v>776</v>
      </c>
      <c r="F54" s="5055" t="s">
        <v>776</v>
      </c>
      <c r="G54" s="5046" t="s">
        <v>777</v>
      </c>
      <c r="H54" s="5047" t="s">
        <v>770</v>
      </c>
      <c r="I54" s="5042"/>
      <c r="J54" s="5031"/>
      <c r="M54" s="4994" t="s">
        <v>778</v>
      </c>
      <c r="N54" s="4995">
        <f>I63</f>
        <v>40</v>
      </c>
      <c r="S54" s="5056" t="s">
        <v>779</v>
      </c>
      <c r="T54" s="5057"/>
      <c r="U54" s="5057"/>
      <c r="V54" s="5057"/>
    </row>
    <row r="55" spans="1:22" ht="15.75" thickBot="1">
      <c r="A55" s="196" t="s">
        <v>780</v>
      </c>
      <c r="B55" s="5058">
        <v>7</v>
      </c>
      <c r="C55" s="5058">
        <v>7</v>
      </c>
      <c r="D55" s="5058">
        <v>7</v>
      </c>
      <c r="E55" s="5058">
        <v>7</v>
      </c>
      <c r="F55" s="5058">
        <v>7</v>
      </c>
      <c r="G55" s="5059">
        <v>9</v>
      </c>
      <c r="H55" s="5050">
        <v>12</v>
      </c>
      <c r="I55" s="4890">
        <f>SUM(B55:H55)</f>
        <v>56</v>
      </c>
      <c r="J55" s="5024" t="s">
        <v>757</v>
      </c>
      <c r="M55" s="4994" t="s">
        <v>781</v>
      </c>
      <c r="N55" s="4995">
        <v>0</v>
      </c>
      <c r="S55" s="5060" t="s">
        <v>782</v>
      </c>
      <c r="T55" s="5061"/>
      <c r="U55" s="5062"/>
      <c r="V55" s="5062"/>
    </row>
    <row r="56" spans="1:22" ht="15.75" thickBot="1">
      <c r="A56" s="5027"/>
      <c r="B56" s="5063" t="s">
        <v>783</v>
      </c>
      <c r="C56" s="5063" t="s">
        <v>783</v>
      </c>
      <c r="D56" s="5063" t="s">
        <v>783</v>
      </c>
      <c r="E56" s="5063" t="s">
        <v>783</v>
      </c>
      <c r="F56" s="5063" t="s">
        <v>783</v>
      </c>
      <c r="G56" s="5040"/>
      <c r="H56" s="5041"/>
      <c r="I56" s="5012"/>
      <c r="J56" s="5031"/>
      <c r="M56" s="5004" t="s">
        <v>717</v>
      </c>
      <c r="N56" s="5005">
        <f>SUM(N41:N55)</f>
        <v>447.25</v>
      </c>
      <c r="S56" s="5064" t="s">
        <v>784</v>
      </c>
      <c r="T56" s="5065"/>
      <c r="U56" s="5065"/>
      <c r="V56" s="5065"/>
    </row>
    <row r="57" spans="1:22" ht="15.75" thickBot="1">
      <c r="A57" s="4942" t="s">
        <v>785</v>
      </c>
      <c r="B57" s="5066">
        <v>8</v>
      </c>
      <c r="C57" s="5066">
        <v>8</v>
      </c>
      <c r="D57" s="5066">
        <v>8</v>
      </c>
      <c r="E57" s="5066">
        <v>8</v>
      </c>
      <c r="F57" s="5066">
        <v>8</v>
      </c>
      <c r="G57" s="4959"/>
      <c r="H57" s="215"/>
      <c r="I57" s="4890">
        <f>SUM(B57:H57)</f>
        <v>40</v>
      </c>
      <c r="J57" s="5024" t="s">
        <v>774</v>
      </c>
      <c r="N57" s="113"/>
      <c r="S57" s="213"/>
      <c r="T57" s="214"/>
    </row>
    <row r="58" spans="1:22">
      <c r="A58" s="5016" t="s">
        <v>620</v>
      </c>
      <c r="B58" s="4902" t="s">
        <v>575</v>
      </c>
      <c r="C58" s="4902" t="s">
        <v>575</v>
      </c>
      <c r="D58" s="4902" t="s">
        <v>575</v>
      </c>
      <c r="E58" s="4902" t="s">
        <v>575</v>
      </c>
      <c r="F58" s="4902" t="s">
        <v>575</v>
      </c>
      <c r="G58" s="5040"/>
      <c r="H58" s="5041"/>
      <c r="I58" s="5012"/>
      <c r="J58" s="5019" t="s">
        <v>620</v>
      </c>
      <c r="M58" t="s">
        <v>721</v>
      </c>
      <c r="N58" t="s">
        <v>786</v>
      </c>
      <c r="P58">
        <v>555</v>
      </c>
      <c r="Q58" t="s">
        <v>723</v>
      </c>
      <c r="S58" t="s">
        <v>787</v>
      </c>
    </row>
    <row r="59" spans="1:22" ht="15.75" thickBot="1">
      <c r="A59" s="196" t="s">
        <v>788</v>
      </c>
      <c r="B59" s="4963"/>
      <c r="C59" s="4963"/>
      <c r="D59" s="4963"/>
      <c r="E59" s="4963"/>
      <c r="F59" s="4963"/>
      <c r="G59" s="4959"/>
      <c r="H59" s="215"/>
      <c r="I59" s="4958">
        <f>SUM(B59:H59)</f>
        <v>0</v>
      </c>
      <c r="J59" s="5024" t="s">
        <v>173</v>
      </c>
      <c r="O59" t="s">
        <v>0</v>
      </c>
      <c r="S59" s="5067" t="s">
        <v>789</v>
      </c>
      <c r="T59" s="5068"/>
    </row>
    <row r="60" spans="1:22">
      <c r="A60" s="5027"/>
      <c r="B60" s="4902" t="s">
        <v>575</v>
      </c>
      <c r="C60" s="4902" t="s">
        <v>575</v>
      </c>
      <c r="D60" s="4902" t="s">
        <v>575</v>
      </c>
      <c r="E60" s="4902" t="s">
        <v>575</v>
      </c>
      <c r="F60" s="4902" t="s">
        <v>575</v>
      </c>
      <c r="G60" s="5012"/>
      <c r="H60" s="5045"/>
      <c r="I60" s="5012"/>
      <c r="J60" s="5031"/>
      <c r="M60" t="s">
        <v>725</v>
      </c>
      <c r="O60" s="22">
        <f>N56</f>
        <v>447.25</v>
      </c>
      <c r="S60" s="5069" t="s">
        <v>790</v>
      </c>
      <c r="T60" s="5070"/>
    </row>
    <row r="61" spans="1:22" ht="15.75" thickBot="1">
      <c r="A61" s="192" t="s">
        <v>791</v>
      </c>
      <c r="B61" s="4963"/>
      <c r="C61" s="4963"/>
      <c r="D61" s="4906"/>
      <c r="E61" s="4906"/>
      <c r="F61" s="4906"/>
      <c r="G61" s="5071"/>
      <c r="H61" s="216"/>
      <c r="I61" s="4958">
        <f>SUM(B61:H61)</f>
        <v>0</v>
      </c>
      <c r="J61" s="5072" t="s">
        <v>760</v>
      </c>
      <c r="S61" s="5073" t="s">
        <v>792</v>
      </c>
      <c r="T61" s="5074"/>
    </row>
    <row r="62" spans="1:22">
      <c r="A62" s="5027" t="s">
        <v>0</v>
      </c>
      <c r="B62" s="5075" t="s">
        <v>748</v>
      </c>
      <c r="C62" s="5075" t="s">
        <v>748</v>
      </c>
      <c r="D62" s="5075" t="s">
        <v>748</v>
      </c>
      <c r="E62" s="5075" t="s">
        <v>748</v>
      </c>
      <c r="F62" s="5075" t="s">
        <v>748</v>
      </c>
      <c r="G62" s="5076"/>
      <c r="H62" s="5045"/>
      <c r="I62" s="5012"/>
      <c r="J62" s="5031" t="s">
        <v>0</v>
      </c>
      <c r="M62">
        <f>O60</f>
        <v>447.25</v>
      </c>
      <c r="N62" t="s">
        <v>726</v>
      </c>
      <c r="P62" s="199">
        <f>SUM(M62/37)</f>
        <v>12.087837837837839</v>
      </c>
      <c r="Q62" t="s">
        <v>723</v>
      </c>
    </row>
    <row r="63" spans="1:22" ht="15.75" thickBot="1">
      <c r="A63" s="196" t="s">
        <v>793</v>
      </c>
      <c r="B63" s="5077">
        <v>8</v>
      </c>
      <c r="C63" s="5077">
        <v>8</v>
      </c>
      <c r="D63" s="5077">
        <v>8</v>
      </c>
      <c r="E63" s="5077">
        <v>8</v>
      </c>
      <c r="F63" s="5077">
        <v>8</v>
      </c>
      <c r="G63" s="5071"/>
      <c r="H63" s="216"/>
      <c r="I63" s="4958">
        <f>SUM(B63:H63)</f>
        <v>40</v>
      </c>
      <c r="J63" s="5024" t="s">
        <v>794</v>
      </c>
      <c r="S63" s="5078" t="s">
        <v>795</v>
      </c>
      <c r="T63" s="5079"/>
      <c r="U63" s="5080"/>
    </row>
    <row r="64" spans="1:22">
      <c r="A64" s="5016" t="s">
        <v>626</v>
      </c>
      <c r="B64" s="5081" t="s">
        <v>796</v>
      </c>
      <c r="C64" s="5081" t="s">
        <v>796</v>
      </c>
      <c r="D64" s="5081" t="s">
        <v>796</v>
      </c>
      <c r="E64" s="5081" t="s">
        <v>796</v>
      </c>
      <c r="F64" s="5081" t="s">
        <v>796</v>
      </c>
      <c r="G64" s="4896"/>
      <c r="H64" s="5082"/>
      <c r="I64" s="5012"/>
      <c r="J64" s="5019" t="s">
        <v>626</v>
      </c>
      <c r="M64" s="199">
        <f>P62</f>
        <v>12.087837837837839</v>
      </c>
      <c r="N64" t="s">
        <v>728</v>
      </c>
      <c r="P64" s="199">
        <f>SUM(P62*3)</f>
        <v>36.263513513513516</v>
      </c>
      <c r="Q64" t="s">
        <v>723</v>
      </c>
    </row>
    <row r="65" spans="1:21" ht="15.75" thickBot="1">
      <c r="A65" s="196" t="s">
        <v>627</v>
      </c>
      <c r="B65" s="5083">
        <v>7</v>
      </c>
      <c r="C65" s="5083">
        <v>7</v>
      </c>
      <c r="D65" s="5083">
        <v>7</v>
      </c>
      <c r="E65" s="5083">
        <v>7</v>
      </c>
      <c r="F65" s="5083">
        <v>7</v>
      </c>
      <c r="G65" s="4958"/>
      <c r="H65" s="217"/>
      <c r="I65" s="4958">
        <f>SUM(B65:H65)</f>
        <v>35</v>
      </c>
      <c r="J65" s="218" t="s">
        <v>797</v>
      </c>
      <c r="S65" s="5078" t="s">
        <v>798</v>
      </c>
      <c r="T65" s="5079"/>
      <c r="U65" s="5080"/>
    </row>
    <row r="66" spans="1:21">
      <c r="A66" s="5027"/>
      <c r="B66" s="5084" t="s">
        <v>799</v>
      </c>
      <c r="C66" s="5084" t="s">
        <v>799</v>
      </c>
      <c r="D66" s="5084" t="s">
        <v>799</v>
      </c>
      <c r="E66" s="5084" t="s">
        <v>799</v>
      </c>
      <c r="F66" s="5084" t="s">
        <v>799</v>
      </c>
      <c r="G66" s="4896"/>
      <c r="H66" s="5082"/>
      <c r="I66" s="5085"/>
      <c r="J66" s="5031"/>
      <c r="M66">
        <f>P58</f>
        <v>555</v>
      </c>
      <c r="N66" t="s">
        <v>730</v>
      </c>
      <c r="P66" s="209">
        <f>P64</f>
        <v>36.263513513513516</v>
      </c>
      <c r="Q66" t="s">
        <v>731</v>
      </c>
      <c r="R66" s="219">
        <f>SUM(M66-P66)</f>
        <v>518.73648648648646</v>
      </c>
    </row>
    <row r="67" spans="1:21" ht="15.75" thickBot="1">
      <c r="A67" s="4954" t="s">
        <v>628</v>
      </c>
      <c r="B67" s="5086">
        <v>7.5</v>
      </c>
      <c r="C67" s="5086">
        <v>7.5</v>
      </c>
      <c r="D67" s="5086">
        <v>7.5</v>
      </c>
      <c r="E67" s="5086">
        <v>7.5</v>
      </c>
      <c r="F67" s="5086">
        <v>7.5</v>
      </c>
      <c r="G67" s="4890"/>
      <c r="H67" s="5087"/>
      <c r="I67" s="5088">
        <v>41.5</v>
      </c>
      <c r="J67" s="5072" t="s">
        <v>800</v>
      </c>
      <c r="S67" s="5089" t="s">
        <v>801</v>
      </c>
      <c r="T67" s="5090"/>
      <c r="U67" s="5091"/>
    </row>
    <row r="68" spans="1:21" ht="15.75" thickBot="1">
      <c r="A68" s="5027"/>
      <c r="B68" s="5092" t="s">
        <v>802</v>
      </c>
      <c r="C68" s="5093" t="s">
        <v>802</v>
      </c>
      <c r="D68" s="5093" t="s">
        <v>802</v>
      </c>
      <c r="E68" s="5093" t="s">
        <v>802</v>
      </c>
      <c r="F68" s="5093" t="s">
        <v>802</v>
      </c>
      <c r="G68" s="4896"/>
      <c r="H68" s="5082"/>
      <c r="I68" s="5094"/>
      <c r="J68" s="5031"/>
      <c r="M68" s="199">
        <v>522.25</v>
      </c>
      <c r="N68" t="s">
        <v>733</v>
      </c>
      <c r="O68" s="209">
        <f>R66</f>
        <v>518.73648648648646</v>
      </c>
      <c r="P68" s="5009">
        <f>SUM(M68-O68)</f>
        <v>3.5135135135135442</v>
      </c>
      <c r="S68" s="213"/>
      <c r="T68" s="214"/>
    </row>
    <row r="69" spans="1:21" ht="15.75" thickBot="1">
      <c r="A69" s="4942" t="s">
        <v>629</v>
      </c>
      <c r="B69" s="5095">
        <v>8</v>
      </c>
      <c r="C69" s="5095">
        <v>8</v>
      </c>
      <c r="D69" s="5095">
        <v>8</v>
      </c>
      <c r="E69" s="5095">
        <v>8</v>
      </c>
      <c r="F69" s="5095">
        <v>8</v>
      </c>
      <c r="G69" s="4890"/>
      <c r="H69" s="4890"/>
      <c r="I69" s="5088">
        <f>SUM(B69:H69)</f>
        <v>40</v>
      </c>
      <c r="J69" s="5024" t="s">
        <v>803</v>
      </c>
    </row>
    <row r="70" spans="1:21" ht="15.75" thickBot="1">
      <c r="A70" s="220" t="s">
        <v>588</v>
      </c>
      <c r="B70" s="221">
        <f t="shared" ref="B70:I70" si="2">SUM(B41,B43,B45,B47,B49,B51,B53,B55,B57,B59,B61,B63,B65,B67,B69)</f>
        <v>75.75</v>
      </c>
      <c r="C70" s="221">
        <f t="shared" si="2"/>
        <v>75.75</v>
      </c>
      <c r="D70" s="221">
        <f t="shared" si="2"/>
        <v>75.75</v>
      </c>
      <c r="E70" s="221">
        <f t="shared" si="2"/>
        <v>75.75</v>
      </c>
      <c r="F70" s="221">
        <f t="shared" si="2"/>
        <v>75.25</v>
      </c>
      <c r="G70" s="221">
        <f t="shared" si="2"/>
        <v>68.5</v>
      </c>
      <c r="H70" s="221">
        <f t="shared" si="2"/>
        <v>71.5</v>
      </c>
      <c r="I70" s="221">
        <f t="shared" si="2"/>
        <v>522.25</v>
      </c>
      <c r="J70" s="222"/>
    </row>
    <row r="71" spans="1:21" ht="15.75" thickTop="1">
      <c r="A71" s="113"/>
      <c r="B71" s="113"/>
      <c r="C71" s="113"/>
      <c r="D71" s="113"/>
      <c r="E71" s="113"/>
      <c r="F71" s="113"/>
      <c r="G71" s="4984" t="s">
        <v>701</v>
      </c>
      <c r="H71" s="4984" t="s">
        <v>702</v>
      </c>
      <c r="I71" s="4984" t="s">
        <v>703</v>
      </c>
      <c r="M71" s="42"/>
      <c r="N71" s="42"/>
      <c r="O71" s="42"/>
      <c r="P71" s="42"/>
      <c r="Q71" s="42"/>
      <c r="R71" s="42"/>
    </row>
    <row r="72" spans="1:21">
      <c r="A72" s="113"/>
      <c r="B72" s="195"/>
      <c r="C72" s="195"/>
      <c r="D72" s="195"/>
      <c r="E72" s="195"/>
      <c r="F72" s="195"/>
      <c r="G72" s="3698">
        <f>I70</f>
        <v>522.25</v>
      </c>
      <c r="H72" s="4985">
        <f>SUM(G72*13/3)</f>
        <v>2263.0833333333335</v>
      </c>
      <c r="I72" s="3698">
        <f>SUM(H72*12)</f>
        <v>27157</v>
      </c>
      <c r="M72" s="113"/>
      <c r="N72" s="113"/>
      <c r="O72" s="113"/>
      <c r="P72" s="113"/>
      <c r="Q72" s="113"/>
      <c r="R72" s="113"/>
    </row>
    <row r="73" spans="1:21">
      <c r="A73" s="113"/>
      <c r="B73" s="100"/>
      <c r="C73" s="100"/>
      <c r="D73" s="100"/>
      <c r="E73" s="100"/>
      <c r="F73" s="100"/>
      <c r="G73" s="113"/>
      <c r="H73" s="210"/>
      <c r="I73" s="113"/>
      <c r="N73" s="113"/>
      <c r="O73" s="113"/>
      <c r="P73" s="113"/>
      <c r="Q73" s="113"/>
      <c r="R73" s="113"/>
    </row>
    <row r="74" spans="1:21">
      <c r="A74" s="113"/>
      <c r="B74" s="113"/>
      <c r="C74" s="113"/>
      <c r="D74" s="113"/>
      <c r="E74" s="113"/>
      <c r="F74" s="113"/>
      <c r="G74" s="113"/>
      <c r="H74" s="210"/>
      <c r="I74" s="113"/>
      <c r="N74" s="113"/>
      <c r="O74" s="113"/>
      <c r="P74" s="113"/>
      <c r="Q74" s="113"/>
      <c r="R74" s="113"/>
    </row>
    <row r="75" spans="1:21" ht="15.75" thickBot="1">
      <c r="A75" s="1" t="s">
        <v>804</v>
      </c>
      <c r="B75" s="113"/>
      <c r="C75" s="113"/>
      <c r="D75" s="113"/>
      <c r="E75" s="113"/>
      <c r="F75" s="113"/>
      <c r="N75" s="113"/>
      <c r="O75" s="113"/>
      <c r="P75" s="113"/>
      <c r="Q75" s="113"/>
      <c r="R75" s="113"/>
    </row>
    <row r="76" spans="1:21" ht="15.75" thickBot="1">
      <c r="A76" s="5010" t="s">
        <v>735</v>
      </c>
      <c r="B76" s="4896" t="s">
        <v>87</v>
      </c>
      <c r="C76" s="4897" t="s">
        <v>88</v>
      </c>
      <c r="D76" s="4897" t="s">
        <v>89</v>
      </c>
      <c r="E76" s="4897" t="s">
        <v>90</v>
      </c>
      <c r="F76" s="4897" t="s">
        <v>91</v>
      </c>
      <c r="G76" s="4897" t="s">
        <v>92</v>
      </c>
      <c r="H76" s="5011" t="s">
        <v>93</v>
      </c>
      <c r="I76" s="5012" t="s">
        <v>158</v>
      </c>
      <c r="J76" s="5013" t="s">
        <v>94</v>
      </c>
      <c r="N76" s="113"/>
      <c r="O76" s="113"/>
      <c r="P76" s="113"/>
      <c r="Q76" s="113"/>
      <c r="R76" s="113"/>
    </row>
    <row r="77" spans="1:21">
      <c r="A77" s="5027"/>
      <c r="B77" s="5017" t="s">
        <v>737</v>
      </c>
      <c r="C77" s="5017" t="s">
        <v>737</v>
      </c>
      <c r="D77" s="5017" t="s">
        <v>737</v>
      </c>
      <c r="E77" s="5017" t="s">
        <v>737</v>
      </c>
      <c r="F77" s="5017" t="s">
        <v>737</v>
      </c>
      <c r="G77" s="5018" t="s">
        <v>738</v>
      </c>
      <c r="H77" s="5018" t="s">
        <v>738</v>
      </c>
      <c r="I77" s="5085"/>
      <c r="J77" s="5031"/>
      <c r="N77" s="113"/>
      <c r="O77" s="113"/>
      <c r="P77" s="113"/>
      <c r="Q77" s="113"/>
      <c r="R77" s="113"/>
    </row>
    <row r="78" spans="1:21" ht="15.75" thickBot="1">
      <c r="A78" s="4942" t="s">
        <v>599</v>
      </c>
      <c r="B78" s="5022">
        <v>8.25</v>
      </c>
      <c r="C78" s="5022">
        <v>8.25</v>
      </c>
      <c r="D78" s="5022">
        <v>8.25</v>
      </c>
      <c r="E78" s="5022">
        <v>8.25</v>
      </c>
      <c r="F78" s="5022">
        <v>8.25</v>
      </c>
      <c r="G78" s="5023">
        <v>12.25</v>
      </c>
      <c r="H78" s="5023">
        <v>12.25</v>
      </c>
      <c r="I78" s="4890">
        <f>SUM(B78:H78)</f>
        <v>65.75</v>
      </c>
      <c r="J78" s="5024" t="s">
        <v>741</v>
      </c>
      <c r="N78" s="113"/>
      <c r="O78" s="113"/>
      <c r="P78" s="113"/>
      <c r="Q78" s="113"/>
      <c r="R78" s="113"/>
    </row>
    <row r="79" spans="1:21">
      <c r="A79" s="5027"/>
      <c r="B79" s="4902" t="s">
        <v>575</v>
      </c>
      <c r="C79" s="4902" t="s">
        <v>575</v>
      </c>
      <c r="D79" s="4902" t="s">
        <v>575</v>
      </c>
      <c r="E79" s="4902" t="s">
        <v>575</v>
      </c>
      <c r="F79" s="4902" t="s">
        <v>575</v>
      </c>
      <c r="G79" s="5096"/>
      <c r="H79" s="5097"/>
      <c r="I79" s="5094"/>
      <c r="J79" s="5031"/>
      <c r="L79" s="195"/>
      <c r="M79" s="195"/>
      <c r="N79" s="195"/>
      <c r="O79" s="113"/>
      <c r="P79" s="113"/>
      <c r="Q79" s="113"/>
      <c r="R79" s="113"/>
    </row>
    <row r="80" spans="1:21" ht="15.75" thickBot="1">
      <c r="A80" s="4942" t="s">
        <v>805</v>
      </c>
      <c r="B80" s="4906"/>
      <c r="C80" s="4906"/>
      <c r="D80" s="4906"/>
      <c r="E80" s="4906"/>
      <c r="F80" s="4906"/>
      <c r="G80" s="4891"/>
      <c r="H80" s="5044"/>
      <c r="I80" s="4890">
        <f>SUM(B80:H80)</f>
        <v>0</v>
      </c>
      <c r="J80" s="5024" t="s">
        <v>755</v>
      </c>
      <c r="L80" s="100"/>
      <c r="M80" s="100"/>
      <c r="N80" s="100"/>
      <c r="O80" s="113"/>
      <c r="P80" s="113"/>
      <c r="Q80" s="113"/>
      <c r="R80" s="113"/>
    </row>
    <row r="81" spans="1:18">
      <c r="A81" s="5027"/>
      <c r="B81" s="5051" t="s">
        <v>768</v>
      </c>
      <c r="C81" s="5051" t="s">
        <v>768</v>
      </c>
      <c r="D81" s="5051" t="s">
        <v>768</v>
      </c>
      <c r="E81" s="5051" t="s">
        <v>768</v>
      </c>
      <c r="F81" s="5051" t="s">
        <v>769</v>
      </c>
      <c r="G81" s="5046" t="s">
        <v>770</v>
      </c>
      <c r="H81" s="5047" t="s">
        <v>770</v>
      </c>
      <c r="I81" s="5012"/>
      <c r="J81" s="5031"/>
      <c r="N81" s="113"/>
      <c r="O81" s="113"/>
      <c r="P81" s="113"/>
      <c r="Q81" s="113"/>
      <c r="R81" s="113"/>
    </row>
    <row r="82" spans="1:18" ht="15.75" thickBot="1">
      <c r="A82" s="4942" t="s">
        <v>617</v>
      </c>
      <c r="B82" s="5052">
        <v>7</v>
      </c>
      <c r="C82" s="5052">
        <v>7</v>
      </c>
      <c r="D82" s="5052">
        <v>7</v>
      </c>
      <c r="E82" s="5052">
        <v>7</v>
      </c>
      <c r="F82" s="5052">
        <v>6.5</v>
      </c>
      <c r="G82" s="5049">
        <v>12</v>
      </c>
      <c r="H82" s="5050">
        <v>12</v>
      </c>
      <c r="I82" s="4890">
        <f>SUM(B82:H82)</f>
        <v>58.5</v>
      </c>
      <c r="J82" s="5024" t="s">
        <v>773</v>
      </c>
      <c r="N82" s="113"/>
      <c r="O82" s="113"/>
      <c r="P82" s="113"/>
      <c r="Q82" s="113"/>
      <c r="R82" s="113"/>
    </row>
    <row r="83" spans="1:18">
      <c r="A83" s="5027"/>
      <c r="B83" s="4902" t="s">
        <v>575</v>
      </c>
      <c r="C83" s="4902" t="s">
        <v>575</v>
      </c>
      <c r="D83" s="4902" t="s">
        <v>575</v>
      </c>
      <c r="E83" s="4902" t="s">
        <v>575</v>
      </c>
      <c r="F83" s="4902" t="s">
        <v>575</v>
      </c>
      <c r="G83" s="5096"/>
      <c r="H83" s="5097"/>
      <c r="I83" s="5085"/>
      <c r="J83" s="5031"/>
      <c r="N83" s="113"/>
      <c r="O83" s="113"/>
      <c r="P83" s="113"/>
      <c r="Q83" s="113"/>
      <c r="R83" s="113"/>
    </row>
    <row r="84" spans="1:18" ht="15.75" thickBot="1">
      <c r="A84" s="4942" t="s">
        <v>788</v>
      </c>
      <c r="B84" s="4963"/>
      <c r="C84" s="4963"/>
      <c r="D84" s="4963"/>
      <c r="E84" s="4963"/>
      <c r="F84" s="4963"/>
      <c r="G84" s="4891"/>
      <c r="H84" s="5044"/>
      <c r="I84" s="4890">
        <f>SUM(B84:H84)</f>
        <v>0</v>
      </c>
      <c r="J84" s="5024" t="s">
        <v>173</v>
      </c>
      <c r="N84" s="113"/>
      <c r="O84" s="113"/>
      <c r="P84" s="113"/>
      <c r="Q84" s="113"/>
      <c r="R84" s="113"/>
    </row>
    <row r="85" spans="1:18">
      <c r="A85" s="5027"/>
      <c r="B85" s="5081" t="s">
        <v>796</v>
      </c>
      <c r="C85" s="5081" t="s">
        <v>796</v>
      </c>
      <c r="D85" s="5081" t="s">
        <v>796</v>
      </c>
      <c r="E85" s="5081" t="s">
        <v>796</v>
      </c>
      <c r="F85" s="5081" t="s">
        <v>796</v>
      </c>
      <c r="G85" s="5098"/>
      <c r="H85" s="5099"/>
      <c r="I85" s="5085"/>
      <c r="J85" s="5031"/>
      <c r="N85" s="113"/>
      <c r="O85" s="113"/>
      <c r="P85" s="113"/>
      <c r="Q85" s="113"/>
      <c r="R85" s="113"/>
    </row>
    <row r="86" spans="1:18" ht="15.75" thickBot="1">
      <c r="A86" s="4942" t="s">
        <v>627</v>
      </c>
      <c r="B86" s="5083">
        <v>7</v>
      </c>
      <c r="C86" s="5083">
        <v>7</v>
      </c>
      <c r="D86" s="5083">
        <v>7</v>
      </c>
      <c r="E86" s="5083">
        <v>7</v>
      </c>
      <c r="F86" s="5083">
        <v>7</v>
      </c>
      <c r="G86" s="4890"/>
      <c r="H86" s="5087"/>
      <c r="I86" s="4890">
        <f>SUM(B86:H86)</f>
        <v>35</v>
      </c>
      <c r="J86" s="5024" t="s">
        <v>797</v>
      </c>
      <c r="N86" s="113"/>
      <c r="O86" s="113"/>
      <c r="P86" s="113"/>
      <c r="Q86" s="113"/>
      <c r="R86" s="113"/>
    </row>
    <row r="87" spans="1:18">
      <c r="A87" s="5027"/>
      <c r="B87" s="5028" t="s">
        <v>743</v>
      </c>
      <c r="C87" s="5028" t="s">
        <v>743</v>
      </c>
      <c r="D87" s="5028" t="s">
        <v>743</v>
      </c>
      <c r="E87" s="5028" t="s">
        <v>743</v>
      </c>
      <c r="F87" s="5028" t="s">
        <v>743</v>
      </c>
      <c r="G87" s="5029" t="s">
        <v>744</v>
      </c>
      <c r="H87" s="5030" t="s">
        <v>744</v>
      </c>
      <c r="I87" s="5012"/>
      <c r="J87" s="5031"/>
      <c r="N87" s="113"/>
      <c r="O87" s="113"/>
      <c r="P87" s="113"/>
      <c r="Q87" s="113"/>
      <c r="R87" s="113"/>
    </row>
    <row r="88" spans="1:18" ht="15.75" thickBot="1">
      <c r="A88" s="4942" t="s">
        <v>746</v>
      </c>
      <c r="B88" s="4939">
        <v>7</v>
      </c>
      <c r="C88" s="4939">
        <v>7</v>
      </c>
      <c r="D88" s="4939">
        <v>7</v>
      </c>
      <c r="E88" s="4939">
        <v>7</v>
      </c>
      <c r="F88" s="4939">
        <v>7</v>
      </c>
      <c r="G88" s="5034">
        <v>11</v>
      </c>
      <c r="H88" s="5035">
        <v>11</v>
      </c>
      <c r="I88" s="4890">
        <f>SUM(B88:H88)</f>
        <v>57</v>
      </c>
      <c r="J88" s="5024" t="s">
        <v>747</v>
      </c>
      <c r="N88" s="113"/>
      <c r="O88" s="113"/>
      <c r="P88" s="113"/>
      <c r="Q88" s="113"/>
      <c r="R88" s="113"/>
    </row>
    <row r="89" spans="1:18">
      <c r="A89" s="5027"/>
      <c r="B89" s="4902" t="s">
        <v>575</v>
      </c>
      <c r="C89" s="4902" t="s">
        <v>575</v>
      </c>
      <c r="D89" s="4902" t="s">
        <v>575</v>
      </c>
      <c r="E89" s="4902" t="s">
        <v>575</v>
      </c>
      <c r="F89" s="4902" t="s">
        <v>575</v>
      </c>
      <c r="G89" s="5012"/>
      <c r="H89" s="5045"/>
      <c r="I89" s="5012"/>
      <c r="J89" s="5031"/>
      <c r="N89" s="113"/>
      <c r="O89" s="113"/>
      <c r="P89" s="113"/>
      <c r="Q89" s="113"/>
      <c r="R89" s="113"/>
    </row>
    <row r="90" spans="1:18" ht="15.75" thickBot="1">
      <c r="A90" s="4942" t="s">
        <v>759</v>
      </c>
      <c r="B90" s="4906"/>
      <c r="C90" s="4906"/>
      <c r="D90" s="4906"/>
      <c r="E90" s="4906"/>
      <c r="F90" s="4906"/>
      <c r="G90" s="4966"/>
      <c r="H90" s="4367"/>
      <c r="I90" s="4890">
        <f>SUM(B90:H90)</f>
        <v>0</v>
      </c>
      <c r="J90" s="5024" t="s">
        <v>756</v>
      </c>
      <c r="N90" s="113"/>
      <c r="O90" s="113"/>
      <c r="P90" s="113"/>
      <c r="Q90" s="113"/>
      <c r="R90" s="113"/>
    </row>
    <row r="91" spans="1:18">
      <c r="A91" s="5027"/>
      <c r="B91" s="5055" t="s">
        <v>776</v>
      </c>
      <c r="C91" s="5055" t="s">
        <v>776</v>
      </c>
      <c r="D91" s="5055" t="s">
        <v>776</v>
      </c>
      <c r="E91" s="5055" t="s">
        <v>776</v>
      </c>
      <c r="F91" s="5055" t="s">
        <v>776</v>
      </c>
      <c r="G91" s="5046" t="s">
        <v>777</v>
      </c>
      <c r="H91" s="5047" t="s">
        <v>770</v>
      </c>
      <c r="I91" s="5042"/>
      <c r="J91" s="5031"/>
      <c r="N91" s="113"/>
      <c r="O91" s="113"/>
      <c r="P91" s="113"/>
      <c r="Q91" s="113"/>
      <c r="R91" s="113"/>
    </row>
    <row r="92" spans="1:18" ht="15.75" thickBot="1">
      <c r="A92" s="4942" t="s">
        <v>780</v>
      </c>
      <c r="B92" s="5058">
        <v>7</v>
      </c>
      <c r="C92" s="5058">
        <v>7</v>
      </c>
      <c r="D92" s="5058">
        <v>7</v>
      </c>
      <c r="E92" s="5058">
        <v>7</v>
      </c>
      <c r="F92" s="5058">
        <v>7</v>
      </c>
      <c r="G92" s="5059">
        <v>9</v>
      </c>
      <c r="H92" s="5050">
        <v>12</v>
      </c>
      <c r="I92" s="4890">
        <f>SUM(B92:H92)</f>
        <v>56</v>
      </c>
      <c r="J92" s="5024" t="s">
        <v>757</v>
      </c>
      <c r="L92" s="195"/>
      <c r="M92" s="195"/>
      <c r="N92" s="195"/>
      <c r="O92" s="113"/>
      <c r="P92" s="113"/>
      <c r="Q92" s="113"/>
      <c r="R92" s="113"/>
    </row>
    <row r="93" spans="1:18">
      <c r="A93" s="5027"/>
      <c r="B93" s="4902" t="s">
        <v>575</v>
      </c>
      <c r="C93" s="4902" t="s">
        <v>575</v>
      </c>
      <c r="D93" s="4902" t="s">
        <v>575</v>
      </c>
      <c r="E93" s="4902" t="s">
        <v>575</v>
      </c>
      <c r="F93" s="4902" t="s">
        <v>575</v>
      </c>
      <c r="G93" s="5012"/>
      <c r="H93" s="5045"/>
      <c r="I93" s="5012"/>
      <c r="J93" s="5031"/>
      <c r="L93" s="100"/>
      <c r="M93" s="100"/>
      <c r="N93" s="100"/>
      <c r="O93" s="113"/>
      <c r="P93" s="113"/>
      <c r="Q93" s="113"/>
      <c r="R93" s="113"/>
    </row>
    <row r="94" spans="1:18" ht="15.75" thickBot="1">
      <c r="A94" s="192" t="s">
        <v>806</v>
      </c>
      <c r="B94" s="4963"/>
      <c r="C94" s="4963"/>
      <c r="D94" s="4906"/>
      <c r="E94" s="4906"/>
      <c r="F94" s="4906"/>
      <c r="G94" s="5071"/>
      <c r="H94" s="216"/>
      <c r="I94" s="4958">
        <f>SUM(B94:H94)</f>
        <v>0</v>
      </c>
      <c r="J94" s="223" t="s">
        <v>760</v>
      </c>
      <c r="N94" s="113"/>
      <c r="O94" s="113"/>
      <c r="P94" s="113"/>
      <c r="Q94" s="113"/>
      <c r="R94" s="113"/>
    </row>
    <row r="95" spans="1:18">
      <c r="A95" s="5027"/>
      <c r="B95" s="5084" t="s">
        <v>799</v>
      </c>
      <c r="C95" s="5084" t="s">
        <v>799</v>
      </c>
      <c r="D95" s="5084" t="s">
        <v>799</v>
      </c>
      <c r="E95" s="5084" t="s">
        <v>799</v>
      </c>
      <c r="F95" s="5084" t="s">
        <v>799</v>
      </c>
      <c r="G95" s="4896"/>
      <c r="H95" s="5082"/>
      <c r="I95" s="4899"/>
      <c r="J95" s="5031"/>
      <c r="N95" s="42"/>
      <c r="O95" s="42"/>
      <c r="P95" s="113"/>
      <c r="Q95" s="113"/>
      <c r="R95" s="113"/>
    </row>
    <row r="96" spans="1:18" ht="15.75" thickBot="1">
      <c r="A96" s="4954" t="s">
        <v>628</v>
      </c>
      <c r="B96" s="5086">
        <v>7.5</v>
      </c>
      <c r="C96" s="5086">
        <v>7.5</v>
      </c>
      <c r="D96" s="5086">
        <v>7.5</v>
      </c>
      <c r="E96" s="5086">
        <v>7.5</v>
      </c>
      <c r="F96" s="5086">
        <v>7.5</v>
      </c>
      <c r="G96" s="4890"/>
      <c r="H96" s="5087"/>
      <c r="I96" s="4908">
        <f>SUM(B96:H96)</f>
        <v>37.5</v>
      </c>
      <c r="J96" s="5100" t="s">
        <v>800</v>
      </c>
      <c r="L96" s="42"/>
      <c r="M96" s="42"/>
      <c r="N96" s="113"/>
      <c r="O96" s="113"/>
      <c r="P96" s="42"/>
      <c r="Q96" s="113"/>
      <c r="R96" s="113"/>
    </row>
    <row r="97" spans="1:19">
      <c r="A97" s="5027"/>
      <c r="B97" s="5038" t="s">
        <v>749</v>
      </c>
      <c r="C97" s="5038" t="s">
        <v>749</v>
      </c>
      <c r="D97" s="5038" t="s">
        <v>749</v>
      </c>
      <c r="E97" s="5038" t="s">
        <v>749</v>
      </c>
      <c r="F97" s="5038" t="s">
        <v>749</v>
      </c>
      <c r="G97" s="5030" t="s">
        <v>750</v>
      </c>
      <c r="H97" s="5030" t="s">
        <v>750</v>
      </c>
      <c r="I97" s="5012"/>
      <c r="J97" s="5031"/>
      <c r="L97" s="113"/>
      <c r="M97" s="113"/>
      <c r="N97" s="113"/>
      <c r="O97" s="113"/>
      <c r="P97" s="113"/>
      <c r="Q97" s="113"/>
      <c r="R97" s="113"/>
    </row>
    <row r="98" spans="1:19" ht="15.75" thickBot="1">
      <c r="A98" s="4942" t="s">
        <v>751</v>
      </c>
      <c r="B98" s="5039">
        <v>8</v>
      </c>
      <c r="C98" s="5039">
        <v>8</v>
      </c>
      <c r="D98" s="5039">
        <v>8</v>
      </c>
      <c r="E98" s="5039">
        <v>8</v>
      </c>
      <c r="F98" s="5039">
        <v>8</v>
      </c>
      <c r="G98" s="5034">
        <v>12</v>
      </c>
      <c r="H98" s="5034">
        <v>12</v>
      </c>
      <c r="I98" s="4890">
        <f>SUM(B98:H98)</f>
        <v>64</v>
      </c>
      <c r="J98" s="5024" t="s">
        <v>752</v>
      </c>
      <c r="N98" s="113"/>
      <c r="O98" s="113"/>
      <c r="P98" s="113"/>
      <c r="Q98" s="113"/>
      <c r="R98" s="113"/>
    </row>
    <row r="99" spans="1:19">
      <c r="A99" s="5010"/>
      <c r="B99" s="4902" t="s">
        <v>575</v>
      </c>
      <c r="C99" s="4902" t="s">
        <v>575</v>
      </c>
      <c r="D99" s="4902" t="s">
        <v>575</v>
      </c>
      <c r="E99" s="4902" t="s">
        <v>575</v>
      </c>
      <c r="F99" s="4902" t="s">
        <v>575</v>
      </c>
      <c r="G99" s="5046" t="s">
        <v>761</v>
      </c>
      <c r="H99" s="5047" t="s">
        <v>762</v>
      </c>
      <c r="I99" s="5012"/>
      <c r="J99" s="5048"/>
      <c r="N99" s="113"/>
      <c r="O99" s="113"/>
      <c r="P99" s="113"/>
      <c r="Q99" s="113"/>
      <c r="R99" s="113"/>
    </row>
    <row r="100" spans="1:19" ht="15.75" thickBot="1">
      <c r="A100" s="4942" t="s">
        <v>765</v>
      </c>
      <c r="B100" s="4906"/>
      <c r="C100" s="4906"/>
      <c r="D100" s="4906"/>
      <c r="E100" s="4906"/>
      <c r="F100" s="4906"/>
      <c r="G100" s="5049">
        <v>12.25</v>
      </c>
      <c r="H100" s="5050">
        <v>12.25</v>
      </c>
      <c r="I100" s="4890">
        <f>SUM(B100:H100)</f>
        <v>24.5</v>
      </c>
      <c r="J100" s="5024" t="s">
        <v>766</v>
      </c>
      <c r="N100" s="113"/>
      <c r="O100" s="113"/>
      <c r="P100" s="113"/>
      <c r="Q100" s="113"/>
      <c r="R100" s="113"/>
    </row>
    <row r="101" spans="1:19">
      <c r="A101" s="5027"/>
      <c r="B101" s="5063" t="s">
        <v>783</v>
      </c>
      <c r="C101" s="5063" t="s">
        <v>783</v>
      </c>
      <c r="D101" s="5063" t="s">
        <v>783</v>
      </c>
      <c r="E101" s="5063" t="s">
        <v>783</v>
      </c>
      <c r="F101" s="5063" t="s">
        <v>783</v>
      </c>
      <c r="G101" s="4896"/>
      <c r="H101" s="5082"/>
      <c r="I101" s="5012"/>
      <c r="J101" s="5031"/>
      <c r="N101" s="113"/>
      <c r="O101" s="113"/>
      <c r="P101" s="113"/>
      <c r="Q101" s="113"/>
      <c r="R101" s="113"/>
    </row>
    <row r="102" spans="1:19" ht="15.75" thickBot="1">
      <c r="A102" s="4942" t="s">
        <v>785</v>
      </c>
      <c r="B102" s="5066">
        <v>8</v>
      </c>
      <c r="C102" s="5066">
        <v>8</v>
      </c>
      <c r="D102" s="5066">
        <v>8</v>
      </c>
      <c r="E102" s="5066">
        <v>8</v>
      </c>
      <c r="F102" s="5066">
        <v>8</v>
      </c>
      <c r="G102" s="4890"/>
      <c r="H102" s="5087"/>
      <c r="I102" s="4890">
        <f>SUM(B102:H102)</f>
        <v>40</v>
      </c>
      <c r="J102" s="5024" t="s">
        <v>774</v>
      </c>
      <c r="N102" s="113"/>
      <c r="O102" s="113"/>
      <c r="P102" s="113"/>
      <c r="Q102" s="113"/>
      <c r="R102" s="113"/>
    </row>
    <row r="103" spans="1:19">
      <c r="A103" s="5027" t="s">
        <v>0</v>
      </c>
      <c r="B103" s="5075" t="s">
        <v>748</v>
      </c>
      <c r="C103" s="5075" t="s">
        <v>748</v>
      </c>
      <c r="D103" s="5075" t="s">
        <v>748</v>
      </c>
      <c r="E103" s="5075" t="s">
        <v>748</v>
      </c>
      <c r="F103" s="5075" t="s">
        <v>748</v>
      </c>
      <c r="G103" s="5076"/>
      <c r="H103" s="5045"/>
      <c r="I103" s="5012"/>
      <c r="J103" s="5031" t="s">
        <v>0</v>
      </c>
      <c r="N103" s="113"/>
      <c r="O103" s="113"/>
      <c r="P103" s="113"/>
      <c r="Q103" s="113"/>
      <c r="R103" s="113"/>
    </row>
    <row r="104" spans="1:19" ht="15.75" thickBot="1">
      <c r="A104" s="196" t="s">
        <v>793</v>
      </c>
      <c r="B104" s="5101">
        <v>8</v>
      </c>
      <c r="C104" s="5101">
        <v>8</v>
      </c>
      <c r="D104" s="5101">
        <v>8</v>
      </c>
      <c r="E104" s="5101">
        <v>8</v>
      </c>
      <c r="F104" s="5101">
        <v>8</v>
      </c>
      <c r="G104" s="5071"/>
      <c r="H104" s="216"/>
      <c r="I104" s="4958">
        <f>SUM(B104:H104)</f>
        <v>40</v>
      </c>
      <c r="J104" s="218" t="s">
        <v>794</v>
      </c>
      <c r="N104" s="113"/>
      <c r="O104" s="113"/>
      <c r="P104" s="113"/>
      <c r="Q104" s="113"/>
      <c r="R104" s="113"/>
    </row>
    <row r="105" spans="1:19">
      <c r="A105" s="5027"/>
      <c r="B105" s="5092" t="s">
        <v>802</v>
      </c>
      <c r="C105" s="5093" t="s">
        <v>802</v>
      </c>
      <c r="D105" s="5093" t="s">
        <v>802</v>
      </c>
      <c r="E105" s="5093" t="s">
        <v>802</v>
      </c>
      <c r="F105" s="5093" t="s">
        <v>802</v>
      </c>
      <c r="G105" s="4896"/>
      <c r="H105" s="5082"/>
      <c r="I105" s="5094"/>
      <c r="J105" s="5031"/>
      <c r="N105" s="113"/>
      <c r="O105" s="113"/>
      <c r="P105" s="113"/>
      <c r="Q105" s="113"/>
      <c r="R105" s="113"/>
    </row>
    <row r="106" spans="1:19" ht="15.75" thickBot="1">
      <c r="A106" s="4942" t="s">
        <v>629</v>
      </c>
      <c r="B106" s="5095">
        <v>8</v>
      </c>
      <c r="C106" s="5095">
        <v>8</v>
      </c>
      <c r="D106" s="5095">
        <v>8</v>
      </c>
      <c r="E106" s="5095">
        <v>8</v>
      </c>
      <c r="F106" s="5095">
        <v>8</v>
      </c>
      <c r="G106" s="4890"/>
      <c r="H106" s="4890"/>
      <c r="I106" s="5088">
        <f>SUM(B106:H106)</f>
        <v>40</v>
      </c>
      <c r="J106" s="5024" t="s">
        <v>803</v>
      </c>
      <c r="N106" s="113"/>
      <c r="O106" s="113"/>
      <c r="P106" s="113"/>
      <c r="Q106" s="113"/>
      <c r="R106" s="113"/>
    </row>
    <row r="107" spans="1:19" ht="15.75" thickBot="1">
      <c r="A107" s="220" t="s">
        <v>588</v>
      </c>
      <c r="B107" s="221">
        <f t="shared" ref="B107:I107" si="3">SUM(B78,B80,B82,B84,B86,B88,B90,B92,B94,B96,B98,B100,B102,B104,B106)</f>
        <v>75.75</v>
      </c>
      <c r="C107" s="221">
        <f t="shared" si="3"/>
        <v>75.75</v>
      </c>
      <c r="D107" s="221">
        <f t="shared" si="3"/>
        <v>75.75</v>
      </c>
      <c r="E107" s="221">
        <f t="shared" si="3"/>
        <v>75.75</v>
      </c>
      <c r="F107" s="221">
        <f t="shared" si="3"/>
        <v>75.25</v>
      </c>
      <c r="G107" s="221">
        <f t="shared" si="3"/>
        <v>68.5</v>
      </c>
      <c r="H107" s="221">
        <f t="shared" si="3"/>
        <v>71.5</v>
      </c>
      <c r="I107" s="221">
        <f t="shared" si="3"/>
        <v>518.25</v>
      </c>
      <c r="J107" s="222"/>
      <c r="N107" s="113"/>
      <c r="O107" s="113"/>
      <c r="P107" s="113"/>
      <c r="Q107" s="113"/>
      <c r="R107" s="113"/>
    </row>
    <row r="108" spans="1:19" ht="15.75" thickTop="1">
      <c r="A108" s="113"/>
      <c r="B108" s="113"/>
      <c r="C108" s="113"/>
      <c r="D108" s="113"/>
      <c r="E108" s="113"/>
      <c r="F108" s="113"/>
      <c r="G108" s="4984" t="s">
        <v>701</v>
      </c>
      <c r="H108" s="4984" t="s">
        <v>702</v>
      </c>
      <c r="I108" s="4984" t="s">
        <v>703</v>
      </c>
      <c r="N108" s="113"/>
      <c r="O108" s="113"/>
      <c r="P108" s="113"/>
      <c r="Q108" s="113"/>
      <c r="R108" s="113"/>
    </row>
    <row r="109" spans="1:19">
      <c r="A109" s="42"/>
      <c r="B109" s="42"/>
      <c r="C109" s="42"/>
      <c r="D109" s="42"/>
      <c r="E109" s="42"/>
      <c r="F109" s="113"/>
      <c r="G109" s="3698">
        <f>I107</f>
        <v>518.25</v>
      </c>
      <c r="H109" s="4985">
        <f>SUM(G109*13/3)</f>
        <v>2245.75</v>
      </c>
      <c r="I109" s="3698">
        <f>SUM(H109*12)</f>
        <v>26949</v>
      </c>
      <c r="N109" s="113"/>
      <c r="O109" s="113"/>
      <c r="P109" s="113"/>
      <c r="Q109" s="113"/>
      <c r="R109" s="113"/>
    </row>
    <row r="110" spans="1:19">
      <c r="A110" s="224"/>
      <c r="B110" s="224"/>
      <c r="C110" s="224"/>
      <c r="D110" s="224"/>
      <c r="E110" s="224"/>
      <c r="F110" s="113"/>
      <c r="G110" s="113"/>
      <c r="H110" s="210"/>
      <c r="I110" s="113"/>
      <c r="N110" s="113"/>
      <c r="O110" s="113"/>
      <c r="P110" s="113"/>
      <c r="Q110" s="113"/>
      <c r="R110" s="113"/>
    </row>
    <row r="111" spans="1:19" ht="15.75" thickBot="1">
      <c r="A111" s="1" t="s">
        <v>807</v>
      </c>
      <c r="B111" s="113"/>
      <c r="C111" s="113"/>
      <c r="D111" s="113"/>
      <c r="E111" s="113"/>
      <c r="F111" s="113"/>
      <c r="L111" s="113"/>
      <c r="M111" s="42"/>
      <c r="N111" s="42"/>
      <c r="O111" s="42"/>
      <c r="P111" s="42"/>
      <c r="Q111" s="42"/>
      <c r="R111" s="42"/>
      <c r="S111" s="225"/>
    </row>
    <row r="112" spans="1:19" ht="15.75" thickBot="1">
      <c r="A112" s="4917" t="s">
        <v>808</v>
      </c>
      <c r="B112" s="4918" t="s">
        <v>87</v>
      </c>
      <c r="C112" s="4919" t="s">
        <v>88</v>
      </c>
      <c r="D112" s="4919" t="s">
        <v>89</v>
      </c>
      <c r="E112" s="4919" t="s">
        <v>90</v>
      </c>
      <c r="F112" s="4919" t="s">
        <v>91</v>
      </c>
      <c r="G112" s="4919" t="s">
        <v>92</v>
      </c>
      <c r="H112" s="4920" t="s">
        <v>93</v>
      </c>
      <c r="I112" s="4921" t="s">
        <v>158</v>
      </c>
      <c r="J112" s="4922" t="s">
        <v>94</v>
      </c>
      <c r="L112" s="42"/>
      <c r="M112" s="113"/>
      <c r="N112" s="113"/>
      <c r="O112" s="113"/>
      <c r="P112" s="113"/>
      <c r="Q112" s="113"/>
      <c r="R112" s="113"/>
      <c r="S112" s="226"/>
    </row>
    <row r="113" spans="1:20">
      <c r="A113" s="4910" t="s">
        <v>0</v>
      </c>
      <c r="B113" s="171" t="s">
        <v>809</v>
      </c>
      <c r="C113" s="171" t="s">
        <v>809</v>
      </c>
      <c r="D113" s="171" t="s">
        <v>809</v>
      </c>
      <c r="E113" s="171" t="s">
        <v>809</v>
      </c>
      <c r="F113" s="171" t="s">
        <v>810</v>
      </c>
      <c r="G113" s="4888"/>
      <c r="H113" s="3841"/>
      <c r="I113" s="3839"/>
      <c r="J113" s="4904" t="s">
        <v>811</v>
      </c>
      <c r="L113" s="113"/>
      <c r="M113" s="195"/>
      <c r="N113" s="195"/>
      <c r="O113" s="195"/>
      <c r="P113" s="195"/>
      <c r="Q113" s="195"/>
      <c r="R113" s="225"/>
      <c r="S113" s="225"/>
    </row>
    <row r="114" spans="1:20" ht="15.75" thickBot="1">
      <c r="A114" s="4309" t="s">
        <v>670</v>
      </c>
      <c r="B114" s="4890">
        <v>7.75</v>
      </c>
      <c r="C114" s="4890">
        <v>7.75</v>
      </c>
      <c r="D114" s="4890">
        <v>7.75</v>
      </c>
      <c r="E114" s="4890">
        <v>7.75</v>
      </c>
      <c r="F114" s="4890">
        <v>6</v>
      </c>
      <c r="G114" s="4892"/>
      <c r="H114" s="4893"/>
      <c r="I114" s="4908">
        <f>SUM(B114:H114)</f>
        <v>37</v>
      </c>
      <c r="J114" s="4909" t="s">
        <v>812</v>
      </c>
      <c r="L114" s="42"/>
      <c r="M114" s="100"/>
      <c r="N114" s="100"/>
      <c r="O114" s="100"/>
      <c r="P114" s="100"/>
      <c r="Q114" s="100"/>
      <c r="R114" s="226"/>
      <c r="S114" s="226"/>
    </row>
    <row r="115" spans="1:20" ht="15.75" thickBot="1">
      <c r="A115" s="4917" t="s">
        <v>697</v>
      </c>
      <c r="B115" s="4918" t="s">
        <v>87</v>
      </c>
      <c r="C115" s="4919" t="s">
        <v>88</v>
      </c>
      <c r="D115" s="4919" t="s">
        <v>89</v>
      </c>
      <c r="E115" s="4919" t="s">
        <v>90</v>
      </c>
      <c r="F115" s="4919" t="s">
        <v>91</v>
      </c>
      <c r="G115" s="4919" t="s">
        <v>92</v>
      </c>
      <c r="H115" s="4920" t="s">
        <v>93</v>
      </c>
      <c r="I115" s="4921" t="s">
        <v>158</v>
      </c>
      <c r="J115" s="4922" t="s">
        <v>94</v>
      </c>
      <c r="L115" s="42"/>
      <c r="M115" s="100"/>
      <c r="N115" s="100"/>
      <c r="O115" s="100"/>
      <c r="P115" s="100"/>
      <c r="Q115" s="100"/>
      <c r="R115" s="226"/>
      <c r="S115" s="226"/>
    </row>
    <row r="116" spans="1:20">
      <c r="A116" s="4910" t="s">
        <v>0</v>
      </c>
      <c r="B116" s="171" t="s">
        <v>813</v>
      </c>
      <c r="C116" s="171" t="s">
        <v>813</v>
      </c>
      <c r="D116" s="171" t="s">
        <v>813</v>
      </c>
      <c r="E116" s="171" t="s">
        <v>813</v>
      </c>
      <c r="F116" s="171" t="s">
        <v>814</v>
      </c>
      <c r="G116" s="4888"/>
      <c r="H116" s="3841"/>
      <c r="I116" s="3839"/>
      <c r="J116" s="4904" t="s">
        <v>811</v>
      </c>
      <c r="L116" s="42"/>
      <c r="M116" s="100"/>
      <c r="N116" s="100"/>
      <c r="O116" s="100"/>
      <c r="P116" s="100"/>
      <c r="Q116" s="100"/>
      <c r="R116" s="226"/>
      <c r="S116" s="226"/>
    </row>
    <row r="117" spans="1:20" ht="15.75" thickBot="1">
      <c r="A117" s="4309" t="s">
        <v>815</v>
      </c>
      <c r="B117" s="4890">
        <v>7.75</v>
      </c>
      <c r="C117" s="4890">
        <v>7.75</v>
      </c>
      <c r="D117" s="4890">
        <v>7.75</v>
      </c>
      <c r="E117" s="4890">
        <v>7.75</v>
      </c>
      <c r="F117" s="4890">
        <v>6</v>
      </c>
      <c r="G117" s="4892"/>
      <c r="H117" s="4893"/>
      <c r="I117" s="4908">
        <f>SUM(B117:H117)</f>
        <v>37</v>
      </c>
      <c r="J117" s="4909" t="s">
        <v>812</v>
      </c>
      <c r="L117" s="42"/>
      <c r="M117" s="100"/>
      <c r="N117" s="100"/>
      <c r="O117" s="100"/>
      <c r="P117" s="100"/>
      <c r="Q117" s="100"/>
      <c r="R117" s="226"/>
      <c r="S117" s="226"/>
    </row>
    <row r="118" spans="1:20">
      <c r="A118" s="42"/>
      <c r="B118" s="113"/>
      <c r="C118" s="113"/>
      <c r="D118" s="113"/>
      <c r="E118" s="113"/>
      <c r="F118" s="100"/>
      <c r="G118" s="4984" t="s">
        <v>701</v>
      </c>
      <c r="H118" s="4984" t="s">
        <v>702</v>
      </c>
      <c r="I118" s="4984" t="s">
        <v>703</v>
      </c>
      <c r="J118" s="18"/>
      <c r="L118" s="113"/>
      <c r="M118" s="195"/>
      <c r="N118" s="195"/>
      <c r="O118" s="195"/>
      <c r="P118" s="195"/>
      <c r="Q118" s="195"/>
      <c r="R118" s="225"/>
      <c r="S118" s="225"/>
    </row>
    <row r="119" spans="1:20">
      <c r="A119" s="42"/>
      <c r="B119" s="113"/>
      <c r="C119" s="113"/>
      <c r="D119" s="113"/>
      <c r="E119" s="113"/>
      <c r="F119" s="100"/>
      <c r="G119" s="3698">
        <f>SUM(I114,I117)</f>
        <v>74</v>
      </c>
      <c r="H119" s="4985">
        <f>SUM(G119*13/3)</f>
        <v>320.66666666666669</v>
      </c>
      <c r="I119" s="3698">
        <f>SUM(H119*12)</f>
        <v>3848</v>
      </c>
      <c r="J119" s="18"/>
      <c r="M119" s="100"/>
      <c r="N119" s="100"/>
      <c r="O119" s="100"/>
      <c r="P119" s="100"/>
      <c r="Q119" s="100"/>
      <c r="R119" s="226"/>
      <c r="S119" s="226"/>
    </row>
    <row r="120" spans="1:20" ht="15.75" thickBot="1">
      <c r="A120" s="1" t="s">
        <v>816</v>
      </c>
      <c r="B120" s="113"/>
      <c r="C120" s="113"/>
      <c r="D120" s="113"/>
      <c r="E120" s="113"/>
      <c r="F120" s="113"/>
    </row>
    <row r="121" spans="1:20" ht="15.75" thickBot="1">
      <c r="A121" s="4917" t="s">
        <v>817</v>
      </c>
      <c r="B121" s="4918" t="s">
        <v>87</v>
      </c>
      <c r="C121" s="4919" t="s">
        <v>88</v>
      </c>
      <c r="D121" s="4919" t="s">
        <v>89</v>
      </c>
      <c r="E121" s="4919" t="s">
        <v>90</v>
      </c>
      <c r="F121" s="4919" t="s">
        <v>91</v>
      </c>
      <c r="G121" s="4919" t="s">
        <v>92</v>
      </c>
      <c r="H121" s="4920" t="s">
        <v>93</v>
      </c>
      <c r="I121" s="4921" t="s">
        <v>158</v>
      </c>
      <c r="J121" s="4922" t="s">
        <v>94</v>
      </c>
    </row>
    <row r="122" spans="1:20">
      <c r="A122" s="4910" t="s">
        <v>0</v>
      </c>
      <c r="B122" s="171" t="s">
        <v>818</v>
      </c>
      <c r="C122" s="171" t="s">
        <v>818</v>
      </c>
      <c r="D122" s="171" t="s">
        <v>818</v>
      </c>
      <c r="E122" s="171" t="s">
        <v>818</v>
      </c>
      <c r="F122" s="171" t="s">
        <v>819</v>
      </c>
      <c r="G122" s="4888"/>
      <c r="H122" s="3841"/>
      <c r="I122" s="3839"/>
      <c r="J122" s="4904"/>
    </row>
    <row r="123" spans="1:20" ht="15.75" thickBot="1">
      <c r="A123" s="4309" t="s">
        <v>672</v>
      </c>
      <c r="B123" s="4890">
        <v>8</v>
      </c>
      <c r="C123" s="4890">
        <v>8</v>
      </c>
      <c r="D123" s="4890">
        <v>8</v>
      </c>
      <c r="E123" s="4890">
        <v>8</v>
      </c>
      <c r="F123" s="4890">
        <v>5</v>
      </c>
      <c r="G123" s="4892"/>
      <c r="H123" s="4893"/>
      <c r="I123" s="4908">
        <f>SUM(B123:H123)</f>
        <v>37</v>
      </c>
      <c r="J123" s="4909"/>
      <c r="L123" s="42"/>
      <c r="M123" s="42"/>
      <c r="N123" s="42"/>
      <c r="O123" s="42"/>
      <c r="P123" s="42"/>
    </row>
    <row r="124" spans="1:20">
      <c r="A124" s="42"/>
      <c r="B124" s="113"/>
      <c r="C124" s="113"/>
      <c r="D124" s="113"/>
      <c r="E124" s="113"/>
      <c r="F124" s="100"/>
      <c r="G124" s="4984" t="s">
        <v>701</v>
      </c>
      <c r="H124" s="4984" t="s">
        <v>702</v>
      </c>
      <c r="I124" s="4984" t="s">
        <v>703</v>
      </c>
      <c r="J124" s="18"/>
      <c r="L124" s="113"/>
      <c r="M124" s="113"/>
      <c r="N124" s="113"/>
      <c r="O124" s="113"/>
      <c r="P124" s="113"/>
    </row>
    <row r="125" spans="1:20">
      <c r="A125" s="42"/>
      <c r="B125" s="113"/>
      <c r="C125" s="113"/>
      <c r="D125" s="113"/>
      <c r="E125" s="113"/>
      <c r="F125" s="100"/>
      <c r="G125" s="3698">
        <f>I123</f>
        <v>37</v>
      </c>
      <c r="H125" s="4985">
        <f>SUM(G125*13/3)</f>
        <v>160.33333333333334</v>
      </c>
      <c r="I125" s="3698">
        <f>SUM(H125*12)</f>
        <v>1924</v>
      </c>
      <c r="J125" s="18"/>
      <c r="L125" s="42"/>
      <c r="M125" s="42"/>
      <c r="N125" s="42"/>
      <c r="O125" s="42"/>
      <c r="P125" s="42"/>
    </row>
    <row r="126" spans="1:20" ht="15.75" thickBot="1">
      <c r="A126" s="1" t="s">
        <v>820</v>
      </c>
      <c r="B126" s="113"/>
      <c r="C126" s="113"/>
      <c r="D126" s="113"/>
      <c r="E126" s="113"/>
      <c r="F126" s="113"/>
    </row>
    <row r="127" spans="1:20" ht="15.75" thickBot="1">
      <c r="A127" s="3833" t="s">
        <v>676</v>
      </c>
      <c r="B127" s="4896" t="s">
        <v>87</v>
      </c>
      <c r="C127" s="4897" t="s">
        <v>88</v>
      </c>
      <c r="D127" s="4897" t="s">
        <v>89</v>
      </c>
      <c r="E127" s="4897" t="s">
        <v>90</v>
      </c>
      <c r="F127" s="4897" t="s">
        <v>91</v>
      </c>
      <c r="G127" s="4897" t="s">
        <v>92</v>
      </c>
      <c r="H127" s="4898" t="s">
        <v>93</v>
      </c>
      <c r="I127" s="4899" t="s">
        <v>158</v>
      </c>
      <c r="J127" s="4900" t="s">
        <v>94</v>
      </c>
      <c r="M127" s="4988"/>
      <c r="N127" s="4989" t="s">
        <v>707</v>
      </c>
      <c r="O127">
        <v>37</v>
      </c>
      <c r="P127" t="s">
        <v>821</v>
      </c>
      <c r="Q127">
        <v>2</v>
      </c>
      <c r="R127" t="s">
        <v>822</v>
      </c>
      <c r="S127">
        <f>O127*Q127</f>
        <v>74</v>
      </c>
      <c r="T127" t="s">
        <v>823</v>
      </c>
    </row>
    <row r="128" spans="1:20">
      <c r="A128" s="4901" t="s">
        <v>642</v>
      </c>
      <c r="B128" s="4902" t="s">
        <v>824</v>
      </c>
      <c r="C128" s="4902" t="s">
        <v>824</v>
      </c>
      <c r="D128" s="4902" t="s">
        <v>824</v>
      </c>
      <c r="E128" s="4902" t="s">
        <v>824</v>
      </c>
      <c r="F128" s="5102" t="s">
        <v>825</v>
      </c>
      <c r="G128" s="4888"/>
      <c r="H128" s="4888"/>
      <c r="I128" s="4902"/>
      <c r="J128" s="4904" t="s">
        <v>826</v>
      </c>
      <c r="M128" s="4994"/>
      <c r="N128" s="4995" t="s">
        <v>709</v>
      </c>
      <c r="O128" t="s">
        <v>0</v>
      </c>
    </row>
    <row r="129" spans="1:22" ht="15.75" thickBot="1">
      <c r="A129" s="5103"/>
      <c r="B129" s="4963">
        <v>0</v>
      </c>
      <c r="C129" s="4963">
        <v>0</v>
      </c>
      <c r="D129" s="4963">
        <v>0</v>
      </c>
      <c r="E129" s="4963">
        <v>0</v>
      </c>
      <c r="F129" s="5104">
        <v>0</v>
      </c>
      <c r="G129" s="3661"/>
      <c r="H129" s="3661"/>
      <c r="I129" s="4963">
        <f>SUM(B129:H129)</f>
        <v>0</v>
      </c>
      <c r="J129" s="5105"/>
      <c r="M129" s="4994" t="s">
        <v>159</v>
      </c>
      <c r="N129" s="4995">
        <v>0</v>
      </c>
      <c r="O129" t="s">
        <v>827</v>
      </c>
      <c r="Q129">
        <f>I131</f>
        <v>0</v>
      </c>
    </row>
    <row r="130" spans="1:22">
      <c r="A130" s="4901" t="s">
        <v>645</v>
      </c>
      <c r="B130" s="4902" t="s">
        <v>828</v>
      </c>
      <c r="C130" s="4902" t="s">
        <v>828</v>
      </c>
      <c r="D130" s="4902" t="s">
        <v>828</v>
      </c>
      <c r="E130" s="4902" t="s">
        <v>828</v>
      </c>
      <c r="F130" s="4902" t="s">
        <v>829</v>
      </c>
      <c r="G130" s="5106"/>
      <c r="H130" s="5106"/>
      <c r="I130" s="4902"/>
      <c r="J130" s="4904" t="s">
        <v>830</v>
      </c>
      <c r="M130" s="4994" t="s">
        <v>163</v>
      </c>
      <c r="N130" s="4995">
        <f>I131</f>
        <v>0</v>
      </c>
    </row>
    <row r="131" spans="1:22" ht="15.75" thickBot="1">
      <c r="A131" s="3514"/>
      <c r="B131" s="4906">
        <v>0</v>
      </c>
      <c r="C131" s="4906">
        <v>0</v>
      </c>
      <c r="D131" s="4906">
        <v>0</v>
      </c>
      <c r="E131" s="4906">
        <v>0</v>
      </c>
      <c r="F131" s="4906">
        <v>0</v>
      </c>
      <c r="G131" s="4967"/>
      <c r="H131" s="4967"/>
      <c r="I131" s="4906">
        <f>SUM(B131:H131)</f>
        <v>0</v>
      </c>
      <c r="J131" s="4969"/>
      <c r="M131" s="4994" t="s">
        <v>171</v>
      </c>
      <c r="N131" s="4995">
        <v>0</v>
      </c>
      <c r="O131">
        <f>Q129</f>
        <v>0</v>
      </c>
      <c r="P131" t="s">
        <v>831</v>
      </c>
      <c r="Q131" s="199">
        <f>SUM(O131/37)</f>
        <v>0</v>
      </c>
    </row>
    <row r="132" spans="1:22" ht="15.75" thickBot="1">
      <c r="A132" s="220" t="s">
        <v>588</v>
      </c>
      <c r="B132" s="220">
        <f t="shared" ref="B132:I132" si="4">SUM(B129,B131)</f>
        <v>0</v>
      </c>
      <c r="C132" s="220">
        <f t="shared" si="4"/>
        <v>0</v>
      </c>
      <c r="D132" s="220">
        <f t="shared" si="4"/>
        <v>0</v>
      </c>
      <c r="E132" s="220">
        <f t="shared" si="4"/>
        <v>0</v>
      </c>
      <c r="F132" s="220">
        <f t="shared" si="4"/>
        <v>0</v>
      </c>
      <c r="G132" s="220">
        <f t="shared" si="4"/>
        <v>0</v>
      </c>
      <c r="H132" s="220">
        <f t="shared" si="4"/>
        <v>0</v>
      </c>
      <c r="I132" s="220">
        <f t="shared" si="4"/>
        <v>0</v>
      </c>
      <c r="J132" s="222"/>
      <c r="O132" t="s">
        <v>832</v>
      </c>
      <c r="Q132" s="199"/>
    </row>
    <row r="133" spans="1:22" ht="15.75" thickTop="1">
      <c r="A133" s="113"/>
      <c r="B133" s="113"/>
      <c r="C133" s="113"/>
      <c r="D133" s="113"/>
      <c r="E133" s="113"/>
      <c r="F133" s="113"/>
      <c r="G133" s="4984" t="s">
        <v>701</v>
      </c>
      <c r="H133" s="4984" t="s">
        <v>702</v>
      </c>
      <c r="I133" s="4984" t="s">
        <v>703</v>
      </c>
      <c r="Q133" s="199"/>
      <c r="V133" s="227"/>
    </row>
    <row r="134" spans="1:22">
      <c r="A134" s="113"/>
      <c r="B134" s="113"/>
      <c r="C134" s="113"/>
      <c r="D134" s="113"/>
      <c r="E134" s="113"/>
      <c r="F134" s="113"/>
      <c r="G134" s="3698">
        <f>I132</f>
        <v>0</v>
      </c>
      <c r="H134" s="4985">
        <f>SUM(G134*13/3)</f>
        <v>0</v>
      </c>
      <c r="I134" s="3698">
        <f>SUM(H134*12)</f>
        <v>0</v>
      </c>
      <c r="O134" t="s">
        <v>833</v>
      </c>
      <c r="Q134" s="199"/>
    </row>
    <row r="135" spans="1:22">
      <c r="A135" s="113"/>
      <c r="B135" s="113"/>
      <c r="C135" s="113"/>
      <c r="D135" s="113"/>
      <c r="E135" s="113"/>
      <c r="F135" s="113"/>
      <c r="G135" s="113"/>
      <c r="H135" s="210"/>
      <c r="I135" s="113"/>
      <c r="O135" t="s">
        <v>834</v>
      </c>
      <c r="Q135" s="17"/>
      <c r="S135" s="199"/>
      <c r="U135" s="228"/>
    </row>
    <row r="136" spans="1:22" ht="15.75" thickBot="1">
      <c r="A136" s="1" t="s">
        <v>657</v>
      </c>
      <c r="B136" s="113"/>
      <c r="C136" s="113"/>
      <c r="D136" s="113"/>
      <c r="E136" s="113"/>
      <c r="F136" s="113"/>
    </row>
    <row r="137" spans="1:22" ht="15.75" thickBot="1">
      <c r="A137" s="4917" t="s">
        <v>658</v>
      </c>
      <c r="B137" s="4918" t="s">
        <v>87</v>
      </c>
      <c r="C137" s="4919" t="s">
        <v>88</v>
      </c>
      <c r="D137" s="4919" t="s">
        <v>89</v>
      </c>
      <c r="E137" s="4919" t="s">
        <v>90</v>
      </c>
      <c r="F137" s="4919" t="s">
        <v>91</v>
      </c>
      <c r="G137" s="4919" t="s">
        <v>92</v>
      </c>
      <c r="H137" s="4920" t="s">
        <v>93</v>
      </c>
      <c r="I137" s="4921" t="s">
        <v>158</v>
      </c>
      <c r="J137" s="4922" t="s">
        <v>94</v>
      </c>
      <c r="M137" s="4988"/>
      <c r="N137" s="4989" t="s">
        <v>707</v>
      </c>
      <c r="O137" t="s">
        <v>835</v>
      </c>
    </row>
    <row r="138" spans="1:22">
      <c r="A138" s="4910" t="s">
        <v>659</v>
      </c>
      <c r="B138" s="3839" t="s">
        <v>312</v>
      </c>
      <c r="C138" s="3839" t="s">
        <v>312</v>
      </c>
      <c r="D138" s="3839" t="s">
        <v>312</v>
      </c>
      <c r="E138" s="3839" t="s">
        <v>312</v>
      </c>
      <c r="F138" s="3839" t="s">
        <v>313</v>
      </c>
      <c r="G138" s="4888"/>
      <c r="H138" s="3841"/>
      <c r="I138" s="3839"/>
      <c r="J138" s="4904"/>
      <c r="M138" s="4994"/>
      <c r="N138" s="4995" t="s">
        <v>709</v>
      </c>
      <c r="O138" t="s">
        <v>0</v>
      </c>
    </row>
    <row r="139" spans="1:22" ht="15.75" thickBot="1">
      <c r="A139" s="4957"/>
      <c r="B139" s="4890">
        <v>7.5</v>
      </c>
      <c r="C139" s="4890">
        <v>7.5</v>
      </c>
      <c r="D139" s="4890">
        <v>7.5</v>
      </c>
      <c r="E139" s="4890">
        <v>7.5</v>
      </c>
      <c r="F139" s="4891">
        <v>7</v>
      </c>
      <c r="G139" s="4892"/>
      <c r="H139" s="4893"/>
      <c r="I139" s="4908">
        <f>SUM(B139:H139)</f>
        <v>37</v>
      </c>
      <c r="J139" s="4909"/>
      <c r="M139" s="4994" t="s">
        <v>159</v>
      </c>
      <c r="N139" s="4995">
        <v>0</v>
      </c>
      <c r="O139" t="s">
        <v>836</v>
      </c>
    </row>
    <row r="140" spans="1:22">
      <c r="A140" s="3863" t="s">
        <v>660</v>
      </c>
      <c r="B140" s="4902" t="s">
        <v>837</v>
      </c>
      <c r="C140" s="4902" t="s">
        <v>837</v>
      </c>
      <c r="D140" s="4902" t="s">
        <v>837</v>
      </c>
      <c r="E140" s="4902" t="s">
        <v>837</v>
      </c>
      <c r="F140" s="4902" t="s">
        <v>838</v>
      </c>
      <c r="G140" s="173"/>
      <c r="H140" s="174"/>
      <c r="I140" s="193"/>
      <c r="J140" s="178"/>
      <c r="M140" s="4994" t="s">
        <v>163</v>
      </c>
      <c r="N140" s="4995">
        <v>34</v>
      </c>
    </row>
    <row r="141" spans="1:22" ht="15.75" thickBot="1">
      <c r="A141" s="194"/>
      <c r="B141" s="3698">
        <v>7</v>
      </c>
      <c r="C141" s="3698">
        <v>7</v>
      </c>
      <c r="D141" s="3698">
        <v>7</v>
      </c>
      <c r="E141" s="3698">
        <v>7</v>
      </c>
      <c r="F141" s="4959">
        <v>6</v>
      </c>
      <c r="G141" s="4960"/>
      <c r="H141" s="195"/>
      <c r="I141" s="4908">
        <f>SUM(B141:H141)</f>
        <v>34</v>
      </c>
      <c r="J141" s="4935"/>
      <c r="M141" s="4994" t="s">
        <v>171</v>
      </c>
      <c r="N141" s="4995">
        <v>0</v>
      </c>
      <c r="O141" t="s">
        <v>839</v>
      </c>
    </row>
    <row r="142" spans="1:22" ht="15.75" thickBot="1">
      <c r="A142" s="4901" t="s">
        <v>662</v>
      </c>
      <c r="B142" s="3839" t="s">
        <v>663</v>
      </c>
      <c r="C142" s="3839" t="s">
        <v>663</v>
      </c>
      <c r="D142" s="3839" t="s">
        <v>663</v>
      </c>
      <c r="E142" s="3839" t="s">
        <v>663</v>
      </c>
      <c r="F142" s="3839" t="s">
        <v>664</v>
      </c>
      <c r="G142" s="3839"/>
      <c r="H142" s="3839"/>
      <c r="I142" s="3839"/>
      <c r="J142" s="4904"/>
      <c r="M142" s="5004" t="s">
        <v>717</v>
      </c>
      <c r="N142" s="5005">
        <f>SUM(N139:N141)</f>
        <v>34</v>
      </c>
    </row>
    <row r="143" spans="1:22" ht="15.75" thickBot="1">
      <c r="A143" s="4309"/>
      <c r="B143" s="4890" t="s">
        <v>840</v>
      </c>
      <c r="C143" s="4890" t="s">
        <v>840</v>
      </c>
      <c r="D143" s="4890" t="s">
        <v>840</v>
      </c>
      <c r="E143" s="4890" t="s">
        <v>840</v>
      </c>
      <c r="F143" s="4890" t="s">
        <v>840</v>
      </c>
      <c r="G143" s="4891"/>
      <c r="H143" s="4907"/>
      <c r="I143" s="4908">
        <f>SUM(B143:H143)</f>
        <v>0</v>
      </c>
      <c r="J143" s="4909"/>
      <c r="O143" t="s">
        <v>841</v>
      </c>
    </row>
    <row r="144" spans="1:22" ht="15.75" thickBot="1">
      <c r="A144" s="4915" t="s">
        <v>588</v>
      </c>
      <c r="B144" s="4915">
        <f t="shared" ref="B144:I144" si="5">SUM(B139,B141,B143)</f>
        <v>14.5</v>
      </c>
      <c r="C144" s="4915">
        <f t="shared" si="5"/>
        <v>14.5</v>
      </c>
      <c r="D144" s="4915">
        <f t="shared" si="5"/>
        <v>14.5</v>
      </c>
      <c r="E144" s="4915">
        <f t="shared" si="5"/>
        <v>14.5</v>
      </c>
      <c r="F144" s="4915">
        <f t="shared" si="5"/>
        <v>13</v>
      </c>
      <c r="G144" s="4915">
        <f t="shared" si="5"/>
        <v>0</v>
      </c>
      <c r="H144" s="4915">
        <f t="shared" si="5"/>
        <v>0</v>
      </c>
      <c r="I144" s="4925">
        <f t="shared" si="5"/>
        <v>71</v>
      </c>
      <c r="J144" s="4926"/>
    </row>
    <row r="145" spans="1:20" ht="15.75" thickTop="1">
      <c r="A145" s="113"/>
      <c r="B145" s="113"/>
      <c r="C145" s="113"/>
      <c r="D145" s="113"/>
      <c r="E145" s="113"/>
      <c r="F145" s="100"/>
      <c r="G145" s="4984" t="s">
        <v>701</v>
      </c>
      <c r="H145" s="4984" t="s">
        <v>702</v>
      </c>
      <c r="I145" s="4984" t="s">
        <v>703</v>
      </c>
      <c r="J145" s="18"/>
      <c r="O145" t="s">
        <v>842</v>
      </c>
      <c r="P145" s="113"/>
      <c r="T145" t="s">
        <v>732</v>
      </c>
    </row>
    <row r="146" spans="1:20">
      <c r="A146" s="113"/>
      <c r="B146" s="113"/>
      <c r="C146" s="113"/>
      <c r="D146" s="113"/>
      <c r="E146" s="113"/>
      <c r="F146" s="113"/>
      <c r="G146" s="3698">
        <f>I144</f>
        <v>71</v>
      </c>
      <c r="H146" s="4985">
        <f>SUM(G146*13/3)</f>
        <v>307.66666666666669</v>
      </c>
      <c r="I146" s="3698">
        <f>SUM(H146*12)</f>
        <v>3692</v>
      </c>
      <c r="J146" s="18"/>
    </row>
    <row r="147" spans="1:20">
      <c r="A147" s="113"/>
      <c r="B147" s="113"/>
      <c r="C147" s="113"/>
      <c r="D147" s="113"/>
      <c r="E147" s="113"/>
      <c r="F147" s="113"/>
      <c r="G147" s="113"/>
      <c r="H147" s="210"/>
      <c r="I147" s="113"/>
      <c r="J147" s="18"/>
      <c r="O147" t="s">
        <v>843</v>
      </c>
    </row>
    <row r="148" spans="1:20" ht="15.75" thickBot="1">
      <c r="A148" s="37" t="s">
        <v>844</v>
      </c>
      <c r="B148" s="113"/>
      <c r="C148" s="113"/>
      <c r="D148" s="113"/>
      <c r="E148" s="113"/>
      <c r="F148" s="100"/>
      <c r="G148" s="100"/>
      <c r="H148" s="100"/>
      <c r="I148" s="113"/>
      <c r="J148" s="18"/>
      <c r="N148" s="113"/>
    </row>
    <row r="149" spans="1:20" ht="15.75" thickBot="1">
      <c r="A149" s="4917" t="s">
        <v>679</v>
      </c>
      <c r="B149" s="4918" t="s">
        <v>87</v>
      </c>
      <c r="C149" s="4919" t="s">
        <v>88</v>
      </c>
      <c r="D149" s="4919" t="s">
        <v>89</v>
      </c>
      <c r="E149" s="4919" t="s">
        <v>90</v>
      </c>
      <c r="F149" s="4919" t="s">
        <v>91</v>
      </c>
      <c r="G149" s="4919" t="s">
        <v>92</v>
      </c>
      <c r="H149" s="4920" t="s">
        <v>93</v>
      </c>
      <c r="I149" s="4921" t="s">
        <v>158</v>
      </c>
      <c r="J149" s="4922" t="s">
        <v>94</v>
      </c>
      <c r="N149" s="113"/>
    </row>
    <row r="150" spans="1:20">
      <c r="A150" s="4901" t="s">
        <v>0</v>
      </c>
      <c r="B150" s="4902" t="s">
        <v>283</v>
      </c>
      <c r="C150" s="4902" t="s">
        <v>283</v>
      </c>
      <c r="D150" s="4902" t="s">
        <v>283</v>
      </c>
      <c r="E150" s="4902" t="s">
        <v>283</v>
      </c>
      <c r="F150" s="4903" t="s">
        <v>284</v>
      </c>
      <c r="G150" s="4887"/>
      <c r="H150" s="3840" t="s">
        <v>0</v>
      </c>
      <c r="I150" s="3834"/>
      <c r="J150" s="4904" t="s">
        <v>0</v>
      </c>
      <c r="N150" s="113"/>
    </row>
    <row r="151" spans="1:20" ht="15.75" thickBot="1">
      <c r="A151" s="5107">
        <v>1</v>
      </c>
      <c r="B151" s="4906">
        <v>7.75</v>
      </c>
      <c r="C151" s="4906">
        <v>7.75</v>
      </c>
      <c r="D151" s="4906">
        <v>7.75</v>
      </c>
      <c r="E151" s="4906">
        <v>7.75</v>
      </c>
      <c r="F151" s="4967">
        <v>6</v>
      </c>
      <c r="G151" s="4890"/>
      <c r="H151" s="5087" t="s">
        <v>0</v>
      </c>
      <c r="I151" s="4906">
        <f>SUM(B151:H151)</f>
        <v>37</v>
      </c>
      <c r="J151" s="4909"/>
      <c r="N151" s="113"/>
    </row>
    <row r="152" spans="1:20">
      <c r="A152" s="197" t="s">
        <v>0</v>
      </c>
      <c r="B152" s="4902" t="s">
        <v>283</v>
      </c>
      <c r="C152" s="4902" t="s">
        <v>283</v>
      </c>
      <c r="D152" s="4902" t="s">
        <v>283</v>
      </c>
      <c r="E152" s="4902" t="s">
        <v>283</v>
      </c>
      <c r="F152" s="4903" t="s">
        <v>284</v>
      </c>
      <c r="G152" s="3835"/>
      <c r="H152" s="172"/>
      <c r="I152" s="134"/>
      <c r="J152" s="178"/>
      <c r="N152" s="113"/>
    </row>
    <row r="153" spans="1:20" ht="15.75" thickBot="1">
      <c r="A153" s="5107">
        <v>2</v>
      </c>
      <c r="B153" s="4906">
        <v>7.75</v>
      </c>
      <c r="C153" s="4906">
        <v>7.75</v>
      </c>
      <c r="D153" s="4906">
        <v>7.75</v>
      </c>
      <c r="E153" s="4906">
        <v>7.75</v>
      </c>
      <c r="F153" s="4967">
        <v>6</v>
      </c>
      <c r="G153" s="4891"/>
      <c r="H153" s="4967"/>
      <c r="I153" s="4906">
        <f>SUM(B153:H153)</f>
        <v>37</v>
      </c>
      <c r="J153" s="4969"/>
      <c r="N153" s="113"/>
    </row>
    <row r="154" spans="1:20">
      <c r="A154" s="4901"/>
      <c r="B154" s="4902" t="s">
        <v>283</v>
      </c>
      <c r="C154" s="4902" t="s">
        <v>283</v>
      </c>
      <c r="D154" s="4902" t="s">
        <v>283</v>
      </c>
      <c r="E154" s="4902" t="s">
        <v>283</v>
      </c>
      <c r="F154" s="4903" t="s">
        <v>284</v>
      </c>
      <c r="G154" s="3839"/>
      <c r="H154" s="4903"/>
      <c r="I154" s="3834"/>
      <c r="J154" s="4904"/>
      <c r="N154" s="113"/>
    </row>
    <row r="155" spans="1:20" ht="15.75" thickBot="1">
      <c r="A155" s="5107">
        <v>3</v>
      </c>
      <c r="B155" s="4906">
        <v>7.75</v>
      </c>
      <c r="C155" s="4906">
        <v>7.75</v>
      </c>
      <c r="D155" s="4906">
        <v>7.75</v>
      </c>
      <c r="E155" s="4906">
        <v>7.75</v>
      </c>
      <c r="F155" s="4967">
        <v>6</v>
      </c>
      <c r="G155" s="4890"/>
      <c r="H155" s="4967"/>
      <c r="I155" s="4906">
        <f>SUM(B155:H155)</f>
        <v>37</v>
      </c>
      <c r="J155" s="4909"/>
    </row>
    <row r="156" spans="1:20">
      <c r="A156" s="229"/>
      <c r="B156" s="4902" t="s">
        <v>283</v>
      </c>
      <c r="C156" s="4902" t="s">
        <v>283</v>
      </c>
      <c r="D156" s="4902" t="s">
        <v>283</v>
      </c>
      <c r="E156" s="4902" t="s">
        <v>283</v>
      </c>
      <c r="F156" s="4903" t="s">
        <v>284</v>
      </c>
      <c r="G156" s="172"/>
      <c r="H156" s="172"/>
      <c r="I156" s="121"/>
      <c r="J156" s="178"/>
      <c r="P156" s="113"/>
    </row>
    <row r="157" spans="1:20" ht="15.75" thickBot="1">
      <c r="A157" s="5107">
        <v>4</v>
      </c>
      <c r="B157" s="4906">
        <v>7.75</v>
      </c>
      <c r="C157" s="4906">
        <v>7.75</v>
      </c>
      <c r="D157" s="4906">
        <v>7.75</v>
      </c>
      <c r="E157" s="4906">
        <v>7.75</v>
      </c>
      <c r="F157" s="4967">
        <v>6</v>
      </c>
      <c r="G157" s="4967"/>
      <c r="H157" s="4967"/>
      <c r="I157" s="4906">
        <f>SUM(B157:H157)</f>
        <v>37</v>
      </c>
      <c r="J157" s="4909"/>
      <c r="P157" s="113"/>
    </row>
    <row r="158" spans="1:20">
      <c r="A158" s="5108"/>
      <c r="B158" s="4902" t="s">
        <v>283</v>
      </c>
      <c r="C158" s="4902" t="s">
        <v>283</v>
      </c>
      <c r="D158" s="4902" t="s">
        <v>283</v>
      </c>
      <c r="E158" s="4902" t="s">
        <v>283</v>
      </c>
      <c r="F158" s="4903" t="s">
        <v>284</v>
      </c>
      <c r="G158" s="5040"/>
      <c r="H158" s="5040"/>
      <c r="I158" s="5109"/>
      <c r="J158" s="5110"/>
      <c r="P158" s="113"/>
    </row>
    <row r="159" spans="1:20" ht="15.75" thickBot="1">
      <c r="A159" s="5107">
        <v>5</v>
      </c>
      <c r="B159" s="4906">
        <v>7.75</v>
      </c>
      <c r="C159" s="4906">
        <v>7.75</v>
      </c>
      <c r="D159" s="4906">
        <v>7.75</v>
      </c>
      <c r="E159" s="4906">
        <v>7.75</v>
      </c>
      <c r="F159" s="4967">
        <v>6</v>
      </c>
      <c r="G159" s="4891"/>
      <c r="H159" s="4891"/>
      <c r="I159" s="4906">
        <f>SUM(B159:H159)</f>
        <v>37</v>
      </c>
      <c r="J159" s="4909"/>
    </row>
    <row r="160" spans="1:20">
      <c r="A160" s="197"/>
      <c r="B160" s="4902" t="s">
        <v>283</v>
      </c>
      <c r="C160" s="4902" t="s">
        <v>283</v>
      </c>
      <c r="D160" s="4902" t="s">
        <v>283</v>
      </c>
      <c r="E160" s="4902" t="s">
        <v>283</v>
      </c>
      <c r="F160" s="4903" t="s">
        <v>284</v>
      </c>
      <c r="G160" s="172"/>
      <c r="H160" s="172"/>
      <c r="I160" s="121"/>
      <c r="J160" s="178"/>
    </row>
    <row r="161" spans="1:20" ht="15.75" thickBot="1">
      <c r="A161" s="5107">
        <v>6</v>
      </c>
      <c r="B161" s="4906">
        <v>7.75</v>
      </c>
      <c r="C161" s="4906">
        <v>7.75</v>
      </c>
      <c r="D161" s="4906">
        <v>7.75</v>
      </c>
      <c r="E161" s="4906">
        <v>7.75</v>
      </c>
      <c r="F161" s="4967">
        <v>6</v>
      </c>
      <c r="G161" s="4967"/>
      <c r="H161" s="4967"/>
      <c r="I161" s="4906">
        <f>SUM(B161:H161)</f>
        <v>37</v>
      </c>
      <c r="J161" s="4909"/>
    </row>
    <row r="162" spans="1:20" ht="15.75" thickBot="1">
      <c r="A162" s="4915" t="s">
        <v>588</v>
      </c>
      <c r="B162" s="4915">
        <f t="shared" ref="B162:H162" si="6">SUM(B151,B153,B155,B157,B159,B161)</f>
        <v>46.5</v>
      </c>
      <c r="C162" s="4915">
        <f t="shared" si="6"/>
        <v>46.5</v>
      </c>
      <c r="D162" s="4915">
        <f t="shared" si="6"/>
        <v>46.5</v>
      </c>
      <c r="E162" s="4915">
        <f t="shared" si="6"/>
        <v>46.5</v>
      </c>
      <c r="F162" s="4915">
        <f t="shared" si="6"/>
        <v>36</v>
      </c>
      <c r="G162" s="4915">
        <f t="shared" si="6"/>
        <v>0</v>
      </c>
      <c r="H162" s="4915">
        <f t="shared" si="6"/>
        <v>0</v>
      </c>
      <c r="I162" s="4925">
        <f>SUM(I151,I153,I155,I157,I161)</f>
        <v>185</v>
      </c>
      <c r="J162" s="4926"/>
      <c r="M162" s="113"/>
      <c r="N162" s="113"/>
    </row>
    <row r="163" spans="1:20" ht="15.75" thickTop="1">
      <c r="A163" s="37"/>
      <c r="B163" s="113"/>
      <c r="C163" s="113"/>
      <c r="D163" s="113"/>
      <c r="E163" s="113"/>
      <c r="F163" s="100"/>
      <c r="G163" s="4984" t="s">
        <v>701</v>
      </c>
      <c r="H163" s="4984" t="s">
        <v>702</v>
      </c>
      <c r="I163" s="4984" t="s">
        <v>703</v>
      </c>
      <c r="J163" s="18"/>
      <c r="M163" s="113"/>
      <c r="N163" s="113"/>
    </row>
    <row r="164" spans="1:20">
      <c r="A164" s="37"/>
      <c r="B164" s="113"/>
      <c r="C164" s="113"/>
      <c r="D164" s="113"/>
      <c r="E164" s="113"/>
      <c r="F164" s="100"/>
      <c r="G164" s="3698">
        <f>I162</f>
        <v>185</v>
      </c>
      <c r="H164" s="4985">
        <f>SUM(G164*13/3)</f>
        <v>801.66666666666663</v>
      </c>
      <c r="I164" s="3698">
        <f>SUM(H164*12)</f>
        <v>9620</v>
      </c>
      <c r="J164" s="18"/>
      <c r="M164" s="113"/>
      <c r="N164" s="113"/>
    </row>
    <row r="165" spans="1:20">
      <c r="A165" s="42"/>
      <c r="B165" s="113"/>
      <c r="C165" s="113"/>
      <c r="D165" s="113"/>
      <c r="E165" s="113"/>
      <c r="F165" s="100"/>
      <c r="G165" s="113"/>
      <c r="H165" s="210"/>
      <c r="I165" s="113"/>
      <c r="J165" s="18"/>
      <c r="M165" s="113"/>
      <c r="N165" s="113"/>
    </row>
    <row r="166" spans="1:20" ht="15.75" thickBot="1">
      <c r="A166" s="208" t="s">
        <v>845</v>
      </c>
      <c r="B166" s="113"/>
      <c r="C166" s="113"/>
      <c r="D166" s="113"/>
      <c r="E166" s="113"/>
      <c r="F166" s="113"/>
      <c r="O166">
        <v>37</v>
      </c>
      <c r="P166" t="s">
        <v>821</v>
      </c>
      <c r="Q166">
        <v>4</v>
      </c>
      <c r="R166" t="s">
        <v>822</v>
      </c>
      <c r="S166">
        <f>O166*Q166</f>
        <v>148</v>
      </c>
      <c r="T166" t="s">
        <v>823</v>
      </c>
    </row>
    <row r="167" spans="1:20" ht="15.75" thickBot="1">
      <c r="A167" s="5010" t="s">
        <v>846</v>
      </c>
      <c r="B167" s="4896" t="s">
        <v>87</v>
      </c>
      <c r="C167" s="4897" t="s">
        <v>88</v>
      </c>
      <c r="D167" s="4897" t="s">
        <v>89</v>
      </c>
      <c r="E167" s="4897" t="s">
        <v>90</v>
      </c>
      <c r="F167" s="4897" t="s">
        <v>91</v>
      </c>
      <c r="G167" s="4897" t="s">
        <v>92</v>
      </c>
      <c r="H167" s="4898" t="s">
        <v>93</v>
      </c>
      <c r="I167" s="4899" t="s">
        <v>158</v>
      </c>
      <c r="J167" s="4900" t="s">
        <v>94</v>
      </c>
      <c r="M167" s="4988"/>
      <c r="N167" s="4989" t="s">
        <v>707</v>
      </c>
      <c r="O167" t="s">
        <v>0</v>
      </c>
    </row>
    <row r="168" spans="1:20">
      <c r="A168" s="5111"/>
      <c r="B168" s="4888" t="s">
        <v>847</v>
      </c>
      <c r="C168" s="4888" t="s">
        <v>848</v>
      </c>
      <c r="D168" s="4888" t="s">
        <v>848</v>
      </c>
      <c r="E168" s="4888" t="s">
        <v>849</v>
      </c>
      <c r="F168" s="4888" t="s">
        <v>850</v>
      </c>
      <c r="G168" s="4888"/>
      <c r="H168" s="4888"/>
      <c r="I168" s="4996"/>
      <c r="J168" s="4904"/>
      <c r="M168" s="4994"/>
      <c r="N168" s="4995" t="s">
        <v>709</v>
      </c>
      <c r="O168" t="s">
        <v>827</v>
      </c>
      <c r="Q168">
        <f>N174</f>
        <v>105.25</v>
      </c>
    </row>
    <row r="169" spans="1:20" ht="15.75" thickBot="1">
      <c r="A169" s="5112">
        <v>1</v>
      </c>
      <c r="B169" s="4967">
        <v>8.5</v>
      </c>
      <c r="C169" s="4967">
        <v>8.5</v>
      </c>
      <c r="D169" s="4967">
        <v>8.5</v>
      </c>
      <c r="E169" s="4967">
        <v>0</v>
      </c>
      <c r="F169" s="4967">
        <v>0</v>
      </c>
      <c r="G169" s="4967"/>
      <c r="H169" s="4967"/>
      <c r="I169" s="4967">
        <v>37</v>
      </c>
      <c r="J169" s="4909"/>
      <c r="M169" s="4994" t="s">
        <v>159</v>
      </c>
      <c r="N169" s="4995">
        <v>37</v>
      </c>
    </row>
    <row r="170" spans="1:20">
      <c r="A170" s="5111"/>
      <c r="B170" s="4888" t="s">
        <v>851</v>
      </c>
      <c r="C170" s="4888" t="s">
        <v>851</v>
      </c>
      <c r="D170" s="4888" t="s">
        <v>851</v>
      </c>
      <c r="E170" s="4888" t="s">
        <v>851</v>
      </c>
      <c r="F170" s="4888" t="s">
        <v>852</v>
      </c>
      <c r="G170" s="4888" t="s">
        <v>853</v>
      </c>
      <c r="H170" s="4888" t="s">
        <v>853</v>
      </c>
      <c r="I170" s="4996"/>
      <c r="J170" s="4904"/>
      <c r="M170" s="4994" t="s">
        <v>163</v>
      </c>
      <c r="N170" s="4995">
        <v>68.25</v>
      </c>
      <c r="O170">
        <f>Q168</f>
        <v>105.25</v>
      </c>
      <c r="P170" t="s">
        <v>831</v>
      </c>
      <c r="Q170" s="199">
        <f>SUM(O170/37)</f>
        <v>2.8445945945945947</v>
      </c>
    </row>
    <row r="171" spans="1:20" ht="15.75" thickBot="1">
      <c r="A171" s="5112">
        <v>2</v>
      </c>
      <c r="B171" s="4967">
        <v>9.25</v>
      </c>
      <c r="C171" s="4967">
        <v>9.25</v>
      </c>
      <c r="D171" s="4967">
        <v>9.25</v>
      </c>
      <c r="E171" s="4967">
        <v>9.25</v>
      </c>
      <c r="F171" s="4967">
        <v>10.25</v>
      </c>
      <c r="G171" s="4967">
        <v>10.5</v>
      </c>
      <c r="H171" s="4967">
        <v>10.5</v>
      </c>
      <c r="I171" s="4967">
        <f>SUM(B171:H171)</f>
        <v>68.25</v>
      </c>
      <c r="J171" s="4909"/>
      <c r="M171" s="4994" t="s">
        <v>171</v>
      </c>
      <c r="N171" s="4995">
        <f>I173</f>
        <v>0</v>
      </c>
    </row>
    <row r="172" spans="1:20">
      <c r="A172" s="5111"/>
      <c r="B172" s="4903" t="s">
        <v>172</v>
      </c>
      <c r="C172" s="4903" t="s">
        <v>172</v>
      </c>
      <c r="D172" s="4903" t="s">
        <v>172</v>
      </c>
      <c r="E172" s="4903" t="s">
        <v>172</v>
      </c>
      <c r="F172" s="4903" t="s">
        <v>172</v>
      </c>
      <c r="G172" s="4903"/>
      <c r="H172" s="4903"/>
      <c r="I172" s="4996"/>
      <c r="J172" s="4904"/>
      <c r="M172" s="4994" t="s">
        <v>173</v>
      </c>
      <c r="N172" s="4995"/>
      <c r="O172" s="199">
        <f>Q170</f>
        <v>2.8445945945945947</v>
      </c>
      <c r="P172" t="s">
        <v>854</v>
      </c>
      <c r="S172" s="230">
        <f>SUM(O172*3)</f>
        <v>8.5337837837837842</v>
      </c>
      <c r="T172" t="s">
        <v>855</v>
      </c>
    </row>
    <row r="173" spans="1:20" ht="15.75" thickBot="1">
      <c r="A173" s="5112">
        <v>3</v>
      </c>
      <c r="B173" s="4967">
        <v>0</v>
      </c>
      <c r="C173" s="4967">
        <v>0</v>
      </c>
      <c r="D173" s="4967">
        <v>0</v>
      </c>
      <c r="E173" s="4967">
        <v>0</v>
      </c>
      <c r="F173" s="4967">
        <v>0</v>
      </c>
      <c r="G173" s="4967"/>
      <c r="H173" s="4967"/>
      <c r="I173" s="4967">
        <f>SUM(B173:H173)</f>
        <v>0</v>
      </c>
      <c r="J173" s="4909"/>
      <c r="M173" s="5113" t="s">
        <v>0</v>
      </c>
      <c r="N173" s="5114">
        <f>I177</f>
        <v>0</v>
      </c>
    </row>
    <row r="174" spans="1:20" ht="15.75" thickBot="1">
      <c r="A174" s="5111"/>
      <c r="B174" s="4888"/>
      <c r="C174" s="4888"/>
      <c r="D174" s="4888"/>
      <c r="E174" s="4888"/>
      <c r="F174" s="4888"/>
      <c r="G174" s="4903"/>
      <c r="H174" s="4903"/>
      <c r="I174" s="4996"/>
      <c r="J174" s="4904"/>
      <c r="M174" s="5004" t="s">
        <v>717</v>
      </c>
      <c r="N174" s="5005">
        <f>SUM(N169:N173)</f>
        <v>105.25</v>
      </c>
      <c r="O174" t="s">
        <v>0</v>
      </c>
      <c r="P174" s="22"/>
      <c r="Q174" s="22" t="s">
        <v>856</v>
      </c>
      <c r="S174" s="199">
        <f>S166-S172</f>
        <v>139.46621621621622</v>
      </c>
      <c r="T174" t="s">
        <v>857</v>
      </c>
    </row>
    <row r="175" spans="1:20" ht="15.75" thickBot="1">
      <c r="A175" s="5112">
        <v>4</v>
      </c>
      <c r="B175" s="4967"/>
      <c r="C175" s="4967"/>
      <c r="D175" s="4967"/>
      <c r="E175" s="4967"/>
      <c r="F175" s="4967"/>
      <c r="G175" s="4967"/>
      <c r="H175" s="4967"/>
      <c r="I175" s="4967"/>
      <c r="J175" s="4909"/>
      <c r="S175" s="199"/>
    </row>
    <row r="176" spans="1:20">
      <c r="A176" s="5111"/>
      <c r="B176" s="4888"/>
      <c r="C176" s="4888"/>
      <c r="D176" s="4888"/>
      <c r="E176" s="4903"/>
      <c r="F176" s="4903"/>
      <c r="G176" s="4903"/>
      <c r="H176" s="4903"/>
      <c r="I176" s="4996"/>
      <c r="J176" s="4904"/>
      <c r="S176" s="199"/>
    </row>
    <row r="177" spans="1:22" ht="15.75" thickBot="1">
      <c r="A177" s="5112"/>
      <c r="B177" s="4967"/>
      <c r="C177" s="4967"/>
      <c r="D177" s="4967"/>
      <c r="E177" s="4967"/>
      <c r="F177" s="4967"/>
      <c r="G177" s="4967"/>
      <c r="H177" s="4967"/>
      <c r="I177" s="4967"/>
      <c r="J177" s="4909"/>
      <c r="S177" s="199"/>
    </row>
    <row r="178" spans="1:22">
      <c r="A178" s="5111"/>
      <c r="B178" s="4903"/>
      <c r="C178" s="4903"/>
      <c r="D178" s="4903"/>
      <c r="E178" s="4903"/>
      <c r="F178" s="4903"/>
      <c r="G178" s="4903"/>
      <c r="H178" s="4903"/>
      <c r="I178" s="4996"/>
      <c r="J178" s="4904"/>
      <c r="S178" s="199"/>
    </row>
    <row r="179" spans="1:22" ht="15.75" thickBot="1">
      <c r="A179" s="5112"/>
      <c r="B179" s="4967"/>
      <c r="C179" s="4967"/>
      <c r="D179" s="4967"/>
      <c r="E179" s="4967"/>
      <c r="F179" s="4967"/>
      <c r="G179" s="4967"/>
      <c r="H179" s="4967"/>
      <c r="I179" s="4967"/>
      <c r="J179" s="4909"/>
      <c r="S179" s="199"/>
    </row>
    <row r="180" spans="1:22">
      <c r="A180" s="5111"/>
      <c r="B180" s="4888"/>
      <c r="C180" s="4888"/>
      <c r="D180" s="4888"/>
      <c r="E180" s="4888"/>
      <c r="F180" s="4888"/>
      <c r="G180" s="4903"/>
      <c r="H180" s="4903"/>
      <c r="I180" s="4996"/>
      <c r="J180" s="4904" t="s">
        <v>0</v>
      </c>
      <c r="S180" s="199"/>
    </row>
    <row r="181" spans="1:22" ht="15.75" thickBot="1">
      <c r="A181" s="5112" t="s">
        <v>0</v>
      </c>
      <c r="B181" s="4967"/>
      <c r="C181" s="4967"/>
      <c r="D181" s="4967"/>
      <c r="E181" s="4967"/>
      <c r="F181" s="4967"/>
      <c r="G181" s="4967"/>
      <c r="H181" s="4967"/>
      <c r="I181" s="4967">
        <f>SUM(B181:H181)</f>
        <v>0</v>
      </c>
      <c r="J181" s="4909"/>
      <c r="S181" s="199"/>
    </row>
    <row r="182" spans="1:22" ht="15.75" thickBot="1">
      <c r="A182" s="220" t="s">
        <v>588</v>
      </c>
      <c r="B182" s="220">
        <f t="shared" ref="B182:H182" si="7">SUM(B169,B171,B173,B175)</f>
        <v>17.75</v>
      </c>
      <c r="C182" s="220">
        <f t="shared" si="7"/>
        <v>17.75</v>
      </c>
      <c r="D182" s="220">
        <f t="shared" si="7"/>
        <v>17.75</v>
      </c>
      <c r="E182" s="220">
        <f t="shared" si="7"/>
        <v>9.25</v>
      </c>
      <c r="F182" s="220">
        <f t="shared" si="7"/>
        <v>10.25</v>
      </c>
      <c r="G182" s="220">
        <f t="shared" si="7"/>
        <v>10.5</v>
      </c>
      <c r="H182" s="220">
        <f t="shared" si="7"/>
        <v>10.5</v>
      </c>
      <c r="I182" s="220">
        <f>SUM(I169,I171,I173,I175,I177,I179,I181)</f>
        <v>105.25</v>
      </c>
      <c r="J182" s="222"/>
      <c r="O182" t="s">
        <v>858</v>
      </c>
      <c r="P182">
        <f>I182</f>
        <v>105.25</v>
      </c>
      <c r="Q182" s="17" t="s">
        <v>859</v>
      </c>
      <c r="S182" s="199">
        <f>S174</f>
        <v>139.46621621621622</v>
      </c>
      <c r="T182" t="s">
        <v>860</v>
      </c>
      <c r="U182" s="228">
        <f>P182-S182</f>
        <v>-34.216216216216225</v>
      </c>
    </row>
    <row r="183" spans="1:22" ht="15.75" thickTop="1">
      <c r="A183" s="113"/>
      <c r="B183" s="113"/>
      <c r="C183" s="113"/>
      <c r="D183" s="113"/>
      <c r="E183" s="113"/>
      <c r="F183" s="113"/>
      <c r="G183" s="4984" t="s">
        <v>701</v>
      </c>
      <c r="H183" s="4984" t="s">
        <v>702</v>
      </c>
      <c r="I183" s="4984" t="s">
        <v>703</v>
      </c>
      <c r="V183" s="227"/>
    </row>
    <row r="184" spans="1:22">
      <c r="A184" s="113"/>
      <c r="B184" s="113"/>
      <c r="C184" s="113"/>
      <c r="D184" s="113"/>
      <c r="E184" s="113"/>
      <c r="F184" s="113"/>
      <c r="G184" s="3698">
        <f>I182</f>
        <v>105.25</v>
      </c>
      <c r="H184" s="4985">
        <f>SUM(G184*13/3)</f>
        <v>456.08333333333331</v>
      </c>
      <c r="I184" s="3698">
        <f>SUM(H184*12)</f>
        <v>5473</v>
      </c>
    </row>
    <row r="185" spans="1:22">
      <c r="A185" s="113"/>
      <c r="B185" s="113"/>
      <c r="C185" s="113"/>
      <c r="D185" s="113"/>
      <c r="E185" s="113"/>
      <c r="F185" s="113"/>
      <c r="G185" s="113"/>
      <c r="H185" s="210"/>
      <c r="I185" s="113"/>
    </row>
    <row r="186" spans="1:22">
      <c r="A186" s="113"/>
      <c r="B186" s="113"/>
      <c r="C186" s="113"/>
      <c r="D186" s="113"/>
      <c r="E186" s="113"/>
      <c r="F186" s="113"/>
      <c r="G186" s="113"/>
      <c r="H186" s="210"/>
      <c r="I186" s="113"/>
    </row>
    <row r="187" spans="1:22" ht="15.75" thickBot="1">
      <c r="A187" s="1" t="s">
        <v>861</v>
      </c>
      <c r="B187" s="113"/>
      <c r="C187" s="113"/>
      <c r="D187" s="113"/>
      <c r="E187" s="113"/>
      <c r="F187" s="113"/>
      <c r="O187">
        <v>37</v>
      </c>
      <c r="P187" t="s">
        <v>821</v>
      </c>
      <c r="Q187">
        <v>4</v>
      </c>
      <c r="R187" t="s">
        <v>822</v>
      </c>
      <c r="S187">
        <f>O187*Q187</f>
        <v>148</v>
      </c>
      <c r="T187" t="s">
        <v>823</v>
      </c>
    </row>
    <row r="188" spans="1:22" ht="15.75" thickBot="1">
      <c r="A188" s="5010" t="s">
        <v>846</v>
      </c>
      <c r="B188" s="4896" t="s">
        <v>87</v>
      </c>
      <c r="C188" s="4897" t="s">
        <v>88</v>
      </c>
      <c r="D188" s="4897" t="s">
        <v>89</v>
      </c>
      <c r="E188" s="4897" t="s">
        <v>90</v>
      </c>
      <c r="F188" s="4897" t="s">
        <v>91</v>
      </c>
      <c r="G188" s="4897" t="s">
        <v>92</v>
      </c>
      <c r="H188" s="4898" t="s">
        <v>93</v>
      </c>
      <c r="I188" s="4899" t="s">
        <v>158</v>
      </c>
      <c r="J188" s="4900" t="s">
        <v>94</v>
      </c>
      <c r="M188" s="4988"/>
      <c r="N188" s="4989" t="s">
        <v>707</v>
      </c>
      <c r="O188" t="s">
        <v>0</v>
      </c>
    </row>
    <row r="189" spans="1:22">
      <c r="A189" s="5111"/>
      <c r="B189" s="4888" t="s">
        <v>172</v>
      </c>
      <c r="C189" s="4888" t="s">
        <v>172</v>
      </c>
      <c r="D189" s="4888" t="s">
        <v>862</v>
      </c>
      <c r="E189" s="4888" t="s">
        <v>862</v>
      </c>
      <c r="F189" s="4888" t="s">
        <v>862</v>
      </c>
      <c r="G189" s="4888" t="s">
        <v>863</v>
      </c>
      <c r="H189" s="4888" t="s">
        <v>864</v>
      </c>
      <c r="I189" s="4996"/>
      <c r="J189" s="4904"/>
      <c r="M189" s="4994"/>
      <c r="N189" s="4995" t="s">
        <v>709</v>
      </c>
      <c r="O189" t="s">
        <v>827</v>
      </c>
      <c r="Q189">
        <f>N195</f>
        <v>102</v>
      </c>
    </row>
    <row r="190" spans="1:22" ht="15.75" thickBot="1">
      <c r="A190" s="5112" t="s">
        <v>865</v>
      </c>
      <c r="B190" s="4967"/>
      <c r="C190" s="4967"/>
      <c r="D190" s="4967">
        <v>12</v>
      </c>
      <c r="E190" s="4967">
        <v>12</v>
      </c>
      <c r="F190" s="4967">
        <v>12</v>
      </c>
      <c r="G190" s="4967">
        <v>12</v>
      </c>
      <c r="H190" s="4967">
        <v>8</v>
      </c>
      <c r="I190" s="4967">
        <f>SUM(B190:H190)</f>
        <v>56</v>
      </c>
      <c r="J190" s="4909"/>
      <c r="M190" s="4994" t="s">
        <v>159</v>
      </c>
      <c r="N190" s="4995">
        <f>I190</f>
        <v>56</v>
      </c>
    </row>
    <row r="191" spans="1:22">
      <c r="A191" s="5111"/>
      <c r="B191" s="4888" t="s">
        <v>172</v>
      </c>
      <c r="C191" s="4888" t="s">
        <v>172</v>
      </c>
      <c r="D191" s="4888" t="s">
        <v>172</v>
      </c>
      <c r="E191" s="4888" t="s">
        <v>172</v>
      </c>
      <c r="F191" s="4888" t="s">
        <v>172</v>
      </c>
      <c r="G191" s="4888"/>
      <c r="H191" s="4888"/>
      <c r="I191" s="4996"/>
      <c r="J191" s="4904"/>
      <c r="M191" s="4994" t="s">
        <v>163</v>
      </c>
      <c r="N191" s="4995">
        <f>I192</f>
        <v>0</v>
      </c>
      <c r="O191">
        <f>Q189</f>
        <v>102</v>
      </c>
      <c r="P191" t="s">
        <v>831</v>
      </c>
      <c r="Q191" s="199">
        <f>SUM(O191/37)</f>
        <v>2.7567567567567566</v>
      </c>
    </row>
    <row r="192" spans="1:22" ht="15.75" thickBot="1">
      <c r="A192" s="5112" t="s">
        <v>866</v>
      </c>
      <c r="B192" s="4967"/>
      <c r="C192" s="4967"/>
      <c r="D192" s="4967"/>
      <c r="E192" s="4967"/>
      <c r="F192" s="4967"/>
      <c r="G192" s="4967"/>
      <c r="H192" s="4967"/>
      <c r="I192" s="4967">
        <f>SUM(B192:H192)</f>
        <v>0</v>
      </c>
      <c r="J192" s="4909"/>
      <c r="M192" s="4994" t="s">
        <v>171</v>
      </c>
      <c r="N192" s="4995">
        <f>I194</f>
        <v>46</v>
      </c>
    </row>
    <row r="193" spans="1:22">
      <c r="A193" s="5111"/>
      <c r="B193" s="4888" t="s">
        <v>862</v>
      </c>
      <c r="C193" s="4888" t="s">
        <v>862</v>
      </c>
      <c r="D193" s="4888" t="s">
        <v>172</v>
      </c>
      <c r="E193" s="4888" t="s">
        <v>172</v>
      </c>
      <c r="F193" s="4888" t="s">
        <v>172</v>
      </c>
      <c r="G193" s="4888" t="s">
        <v>867</v>
      </c>
      <c r="H193" s="4888" t="s">
        <v>868</v>
      </c>
      <c r="I193" s="4996"/>
      <c r="J193" s="4904"/>
      <c r="M193" s="4994" t="s">
        <v>173</v>
      </c>
      <c r="N193" s="4995">
        <v>0</v>
      </c>
      <c r="O193" s="199">
        <f>Q191</f>
        <v>2.7567567567567566</v>
      </c>
      <c r="P193" t="s">
        <v>854</v>
      </c>
      <c r="S193" s="230">
        <f>SUM(O193*3)</f>
        <v>8.2702702702702702</v>
      </c>
      <c r="T193" t="s">
        <v>855</v>
      </c>
    </row>
    <row r="194" spans="1:22" ht="15.75" thickBot="1">
      <c r="A194" s="5112" t="s">
        <v>869</v>
      </c>
      <c r="B194" s="4967">
        <v>12</v>
      </c>
      <c r="C194" s="4967">
        <v>12</v>
      </c>
      <c r="D194" s="4967"/>
      <c r="E194" s="4967"/>
      <c r="F194" s="4967"/>
      <c r="G194" s="4967">
        <v>12</v>
      </c>
      <c r="H194" s="4967">
        <v>10</v>
      </c>
      <c r="I194" s="4967">
        <f>SUM(B194:H194)</f>
        <v>46</v>
      </c>
      <c r="J194" s="4909"/>
      <c r="M194" s="5113"/>
      <c r="N194" s="5114"/>
    </row>
    <row r="195" spans="1:22" ht="15.75" thickBot="1">
      <c r="A195" s="5115"/>
      <c r="B195" s="3861" t="s">
        <v>870</v>
      </c>
      <c r="C195" s="3861" t="s">
        <v>871</v>
      </c>
      <c r="D195" s="3861" t="s">
        <v>871</v>
      </c>
      <c r="E195" s="3861" t="s">
        <v>871</v>
      </c>
      <c r="F195" s="5102" t="s">
        <v>872</v>
      </c>
      <c r="G195" s="4903"/>
      <c r="H195" s="4903"/>
      <c r="I195" s="4996"/>
      <c r="J195" s="4904"/>
      <c r="M195" s="5004" t="s">
        <v>717</v>
      </c>
      <c r="N195" s="5005">
        <f>SUM(N190:N194)</f>
        <v>102</v>
      </c>
      <c r="O195" t="s">
        <v>0</v>
      </c>
      <c r="P195" s="22"/>
      <c r="Q195" s="22" t="s">
        <v>856</v>
      </c>
      <c r="S195" s="199">
        <f>S187-S193</f>
        <v>139.72972972972974</v>
      </c>
      <c r="T195" t="s">
        <v>857</v>
      </c>
    </row>
    <row r="196" spans="1:22" ht="15.75" thickBot="1">
      <c r="A196" s="5112" t="s">
        <v>873</v>
      </c>
      <c r="B196" s="4891">
        <v>6.75</v>
      </c>
      <c r="C196" s="4891">
        <v>7.75</v>
      </c>
      <c r="D196" s="4891">
        <v>7.75</v>
      </c>
      <c r="E196" s="4891">
        <v>7.75</v>
      </c>
      <c r="F196" s="4891">
        <v>7.5</v>
      </c>
      <c r="G196" s="4967"/>
      <c r="H196" s="4967"/>
      <c r="I196" s="4967">
        <f>SUM(B196:H196)</f>
        <v>37.5</v>
      </c>
      <c r="J196" s="4909"/>
      <c r="S196" s="199"/>
    </row>
    <row r="197" spans="1:22">
      <c r="A197" s="5111"/>
      <c r="B197" s="4888"/>
      <c r="C197" s="4888"/>
      <c r="D197" s="4888"/>
      <c r="E197" s="4903"/>
      <c r="F197" s="4903"/>
      <c r="G197" s="4903"/>
      <c r="H197" s="4903"/>
      <c r="I197" s="4996"/>
      <c r="J197" s="4904"/>
      <c r="S197" s="199"/>
    </row>
    <row r="198" spans="1:22" ht="15.75" thickBot="1">
      <c r="A198" s="5116" t="s">
        <v>874</v>
      </c>
      <c r="C198" s="4967"/>
      <c r="D198" s="4967"/>
      <c r="E198" s="4967"/>
      <c r="F198" s="4967"/>
      <c r="G198" s="4967"/>
      <c r="H198" s="4967"/>
      <c r="I198" s="4967">
        <f>SUM(A198:H198)</f>
        <v>0</v>
      </c>
      <c r="J198" s="4909"/>
      <c r="S198" s="199"/>
    </row>
    <row r="199" spans="1:22">
      <c r="A199" s="5117"/>
      <c r="B199" s="5118"/>
      <c r="C199" s="5118"/>
      <c r="D199" s="5118"/>
      <c r="E199" s="5118"/>
      <c r="F199" s="5118"/>
      <c r="G199" s="5118"/>
      <c r="H199" s="5118"/>
      <c r="I199" s="5119"/>
      <c r="J199" s="5120"/>
      <c r="S199" s="199"/>
    </row>
    <row r="200" spans="1:22" ht="15.75" thickBot="1">
      <c r="A200" s="5121"/>
      <c r="B200" s="5122"/>
      <c r="C200" s="5122"/>
      <c r="D200" s="5122"/>
      <c r="E200" s="5122"/>
      <c r="F200" s="5122"/>
      <c r="G200" s="5122"/>
      <c r="H200" s="5122"/>
      <c r="I200" s="5122">
        <f>SUM(B200:H200)</f>
        <v>0</v>
      </c>
      <c r="J200" s="5123"/>
      <c r="S200" s="199"/>
    </row>
    <row r="201" spans="1:22">
      <c r="A201" s="5117"/>
      <c r="B201" s="5124"/>
      <c r="C201" s="5124"/>
      <c r="D201" s="5124"/>
      <c r="E201" s="5124"/>
      <c r="F201" s="5124"/>
      <c r="G201" s="5118"/>
      <c r="H201" s="5118"/>
      <c r="I201" s="5119"/>
      <c r="J201" s="5120" t="s">
        <v>0</v>
      </c>
      <c r="S201" s="199"/>
    </row>
    <row r="202" spans="1:22" ht="15.75" thickBot="1">
      <c r="A202" s="5121" t="s">
        <v>0</v>
      </c>
      <c r="B202" s="5122"/>
      <c r="C202" s="5122"/>
      <c r="D202" s="5122"/>
      <c r="E202" s="5122"/>
      <c r="F202" s="5122"/>
      <c r="G202" s="5122"/>
      <c r="H202" s="5122"/>
      <c r="I202" s="5122">
        <f>SUM(B202:H202)</f>
        <v>0</v>
      </c>
      <c r="J202" s="5123"/>
      <c r="S202" s="199"/>
    </row>
    <row r="203" spans="1:22" ht="15.75" thickBot="1">
      <c r="A203" s="220" t="s">
        <v>588</v>
      </c>
      <c r="B203" s="220">
        <f t="shared" ref="B203:H203" si="8">SUM(B190,B192,B194,B196)</f>
        <v>18.75</v>
      </c>
      <c r="C203" s="220">
        <f t="shared" si="8"/>
        <v>19.75</v>
      </c>
      <c r="D203" s="220">
        <f t="shared" si="8"/>
        <v>19.75</v>
      </c>
      <c r="E203" s="220">
        <f t="shared" si="8"/>
        <v>19.75</v>
      </c>
      <c r="F203" s="220">
        <f t="shared" si="8"/>
        <v>19.5</v>
      </c>
      <c r="G203" s="220">
        <f t="shared" si="8"/>
        <v>24</v>
      </c>
      <c r="H203" s="220">
        <f t="shared" si="8"/>
        <v>18</v>
      </c>
      <c r="I203" s="220">
        <f>SUM(I190,I192,I194,I196,I198,I200,I202)</f>
        <v>139.5</v>
      </c>
      <c r="J203" s="222"/>
      <c r="O203" t="s">
        <v>858</v>
      </c>
      <c r="P203">
        <f>I203</f>
        <v>139.5</v>
      </c>
      <c r="Q203" s="17" t="s">
        <v>859</v>
      </c>
      <c r="S203" s="199">
        <f>S195</f>
        <v>139.72972972972974</v>
      </c>
      <c r="T203" t="s">
        <v>860</v>
      </c>
      <c r="U203" s="228">
        <f>P203-S203</f>
        <v>-0.22972972972974048</v>
      </c>
    </row>
    <row r="204" spans="1:22" ht="15.75" thickTop="1">
      <c r="A204" s="113"/>
      <c r="B204" s="113"/>
      <c r="C204" s="113"/>
      <c r="D204" s="113"/>
      <c r="E204" s="113"/>
      <c r="F204" s="113"/>
      <c r="G204" s="4984" t="s">
        <v>701</v>
      </c>
      <c r="H204" s="4984" t="s">
        <v>702</v>
      </c>
      <c r="I204" s="4984" t="s">
        <v>703</v>
      </c>
      <c r="V204" s="227"/>
    </row>
    <row r="205" spans="1:22">
      <c r="A205" s="113"/>
      <c r="B205" s="113"/>
      <c r="C205" s="113"/>
      <c r="D205" s="113"/>
      <c r="E205" s="113"/>
      <c r="F205" s="113"/>
      <c r="G205" s="3698">
        <f>I203</f>
        <v>139.5</v>
      </c>
      <c r="H205" s="4985">
        <f>SUM(G205*13/3)</f>
        <v>604.5</v>
      </c>
      <c r="I205" s="3698">
        <f>SUM(H205*12)</f>
        <v>7254</v>
      </c>
    </row>
    <row r="206" spans="1:22" ht="15.75" thickBot="1">
      <c r="A206" s="4368" t="s">
        <v>678</v>
      </c>
      <c r="B206" s="113"/>
      <c r="C206" s="113"/>
      <c r="D206" s="113"/>
      <c r="E206" s="113"/>
      <c r="F206" s="100"/>
      <c r="G206" s="100"/>
      <c r="H206" s="100"/>
      <c r="I206" s="113"/>
      <c r="J206" s="18"/>
      <c r="K206" s="42"/>
    </row>
    <row r="207" spans="1:22" ht="15.75" thickBot="1">
      <c r="A207" s="194" t="s">
        <v>679</v>
      </c>
      <c r="B207" s="4896" t="s">
        <v>87</v>
      </c>
      <c r="C207" s="4897" t="s">
        <v>88</v>
      </c>
      <c r="D207" s="4897" t="s">
        <v>89</v>
      </c>
      <c r="E207" s="4897" t="s">
        <v>90</v>
      </c>
      <c r="F207" s="4897" t="s">
        <v>91</v>
      </c>
      <c r="G207" s="4897" t="s">
        <v>92</v>
      </c>
      <c r="H207" s="4898" t="s">
        <v>93</v>
      </c>
      <c r="I207" s="4899" t="s">
        <v>158</v>
      </c>
      <c r="J207" s="4900" t="s">
        <v>94</v>
      </c>
      <c r="K207" s="113"/>
    </row>
    <row r="208" spans="1:22">
      <c r="A208" s="4901" t="s">
        <v>0</v>
      </c>
      <c r="B208" s="4902" t="s">
        <v>283</v>
      </c>
      <c r="C208" s="4902" t="s">
        <v>283</v>
      </c>
      <c r="D208" s="4902" t="s">
        <v>283</v>
      </c>
      <c r="E208" s="4902" t="s">
        <v>283</v>
      </c>
      <c r="F208" s="4903" t="s">
        <v>284</v>
      </c>
      <c r="G208" s="4903"/>
      <c r="H208" s="4903"/>
      <c r="I208" s="3834"/>
      <c r="J208" s="4904"/>
    </row>
    <row r="209" spans="1:10" ht="15.75" thickBot="1">
      <c r="A209" s="4905" t="s">
        <v>0</v>
      </c>
      <c r="B209" s="4906">
        <v>0</v>
      </c>
      <c r="C209" s="4906">
        <v>0</v>
      </c>
      <c r="D209" s="4906">
        <v>0</v>
      </c>
      <c r="E209" s="4906">
        <v>0</v>
      </c>
      <c r="F209" s="4906">
        <v>0</v>
      </c>
      <c r="G209" s="4967"/>
      <c r="H209" s="4967"/>
      <c r="I209" s="4906">
        <f>SUM(B209:H209)</f>
        <v>0</v>
      </c>
      <c r="J209" s="4909"/>
    </row>
    <row r="210" spans="1:10">
      <c r="A210" s="4901"/>
      <c r="B210" s="4902" t="s">
        <v>283</v>
      </c>
      <c r="C210" s="4902" t="s">
        <v>283</v>
      </c>
      <c r="D210" s="4902" t="s">
        <v>283</v>
      </c>
      <c r="E210" s="4902" t="s">
        <v>283</v>
      </c>
      <c r="F210" s="4903" t="s">
        <v>284</v>
      </c>
      <c r="G210" s="4903"/>
      <c r="H210" s="4903"/>
      <c r="I210" s="3834"/>
      <c r="J210" s="4904"/>
    </row>
    <row r="211" spans="1:10" ht="15.75" thickBot="1">
      <c r="A211" s="4905" t="s">
        <v>0</v>
      </c>
      <c r="B211" s="4906">
        <v>0</v>
      </c>
      <c r="C211" s="4906">
        <v>0</v>
      </c>
      <c r="D211" s="4906">
        <v>0</v>
      </c>
      <c r="E211" s="4906">
        <v>0</v>
      </c>
      <c r="F211" s="4906">
        <v>0</v>
      </c>
      <c r="G211" s="4967"/>
      <c r="H211" s="4967"/>
      <c r="I211" s="4906">
        <f>SUM(B211:H211)</f>
        <v>0</v>
      </c>
      <c r="J211" s="4909"/>
    </row>
    <row r="212" spans="1:10">
      <c r="A212" s="4901"/>
      <c r="B212" s="4902" t="s">
        <v>283</v>
      </c>
      <c r="C212" s="4902" t="s">
        <v>283</v>
      </c>
      <c r="D212" s="4902" t="s">
        <v>283</v>
      </c>
      <c r="E212" s="4902" t="s">
        <v>283</v>
      </c>
      <c r="F212" s="4903" t="s">
        <v>284</v>
      </c>
      <c r="G212" s="4903"/>
      <c r="H212" s="4903"/>
      <c r="I212" s="3834"/>
      <c r="J212" s="4904"/>
    </row>
    <row r="213" spans="1:10" ht="15.75" thickBot="1">
      <c r="A213" s="4905"/>
      <c r="B213" s="4906"/>
      <c r="C213" s="4906"/>
      <c r="D213" s="4906"/>
      <c r="E213" s="4906"/>
      <c r="F213" s="4906"/>
      <c r="G213" s="4967"/>
      <c r="H213" s="4967"/>
      <c r="I213" s="4906">
        <f>SUM(B213:H213)</f>
        <v>0</v>
      </c>
      <c r="J213" s="4909"/>
    </row>
    <row r="214" spans="1:10" ht="15.75" thickBot="1">
      <c r="A214" s="4915" t="s">
        <v>588</v>
      </c>
      <c r="B214" s="4915">
        <f t="shared" ref="B214:I214" si="9">SUM(B209,B211,B213)</f>
        <v>0</v>
      </c>
      <c r="C214" s="4915">
        <f t="shared" si="9"/>
        <v>0</v>
      </c>
      <c r="D214" s="4915">
        <f t="shared" si="9"/>
        <v>0</v>
      </c>
      <c r="E214" s="4915">
        <f t="shared" si="9"/>
        <v>0</v>
      </c>
      <c r="F214" s="4915">
        <f t="shared" si="9"/>
        <v>0</v>
      </c>
      <c r="G214" s="4915">
        <f t="shared" si="9"/>
        <v>0</v>
      </c>
      <c r="H214" s="4915">
        <f t="shared" si="9"/>
        <v>0</v>
      </c>
      <c r="I214" s="4915">
        <f t="shared" si="9"/>
        <v>0</v>
      </c>
      <c r="J214" s="4926"/>
    </row>
    <row r="215" spans="1:10" ht="15.75" thickTop="1">
      <c r="A215" s="113"/>
      <c r="B215" s="113"/>
      <c r="C215" s="113"/>
      <c r="D215" s="113"/>
      <c r="E215" s="113"/>
      <c r="F215" s="113"/>
      <c r="G215" s="4984" t="s">
        <v>701</v>
      </c>
      <c r="H215" s="4984" t="s">
        <v>702</v>
      </c>
      <c r="I215" s="4984" t="s">
        <v>703</v>
      </c>
      <c r="J215" s="18"/>
    </row>
    <row r="216" spans="1:10">
      <c r="A216" s="113"/>
      <c r="B216" s="113"/>
      <c r="C216" s="113"/>
      <c r="D216" s="113"/>
      <c r="E216" s="113"/>
      <c r="F216" s="100"/>
      <c r="G216" s="3698">
        <f>I214</f>
        <v>0</v>
      </c>
      <c r="H216" s="4985">
        <f>SUM(G216*13/3)</f>
        <v>0</v>
      </c>
      <c r="I216" s="3698">
        <f>SUM(H216*12)</f>
        <v>0</v>
      </c>
      <c r="J216" s="18"/>
    </row>
    <row r="217" spans="1:10">
      <c r="A217" s="113"/>
      <c r="B217" s="113"/>
      <c r="C217" s="113"/>
      <c r="D217" s="113"/>
      <c r="E217" s="113"/>
      <c r="F217" s="100"/>
      <c r="G217" s="113"/>
      <c r="H217" s="210"/>
      <c r="I217" s="113"/>
      <c r="J217" s="18"/>
    </row>
    <row r="218" spans="1:10" ht="15.75" thickBot="1">
      <c r="A218" s="113"/>
      <c r="B218" s="113"/>
      <c r="C218" s="113"/>
      <c r="D218" s="113"/>
      <c r="E218" s="113"/>
      <c r="F218" s="100"/>
      <c r="G218" s="100"/>
      <c r="H218" s="100"/>
      <c r="I218" s="113"/>
      <c r="J218" s="18"/>
    </row>
    <row r="219" spans="1:10" ht="15.75" thickBot="1">
      <c r="A219" s="5125"/>
      <c r="B219" s="4972" t="s">
        <v>87</v>
      </c>
      <c r="C219" s="4919" t="s">
        <v>88</v>
      </c>
      <c r="D219" s="4919" t="s">
        <v>89</v>
      </c>
      <c r="E219" s="4919" t="s">
        <v>90</v>
      </c>
      <c r="F219" s="4919" t="s">
        <v>91</v>
      </c>
      <c r="G219" s="4919" t="s">
        <v>92</v>
      </c>
      <c r="H219" s="4973" t="s">
        <v>93</v>
      </c>
      <c r="I219" s="4974" t="s">
        <v>688</v>
      </c>
      <c r="J219" s="100" t="s">
        <v>0</v>
      </c>
    </row>
    <row r="220" spans="1:10">
      <c r="A220" s="4994" t="s">
        <v>689</v>
      </c>
      <c r="B220" s="231">
        <f t="shared" ref="B220:I220" si="10">SUM(B4,B8,B25,B34,B70,B114,B117,B123,B132,B144,B162,B182,B203,B214)</f>
        <v>267.25</v>
      </c>
      <c r="C220" s="231">
        <f t="shared" si="10"/>
        <v>268.25</v>
      </c>
      <c r="D220" s="231">
        <f t="shared" si="10"/>
        <v>268.25</v>
      </c>
      <c r="E220" s="231">
        <f t="shared" si="10"/>
        <v>259.75</v>
      </c>
      <c r="F220" s="231">
        <f t="shared" si="10"/>
        <v>232.75</v>
      </c>
      <c r="G220" s="231">
        <f t="shared" si="10"/>
        <v>127.5</v>
      </c>
      <c r="H220" s="231">
        <f t="shared" si="10"/>
        <v>124.5</v>
      </c>
      <c r="I220" s="231">
        <f t="shared" si="10"/>
        <v>1526.75</v>
      </c>
      <c r="J220" s="113" t="s">
        <v>0</v>
      </c>
    </row>
    <row r="221" spans="1:10" ht="15.75" thickBot="1">
      <c r="A221" s="5004" t="s">
        <v>691</v>
      </c>
      <c r="B221" s="4890">
        <f t="shared" ref="B221:I221" si="11">SUM(B220*52)</f>
        <v>13897</v>
      </c>
      <c r="C221" s="4890">
        <f t="shared" si="11"/>
        <v>13949</v>
      </c>
      <c r="D221" s="4890">
        <f t="shared" si="11"/>
        <v>13949</v>
      </c>
      <c r="E221" s="4890">
        <f t="shared" si="11"/>
        <v>13507</v>
      </c>
      <c r="F221" s="4890">
        <f t="shared" si="11"/>
        <v>12103</v>
      </c>
      <c r="G221" s="4890">
        <f t="shared" si="11"/>
        <v>6630</v>
      </c>
      <c r="H221" s="4890">
        <f t="shared" si="11"/>
        <v>6474</v>
      </c>
      <c r="I221" s="4890">
        <f t="shared" si="11"/>
        <v>79391</v>
      </c>
    </row>
    <row r="222" spans="1:10" ht="15.75" thickBot="1">
      <c r="A222" t="s">
        <v>875</v>
      </c>
      <c r="I222" s="199"/>
      <c r="J222" s="232">
        <f>SUM(I221/12)</f>
        <v>6615.916666666667</v>
      </c>
    </row>
    <row r="223" spans="1:10">
      <c r="A223" s="5126" t="s">
        <v>876</v>
      </c>
      <c r="B223" s="4199"/>
      <c r="C223" s="4199"/>
      <c r="D223" s="4199"/>
      <c r="E223" s="4902">
        <v>56</v>
      </c>
      <c r="F223" s="4199"/>
      <c r="G223" s="4199"/>
      <c r="H223" s="3834"/>
      <c r="I223" s="5127">
        <f>SUM(E223)*26</f>
        <v>1456</v>
      </c>
    </row>
    <row r="224" spans="1:10">
      <c r="A224" s="5128" t="s">
        <v>877</v>
      </c>
      <c r="B224" s="3568"/>
      <c r="C224" s="3568"/>
      <c r="D224" s="3568"/>
      <c r="E224" s="3568"/>
      <c r="F224" s="3568"/>
      <c r="G224" s="3568"/>
      <c r="H224" s="3568"/>
      <c r="I224" s="5129">
        <f>SUM(I223*2)</f>
        <v>2912</v>
      </c>
    </row>
    <row r="225" spans="1:10">
      <c r="A225" s="4994" t="s">
        <v>694</v>
      </c>
      <c r="B225" s="3692"/>
      <c r="C225" s="4975"/>
      <c r="D225" s="3568"/>
      <c r="E225" s="3568"/>
      <c r="F225" s="3568"/>
      <c r="G225" s="3568"/>
      <c r="H225" s="3568"/>
      <c r="I225" s="5129">
        <f>48*12</f>
        <v>576</v>
      </c>
    </row>
    <row r="226" spans="1:10" ht="15.75" thickBot="1">
      <c r="A226" s="5130" t="s">
        <v>688</v>
      </c>
      <c r="B226" s="3652"/>
      <c r="C226" s="3652"/>
      <c r="D226" s="3652"/>
      <c r="E226" s="3652"/>
      <c r="F226" s="3652"/>
      <c r="G226" s="3652"/>
      <c r="H226" s="3652"/>
      <c r="I226" s="5131">
        <f>SUM(I223:I225)</f>
        <v>4944</v>
      </c>
    </row>
    <row r="227" spans="1:10">
      <c r="I227" s="199"/>
    </row>
    <row r="228" spans="1:10">
      <c r="I228" s="199"/>
    </row>
    <row r="229" spans="1:10" ht="15.75" thickBot="1">
      <c r="A229" s="4977" t="s">
        <v>695</v>
      </c>
      <c r="B229" s="4977"/>
      <c r="C229" s="4977"/>
      <c r="D229" s="4977"/>
      <c r="E229" s="4977"/>
      <c r="F229" s="4977"/>
      <c r="G229" s="4977"/>
      <c r="H229" s="4977"/>
      <c r="I229" s="4979">
        <f>SUM(I221,I226)</f>
        <v>84335</v>
      </c>
      <c r="J229" t="s">
        <v>878</v>
      </c>
    </row>
    <row r="230" spans="1:10" ht="15.75" thickTop="1"/>
    <row r="233" spans="1:10" ht="15.75" thickBot="1">
      <c r="A233" s="1" t="s">
        <v>879</v>
      </c>
      <c r="B233" s="113"/>
      <c r="C233" s="113"/>
      <c r="D233" s="113"/>
      <c r="E233" s="113"/>
      <c r="F233" s="100"/>
      <c r="G233" s="100"/>
      <c r="H233" s="100"/>
      <c r="I233" s="113"/>
      <c r="J233" s="18"/>
    </row>
    <row r="234" spans="1:10" ht="15.75" thickBot="1">
      <c r="A234" s="4917" t="s">
        <v>880</v>
      </c>
      <c r="B234" s="4918" t="s">
        <v>87</v>
      </c>
      <c r="C234" s="4919" t="s">
        <v>88</v>
      </c>
      <c r="D234" s="4919" t="s">
        <v>89</v>
      </c>
      <c r="E234" s="4919" t="s">
        <v>90</v>
      </c>
      <c r="F234" s="4919" t="s">
        <v>91</v>
      </c>
      <c r="G234" s="4919" t="s">
        <v>92</v>
      </c>
      <c r="H234" s="4920" t="s">
        <v>93</v>
      </c>
      <c r="I234" s="4921" t="s">
        <v>158</v>
      </c>
      <c r="J234" s="4922" t="s">
        <v>94</v>
      </c>
    </row>
    <row r="235" spans="1:10">
      <c r="A235" s="5132">
        <v>3700</v>
      </c>
      <c r="B235" s="4902" t="s">
        <v>881</v>
      </c>
      <c r="C235" s="4902" t="s">
        <v>881</v>
      </c>
      <c r="D235" s="4902" t="s">
        <v>881</v>
      </c>
      <c r="E235" s="4902" t="s">
        <v>881</v>
      </c>
      <c r="F235" s="4903" t="s">
        <v>882</v>
      </c>
      <c r="G235" s="4887"/>
      <c r="H235" s="3840" t="s">
        <v>0</v>
      </c>
      <c r="I235" s="3834"/>
      <c r="J235" s="4904" t="s">
        <v>0</v>
      </c>
    </row>
    <row r="236" spans="1:10" ht="15.75" thickBot="1">
      <c r="A236" s="5133"/>
      <c r="B236" s="4906"/>
      <c r="C236" s="4906"/>
      <c r="D236" s="4906"/>
      <c r="E236" s="4906"/>
      <c r="F236" s="4967"/>
      <c r="G236" s="4890"/>
      <c r="H236" s="5087" t="s">
        <v>0</v>
      </c>
      <c r="I236" s="4906">
        <f>SUM(B236:H236)</f>
        <v>0</v>
      </c>
      <c r="J236" s="4909"/>
    </row>
    <row r="237" spans="1:10">
      <c r="A237" s="129">
        <v>3700</v>
      </c>
      <c r="B237" s="171" t="s">
        <v>283</v>
      </c>
      <c r="C237" s="171" t="s">
        <v>283</v>
      </c>
      <c r="D237" s="171" t="s">
        <v>283</v>
      </c>
      <c r="E237" s="171" t="s">
        <v>283</v>
      </c>
      <c r="F237" s="172" t="s">
        <v>284</v>
      </c>
      <c r="G237" s="135"/>
      <c r="H237" s="233" t="s">
        <v>0</v>
      </c>
      <c r="I237" s="121"/>
      <c r="J237" s="178" t="s">
        <v>0</v>
      </c>
    </row>
    <row r="238" spans="1:10" ht="15.75" thickBot="1">
      <c r="A238" s="5134" t="s">
        <v>295</v>
      </c>
      <c r="B238" s="4906">
        <v>7.75</v>
      </c>
      <c r="C238" s="4906">
        <v>7.75</v>
      </c>
      <c r="D238" s="4906">
        <v>7.75</v>
      </c>
      <c r="E238" s="4906">
        <v>7.75</v>
      </c>
      <c r="F238" s="4967">
        <v>6</v>
      </c>
      <c r="G238" s="4890"/>
      <c r="H238" s="5087" t="s">
        <v>0</v>
      </c>
      <c r="I238" s="4906">
        <f>SUM(B238:H238)</f>
        <v>37</v>
      </c>
      <c r="J238" s="4909"/>
    </row>
    <row r="239" spans="1:10">
      <c r="A239" s="5132">
        <v>3701</v>
      </c>
      <c r="B239" s="4902" t="s">
        <v>283</v>
      </c>
      <c r="C239" s="4902" t="s">
        <v>283</v>
      </c>
      <c r="D239" s="4902" t="s">
        <v>283</v>
      </c>
      <c r="E239" s="4902" t="s">
        <v>283</v>
      </c>
      <c r="F239" s="4903" t="s">
        <v>284</v>
      </c>
      <c r="G239" s="4887"/>
      <c r="H239" s="3840" t="s">
        <v>0</v>
      </c>
      <c r="I239" s="3834"/>
      <c r="J239" s="4904" t="s">
        <v>0</v>
      </c>
    </row>
    <row r="240" spans="1:10" ht="15.75" thickBot="1">
      <c r="A240" s="5133" t="s">
        <v>883</v>
      </c>
      <c r="B240" s="4906">
        <v>7.75</v>
      </c>
      <c r="C240" s="4906">
        <v>7.75</v>
      </c>
      <c r="D240" s="4906">
        <v>7.75</v>
      </c>
      <c r="E240" s="4906">
        <v>7.75</v>
      </c>
      <c r="F240" s="4967">
        <v>6</v>
      </c>
      <c r="G240" s="4890"/>
      <c r="H240" s="5087" t="s">
        <v>0</v>
      </c>
      <c r="I240" s="4906">
        <f>SUM(B240:H240)</f>
        <v>37</v>
      </c>
      <c r="J240" s="4909"/>
    </row>
    <row r="241" spans="1:10">
      <c r="A241" s="5132">
        <v>3701</v>
      </c>
      <c r="B241" s="4902" t="s">
        <v>283</v>
      </c>
      <c r="C241" s="4902" t="s">
        <v>283</v>
      </c>
      <c r="D241" s="4902" t="s">
        <v>283</v>
      </c>
      <c r="E241" s="4902" t="s">
        <v>283</v>
      </c>
      <c r="F241" s="4903" t="s">
        <v>284</v>
      </c>
      <c r="G241" s="4887"/>
      <c r="H241" s="3840" t="s">
        <v>0</v>
      </c>
      <c r="I241" s="3834"/>
      <c r="J241" s="4904" t="s">
        <v>0</v>
      </c>
    </row>
    <row r="242" spans="1:10" ht="15.75" thickBot="1">
      <c r="A242" s="5133" t="s">
        <v>884</v>
      </c>
      <c r="B242" s="4906">
        <v>7.75</v>
      </c>
      <c r="C242" s="4906">
        <v>7.75</v>
      </c>
      <c r="D242" s="4906">
        <v>7.75</v>
      </c>
      <c r="E242" s="4906">
        <v>7.75</v>
      </c>
      <c r="F242" s="4967">
        <v>6</v>
      </c>
      <c r="G242" s="4890"/>
      <c r="H242" s="5087" t="s">
        <v>0</v>
      </c>
      <c r="I242" s="4906">
        <f>SUM(B242:H242)</f>
        <v>37</v>
      </c>
      <c r="J242" s="4909"/>
    </row>
    <row r="243" spans="1:10">
      <c r="A243" s="129">
        <v>3701</v>
      </c>
      <c r="B243" s="171" t="s">
        <v>283</v>
      </c>
      <c r="C243" s="171" t="s">
        <v>283</v>
      </c>
      <c r="D243" s="171" t="s">
        <v>283</v>
      </c>
      <c r="E243" s="171" t="s">
        <v>283</v>
      </c>
      <c r="F243" s="172" t="s">
        <v>284</v>
      </c>
      <c r="G243" s="135"/>
      <c r="H243" s="233" t="s">
        <v>0</v>
      </c>
      <c r="I243" s="121"/>
      <c r="J243" s="178" t="s">
        <v>0</v>
      </c>
    </row>
    <row r="244" spans="1:10" ht="15.75" thickBot="1">
      <c r="A244" s="5134" t="s">
        <v>305</v>
      </c>
      <c r="B244" s="4906">
        <v>7.75</v>
      </c>
      <c r="C244" s="4906">
        <v>7.75</v>
      </c>
      <c r="D244" s="4906">
        <v>7.75</v>
      </c>
      <c r="E244" s="4906">
        <v>7.75</v>
      </c>
      <c r="F244" s="4967">
        <v>6</v>
      </c>
      <c r="G244" s="4890"/>
      <c r="H244" s="5087" t="s">
        <v>0</v>
      </c>
      <c r="I244" s="4906">
        <f>SUM(B244:H244)</f>
        <v>37</v>
      </c>
      <c r="J244" s="4909"/>
    </row>
    <row r="245" spans="1:10">
      <c r="A245" s="3496">
        <v>3701</v>
      </c>
      <c r="B245" s="4902" t="s">
        <v>283</v>
      </c>
      <c r="C245" s="4902" t="s">
        <v>283</v>
      </c>
      <c r="D245" s="4902" t="s">
        <v>283</v>
      </c>
      <c r="E245" s="4902" t="s">
        <v>283</v>
      </c>
      <c r="F245" s="4903" t="s">
        <v>284</v>
      </c>
      <c r="G245" s="4887"/>
      <c r="H245" s="3840" t="s">
        <v>0</v>
      </c>
      <c r="I245" s="3834"/>
      <c r="J245" s="4904" t="s">
        <v>0</v>
      </c>
    </row>
    <row r="246" spans="1:10" ht="15.75" thickBot="1">
      <c r="A246" s="5134"/>
      <c r="B246" s="4906">
        <v>7.75</v>
      </c>
      <c r="C246" s="4906">
        <v>7.75</v>
      </c>
      <c r="D246" s="4906">
        <v>7.75</v>
      </c>
      <c r="E246" s="4906">
        <v>7.75</v>
      </c>
      <c r="F246" s="4967">
        <v>6</v>
      </c>
      <c r="G246" s="4890"/>
      <c r="H246" s="5087" t="s">
        <v>0</v>
      </c>
      <c r="I246" s="4906">
        <f>SUM(B246:H246)</f>
        <v>37</v>
      </c>
      <c r="J246" s="4909"/>
    </row>
    <row r="247" spans="1:10">
      <c r="A247" s="3496">
        <v>3701</v>
      </c>
      <c r="B247" s="4902" t="s">
        <v>283</v>
      </c>
      <c r="C247" s="4902" t="s">
        <v>283</v>
      </c>
      <c r="D247" s="4902" t="s">
        <v>283</v>
      </c>
      <c r="E247" s="4902" t="s">
        <v>283</v>
      </c>
      <c r="F247" s="4903" t="s">
        <v>284</v>
      </c>
      <c r="G247" s="4887"/>
      <c r="H247" s="3840" t="s">
        <v>0</v>
      </c>
      <c r="I247" s="3834"/>
      <c r="J247" s="4904" t="s">
        <v>0</v>
      </c>
    </row>
    <row r="248" spans="1:10" ht="15.75" thickBot="1">
      <c r="A248" s="5134" t="s">
        <v>885</v>
      </c>
      <c r="B248" s="4906">
        <v>7.75</v>
      </c>
      <c r="C248" s="4906">
        <v>7.75</v>
      </c>
      <c r="D248" s="4906">
        <v>7.75</v>
      </c>
      <c r="E248" s="4906">
        <v>7.75</v>
      </c>
      <c r="F248" s="4967">
        <v>6</v>
      </c>
      <c r="G248" s="4890"/>
      <c r="H248" s="5087" t="s">
        <v>0</v>
      </c>
      <c r="I248" s="4906">
        <f>SUM(B248:H248)</f>
        <v>37</v>
      </c>
      <c r="J248" s="4909"/>
    </row>
    <row r="249" spans="1:10">
      <c r="A249" s="3496">
        <v>3701</v>
      </c>
      <c r="B249" s="4902" t="s">
        <v>283</v>
      </c>
      <c r="C249" s="4902" t="s">
        <v>283</v>
      </c>
      <c r="D249" s="4902" t="s">
        <v>283</v>
      </c>
      <c r="E249" s="4902" t="s">
        <v>283</v>
      </c>
      <c r="F249" s="4903" t="s">
        <v>284</v>
      </c>
      <c r="G249" s="4887"/>
      <c r="H249" s="3840" t="s">
        <v>0</v>
      </c>
      <c r="I249" s="3834"/>
      <c r="J249" s="4904" t="s">
        <v>0</v>
      </c>
    </row>
    <row r="250" spans="1:10" ht="15.75" thickBot="1">
      <c r="A250" s="5134" t="s">
        <v>297</v>
      </c>
      <c r="B250" s="4906">
        <v>7.75</v>
      </c>
      <c r="C250" s="4906">
        <v>7.75</v>
      </c>
      <c r="D250" s="4906">
        <v>7.75</v>
      </c>
      <c r="E250" s="4906">
        <v>7.75</v>
      </c>
      <c r="F250" s="4967">
        <v>6</v>
      </c>
      <c r="G250" s="4890"/>
      <c r="H250" s="5087" t="s">
        <v>0</v>
      </c>
      <c r="I250" s="4906">
        <f>SUM(B250:H250)</f>
        <v>37</v>
      </c>
      <c r="J250" s="4909"/>
    </row>
    <row r="251" spans="1:10">
      <c r="A251" s="3496">
        <v>3701</v>
      </c>
      <c r="B251" s="4902" t="s">
        <v>283</v>
      </c>
      <c r="C251" s="4902" t="s">
        <v>283</v>
      </c>
      <c r="D251" s="4902" t="s">
        <v>283</v>
      </c>
      <c r="E251" s="4902" t="s">
        <v>283</v>
      </c>
      <c r="F251" s="4903" t="s">
        <v>284</v>
      </c>
      <c r="G251" s="4887"/>
      <c r="H251" s="3840" t="s">
        <v>0</v>
      </c>
      <c r="I251" s="3834"/>
      <c r="J251" s="4904" t="s">
        <v>0</v>
      </c>
    </row>
    <row r="252" spans="1:10" ht="15.75" thickBot="1">
      <c r="A252" s="5134" t="s">
        <v>298</v>
      </c>
      <c r="B252" s="4906">
        <v>7.75</v>
      </c>
      <c r="C252" s="4906">
        <v>7.75</v>
      </c>
      <c r="D252" s="4906">
        <v>7.75</v>
      </c>
      <c r="E252" s="4906">
        <v>7.75</v>
      </c>
      <c r="F252" s="4967">
        <v>6</v>
      </c>
      <c r="G252" s="4890"/>
      <c r="H252" s="5087" t="s">
        <v>0</v>
      </c>
      <c r="I252" s="4906">
        <f>SUM(B252:H252)</f>
        <v>37</v>
      </c>
      <c r="J252" s="4909"/>
    </row>
    <row r="253" spans="1:10">
      <c r="A253" s="3496">
        <v>3701</v>
      </c>
      <c r="B253" s="4902" t="s">
        <v>283</v>
      </c>
      <c r="C253" s="4902" t="s">
        <v>283</v>
      </c>
      <c r="D253" s="4902" t="s">
        <v>283</v>
      </c>
      <c r="E253" s="4902" t="s">
        <v>283</v>
      </c>
      <c r="F253" s="4903" t="s">
        <v>284</v>
      </c>
      <c r="G253" s="4887"/>
      <c r="H253" s="3840" t="s">
        <v>0</v>
      </c>
      <c r="I253" s="3834"/>
      <c r="J253" s="4904" t="s">
        <v>0</v>
      </c>
    </row>
    <row r="254" spans="1:10" ht="15.75" thickBot="1">
      <c r="A254" s="5134" t="s">
        <v>886</v>
      </c>
      <c r="B254" s="4906">
        <v>7.75</v>
      </c>
      <c r="C254" s="4906">
        <v>7.75</v>
      </c>
      <c r="D254" s="4906">
        <v>7.75</v>
      </c>
      <c r="E254" s="4906">
        <v>7.75</v>
      </c>
      <c r="F254" s="4967">
        <v>6</v>
      </c>
      <c r="G254" s="4890"/>
      <c r="H254" s="5087" t="s">
        <v>0</v>
      </c>
      <c r="I254" s="4906">
        <f>SUM(B254:H254)</f>
        <v>37</v>
      </c>
      <c r="J254" s="4909"/>
    </row>
    <row r="255" spans="1:10">
      <c r="A255" s="3496">
        <v>3701</v>
      </c>
      <c r="B255" s="4902" t="s">
        <v>283</v>
      </c>
      <c r="C255" s="4902" t="s">
        <v>283</v>
      </c>
      <c r="D255" s="4902" t="s">
        <v>283</v>
      </c>
      <c r="E255" s="4902" t="s">
        <v>283</v>
      </c>
      <c r="F255" s="4903" t="s">
        <v>284</v>
      </c>
      <c r="G255" s="4887"/>
      <c r="H255" s="3840" t="s">
        <v>0</v>
      </c>
      <c r="I255" s="3834"/>
      <c r="J255" s="4904" t="s">
        <v>0</v>
      </c>
    </row>
    <row r="256" spans="1:10" ht="15.75" thickBot="1">
      <c r="A256" s="5134" t="s">
        <v>887</v>
      </c>
      <c r="B256" s="4906">
        <v>7.75</v>
      </c>
      <c r="C256" s="4906">
        <v>7.75</v>
      </c>
      <c r="D256" s="4906">
        <v>7.75</v>
      </c>
      <c r="E256" s="4906">
        <v>7.75</v>
      </c>
      <c r="F256" s="4967">
        <v>6</v>
      </c>
      <c r="G256" s="4890"/>
      <c r="H256" s="5087" t="s">
        <v>0</v>
      </c>
      <c r="I256" s="4906">
        <f>SUM(B256:H256)</f>
        <v>37</v>
      </c>
      <c r="J256" s="4909"/>
    </row>
    <row r="257" spans="1:10">
      <c r="A257" s="3496">
        <v>3701</v>
      </c>
      <c r="B257" s="4902" t="s">
        <v>283</v>
      </c>
      <c r="C257" s="4902" t="s">
        <v>283</v>
      </c>
      <c r="D257" s="4902" t="s">
        <v>283</v>
      </c>
      <c r="E257" s="4902" t="s">
        <v>283</v>
      </c>
      <c r="F257" s="4903" t="s">
        <v>284</v>
      </c>
      <c r="G257" s="4887"/>
      <c r="H257" s="3840" t="s">
        <v>0</v>
      </c>
      <c r="I257" s="3834"/>
      <c r="J257" s="4904" t="s">
        <v>0</v>
      </c>
    </row>
    <row r="258" spans="1:10" ht="15.75" thickBot="1">
      <c r="A258" s="5134" t="s">
        <v>888</v>
      </c>
      <c r="B258" s="4906">
        <v>7.75</v>
      </c>
      <c r="C258" s="4906">
        <v>7.75</v>
      </c>
      <c r="D258" s="4906">
        <v>7.75</v>
      </c>
      <c r="E258" s="4906">
        <v>7.75</v>
      </c>
      <c r="F258" s="4967">
        <v>6</v>
      </c>
      <c r="G258" s="4890"/>
      <c r="H258" s="5087" t="s">
        <v>0</v>
      </c>
      <c r="I258" s="4906">
        <f>SUM(B258:H258)</f>
        <v>37</v>
      </c>
      <c r="J258" s="4909"/>
    </row>
    <row r="259" spans="1:10">
      <c r="A259" s="3496">
        <v>3701</v>
      </c>
      <c r="B259" s="4902" t="s">
        <v>283</v>
      </c>
      <c r="C259" s="4902" t="s">
        <v>283</v>
      </c>
      <c r="D259" s="4902" t="s">
        <v>283</v>
      </c>
      <c r="E259" s="4902" t="s">
        <v>283</v>
      </c>
      <c r="F259" s="4903" t="s">
        <v>284</v>
      </c>
      <c r="G259" s="4887"/>
      <c r="H259" s="3840" t="s">
        <v>0</v>
      </c>
      <c r="I259" s="3834"/>
      <c r="J259" s="4904" t="s">
        <v>0</v>
      </c>
    </row>
    <row r="260" spans="1:10" ht="15.75" thickBot="1">
      <c r="A260" s="5134" t="s">
        <v>889</v>
      </c>
      <c r="B260" s="4906">
        <v>7.75</v>
      </c>
      <c r="C260" s="4906">
        <v>7.75</v>
      </c>
      <c r="D260" s="4906">
        <v>7.75</v>
      </c>
      <c r="E260" s="4906">
        <v>7.75</v>
      </c>
      <c r="F260" s="4967">
        <v>6</v>
      </c>
      <c r="G260" s="4890"/>
      <c r="H260" s="5087" t="s">
        <v>0</v>
      </c>
      <c r="I260" s="4906">
        <f>SUM(B260:H260)</f>
        <v>37</v>
      </c>
      <c r="J260" s="4909"/>
    </row>
    <row r="261" spans="1:10">
      <c r="A261" s="3496">
        <v>3701</v>
      </c>
      <c r="B261" s="4902" t="s">
        <v>283</v>
      </c>
      <c r="C261" s="4902" t="s">
        <v>283</v>
      </c>
      <c r="D261" s="4902" t="s">
        <v>283</v>
      </c>
      <c r="E261" s="4902" t="s">
        <v>283</v>
      </c>
      <c r="F261" s="4903" t="s">
        <v>284</v>
      </c>
      <c r="G261" s="4887"/>
      <c r="H261" s="3840" t="s">
        <v>0</v>
      </c>
      <c r="I261" s="3834"/>
      <c r="J261" s="4904" t="s">
        <v>0</v>
      </c>
    </row>
    <row r="262" spans="1:10" ht="15.75" thickBot="1">
      <c r="A262" s="5134"/>
      <c r="B262" s="4906"/>
      <c r="C262" s="4906"/>
      <c r="D262" s="4906"/>
      <c r="E262" s="4906"/>
      <c r="F262" s="4967"/>
      <c r="G262" s="4890"/>
      <c r="H262" s="5087" t="s">
        <v>0</v>
      </c>
      <c r="I262" s="4906">
        <f>SUM(B262:H262)</f>
        <v>0</v>
      </c>
      <c r="J262" s="4909"/>
    </row>
    <row r="263" spans="1:10">
      <c r="A263" s="3496">
        <v>3701</v>
      </c>
      <c r="B263" s="4902" t="s">
        <v>286</v>
      </c>
      <c r="C263" s="4902" t="s">
        <v>286</v>
      </c>
      <c r="D263" s="4902" t="s">
        <v>286</v>
      </c>
      <c r="E263" s="4902" t="s">
        <v>286</v>
      </c>
      <c r="F263" s="4903" t="s">
        <v>287</v>
      </c>
      <c r="G263" s="4887"/>
      <c r="H263" s="3840" t="s">
        <v>0</v>
      </c>
      <c r="I263" s="3834"/>
      <c r="J263" s="4904" t="s">
        <v>0</v>
      </c>
    </row>
    <row r="264" spans="1:10" ht="15.75" thickBot="1">
      <c r="A264" s="5134"/>
      <c r="B264" s="4906"/>
      <c r="C264" s="4906"/>
      <c r="D264" s="4906"/>
      <c r="E264" s="4906"/>
      <c r="F264" s="4967"/>
      <c r="G264" s="4890"/>
      <c r="H264" s="5087" t="s">
        <v>0</v>
      </c>
      <c r="I264" s="4906">
        <f>SUM(B264:H264)</f>
        <v>0</v>
      </c>
      <c r="J264" s="4909"/>
    </row>
    <row r="265" spans="1:10" ht="15.75" thickBot="1">
      <c r="A265" s="4915" t="s">
        <v>588</v>
      </c>
      <c r="B265" s="4915">
        <f t="shared" ref="B265:H265" si="12">SUM(B254,B256,B258,B260,B262,B264)</f>
        <v>31</v>
      </c>
      <c r="C265" s="4915">
        <f t="shared" si="12"/>
        <v>31</v>
      </c>
      <c r="D265" s="4915">
        <f t="shared" si="12"/>
        <v>31</v>
      </c>
      <c r="E265" s="4915">
        <f t="shared" si="12"/>
        <v>31</v>
      </c>
      <c r="F265" s="4915">
        <f t="shared" si="12"/>
        <v>24</v>
      </c>
      <c r="G265" s="4915">
        <f t="shared" si="12"/>
        <v>0</v>
      </c>
      <c r="H265" s="4915">
        <f t="shared" si="12"/>
        <v>0</v>
      </c>
      <c r="I265" s="4925">
        <f>SUM(I236,I238,I240,I242,I244,I246,I248,I250,I252,I254,I256,I258,I260,I262,I264)</f>
        <v>444</v>
      </c>
      <c r="J265" s="4926"/>
    </row>
    <row r="266" spans="1:10" ht="15.75" thickTop="1">
      <c r="A266" s="37"/>
      <c r="B266" s="113"/>
      <c r="C266" s="113"/>
      <c r="D266" s="113"/>
      <c r="E266" s="113"/>
      <c r="F266" s="100"/>
      <c r="G266" s="4984" t="s">
        <v>701</v>
      </c>
      <c r="H266" s="4984" t="s">
        <v>702</v>
      </c>
      <c r="I266" s="4984" t="s">
        <v>703</v>
      </c>
      <c r="J266" s="18"/>
    </row>
    <row r="267" spans="1:10">
      <c r="A267" s="37"/>
      <c r="B267" s="113"/>
      <c r="C267" s="113"/>
      <c r="D267" s="113"/>
      <c r="E267" s="113"/>
      <c r="F267" s="100"/>
      <c r="G267" s="3698">
        <f>I265</f>
        <v>444</v>
      </c>
      <c r="H267" s="4985">
        <f>SUM(G267*13/3)</f>
        <v>1924</v>
      </c>
      <c r="I267" s="3698">
        <f>SUM(H267*12)</f>
        <v>23088</v>
      </c>
      <c r="J267" s="18"/>
    </row>
  </sheetData>
  <sheetProtection algorithmName="SHA-512" hashValue="DpdKhsKPqKX+GuC+jSFjI3k08Zt7C/mS1jRNC1s7Miz75BGzeGCCywAXaUIRDrVjMcRV6KG0OdJycCqXWaOb1w==" saltValue="ZpOXoDlap9L31R3N6NWAGg==" spinCount="100000" sheet="1" objects="1" scenarios="1"/>
  <pageMargins left="0.7" right="0.7" top="0.75" bottom="0.75" header="0.3" footer="0.3"/>
  <pageSetup paperSize="9"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5F4A4-6DAF-45D7-B684-66E808005778}">
  <sheetPr codeName="Ark18"/>
  <dimension ref="A1:J298"/>
  <sheetViews>
    <sheetView workbookViewId="0">
      <selection activeCell="M38" sqref="M38"/>
    </sheetView>
  </sheetViews>
  <sheetFormatPr defaultRowHeight="15"/>
  <sheetData>
    <row r="1" spans="1:10" ht="24" thickBot="1">
      <c r="A1" s="1" t="s">
        <v>571</v>
      </c>
      <c r="B1" s="1"/>
      <c r="D1" s="170"/>
      <c r="E1" s="170"/>
    </row>
    <row r="2" spans="1:10">
      <c r="A2" s="4886" t="s">
        <v>697</v>
      </c>
      <c r="B2" s="4887" t="s">
        <v>87</v>
      </c>
      <c r="C2" s="4888" t="s">
        <v>88</v>
      </c>
      <c r="D2" s="4888" t="s">
        <v>89</v>
      </c>
      <c r="E2" s="4888" t="s">
        <v>90</v>
      </c>
      <c r="F2" s="4888" t="s">
        <v>91</v>
      </c>
      <c r="G2" s="4888" t="s">
        <v>92</v>
      </c>
      <c r="H2" s="3837" t="s">
        <v>93</v>
      </c>
      <c r="I2" s="3834" t="s">
        <v>158</v>
      </c>
      <c r="J2" s="4889" t="s">
        <v>94</v>
      </c>
    </row>
    <row r="3" spans="1:10">
      <c r="A3" s="116"/>
      <c r="B3" s="171" t="s">
        <v>194</v>
      </c>
      <c r="C3" s="171" t="s">
        <v>194</v>
      </c>
      <c r="D3" s="171" t="s">
        <v>194</v>
      </c>
      <c r="E3" s="171" t="s">
        <v>194</v>
      </c>
      <c r="F3" s="172" t="s">
        <v>698</v>
      </c>
      <c r="G3" s="173"/>
      <c r="H3" s="174"/>
      <c r="I3" s="121"/>
      <c r="J3" s="175"/>
    </row>
    <row r="4" spans="1:10">
      <c r="A4" s="81" t="s">
        <v>573</v>
      </c>
      <c r="B4" s="4958">
        <v>7.75</v>
      </c>
      <c r="C4" s="4958">
        <v>7.75</v>
      </c>
      <c r="D4" s="4958">
        <v>7.75</v>
      </c>
      <c r="E4" s="4958">
        <v>7.75</v>
      </c>
      <c r="F4" s="4959">
        <v>6</v>
      </c>
      <c r="G4" s="4960"/>
      <c r="H4" s="195"/>
      <c r="I4" s="4970">
        <f>SUM(B4:H4)</f>
        <v>37</v>
      </c>
      <c r="J4" s="5135"/>
    </row>
    <row r="5" spans="1:10" ht="15.75" thickBot="1">
      <c r="A5" s="3514" t="s">
        <v>890</v>
      </c>
      <c r="B5" s="5136" t="s">
        <v>891</v>
      </c>
      <c r="C5" s="5136" t="s">
        <v>891</v>
      </c>
      <c r="D5" s="5136" t="s">
        <v>891</v>
      </c>
      <c r="E5" s="5136" t="s">
        <v>891</v>
      </c>
      <c r="F5" s="5136" t="s">
        <v>892</v>
      </c>
      <c r="G5" s="3584"/>
      <c r="H5" s="3584"/>
      <c r="I5" s="4906"/>
      <c r="J5" s="5137"/>
    </row>
    <row r="6" spans="1:10">
      <c r="A6" s="113"/>
      <c r="E6" s="113"/>
      <c r="F6" s="100"/>
      <c r="G6" s="234" t="s">
        <v>701</v>
      </c>
      <c r="H6" s="234" t="s">
        <v>702</v>
      </c>
      <c r="I6" s="234" t="s">
        <v>703</v>
      </c>
      <c r="J6" s="15"/>
    </row>
    <row r="7" spans="1:10">
      <c r="A7" s="113"/>
      <c r="E7" s="113"/>
      <c r="F7" s="100"/>
      <c r="G7" s="3698">
        <f>I4</f>
        <v>37</v>
      </c>
      <c r="H7" s="4985">
        <f>SUM(G7*13/3)</f>
        <v>160.33333333333334</v>
      </c>
      <c r="I7" s="3698">
        <f>SUM(H7*12)</f>
        <v>1924</v>
      </c>
      <c r="J7" s="15"/>
    </row>
    <row r="8" spans="1:10" ht="24" thickBot="1">
      <c r="A8" s="122" t="s">
        <v>700</v>
      </c>
      <c r="D8" s="170"/>
      <c r="E8" s="170"/>
    </row>
    <row r="9" spans="1:10" ht="15.75" thickBot="1">
      <c r="A9" s="3833" t="s">
        <v>590</v>
      </c>
      <c r="B9" s="4896" t="s">
        <v>87</v>
      </c>
      <c r="C9" s="4897" t="s">
        <v>88</v>
      </c>
      <c r="D9" s="4897" t="s">
        <v>89</v>
      </c>
      <c r="E9" s="4897" t="s">
        <v>90</v>
      </c>
      <c r="F9" s="4897" t="s">
        <v>91</v>
      </c>
      <c r="G9" s="4897" t="s">
        <v>92</v>
      </c>
      <c r="H9" s="4898" t="s">
        <v>93</v>
      </c>
      <c r="I9" s="4899" t="s">
        <v>158</v>
      </c>
      <c r="J9" s="4900" t="s">
        <v>94</v>
      </c>
    </row>
    <row r="10" spans="1:10">
      <c r="A10" s="4901"/>
      <c r="B10" s="4903" t="s">
        <v>330</v>
      </c>
      <c r="C10" s="4903" t="s">
        <v>330</v>
      </c>
      <c r="D10" s="4903" t="s">
        <v>330</v>
      </c>
      <c r="E10" s="4903" t="s">
        <v>330</v>
      </c>
      <c r="F10" s="4903" t="s">
        <v>331</v>
      </c>
      <c r="G10" s="4903"/>
      <c r="H10" s="4903"/>
      <c r="I10" s="4257"/>
      <c r="J10" s="4904"/>
    </row>
    <row r="11" spans="1:10">
      <c r="A11" s="5138" t="s">
        <v>30</v>
      </c>
      <c r="B11" s="4981">
        <v>7.75</v>
      </c>
      <c r="C11" s="4981">
        <v>7.75</v>
      </c>
      <c r="D11" s="4981">
        <v>7.75</v>
      </c>
      <c r="E11" s="4981">
        <v>7.75</v>
      </c>
      <c r="F11" s="4981">
        <v>6</v>
      </c>
      <c r="G11" s="4981"/>
      <c r="H11" s="4981"/>
      <c r="I11" s="4981">
        <f>SUM(B11:H11)</f>
        <v>37</v>
      </c>
      <c r="J11" s="5139"/>
    </row>
    <row r="12" spans="1:10" ht="15.75" thickBot="1">
      <c r="A12" s="3514" t="s">
        <v>890</v>
      </c>
      <c r="B12" s="5136" t="s">
        <v>893</v>
      </c>
      <c r="C12" s="5136" t="s">
        <v>893</v>
      </c>
      <c r="D12" s="5136" t="s">
        <v>893</v>
      </c>
      <c r="E12" s="5136" t="s">
        <v>893</v>
      </c>
      <c r="F12" s="5136" t="s">
        <v>894</v>
      </c>
      <c r="G12" s="4967"/>
      <c r="H12" s="4967"/>
      <c r="I12" s="4967"/>
      <c r="J12" s="4969"/>
    </row>
    <row r="13" spans="1:10">
      <c r="A13" s="113"/>
      <c r="E13" s="113"/>
      <c r="F13" s="100"/>
      <c r="G13" s="234" t="s">
        <v>701</v>
      </c>
      <c r="H13" s="234" t="s">
        <v>702</v>
      </c>
      <c r="I13" s="234" t="s">
        <v>703</v>
      </c>
      <c r="J13" s="15"/>
    </row>
    <row r="14" spans="1:10">
      <c r="A14" s="113"/>
      <c r="E14" s="113"/>
      <c r="F14" s="100"/>
      <c r="G14" s="3698">
        <f>I11</f>
        <v>37</v>
      </c>
      <c r="H14" s="4985">
        <f>SUM(G14*13/3)</f>
        <v>160.33333333333334</v>
      </c>
      <c r="I14" s="3698">
        <f>SUM(H14*12)</f>
        <v>1924</v>
      </c>
      <c r="J14" s="15"/>
    </row>
    <row r="15" spans="1:10">
      <c r="A15" s="113"/>
      <c r="E15" s="113"/>
      <c r="F15" s="100"/>
      <c r="G15" s="113"/>
      <c r="H15" s="210"/>
      <c r="I15" s="113"/>
      <c r="J15" s="15"/>
    </row>
    <row r="16" spans="1:10">
      <c r="A16" s="113"/>
      <c r="E16" s="113"/>
      <c r="F16" s="100"/>
      <c r="G16" s="113"/>
      <c r="H16" s="210"/>
      <c r="I16" s="113"/>
      <c r="J16" s="15"/>
    </row>
    <row r="17" spans="1:10">
      <c r="A17" s="113"/>
      <c r="E17" s="113"/>
      <c r="F17" s="100"/>
      <c r="G17" s="113"/>
      <c r="H17" s="210"/>
      <c r="I17" s="113"/>
      <c r="J17" s="15"/>
    </row>
    <row r="18" spans="1:10">
      <c r="A18" s="113"/>
      <c r="E18" s="113"/>
      <c r="F18" s="100"/>
      <c r="G18" s="113"/>
      <c r="H18" s="210"/>
      <c r="I18" s="113"/>
      <c r="J18" s="15"/>
    </row>
    <row r="19" spans="1:10">
      <c r="A19" s="113"/>
      <c r="E19" s="113"/>
      <c r="F19" s="100"/>
      <c r="G19" s="113"/>
      <c r="H19" s="210"/>
      <c r="I19" s="113"/>
      <c r="J19" s="15"/>
    </row>
    <row r="20" spans="1:10">
      <c r="A20" s="113"/>
      <c r="E20" s="113"/>
      <c r="F20" s="100"/>
      <c r="G20" s="113"/>
      <c r="H20" s="210"/>
      <c r="I20" s="113"/>
      <c r="J20" s="15"/>
    </row>
    <row r="21" spans="1:10">
      <c r="A21" s="113"/>
      <c r="E21" s="113"/>
      <c r="F21" s="100"/>
      <c r="G21" s="113"/>
      <c r="H21" s="210"/>
      <c r="I21" s="113"/>
      <c r="J21" s="15"/>
    </row>
    <row r="22" spans="1:10">
      <c r="A22" s="113"/>
      <c r="E22" s="113"/>
      <c r="F22" s="100"/>
      <c r="G22" s="113"/>
      <c r="H22" s="210"/>
      <c r="I22" s="113"/>
      <c r="J22" s="15"/>
    </row>
    <row r="23" spans="1:10">
      <c r="A23" s="113"/>
      <c r="E23" s="113"/>
      <c r="F23" s="100"/>
      <c r="G23" s="113"/>
      <c r="H23" s="210"/>
      <c r="I23" s="113"/>
      <c r="J23" s="15"/>
    </row>
    <row r="24" spans="1:10">
      <c r="A24" s="113"/>
      <c r="E24" s="113"/>
      <c r="F24" s="100"/>
      <c r="G24" s="113"/>
      <c r="H24" s="210"/>
      <c r="I24" s="113"/>
      <c r="J24" s="15"/>
    </row>
    <row r="25" spans="1:10">
      <c r="A25" s="113"/>
      <c r="E25" s="113"/>
      <c r="F25" s="100"/>
      <c r="G25" s="113"/>
      <c r="H25" s="210"/>
      <c r="I25" s="113"/>
      <c r="J25" s="15"/>
    </row>
    <row r="26" spans="1:10">
      <c r="A26" s="113"/>
      <c r="E26" s="113"/>
      <c r="F26" s="100"/>
      <c r="G26" s="113"/>
      <c r="H26" s="210"/>
      <c r="I26" s="113"/>
      <c r="J26" s="15"/>
    </row>
    <row r="27" spans="1:10">
      <c r="A27" s="113"/>
      <c r="E27" s="113"/>
      <c r="F27" s="100"/>
      <c r="G27" s="113"/>
      <c r="H27" s="210"/>
      <c r="I27" s="113"/>
      <c r="J27" s="15"/>
    </row>
    <row r="28" spans="1:10">
      <c r="A28" s="113"/>
      <c r="E28" s="113"/>
      <c r="F28" s="100"/>
      <c r="G28" s="113"/>
      <c r="H28" s="210"/>
      <c r="I28" s="113"/>
      <c r="J28" s="15"/>
    </row>
    <row r="29" spans="1:10">
      <c r="A29" s="113"/>
      <c r="E29" s="113"/>
      <c r="F29" s="100"/>
      <c r="G29" s="113"/>
      <c r="H29" s="210"/>
      <c r="I29" s="113"/>
      <c r="J29" s="15"/>
    </row>
    <row r="30" spans="1:10">
      <c r="A30" s="113"/>
      <c r="E30" s="113"/>
      <c r="F30" s="100"/>
      <c r="G30" s="113"/>
      <c r="H30" s="210"/>
      <c r="I30" s="113"/>
      <c r="J30" s="15"/>
    </row>
    <row r="31" spans="1:10">
      <c r="A31" s="113"/>
      <c r="E31" s="113"/>
      <c r="F31" s="100"/>
      <c r="G31" s="113"/>
      <c r="H31" s="210"/>
      <c r="I31" s="113"/>
      <c r="J31" s="15"/>
    </row>
    <row r="32" spans="1:10">
      <c r="A32" s="113"/>
      <c r="E32" s="113"/>
      <c r="F32" s="100"/>
      <c r="G32" s="113"/>
      <c r="H32" s="210"/>
      <c r="I32" s="113"/>
      <c r="J32" s="15"/>
    </row>
    <row r="33" spans="1:10" ht="24" thickBot="1">
      <c r="A33" s="1" t="s">
        <v>19</v>
      </c>
      <c r="B33" s="1"/>
      <c r="D33" s="170"/>
      <c r="E33" s="170"/>
    </row>
    <row r="34" spans="1:10" ht="15.75" thickBot="1">
      <c r="A34" s="3833" t="s">
        <v>574</v>
      </c>
      <c r="B34" s="4896" t="s">
        <v>87</v>
      </c>
      <c r="C34" s="4897" t="s">
        <v>88</v>
      </c>
      <c r="D34" s="4897" t="s">
        <v>89</v>
      </c>
      <c r="E34" s="4897" t="s">
        <v>90</v>
      </c>
      <c r="F34" s="4897" t="s">
        <v>91</v>
      </c>
      <c r="G34" s="4897" t="s">
        <v>92</v>
      </c>
      <c r="H34" s="4898" t="s">
        <v>93</v>
      </c>
      <c r="I34" s="4899" t="s">
        <v>158</v>
      </c>
      <c r="J34" s="4900" t="s">
        <v>94</v>
      </c>
    </row>
    <row r="35" spans="1:10">
      <c r="A35" s="4986" t="s">
        <v>0</v>
      </c>
      <c r="B35" s="4888" t="s">
        <v>704</v>
      </c>
      <c r="C35" s="4888" t="s">
        <v>704</v>
      </c>
      <c r="D35" s="4888" t="s">
        <v>704</v>
      </c>
      <c r="E35" s="4888" t="s">
        <v>704</v>
      </c>
      <c r="F35" s="4888" t="s">
        <v>704</v>
      </c>
      <c r="G35" s="4888" t="s">
        <v>705</v>
      </c>
      <c r="H35" s="4888" t="s">
        <v>705</v>
      </c>
      <c r="I35" s="4257"/>
      <c r="J35" s="4987" t="s">
        <v>706</v>
      </c>
    </row>
    <row r="36" spans="1:10">
      <c r="A36" s="5140" t="s">
        <v>38</v>
      </c>
      <c r="B36" s="5104">
        <v>8.25</v>
      </c>
      <c r="C36" s="5104">
        <v>8.25</v>
      </c>
      <c r="D36" s="4959">
        <v>8.25</v>
      </c>
      <c r="E36" s="4959">
        <v>8.25</v>
      </c>
      <c r="F36" s="4959">
        <v>8.25</v>
      </c>
      <c r="G36" s="4959">
        <v>12.25</v>
      </c>
      <c r="H36" s="4959">
        <v>12.25</v>
      </c>
      <c r="I36" s="4993">
        <f>SUM(B36:H36)</f>
        <v>65.75</v>
      </c>
      <c r="J36" s="5141" t="s">
        <v>708</v>
      </c>
    </row>
    <row r="37" spans="1:10" ht="15.75" thickBot="1">
      <c r="A37" s="5103" t="s">
        <v>890</v>
      </c>
      <c r="B37" s="3661" t="s">
        <v>895</v>
      </c>
      <c r="C37" s="3661" t="s">
        <v>895</v>
      </c>
      <c r="D37" s="3661" t="s">
        <v>895</v>
      </c>
      <c r="E37" s="3661" t="s">
        <v>895</v>
      </c>
      <c r="F37" s="3661" t="s">
        <v>895</v>
      </c>
      <c r="G37" s="3661" t="s">
        <v>896</v>
      </c>
      <c r="H37" s="3661" t="s">
        <v>897</v>
      </c>
      <c r="I37" s="5104"/>
      <c r="J37" s="5142"/>
    </row>
    <row r="38" spans="1:10">
      <c r="A38" s="4986" t="s">
        <v>0</v>
      </c>
      <c r="B38" s="4902" t="s">
        <v>172</v>
      </c>
      <c r="C38" s="4902" t="s">
        <v>172</v>
      </c>
      <c r="D38" s="4902" t="s">
        <v>172</v>
      </c>
      <c r="E38" s="4902" t="s">
        <v>172</v>
      </c>
      <c r="F38" s="4902" t="s">
        <v>172</v>
      </c>
      <c r="G38" s="4257"/>
      <c r="H38" s="4257"/>
      <c r="I38" s="4257"/>
      <c r="J38" s="4997" t="s">
        <v>710</v>
      </c>
    </row>
    <row r="39" spans="1:10">
      <c r="A39" s="5143" t="s">
        <v>711</v>
      </c>
      <c r="B39" s="4981"/>
      <c r="C39" s="4981"/>
      <c r="D39" s="4981"/>
      <c r="E39" s="4981"/>
      <c r="F39" s="4981"/>
      <c r="G39" s="3693"/>
      <c r="H39" s="3693"/>
      <c r="I39" s="4981">
        <f>SUM(B39:H39)</f>
        <v>0</v>
      </c>
      <c r="J39" s="5144" t="s">
        <v>22</v>
      </c>
    </row>
    <row r="40" spans="1:10" ht="15.75" thickBot="1">
      <c r="A40" s="5103" t="s">
        <v>890</v>
      </c>
      <c r="B40" s="3661" t="s">
        <v>898</v>
      </c>
      <c r="C40" s="3661" t="s">
        <v>898</v>
      </c>
      <c r="D40" s="3661" t="s">
        <v>898</v>
      </c>
      <c r="E40" s="3661" t="s">
        <v>898</v>
      </c>
      <c r="F40" s="3661" t="s">
        <v>898</v>
      </c>
      <c r="G40" s="5145"/>
      <c r="H40" s="5145"/>
      <c r="I40" s="5104"/>
      <c r="J40" s="5142"/>
    </row>
    <row r="41" spans="1:10">
      <c r="A41" s="4986" t="s">
        <v>0</v>
      </c>
      <c r="B41" s="4888" t="s">
        <v>712</v>
      </c>
      <c r="C41" s="4888" t="s">
        <v>712</v>
      </c>
      <c r="D41" s="4888" t="s">
        <v>712</v>
      </c>
      <c r="E41" s="4888" t="s">
        <v>712</v>
      </c>
      <c r="F41" s="4888" t="s">
        <v>712</v>
      </c>
      <c r="G41" s="4999"/>
      <c r="H41" s="4999"/>
      <c r="I41" s="4257"/>
      <c r="J41" s="4997" t="s">
        <v>713</v>
      </c>
    </row>
    <row r="42" spans="1:10">
      <c r="A42" s="5146" t="s">
        <v>350</v>
      </c>
      <c r="B42" s="4981">
        <v>8.25</v>
      </c>
      <c r="C42" s="4981">
        <v>8.25</v>
      </c>
      <c r="D42" s="4981">
        <v>8.25</v>
      </c>
      <c r="E42" s="4981">
        <v>8.25</v>
      </c>
      <c r="F42" s="4981">
        <v>8.25</v>
      </c>
      <c r="G42" s="4981"/>
      <c r="H42" s="4981"/>
      <c r="I42" s="4981">
        <f>SUM(B42:H42)</f>
        <v>41.25</v>
      </c>
      <c r="J42" s="5144"/>
    </row>
    <row r="43" spans="1:10" ht="15.75" thickBot="1">
      <c r="A43" s="5103" t="s">
        <v>890</v>
      </c>
      <c r="B43" s="3661" t="s">
        <v>899</v>
      </c>
      <c r="C43" s="3661" t="s">
        <v>899</v>
      </c>
      <c r="D43" s="3661" t="s">
        <v>899</v>
      </c>
      <c r="E43" s="3661" t="s">
        <v>899</v>
      </c>
      <c r="F43" s="3661" t="s">
        <v>899</v>
      </c>
      <c r="G43" s="5104"/>
      <c r="H43" s="5104"/>
      <c r="I43" s="5104"/>
      <c r="J43" s="5142" t="s">
        <v>714</v>
      </c>
    </row>
    <row r="44" spans="1:10">
      <c r="A44" s="4986" t="s">
        <v>0</v>
      </c>
      <c r="B44" s="4888" t="s">
        <v>715</v>
      </c>
      <c r="C44" s="4888" t="s">
        <v>715</v>
      </c>
      <c r="D44" s="4888" t="s">
        <v>715</v>
      </c>
      <c r="E44" s="4888" t="s">
        <v>715</v>
      </c>
      <c r="F44" s="4888" t="s">
        <v>715</v>
      </c>
      <c r="G44" s="4999" t="s">
        <v>716</v>
      </c>
      <c r="H44" s="4999" t="s">
        <v>716</v>
      </c>
      <c r="I44" s="4257"/>
      <c r="J44" s="4884"/>
    </row>
    <row r="45" spans="1:10">
      <c r="A45" s="5143" t="s">
        <v>33</v>
      </c>
      <c r="B45" s="4981">
        <v>8</v>
      </c>
      <c r="C45" s="4981">
        <v>8</v>
      </c>
      <c r="D45" s="4981">
        <v>8</v>
      </c>
      <c r="E45" s="4981">
        <v>8</v>
      </c>
      <c r="F45" s="4981">
        <v>8</v>
      </c>
      <c r="G45" s="4981">
        <v>12.25</v>
      </c>
      <c r="H45" s="4981">
        <v>12.25</v>
      </c>
      <c r="I45" s="4981">
        <f>SUM(B45:H45)</f>
        <v>64.5</v>
      </c>
      <c r="J45" s="4885"/>
    </row>
    <row r="46" spans="1:10" ht="15.75" thickBot="1">
      <c r="A46" s="5103" t="s">
        <v>890</v>
      </c>
      <c r="B46" s="3661" t="s">
        <v>900</v>
      </c>
      <c r="C46" s="3661" t="s">
        <v>900</v>
      </c>
      <c r="D46" s="3661" t="s">
        <v>900</v>
      </c>
      <c r="E46" s="3661" t="s">
        <v>900</v>
      </c>
      <c r="F46" s="3661" t="s">
        <v>900</v>
      </c>
      <c r="G46" s="3661" t="s">
        <v>901</v>
      </c>
      <c r="H46" s="3661" t="s">
        <v>901</v>
      </c>
      <c r="I46" s="5104"/>
      <c r="J46" s="4964"/>
    </row>
    <row r="47" spans="1:10">
      <c r="A47" s="4986" t="s">
        <v>0</v>
      </c>
      <c r="B47" s="4902" t="s">
        <v>172</v>
      </c>
      <c r="C47" s="4902" t="s">
        <v>172</v>
      </c>
      <c r="D47" s="4902" t="s">
        <v>172</v>
      </c>
      <c r="E47" s="4902" t="s">
        <v>172</v>
      </c>
      <c r="F47" s="4902" t="s">
        <v>172</v>
      </c>
      <c r="G47" s="5002"/>
      <c r="H47" s="4257"/>
      <c r="I47" s="4257"/>
      <c r="J47" s="4884"/>
    </row>
    <row r="48" spans="1:10">
      <c r="A48" s="5143" t="s">
        <v>718</v>
      </c>
      <c r="B48" s="3698"/>
      <c r="C48" s="3698"/>
      <c r="D48" s="3698"/>
      <c r="E48" s="3698"/>
      <c r="F48" s="3698"/>
      <c r="G48" s="3710"/>
      <c r="H48" s="3693"/>
      <c r="I48" s="4981">
        <f>SUM(B48:H48)</f>
        <v>0</v>
      </c>
      <c r="J48" s="4885"/>
    </row>
    <row r="49" spans="1:10" ht="15.75" thickBot="1">
      <c r="A49" s="5103" t="s">
        <v>890</v>
      </c>
      <c r="B49" s="3661" t="s">
        <v>898</v>
      </c>
      <c r="C49" s="3661" t="s">
        <v>898</v>
      </c>
      <c r="D49" s="3661" t="s">
        <v>898</v>
      </c>
      <c r="E49" s="3661" t="s">
        <v>898</v>
      </c>
      <c r="F49" s="3661" t="s">
        <v>898</v>
      </c>
      <c r="G49" s="5145"/>
      <c r="H49" s="5145"/>
      <c r="I49" s="5104" t="s">
        <v>0</v>
      </c>
      <c r="J49" s="4964"/>
    </row>
    <row r="50" spans="1:10">
      <c r="A50" s="4986" t="s">
        <v>0</v>
      </c>
      <c r="B50" s="4888" t="s">
        <v>902</v>
      </c>
      <c r="C50" s="4888" t="s">
        <v>902</v>
      </c>
      <c r="D50" s="4888" t="s">
        <v>902</v>
      </c>
      <c r="E50" s="4888" t="s">
        <v>902</v>
      </c>
      <c r="F50" s="4888" t="s">
        <v>902</v>
      </c>
      <c r="G50" s="4257"/>
      <c r="H50" s="4257"/>
      <c r="I50" s="4257"/>
      <c r="J50" s="4884"/>
    </row>
    <row r="51" spans="1:10">
      <c r="A51" s="5143" t="s">
        <v>903</v>
      </c>
      <c r="B51" s="4981">
        <v>7.25</v>
      </c>
      <c r="C51" s="4981">
        <v>7.25</v>
      </c>
      <c r="D51" s="4981">
        <v>7.25</v>
      </c>
      <c r="E51" s="4981">
        <v>7.25</v>
      </c>
      <c r="F51" s="4981">
        <v>7.25</v>
      </c>
      <c r="G51" s="3693"/>
      <c r="H51" s="3710"/>
      <c r="I51" s="4981">
        <f>SUM(B51:H51)</f>
        <v>36.25</v>
      </c>
      <c r="J51" s="4885"/>
    </row>
    <row r="52" spans="1:10" ht="15.75" thickBot="1">
      <c r="A52" s="3514" t="s">
        <v>890</v>
      </c>
      <c r="B52" s="3584" t="s">
        <v>904</v>
      </c>
      <c r="C52" s="3584" t="s">
        <v>904</v>
      </c>
      <c r="D52" s="3584" t="s">
        <v>904</v>
      </c>
      <c r="E52" s="3584" t="s">
        <v>904</v>
      </c>
      <c r="F52" s="3584" t="s">
        <v>904</v>
      </c>
      <c r="G52" s="4998"/>
      <c r="H52" s="5147"/>
      <c r="I52" s="4967"/>
      <c r="J52" s="4878"/>
    </row>
    <row r="53" spans="1:10" ht="15.75" thickBot="1">
      <c r="A53" s="220" t="s">
        <v>588</v>
      </c>
      <c r="B53" s="235">
        <f t="shared" ref="B53:I53" si="0">SUM(B36,B39,B42,B45,B48,B51)</f>
        <v>31.75</v>
      </c>
      <c r="C53" s="235">
        <f t="shared" si="0"/>
        <v>31.75</v>
      </c>
      <c r="D53" s="235">
        <f t="shared" si="0"/>
        <v>31.75</v>
      </c>
      <c r="E53" s="235">
        <f t="shared" si="0"/>
        <v>31.75</v>
      </c>
      <c r="F53" s="235">
        <f t="shared" si="0"/>
        <v>31.75</v>
      </c>
      <c r="G53" s="235">
        <f t="shared" si="0"/>
        <v>24.5</v>
      </c>
      <c r="H53" s="235">
        <f t="shared" si="0"/>
        <v>24.5</v>
      </c>
      <c r="I53" s="235">
        <f t="shared" si="0"/>
        <v>207.75</v>
      </c>
      <c r="J53" s="222"/>
    </row>
    <row r="54" spans="1:10" ht="24.75" thickTop="1" thickBot="1">
      <c r="A54" s="122" t="s">
        <v>589</v>
      </c>
      <c r="D54" s="170"/>
      <c r="E54" s="170"/>
    </row>
    <row r="55" spans="1:10" ht="15.75" thickBot="1">
      <c r="A55" s="3833" t="s">
        <v>590</v>
      </c>
      <c r="B55" s="4896" t="s">
        <v>87</v>
      </c>
      <c r="C55" s="4897" t="s">
        <v>88</v>
      </c>
      <c r="D55" s="4897" t="s">
        <v>89</v>
      </c>
      <c r="E55" s="4897" t="s">
        <v>90</v>
      </c>
      <c r="F55" s="4897" t="s">
        <v>91</v>
      </c>
      <c r="G55" s="4897" t="s">
        <v>92</v>
      </c>
      <c r="H55" s="4898" t="s">
        <v>93</v>
      </c>
      <c r="I55" s="4899" t="s">
        <v>158</v>
      </c>
      <c r="J55" s="4900" t="s">
        <v>94</v>
      </c>
    </row>
    <row r="56" spans="1:10">
      <c r="A56" s="4901"/>
      <c r="B56" s="4903" t="s">
        <v>330</v>
      </c>
      <c r="C56" s="4903" t="s">
        <v>330</v>
      </c>
      <c r="D56" s="4903" t="s">
        <v>330</v>
      </c>
      <c r="E56" s="4903" t="s">
        <v>330</v>
      </c>
      <c r="F56" s="4903" t="s">
        <v>331</v>
      </c>
      <c r="G56" s="4903"/>
      <c r="H56" s="4903"/>
      <c r="I56" s="4257"/>
      <c r="J56" s="4904"/>
    </row>
    <row r="57" spans="1:10">
      <c r="A57" s="5138" t="s">
        <v>727</v>
      </c>
      <c r="B57" s="4981">
        <v>7.75</v>
      </c>
      <c r="C57" s="4981">
        <v>7.75</v>
      </c>
      <c r="D57" s="4981">
        <v>7.75</v>
      </c>
      <c r="E57" s="4981">
        <v>7.75</v>
      </c>
      <c r="F57" s="4981">
        <v>6</v>
      </c>
      <c r="G57" s="4981"/>
      <c r="H57" s="4981"/>
      <c r="I57" s="4981">
        <f>SUM(B57:H57)</f>
        <v>37</v>
      </c>
      <c r="J57" s="5139"/>
    </row>
    <row r="58" spans="1:10" ht="15.75" thickBot="1">
      <c r="A58" s="5103" t="s">
        <v>890</v>
      </c>
      <c r="B58" s="3695" t="s">
        <v>893</v>
      </c>
      <c r="C58" s="3695" t="s">
        <v>893</v>
      </c>
      <c r="D58" s="3695" t="s">
        <v>893</v>
      </c>
      <c r="E58" s="3695" t="s">
        <v>893</v>
      </c>
      <c r="F58" s="3695" t="s">
        <v>894</v>
      </c>
      <c r="G58" s="5104"/>
      <c r="H58" s="5104"/>
      <c r="I58" s="5104"/>
      <c r="J58" s="5105"/>
    </row>
    <row r="59" spans="1:10">
      <c r="A59" s="4901"/>
      <c r="B59" s="4903" t="s">
        <v>330</v>
      </c>
      <c r="C59" s="4903" t="s">
        <v>330</v>
      </c>
      <c r="D59" s="4903" t="s">
        <v>330</v>
      </c>
      <c r="E59" s="4903" t="s">
        <v>330</v>
      </c>
      <c r="F59" s="4903" t="s">
        <v>331</v>
      </c>
      <c r="G59" s="4903"/>
      <c r="H59" s="4903"/>
      <c r="I59" s="4257"/>
      <c r="J59" s="4904"/>
    </row>
    <row r="60" spans="1:10">
      <c r="A60" s="5138" t="s">
        <v>729</v>
      </c>
      <c r="B60" s="4981">
        <v>7.75</v>
      </c>
      <c r="C60" s="4981">
        <v>7.75</v>
      </c>
      <c r="D60" s="4981">
        <v>7.75</v>
      </c>
      <c r="E60" s="4981">
        <v>7.75</v>
      </c>
      <c r="F60" s="4981">
        <v>6</v>
      </c>
      <c r="G60" s="4981"/>
      <c r="H60" s="4981"/>
      <c r="I60" s="4981">
        <f>SUM(B60:H60)</f>
        <v>37</v>
      </c>
      <c r="J60" s="5139"/>
    </row>
    <row r="61" spans="1:10" ht="15.75" thickBot="1">
      <c r="A61" s="5103" t="s">
        <v>890</v>
      </c>
      <c r="B61" s="3695" t="s">
        <v>893</v>
      </c>
      <c r="C61" s="3695" t="s">
        <v>893</v>
      </c>
      <c r="D61" s="3695" t="s">
        <v>893</v>
      </c>
      <c r="E61" s="3695" t="s">
        <v>893</v>
      </c>
      <c r="F61" s="3695" t="s">
        <v>894</v>
      </c>
      <c r="G61" s="5104"/>
      <c r="H61" s="5104"/>
      <c r="I61" s="5145"/>
      <c r="J61" s="5105"/>
    </row>
    <row r="62" spans="1:10">
      <c r="A62" s="4365"/>
      <c r="B62" s="4903" t="s">
        <v>330</v>
      </c>
      <c r="C62" s="4903" t="s">
        <v>330</v>
      </c>
      <c r="D62" s="4903" t="s">
        <v>330</v>
      </c>
      <c r="E62" s="4903" t="s">
        <v>330</v>
      </c>
      <c r="F62" s="4903" t="s">
        <v>331</v>
      </c>
      <c r="G62" s="4903"/>
      <c r="H62" s="4903"/>
      <c r="I62" s="4257"/>
      <c r="J62" s="4904"/>
    </row>
    <row r="63" spans="1:10">
      <c r="A63" s="5138" t="s">
        <v>353</v>
      </c>
      <c r="B63" s="4981">
        <v>7.75</v>
      </c>
      <c r="C63" s="4981">
        <v>7.75</v>
      </c>
      <c r="D63" s="4981">
        <v>7.75</v>
      </c>
      <c r="E63" s="4981">
        <v>7.75</v>
      </c>
      <c r="F63" s="4981">
        <v>6</v>
      </c>
      <c r="G63" s="4981"/>
      <c r="H63" s="4981"/>
      <c r="I63" s="4981">
        <f>SUM(B63:H63)</f>
        <v>37</v>
      </c>
      <c r="J63" s="5139"/>
    </row>
    <row r="64" spans="1:10" ht="15.75" thickBot="1">
      <c r="A64" s="3514" t="s">
        <v>890</v>
      </c>
      <c r="B64" s="5136" t="s">
        <v>893</v>
      </c>
      <c r="C64" s="5136" t="s">
        <v>893</v>
      </c>
      <c r="D64" s="5136" t="s">
        <v>893</v>
      </c>
      <c r="E64" s="5136" t="s">
        <v>893</v>
      </c>
      <c r="F64" s="5136" t="s">
        <v>894</v>
      </c>
      <c r="G64" s="4967"/>
      <c r="H64" s="4967"/>
      <c r="I64" s="4998"/>
      <c r="J64" s="4969"/>
    </row>
    <row r="65" spans="1:10" ht="15.75" thickBot="1">
      <c r="A65" s="220" t="s">
        <v>588</v>
      </c>
      <c r="B65" s="236">
        <f t="shared" ref="B65:I65" si="1">SUM(B57,B60,B63)</f>
        <v>23.25</v>
      </c>
      <c r="C65" s="236">
        <f t="shared" si="1"/>
        <v>23.25</v>
      </c>
      <c r="D65" s="236">
        <f t="shared" si="1"/>
        <v>23.25</v>
      </c>
      <c r="E65" s="236">
        <f t="shared" si="1"/>
        <v>23.25</v>
      </c>
      <c r="F65" s="236">
        <f t="shared" si="1"/>
        <v>18</v>
      </c>
      <c r="G65" s="236">
        <f t="shared" si="1"/>
        <v>0</v>
      </c>
      <c r="H65" s="236">
        <f t="shared" si="1"/>
        <v>0</v>
      </c>
      <c r="I65" s="235">
        <f t="shared" si="1"/>
        <v>111</v>
      </c>
      <c r="J65" s="237"/>
    </row>
    <row r="66" spans="1:10" ht="15.75" thickTop="1">
      <c r="A66" s="113"/>
      <c r="B66" s="113"/>
      <c r="C66" s="113"/>
      <c r="D66" s="113"/>
      <c r="E66" s="113"/>
      <c r="F66" s="113"/>
      <c r="G66" s="4984" t="s">
        <v>701</v>
      </c>
      <c r="H66" s="4984" t="s">
        <v>702</v>
      </c>
      <c r="I66" s="4984" t="s">
        <v>703</v>
      </c>
      <c r="J66" s="18"/>
    </row>
    <row r="67" spans="1:10">
      <c r="A67" s="113"/>
      <c r="B67" s="113"/>
      <c r="C67" s="113"/>
      <c r="D67" s="113"/>
      <c r="E67" s="113"/>
      <c r="F67" s="113"/>
      <c r="G67" s="3698">
        <f>I53+I65</f>
        <v>318.75</v>
      </c>
      <c r="H67" s="4985">
        <f>SUM(G67*13/3)</f>
        <v>1381.25</v>
      </c>
      <c r="I67" s="3698">
        <f>SUM(H67*12)</f>
        <v>16575</v>
      </c>
      <c r="J67" s="18"/>
    </row>
    <row r="68" spans="1:10">
      <c r="A68" s="113"/>
      <c r="B68" s="113"/>
      <c r="C68" s="113"/>
      <c r="D68" s="113"/>
      <c r="E68" s="113"/>
      <c r="F68" s="113"/>
      <c r="G68" s="113"/>
      <c r="H68" s="210"/>
      <c r="I68" s="113"/>
      <c r="J68" s="18"/>
    </row>
    <row r="69" spans="1:10" ht="15.75" thickBot="1">
      <c r="A69" s="1" t="s">
        <v>734</v>
      </c>
      <c r="B69" s="113"/>
      <c r="C69" s="113"/>
      <c r="D69" s="113"/>
      <c r="E69" s="113"/>
      <c r="F69" s="113"/>
    </row>
    <row r="70" spans="1:10" ht="15.75" thickBot="1">
      <c r="A70" s="5010" t="s">
        <v>735</v>
      </c>
      <c r="B70" s="4896" t="s">
        <v>87</v>
      </c>
      <c r="C70" s="4897" t="s">
        <v>88</v>
      </c>
      <c r="D70" s="4897" t="s">
        <v>89</v>
      </c>
      <c r="E70" s="4897" t="s">
        <v>90</v>
      </c>
      <c r="F70" s="4897" t="s">
        <v>91</v>
      </c>
      <c r="G70" s="4897" t="s">
        <v>92</v>
      </c>
      <c r="H70" s="5011" t="s">
        <v>93</v>
      </c>
      <c r="I70" s="5012" t="s">
        <v>158</v>
      </c>
      <c r="J70" s="5013" t="s">
        <v>94</v>
      </c>
    </row>
    <row r="71" spans="1:10">
      <c r="A71" s="5027"/>
      <c r="B71" s="5017" t="s">
        <v>737</v>
      </c>
      <c r="C71" s="5017" t="s">
        <v>737</v>
      </c>
      <c r="D71" s="5017" t="s">
        <v>737</v>
      </c>
      <c r="E71" s="5017" t="s">
        <v>737</v>
      </c>
      <c r="F71" s="5017" t="s">
        <v>737</v>
      </c>
      <c r="G71" s="5018" t="s">
        <v>738</v>
      </c>
      <c r="H71" s="5018" t="s">
        <v>738</v>
      </c>
      <c r="I71" s="5085"/>
      <c r="J71" s="5031"/>
    </row>
    <row r="72" spans="1:10">
      <c r="A72" s="238" t="s">
        <v>905</v>
      </c>
      <c r="B72" s="5148" t="s">
        <v>906</v>
      </c>
      <c r="C72" s="5148" t="s">
        <v>906</v>
      </c>
      <c r="D72" s="5148" t="s">
        <v>906</v>
      </c>
      <c r="E72" s="5148" t="s">
        <v>906</v>
      </c>
      <c r="F72" s="5148" t="s">
        <v>906</v>
      </c>
      <c r="G72" s="5149" t="s">
        <v>907</v>
      </c>
      <c r="H72" s="5149" t="s">
        <v>907</v>
      </c>
      <c r="I72" s="5150"/>
      <c r="J72" s="239"/>
    </row>
    <row r="73" spans="1:10" ht="15.75" thickBot="1">
      <c r="A73" s="4942" t="s">
        <v>599</v>
      </c>
      <c r="B73" s="5022">
        <v>8.25</v>
      </c>
      <c r="C73" s="5022">
        <v>8.25</v>
      </c>
      <c r="D73" s="5022">
        <v>8.25</v>
      </c>
      <c r="E73" s="5022">
        <v>8.25</v>
      </c>
      <c r="F73" s="5022">
        <v>8.25</v>
      </c>
      <c r="G73" s="5023">
        <v>12.25</v>
      </c>
      <c r="H73" s="5023">
        <v>12.25</v>
      </c>
      <c r="I73" s="4890">
        <f>SUM(B73:H73)</f>
        <v>65.75</v>
      </c>
      <c r="J73" s="5024" t="s">
        <v>741</v>
      </c>
    </row>
    <row r="74" spans="1:10">
      <c r="A74" s="5027"/>
      <c r="B74" s="5028" t="s">
        <v>743</v>
      </c>
      <c r="C74" s="5028" t="s">
        <v>743</v>
      </c>
      <c r="D74" s="5028" t="s">
        <v>743</v>
      </c>
      <c r="E74" s="5028" t="s">
        <v>743</v>
      </c>
      <c r="F74" s="5028" t="s">
        <v>743</v>
      </c>
      <c r="G74" s="5029" t="s">
        <v>744</v>
      </c>
      <c r="H74" s="5030" t="s">
        <v>744</v>
      </c>
      <c r="I74" s="5012"/>
      <c r="J74" s="5031"/>
    </row>
    <row r="75" spans="1:10">
      <c r="A75" s="238" t="s">
        <v>905</v>
      </c>
      <c r="B75" s="5151" t="s">
        <v>908</v>
      </c>
      <c r="C75" s="5151" t="s">
        <v>908</v>
      </c>
      <c r="D75" s="5151" t="s">
        <v>908</v>
      </c>
      <c r="E75" s="5151" t="s">
        <v>908</v>
      </c>
      <c r="F75" s="5151" t="s">
        <v>908</v>
      </c>
      <c r="G75" s="5152" t="s">
        <v>909</v>
      </c>
      <c r="H75" s="5152" t="s">
        <v>909</v>
      </c>
      <c r="I75" s="5071"/>
      <c r="J75" s="239"/>
    </row>
    <row r="76" spans="1:10" ht="15.75" thickBot="1">
      <c r="A76" s="4942" t="s">
        <v>746</v>
      </c>
      <c r="B76" s="4939">
        <v>7</v>
      </c>
      <c r="C76" s="4939">
        <v>7</v>
      </c>
      <c r="D76" s="4939">
        <v>7</v>
      </c>
      <c r="E76" s="4939">
        <v>7</v>
      </c>
      <c r="F76" s="4939">
        <v>7</v>
      </c>
      <c r="G76" s="5034">
        <v>11</v>
      </c>
      <c r="H76" s="5035">
        <v>11</v>
      </c>
      <c r="I76" s="4890">
        <f>SUM(B76:H76)</f>
        <v>57</v>
      </c>
      <c r="J76" s="5024" t="s">
        <v>747</v>
      </c>
    </row>
    <row r="77" spans="1:10">
      <c r="A77" s="5027"/>
      <c r="B77" s="5038" t="s">
        <v>749</v>
      </c>
      <c r="C77" s="5038" t="s">
        <v>749</v>
      </c>
      <c r="D77" s="5038" t="s">
        <v>749</v>
      </c>
      <c r="E77" s="5038" t="s">
        <v>749</v>
      </c>
      <c r="F77" s="5038" t="s">
        <v>749</v>
      </c>
      <c r="G77" s="5030" t="s">
        <v>750</v>
      </c>
      <c r="H77" s="5030" t="s">
        <v>750</v>
      </c>
      <c r="I77" s="5012"/>
      <c r="J77" s="5031"/>
    </row>
    <row r="78" spans="1:10">
      <c r="A78" s="238" t="s">
        <v>905</v>
      </c>
      <c r="B78" s="5153" t="s">
        <v>910</v>
      </c>
      <c r="C78" s="5153" t="s">
        <v>910</v>
      </c>
      <c r="D78" s="5153" t="s">
        <v>910</v>
      </c>
      <c r="E78" s="5153" t="s">
        <v>910</v>
      </c>
      <c r="F78" s="5153" t="s">
        <v>910</v>
      </c>
      <c r="G78" s="240" t="s">
        <v>911</v>
      </c>
      <c r="H78" s="240" t="s">
        <v>911</v>
      </c>
      <c r="I78" s="5071"/>
      <c r="J78" s="239"/>
    </row>
    <row r="79" spans="1:10" ht="15.75" thickBot="1">
      <c r="A79" s="4942" t="s">
        <v>751</v>
      </c>
      <c r="B79" s="5039">
        <v>8</v>
      </c>
      <c r="C79" s="5039">
        <v>8</v>
      </c>
      <c r="D79" s="5039">
        <v>8</v>
      </c>
      <c r="E79" s="5039">
        <v>8</v>
      </c>
      <c r="F79" s="5039">
        <v>8</v>
      </c>
      <c r="G79" s="5034">
        <v>12</v>
      </c>
      <c r="H79" s="5034">
        <v>12</v>
      </c>
      <c r="I79" s="4890">
        <f>SUM(B79:H79)</f>
        <v>64</v>
      </c>
      <c r="J79" s="5024" t="s">
        <v>752</v>
      </c>
    </row>
    <row r="80" spans="1:10">
      <c r="A80" s="5027"/>
      <c r="B80" s="4902" t="s">
        <v>575</v>
      </c>
      <c r="C80" s="4902" t="s">
        <v>575</v>
      </c>
      <c r="D80" s="4902" t="s">
        <v>575</v>
      </c>
      <c r="E80" s="4902" t="s">
        <v>575</v>
      </c>
      <c r="F80" s="4902" t="s">
        <v>575</v>
      </c>
      <c r="G80" s="5096"/>
      <c r="H80" s="5097"/>
      <c r="I80" s="5094"/>
      <c r="J80" s="5031"/>
    </row>
    <row r="81" spans="1:10">
      <c r="A81" s="238" t="s">
        <v>905</v>
      </c>
      <c r="B81" s="4958"/>
      <c r="C81" s="4958"/>
      <c r="D81" s="4958"/>
      <c r="E81" s="4958"/>
      <c r="F81" s="4958"/>
      <c r="G81" s="100"/>
      <c r="H81" s="100"/>
      <c r="I81" s="4970"/>
      <c r="J81" s="239"/>
    </row>
    <row r="82" spans="1:10" ht="15.75" thickBot="1">
      <c r="A82" s="4942" t="s">
        <v>912</v>
      </c>
      <c r="B82" s="4906"/>
      <c r="C82" s="4906"/>
      <c r="D82" s="4906"/>
      <c r="E82" s="4906"/>
      <c r="F82" s="4906"/>
      <c r="G82" s="4891"/>
      <c r="H82" s="5044"/>
      <c r="I82" s="4890">
        <f>SUM(B82:H82)</f>
        <v>0</v>
      </c>
      <c r="J82" s="5024" t="s">
        <v>755</v>
      </c>
    </row>
    <row r="83" spans="1:10">
      <c r="A83" s="5027"/>
      <c r="B83" s="4902" t="s">
        <v>575</v>
      </c>
      <c r="C83" s="4902" t="s">
        <v>575</v>
      </c>
      <c r="D83" s="4902" t="s">
        <v>575</v>
      </c>
      <c r="E83" s="4902" t="s">
        <v>575</v>
      </c>
      <c r="F83" s="4902" t="s">
        <v>575</v>
      </c>
      <c r="G83" s="5012"/>
      <c r="H83" s="5045"/>
      <c r="I83" s="5012"/>
      <c r="J83" s="5031"/>
    </row>
    <row r="84" spans="1:10">
      <c r="A84" s="238" t="s">
        <v>905</v>
      </c>
      <c r="B84" s="4958"/>
      <c r="C84" s="4958"/>
      <c r="D84" s="4958"/>
      <c r="E84" s="4958"/>
      <c r="F84" s="4958"/>
      <c r="G84" s="5071"/>
      <c r="H84" s="216"/>
      <c r="I84" s="5071"/>
      <c r="J84" s="239"/>
    </row>
    <row r="85" spans="1:10" ht="15.75" thickBot="1">
      <c r="A85" s="4942" t="s">
        <v>759</v>
      </c>
      <c r="B85" s="4906"/>
      <c r="C85" s="4906"/>
      <c r="D85" s="4906"/>
      <c r="E85" s="4906"/>
      <c r="F85" s="4906"/>
      <c r="G85" s="4966"/>
      <c r="H85" s="4367"/>
      <c r="I85" s="4890">
        <f>SUM(B85:H85)</f>
        <v>0</v>
      </c>
      <c r="J85" s="5024" t="s">
        <v>756</v>
      </c>
    </row>
    <row r="86" spans="1:10">
      <c r="A86" s="5010"/>
      <c r="B86" s="4902" t="s">
        <v>575</v>
      </c>
      <c r="C86" s="4902" t="s">
        <v>575</v>
      </c>
      <c r="D86" s="4902" t="s">
        <v>575</v>
      </c>
      <c r="E86" s="4902" t="s">
        <v>575</v>
      </c>
      <c r="F86" s="4902" t="s">
        <v>575</v>
      </c>
      <c r="G86" s="5046" t="s">
        <v>761</v>
      </c>
      <c r="H86" s="5047" t="s">
        <v>762</v>
      </c>
      <c r="I86" s="5012"/>
      <c r="J86" s="5048"/>
    </row>
    <row r="87" spans="1:10">
      <c r="A87" s="238" t="s">
        <v>905</v>
      </c>
      <c r="B87" s="4958"/>
      <c r="C87" s="4958"/>
      <c r="D87" s="4958"/>
      <c r="E87" s="4958"/>
      <c r="F87" s="4958"/>
      <c r="G87" s="5154" t="s">
        <v>913</v>
      </c>
      <c r="H87" s="5154" t="s">
        <v>913</v>
      </c>
      <c r="I87" s="5071"/>
      <c r="J87" s="218"/>
    </row>
    <row r="88" spans="1:10" ht="15.75" thickBot="1">
      <c r="A88" s="4942" t="s">
        <v>765</v>
      </c>
      <c r="B88" s="4906"/>
      <c r="C88" s="4906"/>
      <c r="D88" s="4906"/>
      <c r="E88" s="4906"/>
      <c r="F88" s="4906"/>
      <c r="G88" s="5049">
        <v>12.25</v>
      </c>
      <c r="H88" s="5050">
        <v>12.25</v>
      </c>
      <c r="I88" s="4890">
        <f>SUM(B88:H88)</f>
        <v>24.5</v>
      </c>
      <c r="J88" s="5024" t="s">
        <v>766</v>
      </c>
    </row>
    <row r="89" spans="1:10">
      <c r="A89" s="5027"/>
      <c r="B89" s="5051" t="s">
        <v>768</v>
      </c>
      <c r="C89" s="5051" t="s">
        <v>768</v>
      </c>
      <c r="D89" s="5051" t="s">
        <v>768</v>
      </c>
      <c r="E89" s="5051" t="s">
        <v>768</v>
      </c>
      <c r="F89" s="5051" t="s">
        <v>769</v>
      </c>
      <c r="G89" s="5046" t="s">
        <v>770</v>
      </c>
      <c r="H89" s="5047" t="s">
        <v>770</v>
      </c>
      <c r="I89" s="5012"/>
      <c r="J89" s="5031"/>
    </row>
    <row r="90" spans="1:10">
      <c r="A90" s="238" t="s">
        <v>905</v>
      </c>
      <c r="B90" s="5155" t="s">
        <v>914</v>
      </c>
      <c r="C90" s="5155" t="s">
        <v>914</v>
      </c>
      <c r="D90" s="5155" t="s">
        <v>914</v>
      </c>
      <c r="E90" s="5155" t="s">
        <v>914</v>
      </c>
      <c r="F90" s="5155" t="s">
        <v>915</v>
      </c>
      <c r="G90" s="5154" t="s">
        <v>916</v>
      </c>
      <c r="H90" s="5154" t="s">
        <v>916</v>
      </c>
      <c r="I90" s="5071"/>
      <c r="J90" s="239"/>
    </row>
    <row r="91" spans="1:10" ht="15.75" thickBot="1">
      <c r="A91" s="4942" t="s">
        <v>617</v>
      </c>
      <c r="B91" s="5052">
        <v>7</v>
      </c>
      <c r="C91" s="5052">
        <v>7</v>
      </c>
      <c r="D91" s="5052">
        <v>7</v>
      </c>
      <c r="E91" s="5052">
        <v>7</v>
      </c>
      <c r="F91" s="5052">
        <v>6.5</v>
      </c>
      <c r="G91" s="5049">
        <v>12</v>
      </c>
      <c r="H91" s="5050">
        <v>12</v>
      </c>
      <c r="I91" s="4890">
        <f>SUM(B91:H91)</f>
        <v>58.5</v>
      </c>
      <c r="J91" s="5024" t="s">
        <v>773</v>
      </c>
    </row>
    <row r="92" spans="1:10">
      <c r="A92" s="5027"/>
      <c r="B92" s="5055" t="s">
        <v>776</v>
      </c>
      <c r="C92" s="5055" t="s">
        <v>776</v>
      </c>
      <c r="D92" s="5055" t="s">
        <v>776</v>
      </c>
      <c r="E92" s="5055" t="s">
        <v>776</v>
      </c>
      <c r="F92" s="5055" t="s">
        <v>776</v>
      </c>
      <c r="G92" s="5046" t="s">
        <v>777</v>
      </c>
      <c r="H92" s="5047" t="s">
        <v>770</v>
      </c>
      <c r="I92" s="5042"/>
      <c r="J92" s="5031"/>
    </row>
    <row r="93" spans="1:10">
      <c r="A93" s="238" t="s">
        <v>905</v>
      </c>
      <c r="B93" s="5156" t="s">
        <v>917</v>
      </c>
      <c r="C93" s="5156" t="s">
        <v>917</v>
      </c>
      <c r="D93" s="5156" t="s">
        <v>917</v>
      </c>
      <c r="E93" s="5156" t="s">
        <v>917</v>
      </c>
      <c r="F93" s="5156" t="s">
        <v>917</v>
      </c>
      <c r="G93" s="5154" t="s">
        <v>918</v>
      </c>
      <c r="H93" s="241" t="s">
        <v>916</v>
      </c>
      <c r="I93" s="4958"/>
      <c r="J93" s="239"/>
    </row>
    <row r="94" spans="1:10" ht="15.75" thickBot="1">
      <c r="A94" s="4942" t="s">
        <v>780</v>
      </c>
      <c r="B94" s="5058">
        <v>7</v>
      </c>
      <c r="C94" s="5058">
        <v>7</v>
      </c>
      <c r="D94" s="5058">
        <v>7</v>
      </c>
      <c r="E94" s="5058">
        <v>7</v>
      </c>
      <c r="F94" s="5058">
        <v>7</v>
      </c>
      <c r="G94" s="5059">
        <v>9</v>
      </c>
      <c r="H94" s="5050">
        <v>12</v>
      </c>
      <c r="I94" s="4890">
        <f>SUM(B94:H94)</f>
        <v>56</v>
      </c>
      <c r="J94" s="5024" t="s">
        <v>757</v>
      </c>
    </row>
    <row r="95" spans="1:10">
      <c r="A95" s="5027"/>
      <c r="B95" s="5063" t="s">
        <v>783</v>
      </c>
      <c r="C95" s="5063" t="s">
        <v>783</v>
      </c>
      <c r="D95" s="5063" t="s">
        <v>783</v>
      </c>
      <c r="E95" s="5063" t="s">
        <v>783</v>
      </c>
      <c r="F95" s="5063" t="s">
        <v>783</v>
      </c>
      <c r="G95" s="4896"/>
      <c r="H95" s="5082"/>
      <c r="I95" s="5012"/>
      <c r="J95" s="5031"/>
    </row>
    <row r="96" spans="1:10">
      <c r="A96" s="238" t="s">
        <v>905</v>
      </c>
      <c r="B96" s="5157" t="s">
        <v>919</v>
      </c>
      <c r="C96" s="5157" t="s">
        <v>919</v>
      </c>
      <c r="D96" s="5157" t="s">
        <v>919</v>
      </c>
      <c r="E96" s="5157" t="s">
        <v>919</v>
      </c>
      <c r="F96" s="5157" t="s">
        <v>919</v>
      </c>
      <c r="G96" s="5158"/>
      <c r="H96" s="242"/>
      <c r="I96" s="5071"/>
      <c r="J96" s="239"/>
    </row>
    <row r="97" spans="1:10" ht="15.75" thickBot="1">
      <c r="A97" s="4942" t="s">
        <v>785</v>
      </c>
      <c r="B97" s="5066">
        <v>8</v>
      </c>
      <c r="C97" s="5066">
        <v>8</v>
      </c>
      <c r="D97" s="5066">
        <v>8</v>
      </c>
      <c r="E97" s="5066">
        <v>8</v>
      </c>
      <c r="F97" s="5066">
        <v>8</v>
      </c>
      <c r="G97" s="4890"/>
      <c r="H97" s="5087"/>
      <c r="I97" s="4890">
        <f>SUM(B97:H97)</f>
        <v>40</v>
      </c>
      <c r="J97" s="5024" t="s">
        <v>774</v>
      </c>
    </row>
    <row r="98" spans="1:10">
      <c r="A98" s="5027"/>
      <c r="B98" s="4902" t="s">
        <v>575</v>
      </c>
      <c r="C98" s="4902" t="s">
        <v>575</v>
      </c>
      <c r="D98" s="4902" t="s">
        <v>575</v>
      </c>
      <c r="E98" s="4902" t="s">
        <v>575</v>
      </c>
      <c r="F98" s="4902" t="s">
        <v>575</v>
      </c>
      <c r="G98" s="5096"/>
      <c r="H98" s="5097"/>
      <c r="I98" s="5085"/>
      <c r="J98" s="5031"/>
    </row>
    <row r="99" spans="1:10">
      <c r="A99" s="238" t="s">
        <v>905</v>
      </c>
      <c r="B99" s="4958"/>
      <c r="C99" s="4958"/>
      <c r="D99" s="4958"/>
      <c r="E99" s="4958"/>
      <c r="F99" s="4958"/>
      <c r="G99" s="100"/>
      <c r="H99" s="4959"/>
      <c r="I99" s="5150"/>
      <c r="J99" s="239"/>
    </row>
    <row r="100" spans="1:10" ht="15.75" thickBot="1">
      <c r="A100" s="4942" t="s">
        <v>788</v>
      </c>
      <c r="B100" s="4963"/>
      <c r="C100" s="4963"/>
      <c r="D100" s="4963"/>
      <c r="E100" s="4963"/>
      <c r="F100" s="4963"/>
      <c r="G100" s="4891"/>
      <c r="H100" s="5044"/>
      <c r="I100" s="4890">
        <f>SUM(B100:H100)</f>
        <v>0</v>
      </c>
      <c r="J100" s="5024" t="s">
        <v>173</v>
      </c>
    </row>
    <row r="101" spans="1:10">
      <c r="A101" s="5027"/>
      <c r="B101" s="4902" t="s">
        <v>575</v>
      </c>
      <c r="C101" s="4902" t="s">
        <v>575</v>
      </c>
      <c r="D101" s="4902" t="s">
        <v>575</v>
      </c>
      <c r="E101" s="4902" t="s">
        <v>575</v>
      </c>
      <c r="F101" s="4902" t="s">
        <v>575</v>
      </c>
      <c r="G101" s="5012"/>
      <c r="H101" s="5045"/>
      <c r="I101" s="5012"/>
      <c r="J101" s="5031"/>
    </row>
    <row r="102" spans="1:10">
      <c r="A102" s="238" t="s">
        <v>905</v>
      </c>
      <c r="B102" s="4958"/>
      <c r="C102" s="4958"/>
      <c r="D102" s="4958"/>
      <c r="E102" s="4958"/>
      <c r="F102" s="4958"/>
      <c r="G102" s="5071"/>
      <c r="H102" s="216"/>
      <c r="I102" s="5071"/>
      <c r="J102" s="239"/>
    </row>
    <row r="103" spans="1:10" ht="15.75" thickBot="1">
      <c r="A103" s="192" t="s">
        <v>806</v>
      </c>
      <c r="B103" s="4963"/>
      <c r="C103" s="4963"/>
      <c r="D103" s="4906"/>
      <c r="E103" s="4906"/>
      <c r="F103" s="4906"/>
      <c r="G103" s="5071"/>
      <c r="H103" s="216"/>
      <c r="I103" s="4958">
        <f>SUM(B103:H103)</f>
        <v>0</v>
      </c>
      <c r="J103" s="223" t="s">
        <v>760</v>
      </c>
    </row>
    <row r="104" spans="1:10">
      <c r="A104" s="5027" t="s">
        <v>0</v>
      </c>
      <c r="B104" s="5075" t="s">
        <v>748</v>
      </c>
      <c r="C104" s="5075" t="s">
        <v>748</v>
      </c>
      <c r="D104" s="5075" t="s">
        <v>748</v>
      </c>
      <c r="E104" s="5075" t="s">
        <v>748</v>
      </c>
      <c r="F104" s="5075" t="s">
        <v>748</v>
      </c>
      <c r="G104" s="5076"/>
      <c r="H104" s="5045"/>
      <c r="I104" s="5012"/>
      <c r="J104" s="5031" t="s">
        <v>0</v>
      </c>
    </row>
    <row r="105" spans="1:10">
      <c r="A105" s="238" t="s">
        <v>905</v>
      </c>
      <c r="B105" s="5159" t="s">
        <v>920</v>
      </c>
      <c r="C105" s="5159" t="s">
        <v>920</v>
      </c>
      <c r="D105" s="5159" t="s">
        <v>920</v>
      </c>
      <c r="E105" s="5159" t="s">
        <v>920</v>
      </c>
      <c r="F105" s="5159" t="s">
        <v>920</v>
      </c>
      <c r="G105" s="5160"/>
      <c r="H105" s="216"/>
      <c r="I105" s="5071"/>
      <c r="J105" s="239"/>
    </row>
    <row r="106" spans="1:10" ht="15.75" thickBot="1">
      <c r="A106" s="196" t="s">
        <v>793</v>
      </c>
      <c r="B106" s="5101">
        <v>8</v>
      </c>
      <c r="C106" s="5101">
        <v>8</v>
      </c>
      <c r="D106" s="5101">
        <v>8</v>
      </c>
      <c r="E106" s="5101">
        <v>8</v>
      </c>
      <c r="F106" s="5101">
        <v>8</v>
      </c>
      <c r="G106" s="5071"/>
      <c r="H106" s="216"/>
      <c r="I106" s="4958">
        <f>SUM(B106:H106)</f>
        <v>40</v>
      </c>
      <c r="J106" s="218" t="s">
        <v>794</v>
      </c>
    </row>
    <row r="107" spans="1:10">
      <c r="A107" s="5027"/>
      <c r="B107" s="5081" t="s">
        <v>796</v>
      </c>
      <c r="C107" s="5081" t="s">
        <v>796</v>
      </c>
      <c r="D107" s="5081" t="s">
        <v>796</v>
      </c>
      <c r="E107" s="5081" t="s">
        <v>796</v>
      </c>
      <c r="F107" s="5081" t="s">
        <v>796</v>
      </c>
      <c r="G107" s="5098"/>
      <c r="H107" s="5099"/>
      <c r="I107" s="5085"/>
      <c r="J107" s="5031"/>
    </row>
    <row r="108" spans="1:10">
      <c r="A108" s="238" t="s">
        <v>905</v>
      </c>
      <c r="B108" s="5161" t="s">
        <v>921</v>
      </c>
      <c r="C108" s="5161" t="s">
        <v>921</v>
      </c>
      <c r="D108" s="5161" t="s">
        <v>921</v>
      </c>
      <c r="E108" s="5161" t="s">
        <v>921</v>
      </c>
      <c r="F108" s="5161" t="s">
        <v>921</v>
      </c>
      <c r="G108" s="42"/>
      <c r="H108" s="5158"/>
      <c r="I108" s="5150"/>
      <c r="J108" s="239"/>
    </row>
    <row r="109" spans="1:10" ht="15.75" thickBot="1">
      <c r="A109" s="4942" t="s">
        <v>627</v>
      </c>
      <c r="B109" s="5083">
        <v>7</v>
      </c>
      <c r="C109" s="5083">
        <v>7</v>
      </c>
      <c r="D109" s="5083">
        <v>7</v>
      </c>
      <c r="E109" s="5083">
        <v>7</v>
      </c>
      <c r="F109" s="5083">
        <v>7</v>
      </c>
      <c r="G109" s="4890"/>
      <c r="H109" s="5087"/>
      <c r="I109" s="4890">
        <f>SUM(B109:H109)</f>
        <v>35</v>
      </c>
      <c r="J109" s="5024" t="s">
        <v>797</v>
      </c>
    </row>
    <row r="110" spans="1:10">
      <c r="A110" s="5027"/>
      <c r="B110" s="5084" t="s">
        <v>799</v>
      </c>
      <c r="C110" s="5084" t="s">
        <v>799</v>
      </c>
      <c r="D110" s="5084" t="s">
        <v>799</v>
      </c>
      <c r="E110" s="5084" t="s">
        <v>799</v>
      </c>
      <c r="F110" s="5084" t="s">
        <v>799</v>
      </c>
      <c r="G110" s="4896"/>
      <c r="H110" s="5082"/>
      <c r="I110" s="4899"/>
      <c r="J110" s="5031"/>
    </row>
    <row r="111" spans="1:10">
      <c r="A111" s="238" t="s">
        <v>905</v>
      </c>
      <c r="B111" s="243" t="s">
        <v>922</v>
      </c>
      <c r="C111" s="243" t="s">
        <v>922</v>
      </c>
      <c r="D111" s="243" t="s">
        <v>922</v>
      </c>
      <c r="E111" s="243" t="s">
        <v>922</v>
      </c>
      <c r="F111" s="243" t="s">
        <v>922</v>
      </c>
      <c r="G111" s="5158"/>
      <c r="H111" s="242"/>
      <c r="I111" s="5150"/>
      <c r="J111" s="239"/>
    </row>
    <row r="112" spans="1:10" ht="15.75" thickBot="1">
      <c r="A112" s="4954" t="s">
        <v>628</v>
      </c>
      <c r="B112" s="5086">
        <v>7.5</v>
      </c>
      <c r="C112" s="5086">
        <v>7.5</v>
      </c>
      <c r="D112" s="5086">
        <v>7.5</v>
      </c>
      <c r="E112" s="5086">
        <v>7.5</v>
      </c>
      <c r="F112" s="5086">
        <v>7.5</v>
      </c>
      <c r="G112" s="4890"/>
      <c r="H112" s="5087"/>
      <c r="I112" s="4908">
        <f>SUM(B112:H112)</f>
        <v>37.5</v>
      </c>
      <c r="J112" s="5100" t="s">
        <v>800</v>
      </c>
    </row>
    <row r="113" spans="1:10">
      <c r="A113" s="5027"/>
      <c r="B113" s="5092" t="s">
        <v>802</v>
      </c>
      <c r="C113" s="5093" t="s">
        <v>802</v>
      </c>
      <c r="D113" s="5093" t="s">
        <v>802</v>
      </c>
      <c r="E113" s="5093" t="s">
        <v>802</v>
      </c>
      <c r="F113" s="5093" t="s">
        <v>802</v>
      </c>
      <c r="G113" s="4896"/>
      <c r="H113" s="5082"/>
      <c r="I113" s="5094"/>
      <c r="J113" s="5031"/>
    </row>
    <row r="114" spans="1:10">
      <c r="A114" s="238" t="s">
        <v>905</v>
      </c>
      <c r="B114" s="244" t="s">
        <v>923</v>
      </c>
      <c r="C114" s="244" t="s">
        <v>923</v>
      </c>
      <c r="D114" s="244" t="s">
        <v>923</v>
      </c>
      <c r="E114" s="244" t="s">
        <v>923</v>
      </c>
      <c r="F114" s="244" t="s">
        <v>923</v>
      </c>
      <c r="G114" s="5158"/>
      <c r="H114" s="242"/>
      <c r="I114" s="5162"/>
      <c r="J114" s="239"/>
    </row>
    <row r="115" spans="1:10" ht="15.75" thickBot="1">
      <c r="A115" s="4942" t="s">
        <v>629</v>
      </c>
      <c r="B115" s="5095">
        <v>8</v>
      </c>
      <c r="C115" s="5095">
        <v>8</v>
      </c>
      <c r="D115" s="5095">
        <v>8</v>
      </c>
      <c r="E115" s="5095">
        <v>8</v>
      </c>
      <c r="F115" s="5095">
        <v>8</v>
      </c>
      <c r="G115" s="4890"/>
      <c r="H115" s="4890"/>
      <c r="I115" s="5088">
        <f>SUM(B115:H115)</f>
        <v>40</v>
      </c>
      <c r="J115" s="5024" t="s">
        <v>803</v>
      </c>
    </row>
    <row r="116" spans="1:10" ht="15.75" thickBot="1">
      <c r="A116" s="220" t="s">
        <v>588</v>
      </c>
      <c r="B116" s="221">
        <f t="shared" ref="B116:I116" si="2">SUM(B73,B76,B79,B82,B85,B88,B91,B94,B97,B100,B103,B106,B109,B112,B115)</f>
        <v>75.75</v>
      </c>
      <c r="C116" s="221">
        <f t="shared" si="2"/>
        <v>75.75</v>
      </c>
      <c r="D116" s="221">
        <f t="shared" si="2"/>
        <v>75.75</v>
      </c>
      <c r="E116" s="221">
        <f t="shared" si="2"/>
        <v>75.75</v>
      </c>
      <c r="F116" s="221">
        <f t="shared" si="2"/>
        <v>75.25</v>
      </c>
      <c r="G116" s="221">
        <f t="shared" si="2"/>
        <v>68.5</v>
      </c>
      <c r="H116" s="221">
        <f t="shared" si="2"/>
        <v>71.5</v>
      </c>
      <c r="I116" s="221">
        <f t="shared" si="2"/>
        <v>518.25</v>
      </c>
      <c r="J116" s="222"/>
    </row>
    <row r="117" spans="1:10" ht="15.75" thickTop="1">
      <c r="A117" s="113"/>
      <c r="B117" s="113"/>
      <c r="C117" s="113"/>
      <c r="D117" s="113"/>
      <c r="E117" s="113"/>
      <c r="F117" s="113"/>
      <c r="G117" s="4984" t="s">
        <v>701</v>
      </c>
      <c r="H117" s="4984" t="s">
        <v>702</v>
      </c>
      <c r="I117" s="4984" t="s">
        <v>703</v>
      </c>
    </row>
    <row r="118" spans="1:10">
      <c r="A118" s="42"/>
      <c r="B118" s="42"/>
      <c r="C118" s="42"/>
      <c r="D118" s="42"/>
      <c r="E118" s="42"/>
      <c r="F118" s="113"/>
      <c r="G118" s="3698">
        <f>I116</f>
        <v>518.25</v>
      </c>
      <c r="H118" s="4985">
        <f>SUM(G118*13/3)</f>
        <v>2245.75</v>
      </c>
      <c r="I118" s="3698">
        <f>SUM(H118*12)</f>
        <v>26949</v>
      </c>
    </row>
    <row r="119" spans="1:10">
      <c r="A119" s="113"/>
      <c r="B119" s="113"/>
      <c r="C119" s="113"/>
      <c r="D119" s="113"/>
      <c r="E119" s="113"/>
      <c r="F119" s="113"/>
      <c r="G119" s="113"/>
      <c r="H119" s="210"/>
      <c r="I119" s="113"/>
    </row>
    <row r="120" spans="1:10">
      <c r="A120" s="113"/>
      <c r="B120" s="113"/>
      <c r="C120" s="113"/>
      <c r="D120" s="113"/>
      <c r="E120" s="113"/>
      <c r="F120" s="113"/>
      <c r="G120" s="113"/>
      <c r="H120" s="210"/>
      <c r="I120" s="113"/>
    </row>
    <row r="121" spans="1:10" ht="15.75" thickBot="1">
      <c r="A121" s="113"/>
      <c r="B121" s="113"/>
      <c r="C121" s="113"/>
      <c r="D121" s="113" t="s">
        <v>924</v>
      </c>
      <c r="E121" s="113"/>
      <c r="F121" s="113"/>
      <c r="G121" s="113"/>
      <c r="H121" s="210"/>
      <c r="I121" s="113"/>
    </row>
    <row r="122" spans="1:10">
      <c r="A122" s="5163"/>
      <c r="B122" s="5017" t="s">
        <v>737</v>
      </c>
      <c r="C122" s="5017" t="s">
        <v>737</v>
      </c>
      <c r="D122" s="5017" t="s">
        <v>737</v>
      </c>
      <c r="E122" s="5017" t="s">
        <v>737</v>
      </c>
      <c r="F122" s="5017" t="s">
        <v>737</v>
      </c>
      <c r="G122" s="5164" t="s">
        <v>738</v>
      </c>
      <c r="H122" s="5165" t="s">
        <v>738</v>
      </c>
      <c r="I122" s="113"/>
    </row>
    <row r="123" spans="1:10" ht="15.75" thickBot="1">
      <c r="A123" s="4942" t="s">
        <v>599</v>
      </c>
      <c r="B123" s="5022">
        <v>8.25</v>
      </c>
      <c r="C123" s="5022">
        <v>8.25</v>
      </c>
      <c r="D123" s="5022">
        <v>8.25</v>
      </c>
      <c r="E123" s="5022">
        <v>8.25</v>
      </c>
      <c r="F123" s="5022">
        <v>8.25</v>
      </c>
      <c r="G123" s="5166">
        <v>12.25</v>
      </c>
      <c r="H123" s="5167">
        <v>12.25</v>
      </c>
      <c r="I123" s="113"/>
    </row>
    <row r="124" spans="1:10">
      <c r="A124" s="5163"/>
      <c r="B124" s="4902" t="s">
        <v>575</v>
      </c>
      <c r="C124" s="4902" t="s">
        <v>575</v>
      </c>
      <c r="D124" s="4902" t="s">
        <v>575</v>
      </c>
      <c r="E124" s="4902" t="s">
        <v>575</v>
      </c>
      <c r="F124" s="4902" t="s">
        <v>575</v>
      </c>
      <c r="G124" s="4903"/>
      <c r="H124" s="5168"/>
      <c r="I124" s="113"/>
    </row>
    <row r="125" spans="1:10" ht="15.75" thickBot="1">
      <c r="A125" s="4942" t="s">
        <v>912</v>
      </c>
      <c r="B125" s="4906"/>
      <c r="C125" s="4906"/>
      <c r="D125" s="4906"/>
      <c r="E125" s="4906"/>
      <c r="F125" s="4906"/>
      <c r="G125" s="4967"/>
      <c r="H125" s="5169"/>
      <c r="I125" s="113"/>
    </row>
    <row r="126" spans="1:10">
      <c r="A126" s="5163"/>
      <c r="B126" s="5051" t="s">
        <v>768</v>
      </c>
      <c r="C126" s="5051" t="s">
        <v>768</v>
      </c>
      <c r="D126" s="5051" t="s">
        <v>768</v>
      </c>
      <c r="E126" s="5051" t="s">
        <v>768</v>
      </c>
      <c r="F126" s="5051" t="s">
        <v>769</v>
      </c>
      <c r="G126" s="5046" t="s">
        <v>770</v>
      </c>
      <c r="H126" s="5047" t="s">
        <v>770</v>
      </c>
      <c r="I126" s="113"/>
    </row>
    <row r="127" spans="1:10" ht="15.75" thickBot="1">
      <c r="A127" s="4942" t="s">
        <v>617</v>
      </c>
      <c r="B127" s="5052">
        <v>7</v>
      </c>
      <c r="C127" s="5052">
        <v>7</v>
      </c>
      <c r="D127" s="5052">
        <v>7</v>
      </c>
      <c r="E127" s="5052">
        <v>7</v>
      </c>
      <c r="F127" s="5052">
        <v>6.5</v>
      </c>
      <c r="G127" s="5049">
        <v>12</v>
      </c>
      <c r="H127" s="5050">
        <v>12</v>
      </c>
      <c r="I127" s="113"/>
    </row>
    <row r="128" spans="1:10">
      <c r="A128" s="5163"/>
      <c r="B128" s="4902" t="s">
        <v>575</v>
      </c>
      <c r="C128" s="4902" t="s">
        <v>575</v>
      </c>
      <c r="D128" s="4902" t="s">
        <v>575</v>
      </c>
      <c r="E128" s="4902" t="s">
        <v>575</v>
      </c>
      <c r="F128" s="4902" t="s">
        <v>575</v>
      </c>
      <c r="G128" s="4903"/>
      <c r="H128" s="5168"/>
      <c r="I128" s="113"/>
    </row>
    <row r="129" spans="1:9" ht="15.75" thickBot="1">
      <c r="A129" s="4942" t="s">
        <v>788</v>
      </c>
      <c r="B129" s="4906"/>
      <c r="C129" s="4906"/>
      <c r="D129" s="4906"/>
      <c r="E129" s="4906"/>
      <c r="F129" s="4906"/>
      <c r="G129" s="4967"/>
      <c r="H129" s="5169"/>
      <c r="I129" s="113"/>
    </row>
    <row r="130" spans="1:9">
      <c r="A130" s="5163"/>
      <c r="B130" s="5081" t="s">
        <v>796</v>
      </c>
      <c r="C130" s="5081" t="s">
        <v>796</v>
      </c>
      <c r="D130" s="5081" t="s">
        <v>796</v>
      </c>
      <c r="E130" s="5081" t="s">
        <v>796</v>
      </c>
      <c r="F130" s="5081" t="s">
        <v>796</v>
      </c>
      <c r="G130" s="4887"/>
      <c r="H130" s="5170"/>
      <c r="I130" s="113"/>
    </row>
    <row r="131" spans="1:9" ht="15.75" thickBot="1">
      <c r="A131" s="4942" t="s">
        <v>627</v>
      </c>
      <c r="B131" s="5083">
        <v>7</v>
      </c>
      <c r="C131" s="5083">
        <v>7</v>
      </c>
      <c r="D131" s="5083">
        <v>7</v>
      </c>
      <c r="E131" s="5083">
        <v>7</v>
      </c>
      <c r="F131" s="5083">
        <v>7</v>
      </c>
      <c r="G131" s="4906"/>
      <c r="H131" s="5171"/>
      <c r="I131" s="113"/>
    </row>
    <row r="132" spans="1:9">
      <c r="A132" s="5163"/>
      <c r="B132" s="5028" t="s">
        <v>743</v>
      </c>
      <c r="C132" s="5028" t="s">
        <v>743</v>
      </c>
      <c r="D132" s="5028" t="s">
        <v>743</v>
      </c>
      <c r="E132" s="5028" t="s">
        <v>743</v>
      </c>
      <c r="F132" s="5028" t="s">
        <v>743</v>
      </c>
      <c r="G132" s="5029" t="s">
        <v>744</v>
      </c>
      <c r="H132" s="5030" t="s">
        <v>744</v>
      </c>
      <c r="I132" s="113"/>
    </row>
    <row r="133" spans="1:9" ht="15.75" thickBot="1">
      <c r="A133" s="4942" t="s">
        <v>746</v>
      </c>
      <c r="B133" s="4939">
        <v>7</v>
      </c>
      <c r="C133" s="4939">
        <v>7</v>
      </c>
      <c r="D133" s="4939">
        <v>7</v>
      </c>
      <c r="E133" s="4939">
        <v>7</v>
      </c>
      <c r="F133" s="4939">
        <v>7</v>
      </c>
      <c r="G133" s="5034">
        <v>11</v>
      </c>
      <c r="H133" s="5035">
        <v>11</v>
      </c>
      <c r="I133" s="113"/>
    </row>
    <row r="134" spans="1:9">
      <c r="A134" s="5163"/>
      <c r="B134" s="4902" t="s">
        <v>575</v>
      </c>
      <c r="C134" s="4902" t="s">
        <v>575</v>
      </c>
      <c r="D134" s="4902" t="s">
        <v>575</v>
      </c>
      <c r="E134" s="4902" t="s">
        <v>575</v>
      </c>
      <c r="F134" s="4902" t="s">
        <v>575</v>
      </c>
      <c r="G134" s="4199"/>
      <c r="H134" s="4884"/>
      <c r="I134" s="113"/>
    </row>
    <row r="135" spans="1:9" ht="15.75" thickBot="1">
      <c r="A135" s="4942" t="s">
        <v>759</v>
      </c>
      <c r="B135" s="4906"/>
      <c r="C135" s="4906"/>
      <c r="D135" s="4906"/>
      <c r="E135" s="4906"/>
      <c r="F135" s="4906"/>
      <c r="G135" s="4877"/>
      <c r="H135" s="4878"/>
      <c r="I135" s="113"/>
    </row>
    <row r="136" spans="1:9">
      <c r="A136" s="5163"/>
      <c r="B136" s="5055" t="s">
        <v>776</v>
      </c>
      <c r="C136" s="5055" t="s">
        <v>776</v>
      </c>
      <c r="D136" s="5055" t="s">
        <v>776</v>
      </c>
      <c r="E136" s="5055" t="s">
        <v>776</v>
      </c>
      <c r="F136" s="5055" t="s">
        <v>776</v>
      </c>
      <c r="G136" s="5046" t="s">
        <v>777</v>
      </c>
      <c r="H136" s="5047" t="s">
        <v>770</v>
      </c>
      <c r="I136" s="113"/>
    </row>
    <row r="137" spans="1:9" ht="15.75" thickBot="1">
      <c r="A137" s="4942" t="s">
        <v>780</v>
      </c>
      <c r="B137" s="5058">
        <v>7</v>
      </c>
      <c r="C137" s="5058">
        <v>7</v>
      </c>
      <c r="D137" s="5058">
        <v>7</v>
      </c>
      <c r="E137" s="5058">
        <v>7</v>
      </c>
      <c r="F137" s="5058">
        <v>7</v>
      </c>
      <c r="G137" s="5059">
        <v>9</v>
      </c>
      <c r="H137" s="5050">
        <v>12</v>
      </c>
      <c r="I137" s="113"/>
    </row>
    <row r="138" spans="1:9">
      <c r="A138" s="5163"/>
      <c r="B138" s="4902" t="s">
        <v>575</v>
      </c>
      <c r="C138" s="4902" t="s">
        <v>575</v>
      </c>
      <c r="D138" s="4902" t="s">
        <v>575</v>
      </c>
      <c r="E138" s="4902" t="s">
        <v>575</v>
      </c>
      <c r="F138" s="4902" t="s">
        <v>575</v>
      </c>
      <c r="G138" s="4199"/>
      <c r="H138" s="4884"/>
      <c r="I138" s="113"/>
    </row>
    <row r="139" spans="1:9" ht="15.75" thickBot="1">
      <c r="A139" s="192" t="s">
        <v>806</v>
      </c>
      <c r="B139" s="4906"/>
      <c r="C139" s="4906"/>
      <c r="D139" s="4906"/>
      <c r="E139" s="4906"/>
      <c r="F139" s="4906"/>
      <c r="G139" s="4877"/>
      <c r="H139" s="4878"/>
      <c r="I139" s="113"/>
    </row>
    <row r="140" spans="1:9">
      <c r="A140" s="5163"/>
      <c r="B140" s="5084" t="s">
        <v>799</v>
      </c>
      <c r="C140" s="5084" t="s">
        <v>799</v>
      </c>
      <c r="D140" s="5084" t="s">
        <v>799</v>
      </c>
      <c r="E140" s="5084" t="s">
        <v>799</v>
      </c>
      <c r="F140" s="5084" t="s">
        <v>799</v>
      </c>
      <c r="G140" s="4887"/>
      <c r="H140" s="5170"/>
      <c r="I140" s="113"/>
    </row>
    <row r="141" spans="1:9" ht="15.75" thickBot="1">
      <c r="A141" s="4954" t="s">
        <v>628</v>
      </c>
      <c r="B141" s="5086">
        <v>7.5</v>
      </c>
      <c r="C141" s="5086">
        <v>7.5</v>
      </c>
      <c r="D141" s="5086">
        <v>7.5</v>
      </c>
      <c r="E141" s="5086">
        <v>7.5</v>
      </c>
      <c r="F141" s="5086">
        <v>7.5</v>
      </c>
      <c r="G141" s="4906"/>
      <c r="H141" s="5171"/>
      <c r="I141" s="113"/>
    </row>
    <row r="142" spans="1:9">
      <c r="A142" s="5163"/>
      <c r="B142" s="5038" t="s">
        <v>749</v>
      </c>
      <c r="C142" s="5038" t="s">
        <v>749</v>
      </c>
      <c r="D142" s="5038" t="s">
        <v>749</v>
      </c>
      <c r="E142" s="5038" t="s">
        <v>749</v>
      </c>
      <c r="F142" s="5038" t="s">
        <v>749</v>
      </c>
      <c r="G142" s="5030" t="s">
        <v>750</v>
      </c>
      <c r="H142" s="5030" t="s">
        <v>750</v>
      </c>
      <c r="I142" s="113"/>
    </row>
    <row r="143" spans="1:9" ht="15.75" thickBot="1">
      <c r="A143" s="4942" t="s">
        <v>751</v>
      </c>
      <c r="B143" s="5039">
        <v>8</v>
      </c>
      <c r="C143" s="5039">
        <v>8</v>
      </c>
      <c r="D143" s="5039">
        <v>8</v>
      </c>
      <c r="E143" s="5039">
        <v>8</v>
      </c>
      <c r="F143" s="5039">
        <v>8</v>
      </c>
      <c r="G143" s="5034">
        <v>12</v>
      </c>
      <c r="H143" s="5034">
        <v>12</v>
      </c>
      <c r="I143" s="113"/>
    </row>
    <row r="144" spans="1:9">
      <c r="A144" s="5172"/>
      <c r="B144" s="4902" t="s">
        <v>575</v>
      </c>
      <c r="C144" s="4902" t="s">
        <v>575</v>
      </c>
      <c r="D144" s="4902" t="s">
        <v>575</v>
      </c>
      <c r="E144" s="4902" t="s">
        <v>575</v>
      </c>
      <c r="F144" s="4902" t="s">
        <v>575</v>
      </c>
      <c r="G144" s="5046" t="s">
        <v>761</v>
      </c>
      <c r="H144" s="5047" t="s">
        <v>762</v>
      </c>
      <c r="I144" s="113"/>
    </row>
    <row r="145" spans="1:10" ht="15.75" thickBot="1">
      <c r="A145" s="4942" t="s">
        <v>765</v>
      </c>
      <c r="B145" s="4906"/>
      <c r="C145" s="4906"/>
      <c r="D145" s="4906"/>
      <c r="E145" s="4906"/>
      <c r="F145" s="4906"/>
      <c r="G145" s="5049">
        <v>12.25</v>
      </c>
      <c r="H145" s="5050">
        <v>12.25</v>
      </c>
      <c r="I145" s="113"/>
    </row>
    <row r="146" spans="1:10">
      <c r="A146" s="5163"/>
      <c r="B146" s="5063" t="s">
        <v>783</v>
      </c>
      <c r="C146" s="5063" t="s">
        <v>783</v>
      </c>
      <c r="D146" s="5063" t="s">
        <v>783</v>
      </c>
      <c r="E146" s="5063" t="s">
        <v>783</v>
      </c>
      <c r="F146" s="5063" t="s">
        <v>783</v>
      </c>
      <c r="G146" s="4896"/>
      <c r="H146" s="5082"/>
      <c r="I146" s="113"/>
    </row>
    <row r="147" spans="1:10" ht="15.75" thickBot="1">
      <c r="A147" s="4942" t="s">
        <v>785</v>
      </c>
      <c r="B147" s="5066">
        <v>8</v>
      </c>
      <c r="C147" s="5066">
        <v>8</v>
      </c>
      <c r="D147" s="5066">
        <v>8</v>
      </c>
      <c r="E147" s="5066">
        <v>8</v>
      </c>
      <c r="F147" s="5066">
        <v>8</v>
      </c>
      <c r="G147" s="4890"/>
      <c r="H147" s="5087"/>
      <c r="I147" s="113"/>
    </row>
    <row r="148" spans="1:10">
      <c r="A148" s="5163" t="s">
        <v>0</v>
      </c>
      <c r="B148" s="5075" t="s">
        <v>748</v>
      </c>
      <c r="C148" s="5075" t="s">
        <v>748</v>
      </c>
      <c r="D148" s="5075" t="s">
        <v>748</v>
      </c>
      <c r="E148" s="5075" t="s">
        <v>748</v>
      </c>
      <c r="F148" s="5075" t="s">
        <v>748</v>
      </c>
      <c r="G148" s="4914"/>
      <c r="H148" s="4884"/>
      <c r="I148" s="113"/>
    </row>
    <row r="149" spans="1:10" ht="15.75" thickBot="1">
      <c r="A149" s="196" t="s">
        <v>793</v>
      </c>
      <c r="B149" s="5101">
        <v>8</v>
      </c>
      <c r="C149" s="5101">
        <v>8</v>
      </c>
      <c r="D149" s="5101">
        <v>8</v>
      </c>
      <c r="E149" s="5101">
        <v>8</v>
      </c>
      <c r="F149" s="5101">
        <v>8</v>
      </c>
      <c r="G149" s="4877"/>
      <c r="H149" s="4878"/>
      <c r="I149" s="113"/>
    </row>
    <row r="150" spans="1:10">
      <c r="A150" s="5163"/>
      <c r="B150" s="5092" t="s">
        <v>802</v>
      </c>
      <c r="C150" s="5093" t="s">
        <v>802</v>
      </c>
      <c r="D150" s="5093" t="s">
        <v>802</v>
      </c>
      <c r="E150" s="5093" t="s">
        <v>802</v>
      </c>
      <c r="F150" s="5093" t="s">
        <v>802</v>
      </c>
      <c r="G150" s="4887"/>
      <c r="H150" s="5170"/>
      <c r="I150" s="113"/>
    </row>
    <row r="151" spans="1:10" ht="15.75" thickBot="1">
      <c r="A151" s="4942" t="s">
        <v>629</v>
      </c>
      <c r="B151" s="5095">
        <v>8</v>
      </c>
      <c r="C151" s="5095">
        <v>8</v>
      </c>
      <c r="D151" s="5095">
        <v>8</v>
      </c>
      <c r="E151" s="5095">
        <v>8</v>
      </c>
      <c r="F151" s="5095">
        <v>8</v>
      </c>
      <c r="G151" s="4906"/>
      <c r="H151" s="5171"/>
      <c r="I151" s="113"/>
    </row>
    <row r="152" spans="1:10">
      <c r="A152" s="113"/>
      <c r="B152" s="113"/>
      <c r="C152" s="113"/>
      <c r="D152" s="113"/>
      <c r="E152" s="113"/>
      <c r="F152" s="113"/>
      <c r="G152" s="113"/>
      <c r="H152" s="210"/>
      <c r="I152" s="113"/>
    </row>
    <row r="153" spans="1:10">
      <c r="A153" s="113"/>
      <c r="B153" s="113"/>
      <c r="C153" s="113"/>
      <c r="D153" s="113"/>
      <c r="E153" s="113"/>
      <c r="F153" s="113"/>
      <c r="G153" s="113"/>
      <c r="H153" s="210"/>
      <c r="I153" s="113"/>
    </row>
    <row r="154" spans="1:10" ht="15.75" thickBot="1">
      <c r="A154" s="1" t="s">
        <v>807</v>
      </c>
      <c r="B154" s="113"/>
      <c r="C154" s="113"/>
      <c r="D154" s="113"/>
      <c r="E154" s="113"/>
      <c r="F154" s="113"/>
    </row>
    <row r="155" spans="1:10" ht="15.75" thickBot="1">
      <c r="A155" s="3833" t="s">
        <v>808</v>
      </c>
      <c r="B155" s="4896" t="s">
        <v>87</v>
      </c>
      <c r="C155" s="4897" t="s">
        <v>88</v>
      </c>
      <c r="D155" s="4897" t="s">
        <v>89</v>
      </c>
      <c r="E155" s="4897" t="s">
        <v>90</v>
      </c>
      <c r="F155" s="4897" t="s">
        <v>91</v>
      </c>
      <c r="G155" s="4897" t="s">
        <v>92</v>
      </c>
      <c r="H155" s="4898" t="s">
        <v>93</v>
      </c>
      <c r="I155" s="4899" t="s">
        <v>158</v>
      </c>
      <c r="J155" s="4900" t="s">
        <v>94</v>
      </c>
    </row>
    <row r="156" spans="1:10">
      <c r="A156" s="4901" t="s">
        <v>0</v>
      </c>
      <c r="B156" s="4887" t="s">
        <v>925</v>
      </c>
      <c r="C156" s="4887" t="s">
        <v>925</v>
      </c>
      <c r="D156" s="4887" t="s">
        <v>925</v>
      </c>
      <c r="E156" s="4887" t="s">
        <v>925</v>
      </c>
      <c r="F156" s="4887" t="s">
        <v>926</v>
      </c>
      <c r="G156" s="4888"/>
      <c r="H156" s="4888"/>
      <c r="I156" s="4902"/>
      <c r="J156" s="4904"/>
    </row>
    <row r="157" spans="1:10">
      <c r="A157" s="5138" t="s">
        <v>670</v>
      </c>
      <c r="B157" s="3698">
        <v>7.75</v>
      </c>
      <c r="C157" s="3698">
        <v>7.75</v>
      </c>
      <c r="D157" s="3698">
        <v>7.75</v>
      </c>
      <c r="E157" s="3698">
        <v>7.75</v>
      </c>
      <c r="F157" s="3698">
        <v>6</v>
      </c>
      <c r="G157" s="4982"/>
      <c r="H157" s="4982"/>
      <c r="I157" s="3698">
        <f>SUM(B157:H157)</f>
        <v>37</v>
      </c>
      <c r="J157" s="5139"/>
    </row>
    <row r="158" spans="1:10" ht="15.75" thickBot="1">
      <c r="A158" s="5173"/>
      <c r="B158" s="3695" t="s">
        <v>927</v>
      </c>
      <c r="C158" s="3695" t="s">
        <v>927</v>
      </c>
      <c r="D158" s="3695" t="s">
        <v>927</v>
      </c>
      <c r="E158" s="3695" t="s">
        <v>927</v>
      </c>
      <c r="F158" s="3695" t="s">
        <v>928</v>
      </c>
      <c r="G158" s="3661"/>
      <c r="H158" s="3661"/>
      <c r="I158" s="4963"/>
      <c r="J158" s="5105"/>
    </row>
    <row r="159" spans="1:10">
      <c r="A159" s="4365" t="s">
        <v>697</v>
      </c>
      <c r="B159" s="4887" t="s">
        <v>87</v>
      </c>
      <c r="C159" s="4888" t="s">
        <v>88</v>
      </c>
      <c r="D159" s="4888" t="s">
        <v>89</v>
      </c>
      <c r="E159" s="4888" t="s">
        <v>90</v>
      </c>
      <c r="F159" s="4888" t="s">
        <v>91</v>
      </c>
      <c r="G159" s="4888" t="s">
        <v>92</v>
      </c>
      <c r="H159" s="4888" t="s">
        <v>93</v>
      </c>
      <c r="I159" s="4199" t="s">
        <v>158</v>
      </c>
      <c r="J159" s="4889" t="s">
        <v>94</v>
      </c>
    </row>
    <row r="160" spans="1:10">
      <c r="A160" s="5138" t="s">
        <v>0</v>
      </c>
      <c r="B160" s="3691" t="s">
        <v>929</v>
      </c>
      <c r="C160" s="3691" t="s">
        <v>929</v>
      </c>
      <c r="D160" s="3691" t="s">
        <v>929</v>
      </c>
      <c r="E160" s="3691" t="s">
        <v>929</v>
      </c>
      <c r="F160" s="3691" t="s">
        <v>930</v>
      </c>
      <c r="G160" s="4982"/>
      <c r="H160" s="4982"/>
      <c r="I160" s="3698"/>
      <c r="J160" s="5139"/>
    </row>
    <row r="161" spans="1:10">
      <c r="A161" s="3698" t="s">
        <v>815</v>
      </c>
      <c r="B161" s="3691" t="s">
        <v>891</v>
      </c>
      <c r="C161" s="3691" t="s">
        <v>891</v>
      </c>
      <c r="D161" s="3691" t="s">
        <v>891</v>
      </c>
      <c r="E161" s="3691" t="s">
        <v>891</v>
      </c>
      <c r="F161" s="3691" t="s">
        <v>892</v>
      </c>
      <c r="G161" s="4982"/>
      <c r="H161" s="4982"/>
      <c r="I161" s="3698"/>
      <c r="J161" s="5139"/>
    </row>
    <row r="162" spans="1:10" ht="15.75" thickBot="1">
      <c r="A162" s="4958"/>
      <c r="B162" s="4958">
        <v>7.75</v>
      </c>
      <c r="C162" s="4958">
        <v>7.75</v>
      </c>
      <c r="D162" s="4958">
        <v>7.75</v>
      </c>
      <c r="E162" s="4958">
        <v>7.75</v>
      </c>
      <c r="F162" s="4958">
        <v>6</v>
      </c>
      <c r="G162" s="4960"/>
      <c r="H162" s="195"/>
      <c r="I162" s="4970">
        <f>SUM(B162:H162)</f>
        <v>37</v>
      </c>
      <c r="J162" s="4935"/>
    </row>
    <row r="163" spans="1:10" ht="15.75" thickBot="1">
      <c r="A163" s="5174" t="s">
        <v>588</v>
      </c>
      <c r="B163" s="5175">
        <f>SUM(B157,B162)</f>
        <v>15.5</v>
      </c>
      <c r="C163" s="5175">
        <f>SUM(C157,C162)</f>
        <v>15.5</v>
      </c>
      <c r="D163" s="5175">
        <f>SUM(D157,D162)</f>
        <v>15.5</v>
      </c>
      <c r="E163" s="5175">
        <f>SUM(E157,E162)</f>
        <v>15.5</v>
      </c>
      <c r="F163" s="5175">
        <f>SUM(F157,F162)</f>
        <v>12</v>
      </c>
      <c r="G163" s="4919"/>
      <c r="H163" s="5176"/>
      <c r="I163" s="5177">
        <f>SUM(B163:H163)</f>
        <v>74</v>
      </c>
      <c r="J163" s="5178"/>
    </row>
    <row r="164" spans="1:10">
      <c r="A164" s="42"/>
      <c r="B164" s="113"/>
      <c r="C164" s="113"/>
      <c r="D164" s="113"/>
      <c r="E164" s="113"/>
      <c r="F164" s="100"/>
      <c r="G164" s="4984" t="s">
        <v>701</v>
      </c>
      <c r="H164" s="4984" t="s">
        <v>702</v>
      </c>
      <c r="I164" s="4984" t="s">
        <v>703</v>
      </c>
      <c r="J164" s="18"/>
    </row>
    <row r="165" spans="1:10">
      <c r="A165" s="42"/>
      <c r="B165" s="113"/>
      <c r="C165" s="113"/>
      <c r="D165" s="113"/>
      <c r="E165" s="113"/>
      <c r="F165" s="100"/>
      <c r="G165" s="3698">
        <f>SUM(I163)</f>
        <v>74</v>
      </c>
      <c r="H165" s="4985">
        <f>SUM(G165*13/3)</f>
        <v>320.66666666666669</v>
      </c>
      <c r="I165" s="3698">
        <f>SUM(H165*12)</f>
        <v>3848</v>
      </c>
      <c r="J165" s="18"/>
    </row>
    <row r="166" spans="1:10" ht="15.75" thickBot="1">
      <c r="A166" s="1" t="s">
        <v>816</v>
      </c>
      <c r="B166" s="113"/>
      <c r="C166" s="113"/>
      <c r="D166" s="113"/>
      <c r="E166" s="113"/>
      <c r="F166" s="113"/>
    </row>
    <row r="167" spans="1:10">
      <c r="A167" s="4365" t="s">
        <v>817</v>
      </c>
      <c r="B167" s="4887" t="s">
        <v>87</v>
      </c>
      <c r="C167" s="4888" t="s">
        <v>88</v>
      </c>
      <c r="D167" s="4888" t="s">
        <v>89</v>
      </c>
      <c r="E167" s="4888" t="s">
        <v>90</v>
      </c>
      <c r="F167" s="4888" t="s">
        <v>91</v>
      </c>
      <c r="G167" s="4888" t="s">
        <v>92</v>
      </c>
      <c r="H167" s="4888" t="s">
        <v>93</v>
      </c>
      <c r="I167" s="4199" t="s">
        <v>158</v>
      </c>
      <c r="J167" s="4889" t="s">
        <v>94</v>
      </c>
    </row>
    <row r="168" spans="1:10">
      <c r="A168" s="5138" t="s">
        <v>0</v>
      </c>
      <c r="B168" s="3698" t="s">
        <v>818</v>
      </c>
      <c r="C168" s="3698" t="s">
        <v>818</v>
      </c>
      <c r="D168" s="3698" t="s">
        <v>818</v>
      </c>
      <c r="E168" s="3698" t="s">
        <v>818</v>
      </c>
      <c r="F168" s="3698" t="s">
        <v>819</v>
      </c>
      <c r="G168" s="4982"/>
      <c r="H168" s="4982"/>
      <c r="I168" s="3698"/>
      <c r="J168" s="5139"/>
    </row>
    <row r="169" spans="1:10">
      <c r="A169" s="5138" t="s">
        <v>672</v>
      </c>
      <c r="B169" s="3698">
        <v>8</v>
      </c>
      <c r="C169" s="3698">
        <v>8</v>
      </c>
      <c r="D169" s="3698">
        <v>8</v>
      </c>
      <c r="E169" s="3698">
        <v>8</v>
      </c>
      <c r="F169" s="3698">
        <v>5</v>
      </c>
      <c r="G169" s="4982"/>
      <c r="H169" s="4982"/>
      <c r="I169" s="3698">
        <f>SUM(B169:H169)</f>
        <v>37</v>
      </c>
      <c r="J169" s="5139"/>
    </row>
    <row r="170" spans="1:10" ht="15.75" thickBot="1">
      <c r="A170" s="4905"/>
      <c r="B170" s="5136" t="s">
        <v>931</v>
      </c>
      <c r="C170" s="5136" t="s">
        <v>931</v>
      </c>
      <c r="D170" s="5136" t="s">
        <v>931</v>
      </c>
      <c r="E170" s="5136" t="s">
        <v>931</v>
      </c>
      <c r="F170" s="5136" t="s">
        <v>932</v>
      </c>
      <c r="G170" s="3584"/>
      <c r="H170" s="3584"/>
      <c r="I170" s="4906"/>
      <c r="J170" s="4969"/>
    </row>
    <row r="171" spans="1:10">
      <c r="A171" s="42"/>
      <c r="B171" s="113"/>
      <c r="C171" s="113"/>
      <c r="D171" s="113"/>
      <c r="E171" s="113"/>
      <c r="F171" s="100"/>
      <c r="G171" s="234" t="s">
        <v>701</v>
      </c>
      <c r="H171" s="234" t="s">
        <v>702</v>
      </c>
      <c r="I171" s="234" t="s">
        <v>703</v>
      </c>
      <c r="J171" s="18"/>
    </row>
    <row r="172" spans="1:10">
      <c r="A172" s="42"/>
      <c r="B172" s="113"/>
      <c r="C172" s="113"/>
      <c r="D172" s="113"/>
      <c r="E172" s="113"/>
      <c r="F172" s="100"/>
      <c r="G172" s="3698">
        <f>I169</f>
        <v>37</v>
      </c>
      <c r="H172" s="4985">
        <f>SUM(G172*13/3)</f>
        <v>160.33333333333334</v>
      </c>
      <c r="I172" s="3698">
        <f>SUM(H172*12)</f>
        <v>1924</v>
      </c>
      <c r="J172" s="18"/>
    </row>
    <row r="173" spans="1:10">
      <c r="A173" s="42"/>
      <c r="B173" s="113"/>
      <c r="C173" s="113"/>
      <c r="D173" s="113"/>
      <c r="E173" s="113"/>
      <c r="F173" s="100"/>
      <c r="G173" s="113"/>
      <c r="H173" s="210"/>
      <c r="I173" s="113"/>
      <c r="J173" s="18"/>
    </row>
    <row r="174" spans="1:10">
      <c r="A174" s="42"/>
      <c r="B174" s="113"/>
      <c r="C174" s="113"/>
      <c r="D174" s="113"/>
      <c r="E174" s="113"/>
      <c r="F174" s="100"/>
      <c r="G174" s="113"/>
      <c r="H174" s="210"/>
      <c r="I174" s="113"/>
      <c r="J174" s="18"/>
    </row>
    <row r="175" spans="1:10">
      <c r="A175" s="42"/>
      <c r="B175" s="113"/>
      <c r="C175" s="113"/>
      <c r="D175" s="113"/>
      <c r="E175" s="113"/>
      <c r="F175" s="100"/>
      <c r="G175" s="113"/>
      <c r="H175" s="210"/>
      <c r="I175" s="113"/>
      <c r="J175" s="18"/>
    </row>
    <row r="176" spans="1:10">
      <c r="A176" s="42"/>
      <c r="B176" s="113"/>
      <c r="C176" s="113"/>
      <c r="D176" s="113"/>
      <c r="E176" s="113"/>
      <c r="F176" s="100"/>
      <c r="G176" s="113"/>
      <c r="H176" s="210"/>
      <c r="I176" s="113"/>
      <c r="J176" s="18"/>
    </row>
    <row r="177" spans="1:10">
      <c r="A177" s="42"/>
      <c r="B177" s="113"/>
      <c r="C177" s="113"/>
      <c r="D177" s="113"/>
      <c r="E177" s="113"/>
      <c r="F177" s="100"/>
      <c r="G177" s="113"/>
      <c r="H177" s="210"/>
      <c r="I177" s="113"/>
      <c r="J177" s="18"/>
    </row>
    <row r="178" spans="1:10">
      <c r="A178" s="42"/>
      <c r="B178" s="113"/>
      <c r="C178" s="113"/>
      <c r="D178" s="113"/>
      <c r="E178" s="113"/>
      <c r="F178" s="100"/>
      <c r="G178" s="113"/>
      <c r="H178" s="210"/>
      <c r="I178" s="113"/>
      <c r="J178" s="18"/>
    </row>
    <row r="179" spans="1:10">
      <c r="A179" s="42"/>
      <c r="B179" s="113"/>
      <c r="C179" s="113"/>
      <c r="D179" s="113"/>
      <c r="E179" s="113"/>
      <c r="F179" s="100"/>
      <c r="G179" s="113"/>
      <c r="H179" s="210"/>
      <c r="I179" s="113"/>
      <c r="J179" s="18"/>
    </row>
    <row r="180" spans="1:10">
      <c r="A180" s="113"/>
      <c r="B180" s="113"/>
      <c r="C180" s="113"/>
      <c r="D180" s="113"/>
      <c r="E180" s="113"/>
      <c r="F180" s="113"/>
      <c r="G180" s="113"/>
      <c r="H180" s="210"/>
      <c r="I180" s="113"/>
      <c r="J180" s="18"/>
    </row>
    <row r="181" spans="1:10" ht="15.75" thickBot="1">
      <c r="A181" s="1" t="s">
        <v>933</v>
      </c>
      <c r="B181" s="113"/>
      <c r="C181" s="113"/>
      <c r="D181" s="113"/>
      <c r="E181" s="113"/>
      <c r="F181" s="113"/>
    </row>
    <row r="182" spans="1:10" ht="15.75" thickBot="1">
      <c r="A182" s="3833" t="s">
        <v>676</v>
      </c>
      <c r="B182" s="4896" t="s">
        <v>87</v>
      </c>
      <c r="C182" s="4897" t="s">
        <v>88</v>
      </c>
      <c r="D182" s="4897" t="s">
        <v>89</v>
      </c>
      <c r="E182" s="4897" t="s">
        <v>90</v>
      </c>
      <c r="F182" s="4897" t="s">
        <v>91</v>
      </c>
      <c r="G182" s="4897" t="s">
        <v>92</v>
      </c>
      <c r="H182" s="4898" t="s">
        <v>93</v>
      </c>
      <c r="I182" s="4899" t="s">
        <v>158</v>
      </c>
      <c r="J182" s="4900" t="s">
        <v>94</v>
      </c>
    </row>
    <row r="183" spans="1:10">
      <c r="A183" s="4901" t="s">
        <v>642</v>
      </c>
      <c r="B183" s="4902" t="s">
        <v>824</v>
      </c>
      <c r="C183" s="4902" t="s">
        <v>824</v>
      </c>
      <c r="D183" s="4902" t="s">
        <v>824</v>
      </c>
      <c r="E183" s="4902" t="s">
        <v>824</v>
      </c>
      <c r="F183" s="5179" t="s">
        <v>825</v>
      </c>
      <c r="G183" s="4888"/>
      <c r="H183" s="4888"/>
      <c r="I183" s="4902"/>
      <c r="J183" s="4904" t="s">
        <v>0</v>
      </c>
    </row>
    <row r="184" spans="1:10">
      <c r="A184" s="3851"/>
      <c r="B184" s="3698">
        <v>8</v>
      </c>
      <c r="C184" s="3698">
        <v>8</v>
      </c>
      <c r="D184" s="3698">
        <v>8</v>
      </c>
      <c r="E184" s="3698">
        <v>8</v>
      </c>
      <c r="F184" s="5180">
        <v>7</v>
      </c>
      <c r="G184" s="4982"/>
      <c r="H184" s="4982"/>
      <c r="I184" s="3698">
        <f>SUM(B184:H184)</f>
        <v>39</v>
      </c>
      <c r="J184" s="5139"/>
    </row>
    <row r="185" spans="1:10" ht="15.75" thickBot="1">
      <c r="A185" s="5103"/>
      <c r="B185" s="3695" t="s">
        <v>934</v>
      </c>
      <c r="C185" s="3695" t="s">
        <v>934</v>
      </c>
      <c r="D185" s="3695" t="s">
        <v>934</v>
      </c>
      <c r="E185" s="3695" t="s">
        <v>934</v>
      </c>
      <c r="F185" s="5181" t="s">
        <v>935</v>
      </c>
      <c r="G185" s="3661"/>
      <c r="H185" s="3661"/>
      <c r="I185" s="4963"/>
      <c r="J185" s="5105"/>
    </row>
    <row r="186" spans="1:10">
      <c r="A186" s="4901" t="s">
        <v>645</v>
      </c>
      <c r="B186" s="4902" t="s">
        <v>828</v>
      </c>
      <c r="C186" s="4902" t="s">
        <v>828</v>
      </c>
      <c r="D186" s="4902" t="s">
        <v>828</v>
      </c>
      <c r="E186" s="4902" t="s">
        <v>828</v>
      </c>
      <c r="F186" s="4943" t="s">
        <v>829</v>
      </c>
      <c r="G186" s="4888"/>
      <c r="H186" s="4888"/>
      <c r="I186" s="4902"/>
      <c r="J186" s="4904"/>
    </row>
    <row r="187" spans="1:10">
      <c r="A187" s="3851"/>
      <c r="B187" s="3698">
        <v>6.5</v>
      </c>
      <c r="C187" s="3698">
        <v>6.5</v>
      </c>
      <c r="D187" s="3698">
        <v>6.5</v>
      </c>
      <c r="E187" s="3698">
        <v>6.5</v>
      </c>
      <c r="F187" s="5182">
        <v>6.25</v>
      </c>
      <c r="G187" s="4982"/>
      <c r="H187" s="4982"/>
      <c r="I187" s="3698">
        <f>SUM(B187:H187)</f>
        <v>32.25</v>
      </c>
      <c r="J187" s="5139"/>
    </row>
    <row r="188" spans="1:10" ht="15.75" thickBot="1">
      <c r="A188" s="3514"/>
      <c r="B188" s="5136" t="s">
        <v>936</v>
      </c>
      <c r="C188" s="5136" t="s">
        <v>936</v>
      </c>
      <c r="D188" s="5136" t="s">
        <v>936</v>
      </c>
      <c r="E188" s="5136" t="s">
        <v>936</v>
      </c>
      <c r="F188" s="5183" t="s">
        <v>937</v>
      </c>
      <c r="G188" s="3584"/>
      <c r="H188" s="3584"/>
      <c r="I188" s="4906"/>
      <c r="J188" s="4969"/>
    </row>
    <row r="189" spans="1:10" ht="15.75" thickBot="1">
      <c r="A189" s="220" t="s">
        <v>588</v>
      </c>
      <c r="B189" s="220">
        <f t="shared" ref="B189:I189" si="3">SUM(B184,B187)</f>
        <v>14.5</v>
      </c>
      <c r="C189" s="220">
        <f t="shared" si="3"/>
        <v>14.5</v>
      </c>
      <c r="D189" s="220">
        <f t="shared" si="3"/>
        <v>14.5</v>
      </c>
      <c r="E189" s="220">
        <f t="shared" si="3"/>
        <v>14.5</v>
      </c>
      <c r="F189" s="220">
        <f t="shared" si="3"/>
        <v>13.25</v>
      </c>
      <c r="G189" s="220">
        <f t="shared" si="3"/>
        <v>0</v>
      </c>
      <c r="H189" s="220">
        <f t="shared" si="3"/>
        <v>0</v>
      </c>
      <c r="I189" s="220">
        <f t="shared" si="3"/>
        <v>71.25</v>
      </c>
      <c r="J189" s="222"/>
    </row>
    <row r="190" spans="1:10" ht="15.75" thickTop="1">
      <c r="A190" s="113"/>
      <c r="B190" s="113"/>
      <c r="C190" s="113"/>
      <c r="D190" s="113"/>
      <c r="E190" s="113"/>
      <c r="F190" s="113"/>
      <c r="G190" s="4984" t="s">
        <v>701</v>
      </c>
      <c r="H190" s="4984" t="s">
        <v>702</v>
      </c>
      <c r="I190" s="4984" t="s">
        <v>703</v>
      </c>
    </row>
    <row r="191" spans="1:10">
      <c r="A191" s="113"/>
      <c r="B191" s="113"/>
      <c r="C191" s="113"/>
      <c r="D191" s="113"/>
      <c r="E191" s="113"/>
      <c r="F191" s="113"/>
      <c r="G191" s="3698">
        <f>I189</f>
        <v>71.25</v>
      </c>
      <c r="H191" s="4985">
        <f>SUM(G191*13/3)</f>
        <v>308.75</v>
      </c>
      <c r="I191" s="3698">
        <f>SUM(H191*12)</f>
        <v>3705</v>
      </c>
    </row>
    <row r="192" spans="1:10">
      <c r="A192" s="113"/>
      <c r="B192" s="113"/>
      <c r="C192" s="113"/>
      <c r="D192" s="113"/>
      <c r="E192" s="113"/>
      <c r="F192" s="113"/>
      <c r="G192" s="113"/>
      <c r="H192" s="210"/>
      <c r="I192" s="113"/>
    </row>
    <row r="193" spans="1:10" ht="15.75" thickBot="1">
      <c r="A193" s="1" t="s">
        <v>657</v>
      </c>
      <c r="B193" s="113"/>
      <c r="C193" s="113"/>
      <c r="D193" s="113"/>
      <c r="E193" s="113"/>
      <c r="F193" s="113"/>
    </row>
    <row r="194" spans="1:10" ht="15.75" thickBot="1">
      <c r="A194" s="3833" t="s">
        <v>658</v>
      </c>
      <c r="B194" s="4896" t="s">
        <v>87</v>
      </c>
      <c r="C194" s="4897" t="s">
        <v>88</v>
      </c>
      <c r="D194" s="4897" t="s">
        <v>89</v>
      </c>
      <c r="E194" s="4897" t="s">
        <v>90</v>
      </c>
      <c r="F194" s="4897" t="s">
        <v>91</v>
      </c>
      <c r="G194" s="4897" t="s">
        <v>92</v>
      </c>
      <c r="H194" s="4898" t="s">
        <v>93</v>
      </c>
      <c r="I194" s="4899" t="s">
        <v>158</v>
      </c>
      <c r="J194" s="4900" t="s">
        <v>94</v>
      </c>
    </row>
    <row r="195" spans="1:10">
      <c r="A195" s="4901" t="s">
        <v>659</v>
      </c>
      <c r="B195" s="4902" t="s">
        <v>312</v>
      </c>
      <c r="C195" s="4902" t="s">
        <v>312</v>
      </c>
      <c r="D195" s="4902" t="s">
        <v>312</v>
      </c>
      <c r="E195" s="4902" t="s">
        <v>312</v>
      </c>
      <c r="F195" s="4902" t="s">
        <v>313</v>
      </c>
      <c r="G195" s="4888"/>
      <c r="H195" s="4888"/>
      <c r="I195" s="4902"/>
      <c r="J195" s="4904"/>
    </row>
    <row r="196" spans="1:10">
      <c r="A196" s="3851"/>
      <c r="B196" s="3698">
        <v>7.5</v>
      </c>
      <c r="C196" s="3698">
        <v>7.5</v>
      </c>
      <c r="D196" s="3698">
        <v>7.5</v>
      </c>
      <c r="E196" s="3698">
        <v>7.5</v>
      </c>
      <c r="F196" s="4981">
        <v>7</v>
      </c>
      <c r="G196" s="4982"/>
      <c r="H196" s="4982"/>
      <c r="I196" s="3698">
        <f>SUM(B196:H196)</f>
        <v>37</v>
      </c>
      <c r="J196" s="5139"/>
    </row>
    <row r="197" spans="1:10" ht="15.75" thickBot="1">
      <c r="A197" s="5103"/>
      <c r="B197" s="3695" t="s">
        <v>938</v>
      </c>
      <c r="C197" s="3695" t="s">
        <v>938</v>
      </c>
      <c r="D197" s="3695" t="s">
        <v>938</v>
      </c>
      <c r="E197" s="3695" t="s">
        <v>938</v>
      </c>
      <c r="F197" s="3695" t="s">
        <v>939</v>
      </c>
      <c r="G197" s="3661"/>
      <c r="H197" s="3661"/>
      <c r="I197" s="4963"/>
      <c r="J197" s="5105"/>
    </row>
    <row r="198" spans="1:10">
      <c r="A198" s="4901" t="s">
        <v>660</v>
      </c>
      <c r="B198" s="4902" t="s">
        <v>837</v>
      </c>
      <c r="C198" s="4902" t="s">
        <v>837</v>
      </c>
      <c r="D198" s="4902" t="s">
        <v>837</v>
      </c>
      <c r="E198" s="4902" t="s">
        <v>837</v>
      </c>
      <c r="F198" s="4902" t="s">
        <v>838</v>
      </c>
      <c r="G198" s="4888"/>
      <c r="H198" s="4888"/>
      <c r="I198" s="4902"/>
      <c r="J198" s="4904"/>
    </row>
    <row r="199" spans="1:10">
      <c r="A199" s="3851"/>
      <c r="B199" s="3698">
        <v>7</v>
      </c>
      <c r="C199" s="3698">
        <v>7</v>
      </c>
      <c r="D199" s="3698">
        <v>7</v>
      </c>
      <c r="E199" s="3698">
        <v>7</v>
      </c>
      <c r="F199" s="4981">
        <v>6</v>
      </c>
      <c r="G199" s="4982"/>
      <c r="H199" s="4982"/>
      <c r="I199" s="3698">
        <f>SUM(B199:H199)</f>
        <v>34</v>
      </c>
      <c r="J199" s="5139"/>
    </row>
    <row r="200" spans="1:10" ht="15.75" thickBot="1">
      <c r="A200" s="5103"/>
      <c r="B200" s="3695" t="s">
        <v>940</v>
      </c>
      <c r="C200" s="3695" t="s">
        <v>940</v>
      </c>
      <c r="D200" s="3695" t="s">
        <v>940</v>
      </c>
      <c r="E200" s="3695" t="s">
        <v>940</v>
      </c>
      <c r="F200" s="3695" t="s">
        <v>941</v>
      </c>
      <c r="G200" s="3661"/>
      <c r="H200" s="3661"/>
      <c r="I200" s="4963"/>
      <c r="J200" s="5105"/>
    </row>
    <row r="201" spans="1:10">
      <c r="A201" s="4901" t="s">
        <v>662</v>
      </c>
      <c r="B201" s="4902" t="s">
        <v>663</v>
      </c>
      <c r="C201" s="4902" t="s">
        <v>663</v>
      </c>
      <c r="D201" s="4902" t="s">
        <v>663</v>
      </c>
      <c r="E201" s="4902" t="s">
        <v>663</v>
      </c>
      <c r="F201" s="4902" t="s">
        <v>664</v>
      </c>
      <c r="G201" s="4902"/>
      <c r="H201" s="4902"/>
      <c r="I201" s="4902"/>
      <c r="J201" s="4904"/>
    </row>
    <row r="202" spans="1:10">
      <c r="A202" s="5138"/>
      <c r="B202" s="3698" t="s">
        <v>840</v>
      </c>
      <c r="C202" s="3698" t="s">
        <v>840</v>
      </c>
      <c r="D202" s="3698" t="s">
        <v>840</v>
      </c>
      <c r="E202" s="3698" t="s">
        <v>840</v>
      </c>
      <c r="F202" s="3698" t="s">
        <v>840</v>
      </c>
      <c r="G202" s="4981"/>
      <c r="H202" s="4981"/>
      <c r="I202" s="3698">
        <f>SUM(B202:H202)</f>
        <v>0</v>
      </c>
      <c r="J202" s="5139"/>
    </row>
    <row r="203" spans="1:10" ht="15.75" thickBot="1">
      <c r="A203" s="4905"/>
      <c r="B203" s="5136" t="s">
        <v>942</v>
      </c>
      <c r="C203" s="5136" t="s">
        <v>942</v>
      </c>
      <c r="D203" s="5136" t="s">
        <v>942</v>
      </c>
      <c r="E203" s="5136" t="s">
        <v>942</v>
      </c>
      <c r="F203" s="5136" t="s">
        <v>943</v>
      </c>
      <c r="G203" s="4967"/>
      <c r="H203" s="4967"/>
      <c r="I203" s="4906"/>
      <c r="J203" s="4969"/>
    </row>
    <row r="204" spans="1:10" ht="15.75" thickBot="1">
      <c r="A204" s="220" t="s">
        <v>588</v>
      </c>
      <c r="B204" s="220">
        <f t="shared" ref="B204:I204" si="4">SUM(B196,B199,B202)</f>
        <v>14.5</v>
      </c>
      <c r="C204" s="220">
        <f t="shared" si="4"/>
        <v>14.5</v>
      </c>
      <c r="D204" s="220">
        <f t="shared" si="4"/>
        <v>14.5</v>
      </c>
      <c r="E204" s="220">
        <f t="shared" si="4"/>
        <v>14.5</v>
      </c>
      <c r="F204" s="220">
        <f t="shared" si="4"/>
        <v>13</v>
      </c>
      <c r="G204" s="220">
        <f t="shared" si="4"/>
        <v>0</v>
      </c>
      <c r="H204" s="220">
        <f t="shared" si="4"/>
        <v>0</v>
      </c>
      <c r="I204" s="245">
        <f t="shared" si="4"/>
        <v>71</v>
      </c>
      <c r="J204" s="237"/>
    </row>
    <row r="205" spans="1:10" ht="15.75" thickTop="1">
      <c r="A205" s="113"/>
      <c r="B205" s="113"/>
      <c r="C205" s="113"/>
      <c r="D205" s="113"/>
      <c r="E205" s="113"/>
      <c r="F205" s="100"/>
      <c r="G205" s="4984" t="s">
        <v>701</v>
      </c>
      <c r="H205" s="4984" t="s">
        <v>702</v>
      </c>
      <c r="I205" s="4984" t="s">
        <v>703</v>
      </c>
      <c r="J205" s="18"/>
    </row>
    <row r="206" spans="1:10">
      <c r="A206" s="113"/>
      <c r="B206" s="113"/>
      <c r="C206" s="113"/>
      <c r="D206" s="113"/>
      <c r="E206" s="113"/>
      <c r="F206" s="113"/>
      <c r="G206" s="3698">
        <f>I204</f>
        <v>71</v>
      </c>
      <c r="H206" s="4985">
        <f>SUM(G206*13/3)</f>
        <v>307.66666666666669</v>
      </c>
      <c r="I206" s="3698">
        <f>SUM(H206*12)</f>
        <v>3692</v>
      </c>
      <c r="J206" s="18"/>
    </row>
    <row r="207" spans="1:10">
      <c r="A207" s="113"/>
      <c r="B207" s="113"/>
      <c r="C207" s="113"/>
      <c r="D207" s="113"/>
      <c r="E207" s="113"/>
      <c r="F207" s="113"/>
      <c r="G207" s="113"/>
      <c r="H207" s="210"/>
      <c r="I207" s="113"/>
      <c r="J207" s="18"/>
    </row>
    <row r="208" spans="1:10">
      <c r="A208" s="113"/>
      <c r="B208" s="113"/>
      <c r="C208" s="113"/>
      <c r="D208" s="113"/>
      <c r="E208" s="113"/>
      <c r="F208" s="113"/>
      <c r="G208" s="113"/>
      <c r="H208" s="210"/>
      <c r="I208" s="113"/>
      <c r="J208" s="18"/>
    </row>
    <row r="209" spans="1:10">
      <c r="A209" s="113"/>
      <c r="B209" s="113"/>
      <c r="C209" s="113"/>
      <c r="D209" s="113"/>
      <c r="E209" s="113"/>
      <c r="F209" s="113"/>
      <c r="G209" s="113"/>
      <c r="H209" s="210"/>
      <c r="I209" s="113"/>
      <c r="J209" s="18"/>
    </row>
    <row r="210" spans="1:10">
      <c r="A210" s="113"/>
      <c r="B210" s="113"/>
      <c r="C210" s="113"/>
      <c r="D210" s="113"/>
      <c r="E210" s="113"/>
      <c r="F210" s="113"/>
      <c r="G210" s="113"/>
      <c r="H210" s="210"/>
      <c r="I210" s="113"/>
      <c r="J210" s="18"/>
    </row>
    <row r="211" spans="1:10">
      <c r="A211" s="113"/>
      <c r="B211" s="113"/>
      <c r="C211" s="113"/>
      <c r="D211" s="113"/>
      <c r="E211" s="113"/>
      <c r="F211" s="113"/>
      <c r="G211" s="113"/>
      <c r="H211" s="210"/>
      <c r="I211" s="113"/>
      <c r="J211" s="18"/>
    </row>
    <row r="212" spans="1:10">
      <c r="A212" s="113"/>
      <c r="B212" s="113"/>
      <c r="C212" s="113"/>
      <c r="D212" s="113"/>
      <c r="E212" s="113"/>
      <c r="F212" s="113"/>
      <c r="G212" s="113"/>
      <c r="H212" s="210"/>
      <c r="I212" s="113"/>
      <c r="J212" s="18"/>
    </row>
    <row r="213" spans="1:10">
      <c r="A213" s="113"/>
      <c r="B213" s="113"/>
      <c r="C213" s="113"/>
      <c r="D213" s="113"/>
      <c r="E213" s="113"/>
      <c r="F213" s="113"/>
      <c r="G213" s="113"/>
      <c r="H213" s="210"/>
      <c r="I213" s="113"/>
      <c r="J213" s="18"/>
    </row>
    <row r="214" spans="1:10">
      <c r="A214" s="113"/>
      <c r="B214" s="113"/>
      <c r="C214" s="113"/>
      <c r="D214" s="113"/>
      <c r="E214" s="113"/>
      <c r="F214" s="113"/>
      <c r="G214" s="113"/>
      <c r="H214" s="210"/>
      <c r="I214" s="113"/>
      <c r="J214" s="18"/>
    </row>
    <row r="215" spans="1:10">
      <c r="A215" s="113"/>
      <c r="B215" s="113"/>
      <c r="C215" s="113"/>
      <c r="D215" s="113"/>
      <c r="E215" s="113"/>
      <c r="F215" s="113"/>
      <c r="G215" s="113"/>
      <c r="H215" s="210"/>
      <c r="I215" s="113"/>
      <c r="J215" s="18"/>
    </row>
    <row r="216" spans="1:10">
      <c r="A216" s="113"/>
      <c r="B216" s="113"/>
      <c r="C216" s="113"/>
      <c r="D216" s="113"/>
      <c r="E216" s="113"/>
      <c r="F216" s="113"/>
      <c r="G216" s="113"/>
      <c r="H216" s="210"/>
      <c r="I216" s="113"/>
      <c r="J216" s="18"/>
    </row>
    <row r="217" spans="1:10">
      <c r="A217" s="113"/>
      <c r="B217" s="113"/>
      <c r="C217" s="113"/>
      <c r="D217" s="113"/>
      <c r="E217" s="113"/>
      <c r="F217" s="113"/>
      <c r="G217" s="113"/>
      <c r="H217" s="210"/>
      <c r="I217" s="113"/>
      <c r="J217" s="18"/>
    </row>
    <row r="218" spans="1:10" ht="15.75" thickBot="1">
      <c r="A218" s="37" t="s">
        <v>844</v>
      </c>
      <c r="B218" s="113"/>
      <c r="C218" s="113"/>
      <c r="D218" s="113"/>
      <c r="E218" s="113"/>
      <c r="F218" s="100"/>
      <c r="G218" s="100"/>
      <c r="H218" s="100"/>
      <c r="I218" s="113"/>
      <c r="J218" s="18"/>
    </row>
    <row r="219" spans="1:10" ht="15.75" thickBot="1">
      <c r="A219" s="3833" t="s">
        <v>679</v>
      </c>
      <c r="B219" s="4896" t="s">
        <v>87</v>
      </c>
      <c r="C219" s="4897" t="s">
        <v>88</v>
      </c>
      <c r="D219" s="4897" t="s">
        <v>89</v>
      </c>
      <c r="E219" s="4897" t="s">
        <v>90</v>
      </c>
      <c r="F219" s="4897" t="s">
        <v>91</v>
      </c>
      <c r="G219" s="4897" t="s">
        <v>92</v>
      </c>
      <c r="H219" s="4898" t="s">
        <v>93</v>
      </c>
      <c r="I219" s="4899" t="s">
        <v>158</v>
      </c>
      <c r="J219" s="4900" t="s">
        <v>94</v>
      </c>
    </row>
    <row r="220" spans="1:10">
      <c r="A220" s="4901" t="s">
        <v>0</v>
      </c>
      <c r="B220" s="4902" t="s">
        <v>283</v>
      </c>
      <c r="C220" s="4902" t="s">
        <v>283</v>
      </c>
      <c r="D220" s="4902" t="s">
        <v>283</v>
      </c>
      <c r="E220" s="4902" t="s">
        <v>283</v>
      </c>
      <c r="F220" s="4903" t="s">
        <v>284</v>
      </c>
      <c r="G220" s="4887"/>
      <c r="H220" s="4887" t="s">
        <v>0</v>
      </c>
      <c r="I220" s="4199"/>
      <c r="J220" s="4904" t="s">
        <v>0</v>
      </c>
    </row>
    <row r="221" spans="1:10">
      <c r="A221" s="5184">
        <v>1</v>
      </c>
      <c r="B221" s="3698">
        <v>7.75</v>
      </c>
      <c r="C221" s="3698">
        <v>7.75</v>
      </c>
      <c r="D221" s="3698">
        <v>7.75</v>
      </c>
      <c r="E221" s="3698">
        <v>7.75</v>
      </c>
      <c r="F221" s="4981">
        <v>6</v>
      </c>
      <c r="G221" s="3698"/>
      <c r="H221" s="3698" t="s">
        <v>0</v>
      </c>
      <c r="I221" s="3698">
        <f>SUM(B221:H221)</f>
        <v>37</v>
      </c>
      <c r="J221" s="5139"/>
    </row>
    <row r="222" spans="1:10" ht="15.75" thickBot="1">
      <c r="A222" s="5185"/>
      <c r="B222" s="3695" t="s">
        <v>944</v>
      </c>
      <c r="C222" s="3695" t="s">
        <v>944</v>
      </c>
      <c r="D222" s="3695" t="s">
        <v>944</v>
      </c>
      <c r="E222" s="3695" t="s">
        <v>944</v>
      </c>
      <c r="F222" s="3695" t="s">
        <v>945</v>
      </c>
      <c r="G222" s="3695"/>
      <c r="H222" s="3695" t="s">
        <v>0</v>
      </c>
      <c r="I222" s="4963"/>
      <c r="J222" s="5105"/>
    </row>
    <row r="223" spans="1:10">
      <c r="A223" s="4901" t="s">
        <v>0</v>
      </c>
      <c r="B223" s="4902" t="s">
        <v>283</v>
      </c>
      <c r="C223" s="4902" t="s">
        <v>283</v>
      </c>
      <c r="D223" s="4902" t="s">
        <v>283</v>
      </c>
      <c r="E223" s="4902" t="s">
        <v>283</v>
      </c>
      <c r="F223" s="4903" t="s">
        <v>284</v>
      </c>
      <c r="G223" s="4902"/>
      <c r="H223" s="4903"/>
      <c r="I223" s="4199"/>
      <c r="J223" s="4904"/>
    </row>
    <row r="224" spans="1:10">
      <c r="A224" s="5184">
        <v>2</v>
      </c>
      <c r="B224" s="3698">
        <v>7.75</v>
      </c>
      <c r="C224" s="3698">
        <v>7.75</v>
      </c>
      <c r="D224" s="3698">
        <v>7.75</v>
      </c>
      <c r="E224" s="3698">
        <v>7.75</v>
      </c>
      <c r="F224" s="4981">
        <v>6</v>
      </c>
      <c r="G224" s="4981"/>
      <c r="H224" s="4981"/>
      <c r="I224" s="3698">
        <f>SUM(B224:H224)</f>
        <v>37</v>
      </c>
      <c r="J224" s="5139"/>
    </row>
    <row r="225" spans="1:10" ht="15.75" thickBot="1">
      <c r="A225" s="5185"/>
      <c r="B225" s="3695" t="s">
        <v>944</v>
      </c>
      <c r="C225" s="3695" t="s">
        <v>944</v>
      </c>
      <c r="D225" s="3695" t="s">
        <v>944</v>
      </c>
      <c r="E225" s="3695" t="s">
        <v>944</v>
      </c>
      <c r="F225" s="3695" t="s">
        <v>945</v>
      </c>
      <c r="G225" s="3661"/>
      <c r="H225" s="5104"/>
      <c r="I225" s="4963"/>
      <c r="J225" s="5105"/>
    </row>
    <row r="226" spans="1:10">
      <c r="A226" s="4901"/>
      <c r="B226" s="4902" t="s">
        <v>283</v>
      </c>
      <c r="C226" s="4902" t="s">
        <v>283</v>
      </c>
      <c r="D226" s="4902" t="s">
        <v>283</v>
      </c>
      <c r="E226" s="4902" t="s">
        <v>283</v>
      </c>
      <c r="F226" s="4903" t="s">
        <v>284</v>
      </c>
      <c r="G226" s="4902"/>
      <c r="H226" s="4903"/>
      <c r="I226" s="4199"/>
      <c r="J226" s="4904"/>
    </row>
    <row r="227" spans="1:10">
      <c r="A227" s="5184">
        <v>3</v>
      </c>
      <c r="B227" s="3698">
        <v>7.75</v>
      </c>
      <c r="C227" s="3698">
        <v>7.75</v>
      </c>
      <c r="D227" s="3698">
        <v>7.75</v>
      </c>
      <c r="E227" s="3698">
        <v>7.75</v>
      </c>
      <c r="F227" s="4981">
        <v>6</v>
      </c>
      <c r="G227" s="3698"/>
      <c r="H227" s="4981"/>
      <c r="I227" s="3698">
        <f>SUM(B227:H227)</f>
        <v>37</v>
      </c>
      <c r="J227" s="5139"/>
    </row>
    <row r="228" spans="1:10" ht="15.75" thickBot="1">
      <c r="A228" s="5185"/>
      <c r="B228" s="3695" t="s">
        <v>944</v>
      </c>
      <c r="C228" s="3695" t="s">
        <v>944</v>
      </c>
      <c r="D228" s="3695" t="s">
        <v>944</v>
      </c>
      <c r="E228" s="3695" t="s">
        <v>944</v>
      </c>
      <c r="F228" s="3695" t="s">
        <v>945</v>
      </c>
      <c r="G228" s="4963"/>
      <c r="H228" s="5104"/>
      <c r="I228" s="4963"/>
      <c r="J228" s="5105"/>
    </row>
    <row r="229" spans="1:10">
      <c r="A229" s="5163"/>
      <c r="B229" s="4902" t="s">
        <v>283</v>
      </c>
      <c r="C229" s="4902" t="s">
        <v>283</v>
      </c>
      <c r="D229" s="4902" t="s">
        <v>283</v>
      </c>
      <c r="E229" s="4902" t="s">
        <v>283</v>
      </c>
      <c r="F229" s="4903" t="s">
        <v>284</v>
      </c>
      <c r="G229" s="4903"/>
      <c r="H229" s="4903"/>
      <c r="I229" s="4199"/>
      <c r="J229" s="4904"/>
    </row>
    <row r="230" spans="1:10">
      <c r="A230" s="5184">
        <v>4</v>
      </c>
      <c r="B230" s="3698">
        <v>7.75</v>
      </c>
      <c r="C230" s="3698">
        <v>7.75</v>
      </c>
      <c r="D230" s="3698">
        <v>7.75</v>
      </c>
      <c r="E230" s="3698">
        <v>7.75</v>
      </c>
      <c r="F230" s="4981">
        <v>6</v>
      </c>
      <c r="G230" s="4981"/>
      <c r="H230" s="4981"/>
      <c r="I230" s="3698">
        <f>SUM(B230:H230)</f>
        <v>37</v>
      </c>
      <c r="J230" s="5139"/>
    </row>
    <row r="231" spans="1:10" ht="15.75" thickBot="1">
      <c r="A231" s="5185"/>
      <c r="B231" s="3695" t="s">
        <v>944</v>
      </c>
      <c r="C231" s="3695" t="s">
        <v>944</v>
      </c>
      <c r="D231" s="3695" t="s">
        <v>944</v>
      </c>
      <c r="E231" s="3695" t="s">
        <v>944</v>
      </c>
      <c r="F231" s="3695" t="s">
        <v>945</v>
      </c>
      <c r="G231" s="5104"/>
      <c r="H231" s="5104"/>
      <c r="I231" s="4963"/>
      <c r="J231" s="5105"/>
    </row>
    <row r="232" spans="1:10">
      <c r="A232" s="4901"/>
      <c r="B232" s="4902" t="s">
        <v>283</v>
      </c>
      <c r="C232" s="4902" t="s">
        <v>283</v>
      </c>
      <c r="D232" s="4902" t="s">
        <v>283</v>
      </c>
      <c r="E232" s="4902" t="s">
        <v>283</v>
      </c>
      <c r="F232" s="4903" t="s">
        <v>284</v>
      </c>
      <c r="G232" s="4903"/>
      <c r="H232" s="4903"/>
      <c r="I232" s="4199"/>
      <c r="J232" s="4904"/>
    </row>
    <row r="233" spans="1:10">
      <c r="A233" s="5184">
        <v>5</v>
      </c>
      <c r="B233" s="3698">
        <v>7.75</v>
      </c>
      <c r="C233" s="3698">
        <v>7.75</v>
      </c>
      <c r="D233" s="3698">
        <v>7.75</v>
      </c>
      <c r="E233" s="3698">
        <v>7.75</v>
      </c>
      <c r="F233" s="4981">
        <v>6</v>
      </c>
      <c r="G233" s="4981"/>
      <c r="H233" s="4981"/>
      <c r="I233" s="3698">
        <f>SUM(B233:H233)</f>
        <v>37</v>
      </c>
      <c r="J233" s="5139"/>
    </row>
    <row r="234" spans="1:10" ht="15.75" thickBot="1">
      <c r="A234" s="5107"/>
      <c r="B234" s="5136" t="s">
        <v>944</v>
      </c>
      <c r="C234" s="5136" t="s">
        <v>944</v>
      </c>
      <c r="D234" s="5136" t="s">
        <v>944</v>
      </c>
      <c r="E234" s="5136" t="s">
        <v>944</v>
      </c>
      <c r="F234" s="5136" t="s">
        <v>945</v>
      </c>
      <c r="G234" s="4967"/>
      <c r="H234" s="4967"/>
      <c r="I234" s="4906"/>
      <c r="J234" s="4969"/>
    </row>
    <row r="235" spans="1:10">
      <c r="A235" s="4901"/>
      <c r="B235" s="4902" t="s">
        <v>283</v>
      </c>
      <c r="C235" s="4902" t="s">
        <v>283</v>
      </c>
      <c r="D235" s="4902" t="s">
        <v>283</v>
      </c>
      <c r="E235" s="4902" t="s">
        <v>283</v>
      </c>
      <c r="F235" s="4903" t="s">
        <v>284</v>
      </c>
      <c r="G235" s="4903"/>
      <c r="H235" s="4903"/>
      <c r="I235" s="4199"/>
      <c r="J235" s="4904"/>
    </row>
    <row r="236" spans="1:10">
      <c r="A236" s="5184">
        <v>6</v>
      </c>
      <c r="B236" s="3698">
        <v>7.75</v>
      </c>
      <c r="C236" s="3698">
        <v>7.75</v>
      </c>
      <c r="D236" s="3698">
        <v>7.75</v>
      </c>
      <c r="E236" s="3698">
        <v>7.75</v>
      </c>
      <c r="F236" s="4981">
        <v>6</v>
      </c>
      <c r="G236" s="4981"/>
      <c r="H236" s="4981"/>
      <c r="I236" s="3698">
        <f>SUM(B236:H236)</f>
        <v>37</v>
      </c>
      <c r="J236" s="5139"/>
    </row>
    <row r="237" spans="1:10" ht="15.75" thickBot="1">
      <c r="A237" s="5107"/>
      <c r="B237" s="5136" t="s">
        <v>944</v>
      </c>
      <c r="C237" s="5136" t="s">
        <v>944</v>
      </c>
      <c r="D237" s="5136" t="s">
        <v>944</v>
      </c>
      <c r="E237" s="5136" t="s">
        <v>944</v>
      </c>
      <c r="F237" s="5136" t="s">
        <v>945</v>
      </c>
      <c r="G237" s="4967"/>
      <c r="H237" s="4967"/>
      <c r="I237" s="4906"/>
      <c r="J237" s="4969"/>
    </row>
    <row r="238" spans="1:10" ht="15.75" thickBot="1">
      <c r="A238" s="220" t="s">
        <v>588</v>
      </c>
      <c r="B238" s="220">
        <f t="shared" ref="B238:H238" si="5">SUM(B221,B224,B227,B230,B233,B236)</f>
        <v>46.5</v>
      </c>
      <c r="C238" s="220">
        <f t="shared" si="5"/>
        <v>46.5</v>
      </c>
      <c r="D238" s="220">
        <f t="shared" si="5"/>
        <v>46.5</v>
      </c>
      <c r="E238" s="220">
        <f t="shared" si="5"/>
        <v>46.5</v>
      </c>
      <c r="F238" s="220">
        <f t="shared" si="5"/>
        <v>36</v>
      </c>
      <c r="G238" s="220">
        <f t="shared" si="5"/>
        <v>0</v>
      </c>
      <c r="H238" s="220">
        <f t="shared" si="5"/>
        <v>0</v>
      </c>
      <c r="I238" s="245">
        <f>SUM(I221,I224,I227,I230,I236)</f>
        <v>185</v>
      </c>
      <c r="J238" s="237"/>
    </row>
    <row r="239" spans="1:10" ht="15.75" thickTop="1">
      <c r="A239" s="37"/>
      <c r="B239" s="113"/>
      <c r="C239" s="113"/>
      <c r="D239" s="113"/>
      <c r="E239" s="113"/>
      <c r="F239" s="100"/>
      <c r="G239" s="4984" t="s">
        <v>701</v>
      </c>
      <c r="H239" s="4984" t="s">
        <v>702</v>
      </c>
      <c r="I239" s="4984" t="s">
        <v>703</v>
      </c>
      <c r="J239" s="18"/>
    </row>
    <row r="240" spans="1:10">
      <c r="A240" s="37"/>
      <c r="B240" s="113"/>
      <c r="C240" s="113"/>
      <c r="D240" s="113"/>
      <c r="E240" s="113"/>
      <c r="F240" s="100"/>
      <c r="G240" s="3698">
        <f>I238</f>
        <v>185</v>
      </c>
      <c r="H240" s="4985">
        <f>SUM(G240*13/3)</f>
        <v>801.66666666666663</v>
      </c>
      <c r="I240" s="3698">
        <f>SUM(H240*12)</f>
        <v>9620</v>
      </c>
      <c r="J240" s="18"/>
    </row>
    <row r="241" spans="1:10">
      <c r="A241" s="37"/>
      <c r="B241" s="113"/>
      <c r="C241" s="113"/>
      <c r="D241" s="113"/>
      <c r="E241" s="113"/>
      <c r="F241" s="100"/>
      <c r="G241" s="113"/>
      <c r="H241" s="210"/>
      <c r="I241" s="113"/>
      <c r="J241" s="18"/>
    </row>
    <row r="242" spans="1:10" ht="15.75" thickBot="1">
      <c r="A242" t="s">
        <v>946</v>
      </c>
      <c r="B242" s="113"/>
      <c r="C242" s="113"/>
      <c r="D242" s="113"/>
      <c r="E242" s="113"/>
      <c r="F242" s="100"/>
      <c r="G242" s="100"/>
      <c r="H242" s="100"/>
      <c r="I242" s="113"/>
      <c r="J242" s="18"/>
    </row>
    <row r="243" spans="1:10" ht="15.75" thickBot="1">
      <c r="A243" s="5186" t="s">
        <v>947</v>
      </c>
      <c r="B243" s="4896" t="s">
        <v>87</v>
      </c>
      <c r="C243" s="4897" t="s">
        <v>88</v>
      </c>
      <c r="D243" s="4897" t="s">
        <v>89</v>
      </c>
      <c r="E243" s="4897" t="s">
        <v>90</v>
      </c>
      <c r="F243" s="4897" t="s">
        <v>91</v>
      </c>
      <c r="G243" s="4897" t="s">
        <v>92</v>
      </c>
      <c r="H243" s="4898" t="s">
        <v>93</v>
      </c>
      <c r="I243" s="4899" t="s">
        <v>158</v>
      </c>
      <c r="J243" s="4900" t="s">
        <v>94</v>
      </c>
    </row>
    <row r="244" spans="1:10">
      <c r="A244" s="5187" t="s">
        <v>467</v>
      </c>
      <c r="B244" s="4914" t="s">
        <v>948</v>
      </c>
      <c r="C244" s="5002" t="s">
        <v>949</v>
      </c>
      <c r="D244" s="4914" t="s">
        <v>948</v>
      </c>
      <c r="E244" s="4914" t="s">
        <v>948</v>
      </c>
      <c r="F244" s="4199" t="s">
        <v>950</v>
      </c>
      <c r="G244" s="5002"/>
      <c r="H244" s="4914"/>
      <c r="I244" s="4199"/>
      <c r="J244" s="4904" t="s">
        <v>0</v>
      </c>
    </row>
    <row r="245" spans="1:10">
      <c r="A245" s="5188" t="s">
        <v>0</v>
      </c>
      <c r="B245" s="3709" t="s">
        <v>951</v>
      </c>
      <c r="C245" s="3709" t="s">
        <v>951</v>
      </c>
      <c r="D245" s="3709" t="s">
        <v>951</v>
      </c>
      <c r="E245" s="3709" t="s">
        <v>951</v>
      </c>
      <c r="F245" s="3709" t="s">
        <v>952</v>
      </c>
      <c r="G245" s="3710"/>
      <c r="H245" s="3692"/>
      <c r="I245" s="3709"/>
      <c r="J245" s="5139"/>
    </row>
    <row r="246" spans="1:10" ht="15.75" thickBot="1">
      <c r="A246" s="5189"/>
      <c r="B246" s="5190">
        <v>7.5</v>
      </c>
      <c r="C246" s="5190">
        <v>7.5</v>
      </c>
      <c r="D246" s="5190">
        <v>7.5</v>
      </c>
      <c r="E246" s="5190">
        <v>7.5</v>
      </c>
      <c r="F246" s="5190">
        <v>7</v>
      </c>
      <c r="G246" s="5191"/>
      <c r="H246" s="4877"/>
      <c r="I246" s="5190"/>
      <c r="J246" s="5192"/>
    </row>
    <row r="247" spans="1:10" ht="15.75" thickBot="1">
      <c r="A247" s="220" t="s">
        <v>588</v>
      </c>
      <c r="B247" s="246">
        <f>B246</f>
        <v>7.5</v>
      </c>
      <c r="C247" s="246">
        <f>C246</f>
        <v>7.5</v>
      </c>
      <c r="D247" s="246">
        <f>D246</f>
        <v>7.5</v>
      </c>
      <c r="E247" s="246">
        <f>E246</f>
        <v>7.5</v>
      </c>
      <c r="F247" s="246">
        <f>F246</f>
        <v>7</v>
      </c>
      <c r="G247" s="220">
        <f>SUM(G230,G236,G239,G242,G245)</f>
        <v>0</v>
      </c>
      <c r="H247" s="220">
        <f>SUM(H230,H236,H239,H242,H245)</f>
        <v>0</v>
      </c>
      <c r="I247" s="247">
        <v>37</v>
      </c>
      <c r="J247" s="237"/>
    </row>
    <row r="248" spans="1:10" ht="15.75" thickTop="1">
      <c r="A248" s="37"/>
      <c r="B248" s="113"/>
      <c r="C248" s="113"/>
      <c r="D248" s="113"/>
      <c r="E248" s="113"/>
      <c r="F248" s="100"/>
      <c r="G248" s="4984" t="s">
        <v>701</v>
      </c>
      <c r="H248" s="4984" t="s">
        <v>702</v>
      </c>
      <c r="I248" s="4984" t="s">
        <v>703</v>
      </c>
      <c r="J248" s="18"/>
    </row>
    <row r="249" spans="1:10">
      <c r="A249" s="37"/>
      <c r="B249" s="113"/>
      <c r="C249" s="113"/>
      <c r="D249" s="113"/>
      <c r="E249" s="113"/>
      <c r="F249" s="100"/>
      <c r="G249" s="3698">
        <f>I247</f>
        <v>37</v>
      </c>
      <c r="H249" s="4985">
        <f>SUM(G249*13/3)</f>
        <v>160.33333333333334</v>
      </c>
      <c r="I249" s="3698">
        <f>SUM(H249*12)</f>
        <v>1924</v>
      </c>
      <c r="J249" s="18"/>
    </row>
    <row r="250" spans="1:10">
      <c r="A250" s="37"/>
      <c r="B250" s="113"/>
      <c r="C250" s="113"/>
      <c r="D250" s="113"/>
      <c r="E250" s="113"/>
      <c r="F250" s="100"/>
      <c r="G250" s="100"/>
      <c r="H250" s="100"/>
      <c r="I250" s="113"/>
      <c r="J250" s="18"/>
    </row>
    <row r="251" spans="1:10">
      <c r="A251" s="37"/>
      <c r="B251" s="113"/>
      <c r="C251" s="113"/>
      <c r="D251" s="113"/>
      <c r="E251" s="113"/>
      <c r="F251" s="100"/>
      <c r="G251" s="100"/>
      <c r="H251" s="100"/>
      <c r="I251" s="113"/>
      <c r="J251" s="18"/>
    </row>
    <row r="252" spans="1:10">
      <c r="A252" s="37"/>
      <c r="B252" s="113"/>
      <c r="C252" s="113"/>
      <c r="D252" s="113"/>
      <c r="E252" s="113"/>
      <c r="F252" s="100"/>
      <c r="G252" s="100"/>
      <c r="H252" s="100"/>
      <c r="I252" s="113"/>
      <c r="J252" s="18"/>
    </row>
    <row r="253" spans="1:10">
      <c r="A253" s="37"/>
      <c r="B253" s="113"/>
      <c r="C253" s="113"/>
      <c r="D253" s="113"/>
      <c r="E253" s="113"/>
      <c r="F253" s="100"/>
      <c r="G253" s="100"/>
      <c r="H253" s="100"/>
      <c r="I253" s="113"/>
      <c r="J253" s="18"/>
    </row>
    <row r="254" spans="1:10" ht="15.75" thickBot="1">
      <c r="A254" s="37" t="s">
        <v>953</v>
      </c>
      <c r="B254" s="113"/>
      <c r="C254" s="113"/>
      <c r="D254" s="113"/>
      <c r="E254" s="113"/>
      <c r="F254" s="100"/>
      <c r="G254" s="100"/>
      <c r="H254" s="100"/>
      <c r="I254" s="113"/>
      <c r="J254" s="18"/>
    </row>
    <row r="255" spans="1:10" ht="15.75" thickBot="1">
      <c r="A255" s="5010" t="s">
        <v>954</v>
      </c>
      <c r="B255" s="4896" t="s">
        <v>87</v>
      </c>
      <c r="C255" s="4897" t="s">
        <v>88</v>
      </c>
      <c r="D255" s="4897" t="s">
        <v>89</v>
      </c>
      <c r="E255" s="4897" t="s">
        <v>90</v>
      </c>
      <c r="F255" s="4897" t="s">
        <v>91</v>
      </c>
      <c r="G255" s="4897" t="s">
        <v>92</v>
      </c>
      <c r="H255" s="4898" t="s">
        <v>93</v>
      </c>
      <c r="I255" s="4899" t="s">
        <v>158</v>
      </c>
      <c r="J255" s="4900" t="s">
        <v>94</v>
      </c>
    </row>
    <row r="256" spans="1:10">
      <c r="A256" s="4901" t="s">
        <v>0</v>
      </c>
      <c r="B256" s="4888" t="s">
        <v>955</v>
      </c>
      <c r="C256" s="4888" t="s">
        <v>955</v>
      </c>
      <c r="D256" s="4888" t="s">
        <v>955</v>
      </c>
      <c r="E256" s="4888" t="s">
        <v>955</v>
      </c>
      <c r="F256" s="4888" t="s">
        <v>955</v>
      </c>
      <c r="G256" s="4888"/>
      <c r="H256" s="4888"/>
      <c r="I256" s="3834"/>
      <c r="J256" s="4904"/>
    </row>
    <row r="257" spans="1:10">
      <c r="A257" s="5184" t="s">
        <v>956</v>
      </c>
      <c r="B257" s="4981">
        <v>8.5</v>
      </c>
      <c r="C257" s="4981">
        <v>8.5</v>
      </c>
      <c r="D257" s="4981">
        <v>8.5</v>
      </c>
      <c r="E257" s="4981">
        <v>8.5</v>
      </c>
      <c r="F257" s="4981">
        <v>8.5</v>
      </c>
      <c r="G257" s="4981"/>
      <c r="H257" s="4981"/>
      <c r="I257" s="3698">
        <f>SUM(B257:H257)</f>
        <v>42.5</v>
      </c>
      <c r="J257" s="5139"/>
    </row>
    <row r="258" spans="1:10" ht="15.75" thickBot="1">
      <c r="A258" s="5185"/>
      <c r="B258" s="5158" t="s">
        <v>957</v>
      </c>
      <c r="C258" s="5158" t="s">
        <v>957</v>
      </c>
      <c r="D258" s="5158" t="s">
        <v>957</v>
      </c>
      <c r="E258" s="5158" t="s">
        <v>957</v>
      </c>
      <c r="F258" s="5158" t="s">
        <v>957</v>
      </c>
      <c r="G258" s="5158"/>
      <c r="H258" s="5158"/>
      <c r="I258" s="4958"/>
      <c r="J258" s="4935"/>
    </row>
    <row r="259" spans="1:10">
      <c r="A259" s="4901" t="s">
        <v>0</v>
      </c>
      <c r="B259" s="4888" t="s">
        <v>958</v>
      </c>
      <c r="C259" s="4888" t="s">
        <v>958</v>
      </c>
      <c r="D259" s="4888" t="s">
        <v>958</v>
      </c>
      <c r="E259" s="4888" t="s">
        <v>958</v>
      </c>
      <c r="F259" s="4888" t="s">
        <v>958</v>
      </c>
      <c r="G259" s="4888" t="s">
        <v>959</v>
      </c>
      <c r="H259" s="4888" t="s">
        <v>959</v>
      </c>
      <c r="I259" s="3834"/>
      <c r="J259" s="4904" t="s">
        <v>960</v>
      </c>
    </row>
    <row r="260" spans="1:10">
      <c r="A260" s="5184" t="s">
        <v>961</v>
      </c>
      <c r="B260" s="3698">
        <v>7</v>
      </c>
      <c r="C260" s="3698">
        <v>7</v>
      </c>
      <c r="D260" s="3698">
        <v>7</v>
      </c>
      <c r="E260" s="3698">
        <v>7</v>
      </c>
      <c r="F260" s="3698">
        <v>7</v>
      </c>
      <c r="G260" s="4981">
        <v>12</v>
      </c>
      <c r="H260" s="4981">
        <v>12</v>
      </c>
      <c r="I260" s="3698">
        <f>SUM(B260:H260)</f>
        <v>59</v>
      </c>
      <c r="J260" s="5139" t="s">
        <v>962</v>
      </c>
    </row>
    <row r="261" spans="1:10" ht="15.75" thickBot="1">
      <c r="A261" s="5185"/>
      <c r="B261" s="5158" t="s">
        <v>963</v>
      </c>
      <c r="C261" s="5158" t="s">
        <v>963</v>
      </c>
      <c r="D261" s="5158" t="s">
        <v>963</v>
      </c>
      <c r="E261" s="5158" t="s">
        <v>963</v>
      </c>
      <c r="F261" s="5158" t="s">
        <v>963</v>
      </c>
      <c r="G261" s="5158" t="s">
        <v>964</v>
      </c>
      <c r="H261" s="5158" t="s">
        <v>964</v>
      </c>
      <c r="I261" s="4958"/>
      <c r="J261" s="4935"/>
    </row>
    <row r="262" spans="1:10">
      <c r="A262" s="4901"/>
      <c r="B262" s="4902" t="s">
        <v>172</v>
      </c>
      <c r="C262" s="4902" t="s">
        <v>172</v>
      </c>
      <c r="D262" s="4902" t="s">
        <v>172</v>
      </c>
      <c r="E262" s="4902" t="s">
        <v>172</v>
      </c>
      <c r="F262" s="4902" t="s">
        <v>172</v>
      </c>
      <c r="G262" s="4903"/>
      <c r="H262" s="4903"/>
      <c r="I262" s="3834"/>
      <c r="J262" s="4904"/>
    </row>
    <row r="263" spans="1:10">
      <c r="A263" s="5184" t="s">
        <v>965</v>
      </c>
      <c r="B263" s="3698"/>
      <c r="C263" s="3698"/>
      <c r="D263" s="3698"/>
      <c r="E263" s="3698"/>
      <c r="F263" s="3698"/>
      <c r="G263" s="4981"/>
      <c r="H263" s="4981"/>
      <c r="I263" s="3698">
        <f>SUM(B263:H263)</f>
        <v>0</v>
      </c>
      <c r="J263" s="5139"/>
    </row>
    <row r="264" spans="1:10" ht="15.75" thickBot="1">
      <c r="A264" s="5185"/>
      <c r="B264" s="5193" t="s">
        <v>966</v>
      </c>
      <c r="C264" s="5193" t="s">
        <v>966</v>
      </c>
      <c r="D264" s="5193" t="s">
        <v>966</v>
      </c>
      <c r="E264" s="5193" t="s">
        <v>966</v>
      </c>
      <c r="F264" s="5193" t="s">
        <v>966</v>
      </c>
      <c r="G264" s="4958"/>
      <c r="H264" s="4959"/>
      <c r="I264" s="4958"/>
      <c r="J264" s="4935"/>
    </row>
    <row r="265" spans="1:10">
      <c r="A265" s="5163"/>
      <c r="B265" s="4888" t="s">
        <v>967</v>
      </c>
      <c r="C265" s="4888" t="s">
        <v>967</v>
      </c>
      <c r="D265" s="4888" t="s">
        <v>967</v>
      </c>
      <c r="E265" s="4888" t="s">
        <v>967</v>
      </c>
      <c r="F265" s="4888" t="s">
        <v>967</v>
      </c>
      <c r="G265" s="4903"/>
      <c r="H265" s="4903"/>
      <c r="I265" s="3834"/>
      <c r="J265" s="4904" t="s">
        <v>0</v>
      </c>
    </row>
    <row r="266" spans="1:10">
      <c r="A266" s="5184" t="s">
        <v>968</v>
      </c>
      <c r="B266" s="3698">
        <v>7.75</v>
      </c>
      <c r="C266" s="3698">
        <v>7.75</v>
      </c>
      <c r="D266" s="3698">
        <v>7.75</v>
      </c>
      <c r="E266" s="3698">
        <v>7.75</v>
      </c>
      <c r="F266" s="3698">
        <v>7.75</v>
      </c>
      <c r="G266" s="4981"/>
      <c r="H266" s="4981"/>
      <c r="I266" s="3698">
        <f>SUM(B266:H266)</f>
        <v>38.75</v>
      </c>
      <c r="J266" s="5139"/>
    </row>
    <row r="267" spans="1:10" ht="15.75" thickBot="1">
      <c r="A267" s="5185"/>
      <c r="B267" s="5158" t="s">
        <v>969</v>
      </c>
      <c r="C267" s="5158" t="s">
        <v>969</v>
      </c>
      <c r="D267" s="5158" t="s">
        <v>969</v>
      </c>
      <c r="E267" s="5158" t="s">
        <v>969</v>
      </c>
      <c r="F267" s="5158" t="s">
        <v>969</v>
      </c>
      <c r="G267" s="4959"/>
      <c r="H267" s="4959"/>
      <c r="I267" s="4958"/>
      <c r="J267" s="4935"/>
    </row>
    <row r="268" spans="1:10">
      <c r="A268" s="4901"/>
      <c r="B268" s="4902"/>
      <c r="C268" s="4902"/>
      <c r="D268" s="4902"/>
      <c r="E268" s="4902"/>
      <c r="F268" s="4902"/>
      <c r="G268" s="4902"/>
      <c r="H268" s="4902"/>
      <c r="I268" s="3834"/>
      <c r="J268" s="4904" t="s">
        <v>0</v>
      </c>
    </row>
    <row r="269" spans="1:10">
      <c r="A269" s="5184" t="s">
        <v>970</v>
      </c>
      <c r="B269" s="3698"/>
      <c r="C269" s="3698"/>
      <c r="D269" s="3698"/>
      <c r="E269" s="3698"/>
      <c r="F269" s="3698"/>
      <c r="G269" s="4981"/>
      <c r="H269" s="4981"/>
      <c r="I269" s="3698">
        <f>SUM(B269:H269)</f>
        <v>0</v>
      </c>
      <c r="J269" s="5139" t="s">
        <v>0</v>
      </c>
    </row>
    <row r="270" spans="1:10" ht="15.75" thickBot="1">
      <c r="A270" s="5107"/>
      <c r="B270" s="5158" t="s">
        <v>971</v>
      </c>
      <c r="C270" s="5158" t="s">
        <v>971</v>
      </c>
      <c r="D270" s="5158" t="s">
        <v>971</v>
      </c>
      <c r="E270" s="5158" t="s">
        <v>971</v>
      </c>
      <c r="F270" s="5158" t="s">
        <v>971</v>
      </c>
      <c r="G270" s="4960"/>
      <c r="H270" s="4960"/>
      <c r="I270" s="4890"/>
      <c r="J270" s="4909"/>
    </row>
    <row r="271" spans="1:10">
      <c r="A271" s="248"/>
      <c r="B271" s="4902"/>
      <c r="C271" s="4902"/>
      <c r="D271" s="4902"/>
      <c r="E271" s="4902"/>
      <c r="F271" s="4902"/>
      <c r="G271" s="4902"/>
      <c r="H271" s="4902"/>
      <c r="I271" s="3834"/>
      <c r="J271" s="4904" t="s">
        <v>0</v>
      </c>
    </row>
    <row r="272" spans="1:10">
      <c r="A272" s="248" t="s">
        <v>972</v>
      </c>
      <c r="B272" s="3698"/>
      <c r="C272" s="3698"/>
      <c r="D272" s="3698"/>
      <c r="E272" s="3698"/>
      <c r="F272" s="3698"/>
      <c r="G272" s="4981"/>
      <c r="H272" s="4981"/>
      <c r="I272" s="3698">
        <f>SUM(B272:H272)</f>
        <v>0</v>
      </c>
      <c r="J272" s="5139"/>
    </row>
    <row r="273" spans="1:10" ht="15.75" thickBot="1">
      <c r="A273" s="248"/>
      <c r="B273" s="5193"/>
      <c r="C273" s="5193"/>
      <c r="D273" s="5193"/>
      <c r="E273" s="5193"/>
      <c r="F273" s="5193"/>
      <c r="G273" s="4960"/>
      <c r="H273" s="4960"/>
      <c r="I273" s="4958"/>
      <c r="J273" s="4935"/>
    </row>
    <row r="274" spans="1:10">
      <c r="A274" s="4901"/>
      <c r="B274" s="4902"/>
      <c r="C274" s="4902"/>
      <c r="D274" s="4902"/>
      <c r="E274" s="4902"/>
      <c r="F274" s="4902"/>
      <c r="G274" s="4903"/>
      <c r="H274" s="4903"/>
      <c r="I274" s="3834"/>
      <c r="J274" s="4904"/>
    </row>
    <row r="275" spans="1:10">
      <c r="A275" s="5184" t="s">
        <v>973</v>
      </c>
      <c r="B275" s="3698"/>
      <c r="C275" s="3698"/>
      <c r="D275" s="3698"/>
      <c r="E275" s="3698"/>
      <c r="F275" s="3698"/>
      <c r="G275" s="4981"/>
      <c r="H275" s="4981"/>
      <c r="I275" s="3698">
        <f>SUM(B275:H275)</f>
        <v>0</v>
      </c>
      <c r="J275" s="5139"/>
    </row>
    <row r="276" spans="1:10" ht="15.75" thickBot="1">
      <c r="A276" s="5107"/>
      <c r="B276" s="5193"/>
      <c r="C276" s="5193"/>
      <c r="D276" s="5193"/>
      <c r="E276" s="5193"/>
      <c r="F276" s="5193"/>
      <c r="G276" s="4891"/>
      <c r="H276" s="4891"/>
      <c r="I276" s="4890"/>
      <c r="J276" s="4909"/>
    </row>
    <row r="277" spans="1:10" ht="15.75" thickBot="1">
      <c r="A277" s="220" t="s">
        <v>588</v>
      </c>
      <c r="B277" s="220">
        <f t="shared" ref="B277:I277" si="6">SUM(B257,B260,B263,B266,B269,B272,B275)</f>
        <v>23.25</v>
      </c>
      <c r="C277" s="220">
        <f t="shared" si="6"/>
        <v>23.25</v>
      </c>
      <c r="D277" s="220">
        <f t="shared" si="6"/>
        <v>23.25</v>
      </c>
      <c r="E277" s="220">
        <f t="shared" si="6"/>
        <v>23.25</v>
      </c>
      <c r="F277" s="220">
        <f t="shared" si="6"/>
        <v>23.25</v>
      </c>
      <c r="G277" s="220">
        <f t="shared" si="6"/>
        <v>12</v>
      </c>
      <c r="H277" s="220">
        <f t="shared" si="6"/>
        <v>12</v>
      </c>
      <c r="I277" s="220">
        <f t="shared" si="6"/>
        <v>140.25</v>
      </c>
      <c r="J277" s="237"/>
    </row>
    <row r="278" spans="1:10" ht="15.75" thickTop="1">
      <c r="A278" s="37"/>
      <c r="B278" s="113"/>
      <c r="C278" s="113"/>
      <c r="D278" s="113"/>
      <c r="E278" s="113"/>
      <c r="F278" s="100"/>
      <c r="G278" s="4984" t="s">
        <v>701</v>
      </c>
      <c r="H278" s="4984" t="s">
        <v>702</v>
      </c>
      <c r="I278" s="4984" t="s">
        <v>703</v>
      </c>
      <c r="J278" s="18"/>
    </row>
    <row r="279" spans="1:10">
      <c r="A279" s="37"/>
      <c r="B279" s="113"/>
      <c r="C279" s="113"/>
      <c r="D279" s="113"/>
      <c r="E279" s="113"/>
      <c r="F279" s="100"/>
      <c r="G279" s="3698">
        <f>I277</f>
        <v>140.25</v>
      </c>
      <c r="H279" s="4985">
        <f>SUM(G279*13/3)</f>
        <v>607.75</v>
      </c>
      <c r="I279" s="3698">
        <f>SUM(H279*12)</f>
        <v>7293</v>
      </c>
      <c r="J279" s="18"/>
    </row>
    <row r="280" spans="1:10">
      <c r="A280" s="113"/>
      <c r="B280" s="113"/>
      <c r="C280" s="113"/>
      <c r="D280" s="113"/>
      <c r="E280" s="113"/>
      <c r="F280" s="100"/>
      <c r="G280" s="100"/>
      <c r="H280" s="100"/>
      <c r="I280" s="113"/>
      <c r="J280" s="18"/>
    </row>
    <row r="281" spans="1:10">
      <c r="A281" s="113"/>
      <c r="B281" s="113"/>
      <c r="C281" s="113"/>
      <c r="D281" s="113"/>
      <c r="E281" s="113"/>
      <c r="F281" s="100"/>
      <c r="G281" s="100"/>
      <c r="H281" s="100"/>
      <c r="I281" s="113"/>
      <c r="J281" s="18"/>
    </row>
    <row r="282" spans="1:10">
      <c r="A282" s="113"/>
      <c r="B282" s="113"/>
      <c r="C282" s="113"/>
      <c r="D282" s="113"/>
      <c r="E282" s="113"/>
      <c r="F282" s="100"/>
      <c r="G282" s="100"/>
      <c r="H282" s="100"/>
      <c r="I282" s="113"/>
      <c r="J282" s="18"/>
    </row>
    <row r="283" spans="1:10">
      <c r="A283" s="113"/>
      <c r="B283" s="113"/>
      <c r="C283" s="113"/>
      <c r="D283" s="113"/>
      <c r="E283" s="113"/>
      <c r="F283" s="100"/>
      <c r="G283" s="100"/>
      <c r="H283" s="100"/>
      <c r="I283" s="113"/>
      <c r="J283" s="18"/>
    </row>
    <row r="284" spans="1:10">
      <c r="A284" s="113"/>
      <c r="B284" s="42"/>
      <c r="C284" s="42"/>
      <c r="D284" s="42"/>
      <c r="E284" s="42"/>
      <c r="F284" s="42"/>
      <c r="G284" s="100"/>
      <c r="H284" s="100"/>
      <c r="I284" s="113"/>
      <c r="J284" s="18"/>
    </row>
    <row r="285" spans="1:10" ht="15.75" thickBot="1">
      <c r="A285" s="113"/>
      <c r="B285" s="113"/>
      <c r="C285" s="113"/>
      <c r="D285" s="113"/>
      <c r="E285" s="113"/>
      <c r="F285" s="100"/>
      <c r="G285" s="100"/>
      <c r="H285" s="100"/>
      <c r="I285" s="113"/>
      <c r="J285" s="18"/>
    </row>
    <row r="286" spans="1:10" ht="15.75" thickBot="1">
      <c r="A286" s="5125"/>
      <c r="B286" s="4972" t="s">
        <v>87</v>
      </c>
      <c r="C286" s="4919" t="s">
        <v>88</v>
      </c>
      <c r="D286" s="4919" t="s">
        <v>89</v>
      </c>
      <c r="E286" s="4919" t="s">
        <v>90</v>
      </c>
      <c r="F286" s="4919" t="s">
        <v>91</v>
      </c>
      <c r="G286" s="4919" t="s">
        <v>92</v>
      </c>
      <c r="H286" s="4973" t="s">
        <v>93</v>
      </c>
      <c r="I286" s="4974" t="s">
        <v>688</v>
      </c>
      <c r="J286" s="18"/>
    </row>
    <row r="287" spans="1:10">
      <c r="A287" s="4994" t="s">
        <v>689</v>
      </c>
      <c r="B287" s="231">
        <f t="shared" ref="B287:I287" si="7">SUM(B4,B11,B53,B65,B116,B163,B169,B189,B204,B238,B247,B277)</f>
        <v>276</v>
      </c>
      <c r="C287" s="231">
        <f t="shared" si="7"/>
        <v>276</v>
      </c>
      <c r="D287" s="231">
        <f t="shared" si="7"/>
        <v>276</v>
      </c>
      <c r="E287" s="231">
        <f t="shared" si="7"/>
        <v>276</v>
      </c>
      <c r="F287" s="231">
        <f t="shared" si="7"/>
        <v>246.5</v>
      </c>
      <c r="G287" s="231">
        <f t="shared" si="7"/>
        <v>105</v>
      </c>
      <c r="H287" s="231">
        <f t="shared" si="7"/>
        <v>108</v>
      </c>
      <c r="I287" s="231">
        <f t="shared" si="7"/>
        <v>1526.5</v>
      </c>
      <c r="J287" s="18"/>
    </row>
    <row r="288" spans="1:10" ht="15.75" thickBot="1">
      <c r="A288" s="5004" t="s">
        <v>691</v>
      </c>
      <c r="B288" s="4890">
        <f t="shared" ref="B288:I288" si="8">SUM(B287*52)</f>
        <v>14352</v>
      </c>
      <c r="C288" s="4890">
        <f t="shared" si="8"/>
        <v>14352</v>
      </c>
      <c r="D288" s="4890">
        <f t="shared" si="8"/>
        <v>14352</v>
      </c>
      <c r="E288" s="4890">
        <f t="shared" si="8"/>
        <v>14352</v>
      </c>
      <c r="F288" s="4890">
        <f t="shared" si="8"/>
        <v>12818</v>
      </c>
      <c r="G288" s="4890">
        <f t="shared" si="8"/>
        <v>5460</v>
      </c>
      <c r="H288" s="4890">
        <f t="shared" si="8"/>
        <v>5616</v>
      </c>
      <c r="I288" s="4890">
        <f t="shared" si="8"/>
        <v>79378</v>
      </c>
      <c r="J288" s="18"/>
    </row>
    <row r="289" spans="1:10">
      <c r="J289" s="18"/>
    </row>
    <row r="290" spans="1:10" ht="15.75" thickBot="1">
      <c r="J290" s="100" t="s">
        <v>0</v>
      </c>
    </row>
    <row r="291" spans="1:10">
      <c r="A291" s="5126" t="s">
        <v>876</v>
      </c>
      <c r="B291" s="4199"/>
      <c r="C291" s="4199"/>
      <c r="D291" s="4199"/>
      <c r="E291" s="4902">
        <v>56</v>
      </c>
      <c r="F291" s="4199"/>
      <c r="G291" s="4199"/>
      <c r="H291" s="3834"/>
      <c r="I291" s="5127">
        <f>SUM(E291)*26</f>
        <v>1456</v>
      </c>
      <c r="J291" s="113" t="s">
        <v>0</v>
      </c>
    </row>
    <row r="292" spans="1:10">
      <c r="A292" s="5128" t="s">
        <v>877</v>
      </c>
      <c r="B292" s="3568"/>
      <c r="C292" s="3568"/>
      <c r="D292" s="3568"/>
      <c r="E292" s="3568"/>
      <c r="F292" s="3568"/>
      <c r="G292" s="3568"/>
      <c r="H292" s="3568"/>
      <c r="I292" s="5129">
        <f>SUM(I291*2)</f>
        <v>2912</v>
      </c>
    </row>
    <row r="293" spans="1:10">
      <c r="A293" s="4994" t="s">
        <v>694</v>
      </c>
      <c r="B293" s="3692"/>
      <c r="C293" s="4975"/>
      <c r="D293" s="3568"/>
      <c r="E293" s="3568"/>
      <c r="F293" s="3568"/>
      <c r="G293" s="3568"/>
      <c r="H293" s="3568"/>
      <c r="I293" s="5129">
        <f>48*12</f>
        <v>576</v>
      </c>
    </row>
    <row r="294" spans="1:10" ht="15.75" thickBot="1">
      <c r="A294" s="5130" t="s">
        <v>688</v>
      </c>
      <c r="B294" s="3652"/>
      <c r="C294" s="3652"/>
      <c r="D294" s="3652"/>
      <c r="E294" s="3652"/>
      <c r="F294" s="3652"/>
      <c r="G294" s="3652"/>
      <c r="H294" s="3652"/>
      <c r="I294" s="5131">
        <f>SUM(I291:I293)</f>
        <v>4944</v>
      </c>
    </row>
    <row r="295" spans="1:10">
      <c r="I295" s="199"/>
    </row>
    <row r="296" spans="1:10">
      <c r="I296" s="199"/>
    </row>
    <row r="297" spans="1:10" ht="15.75" thickBot="1">
      <c r="A297" s="4977" t="s">
        <v>695</v>
      </c>
      <c r="B297" s="4977"/>
      <c r="C297" s="4977"/>
      <c r="D297" s="4977"/>
      <c r="E297" s="4977"/>
      <c r="F297" s="4977"/>
      <c r="G297" s="4977"/>
      <c r="H297" s="4977"/>
      <c r="I297" s="4979">
        <f>SUM(I288+I294)</f>
        <v>84322</v>
      </c>
      <c r="J297" t="s">
        <v>974</v>
      </c>
    </row>
    <row r="298" spans="1:10" ht="15.75" thickTop="1"/>
  </sheetData>
  <sheetProtection algorithmName="SHA-512" hashValue="m710CI+gcX0fYkqlAWzW7IYXcx3SCipPElonrXCFJA2eIaXy2a/aP1AEzHFQmeslsI4CKCeUHeMSzgBE1M99wg==" saltValue="jLiyN0OMrO7NFr6hnh1edg==" spinCount="100000" sheet="1" objects="1" scenarios="1"/>
  <pageMargins left="0.7" right="0.7" top="0.75" bottom="0.75" header="0.3" footer="0.3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1626D-B3E1-402F-A4F1-F42A5A78E28D}">
  <sheetPr codeName="Ark19"/>
  <dimension ref="A1:N17"/>
  <sheetViews>
    <sheetView workbookViewId="0">
      <selection activeCell="E16" sqref="E16"/>
    </sheetView>
  </sheetViews>
  <sheetFormatPr defaultRowHeight="15"/>
  <cols>
    <col min="1" max="4" width="25" customWidth="1"/>
  </cols>
  <sheetData>
    <row r="1" spans="1:14" ht="27" customHeight="1" thickBot="1">
      <c r="A1" s="5194" t="s">
        <v>975</v>
      </c>
      <c r="B1" s="5194"/>
      <c r="C1" s="5194"/>
      <c r="D1" s="5194"/>
      <c r="E1" s="5194"/>
      <c r="F1" s="5194"/>
      <c r="G1" s="5194"/>
      <c r="H1" s="5194"/>
      <c r="I1" s="5194"/>
      <c r="J1" s="5194"/>
      <c r="K1" s="5194"/>
      <c r="L1" s="5194"/>
      <c r="M1" s="5194"/>
      <c r="N1" s="5194"/>
    </row>
    <row r="2" spans="1:14" ht="27" customHeight="1">
      <c r="A2" s="5195"/>
      <c r="B2" s="5196" t="s">
        <v>976</v>
      </c>
      <c r="C2" s="5196" t="s">
        <v>977</v>
      </c>
      <c r="D2" s="5197" t="s">
        <v>978</v>
      </c>
      <c r="E2" s="5197" t="s">
        <v>979</v>
      </c>
      <c r="F2" s="5195"/>
      <c r="G2" s="5198" t="s">
        <v>980</v>
      </c>
      <c r="H2" s="5198"/>
      <c r="I2" s="5199"/>
      <c r="J2" s="5195"/>
      <c r="K2" s="5198" t="s">
        <v>981</v>
      </c>
      <c r="L2" s="5198"/>
      <c r="M2" s="5199"/>
      <c r="N2" s="5199" t="s">
        <v>94</v>
      </c>
    </row>
    <row r="3" spans="1:14" ht="27" customHeight="1">
      <c r="A3" s="249"/>
      <c r="B3" s="250" t="s">
        <v>0</v>
      </c>
      <c r="C3" s="250"/>
      <c r="D3" s="251"/>
      <c r="E3" s="251"/>
      <c r="F3" s="252" t="s">
        <v>982</v>
      </c>
      <c r="G3" s="253" t="s">
        <v>983</v>
      </c>
      <c r="H3" s="253" t="s">
        <v>984</v>
      </c>
      <c r="I3" s="254" t="s">
        <v>985</v>
      </c>
      <c r="J3" s="252" t="s">
        <v>982</v>
      </c>
      <c r="K3" s="253" t="s">
        <v>983</v>
      </c>
      <c r="L3" s="253" t="s">
        <v>984</v>
      </c>
      <c r="M3" s="254" t="s">
        <v>985</v>
      </c>
      <c r="N3" s="255"/>
    </row>
    <row r="4" spans="1:14" ht="27" customHeight="1">
      <c r="A4" s="5200" t="s">
        <v>986</v>
      </c>
      <c r="B4" s="5201" t="s">
        <v>987</v>
      </c>
      <c r="C4" s="5202" t="s">
        <v>988</v>
      </c>
      <c r="D4" s="5203" t="s">
        <v>989</v>
      </c>
      <c r="E4" s="5204" t="s">
        <v>585</v>
      </c>
      <c r="F4" s="5205"/>
      <c r="G4" s="5206"/>
      <c r="H4" s="5207"/>
      <c r="I4" s="5207"/>
      <c r="J4" s="5205"/>
      <c r="K4" s="5207"/>
      <c r="L4" s="5207"/>
      <c r="M4" s="5208"/>
      <c r="N4" s="5209"/>
    </row>
    <row r="5" spans="1:14" ht="27" customHeight="1" thickBot="1">
      <c r="A5" s="256"/>
      <c r="B5" s="256"/>
      <c r="C5" s="256"/>
      <c r="D5" s="256"/>
      <c r="E5" s="256"/>
      <c r="F5" s="257"/>
      <c r="G5" s="257"/>
      <c r="H5" s="257"/>
      <c r="I5" s="257"/>
      <c r="J5" s="257"/>
      <c r="K5" s="257"/>
      <c r="L5" s="257"/>
      <c r="M5" s="257"/>
      <c r="N5" s="256"/>
    </row>
    <row r="6" spans="1:14" ht="27" customHeight="1">
      <c r="A6" s="5195"/>
      <c r="B6" s="5196" t="s">
        <v>990</v>
      </c>
      <c r="C6" s="5196" t="s">
        <v>977</v>
      </c>
      <c r="D6" s="5197" t="s">
        <v>978</v>
      </c>
      <c r="E6" s="5197" t="s">
        <v>979</v>
      </c>
      <c r="F6" s="5210"/>
      <c r="G6" s="5211" t="s">
        <v>980</v>
      </c>
      <c r="H6" s="5211"/>
      <c r="I6" s="5212"/>
      <c r="J6" s="5210"/>
      <c r="K6" s="5211" t="s">
        <v>981</v>
      </c>
      <c r="L6" s="5211"/>
      <c r="M6" s="5212"/>
      <c r="N6" s="5199" t="s">
        <v>94</v>
      </c>
    </row>
    <row r="7" spans="1:14" ht="27" customHeight="1">
      <c r="A7" s="249"/>
      <c r="B7" s="250" t="s">
        <v>0</v>
      </c>
      <c r="C7" s="250"/>
      <c r="D7" s="251"/>
      <c r="E7" s="251"/>
      <c r="F7" s="252" t="s">
        <v>982</v>
      </c>
      <c r="G7" s="253" t="s">
        <v>983</v>
      </c>
      <c r="H7" s="253" t="s">
        <v>984</v>
      </c>
      <c r="I7" s="254" t="s">
        <v>985</v>
      </c>
      <c r="J7" s="252" t="s">
        <v>982</v>
      </c>
      <c r="K7" s="253" t="s">
        <v>983</v>
      </c>
      <c r="L7" s="253" t="s">
        <v>984</v>
      </c>
      <c r="M7" s="254" t="s">
        <v>985</v>
      </c>
      <c r="N7" s="255"/>
    </row>
    <row r="8" spans="1:14" ht="27" customHeight="1">
      <c r="A8" s="258" t="s">
        <v>991</v>
      </c>
      <c r="B8" s="5201" t="s">
        <v>992</v>
      </c>
      <c r="C8" s="5202" t="s">
        <v>993</v>
      </c>
      <c r="D8" s="5213" t="s">
        <v>994</v>
      </c>
      <c r="E8" s="5214" t="s">
        <v>995</v>
      </c>
      <c r="F8" s="5215">
        <v>0</v>
      </c>
      <c r="G8" s="5216">
        <v>0</v>
      </c>
      <c r="H8" s="5216">
        <v>0</v>
      </c>
      <c r="I8" s="5217">
        <v>0</v>
      </c>
      <c r="J8" s="5215">
        <v>0</v>
      </c>
      <c r="K8" s="5216">
        <v>0</v>
      </c>
      <c r="L8" s="5216">
        <v>0</v>
      </c>
      <c r="M8" s="5217"/>
      <c r="N8" s="5218"/>
    </row>
    <row r="9" spans="1:14" ht="27" customHeight="1">
      <c r="A9" s="258" t="s">
        <v>996</v>
      </c>
      <c r="B9" s="5071" t="s">
        <v>997</v>
      </c>
      <c r="C9" s="5219" t="s">
        <v>998</v>
      </c>
      <c r="D9" s="5220" t="s">
        <v>999</v>
      </c>
      <c r="E9" s="5214" t="s">
        <v>995</v>
      </c>
      <c r="F9" s="5215" t="s">
        <v>0</v>
      </c>
      <c r="G9" s="5216"/>
      <c r="H9" s="5216">
        <v>4</v>
      </c>
      <c r="I9" s="5217"/>
      <c r="J9" s="5215">
        <v>0</v>
      </c>
      <c r="K9" s="5216">
        <v>0</v>
      </c>
      <c r="L9" s="5216" t="s">
        <v>0</v>
      </c>
      <c r="M9" s="5217"/>
      <c r="N9" s="5221"/>
    </row>
    <row r="10" spans="1:14" ht="27" customHeight="1">
      <c r="A10" s="259" t="s">
        <v>1000</v>
      </c>
      <c r="B10" s="5201" t="s">
        <v>992</v>
      </c>
      <c r="C10" s="5202" t="s">
        <v>993</v>
      </c>
      <c r="D10" s="5213" t="s">
        <v>994</v>
      </c>
      <c r="E10" s="5214" t="s">
        <v>1001</v>
      </c>
      <c r="F10" s="5215">
        <v>0</v>
      </c>
      <c r="G10" s="5216">
        <v>0</v>
      </c>
      <c r="H10" s="5216">
        <v>0</v>
      </c>
      <c r="I10" s="5217">
        <v>0</v>
      </c>
      <c r="J10" s="5215">
        <v>0</v>
      </c>
      <c r="K10" s="5216">
        <v>0</v>
      </c>
      <c r="L10" s="5216">
        <v>0</v>
      </c>
      <c r="M10" s="5217"/>
      <c r="N10" s="5218"/>
    </row>
    <row r="11" spans="1:14" ht="27" customHeight="1">
      <c r="A11" s="259" t="s">
        <v>1002</v>
      </c>
      <c r="B11" s="5071" t="s">
        <v>997</v>
      </c>
      <c r="C11" s="5219" t="s">
        <v>998</v>
      </c>
      <c r="D11" s="5220" t="s">
        <v>999</v>
      </c>
      <c r="E11" s="5214" t="s">
        <v>1003</v>
      </c>
      <c r="F11" s="5215" t="s">
        <v>0</v>
      </c>
      <c r="G11" s="5216"/>
      <c r="H11" s="5216">
        <v>4</v>
      </c>
      <c r="I11" s="5217"/>
      <c r="J11" s="5215">
        <v>0</v>
      </c>
      <c r="K11" s="5216">
        <v>0</v>
      </c>
      <c r="L11" s="5216">
        <v>0</v>
      </c>
      <c r="M11" s="5217"/>
      <c r="N11" s="5221"/>
    </row>
    <row r="12" spans="1:14" ht="27" customHeight="1">
      <c r="A12" s="260" t="s">
        <v>1004</v>
      </c>
      <c r="B12" s="5201" t="s">
        <v>992</v>
      </c>
      <c r="C12" s="5202" t="s">
        <v>993</v>
      </c>
      <c r="D12" s="5213" t="s">
        <v>994</v>
      </c>
      <c r="E12" s="5214" t="s">
        <v>1005</v>
      </c>
      <c r="F12" s="5215">
        <v>0</v>
      </c>
      <c r="G12" s="5216">
        <v>0</v>
      </c>
      <c r="H12" s="5216">
        <v>0</v>
      </c>
      <c r="I12" s="5217">
        <v>0</v>
      </c>
      <c r="J12" s="5215">
        <v>0</v>
      </c>
      <c r="K12" s="5216">
        <v>0</v>
      </c>
      <c r="L12" s="5216">
        <v>0</v>
      </c>
      <c r="M12" s="5217"/>
      <c r="N12" s="5218"/>
    </row>
    <row r="13" spans="1:14" ht="27" customHeight="1">
      <c r="A13" s="260" t="s">
        <v>311</v>
      </c>
      <c r="B13" s="5071" t="s">
        <v>997</v>
      </c>
      <c r="C13" s="5219" t="s">
        <v>998</v>
      </c>
      <c r="D13" s="5220" t="s">
        <v>999</v>
      </c>
      <c r="E13" s="5214" t="s">
        <v>1005</v>
      </c>
      <c r="F13" s="5215" t="s">
        <v>0</v>
      </c>
      <c r="G13" s="5216"/>
      <c r="H13" s="5216">
        <v>4</v>
      </c>
      <c r="I13" s="5217"/>
      <c r="J13" s="5215">
        <v>0</v>
      </c>
      <c r="K13" s="5216">
        <v>0</v>
      </c>
      <c r="L13" s="5216">
        <v>0</v>
      </c>
      <c r="M13" s="5217"/>
      <c r="N13" s="5221"/>
    </row>
    <row r="14" spans="1:14" ht="27" customHeight="1">
      <c r="A14" s="261" t="s">
        <v>1006</v>
      </c>
      <c r="B14" s="5201" t="s">
        <v>992</v>
      </c>
      <c r="C14" s="5202" t="s">
        <v>993</v>
      </c>
      <c r="D14" s="5213" t="s">
        <v>994</v>
      </c>
      <c r="E14" s="5214" t="s">
        <v>1005</v>
      </c>
      <c r="F14" s="5215">
        <v>0</v>
      </c>
      <c r="G14" s="5216">
        <v>0</v>
      </c>
      <c r="H14" s="5216">
        <v>0</v>
      </c>
      <c r="I14" s="5217">
        <v>0</v>
      </c>
      <c r="J14" s="5215">
        <v>0</v>
      </c>
      <c r="K14" s="5216">
        <v>0</v>
      </c>
      <c r="L14" s="5216">
        <v>0</v>
      </c>
      <c r="M14" s="5217"/>
      <c r="N14" s="5218"/>
    </row>
    <row r="15" spans="1:14" ht="27" customHeight="1" thickBot="1">
      <c r="A15" s="5222" t="s">
        <v>329</v>
      </c>
      <c r="B15" s="4966" t="s">
        <v>997</v>
      </c>
      <c r="C15" s="5223" t="s">
        <v>998</v>
      </c>
      <c r="D15" s="5224" t="s">
        <v>999</v>
      </c>
      <c r="E15" s="5225" t="s">
        <v>1005</v>
      </c>
      <c r="F15" s="5226" t="s">
        <v>0</v>
      </c>
      <c r="G15" s="5227"/>
      <c r="H15" s="5227">
        <v>4</v>
      </c>
      <c r="I15" s="5228"/>
      <c r="J15" s="5226">
        <v>0</v>
      </c>
      <c r="K15" s="5227">
        <v>0</v>
      </c>
      <c r="L15" s="5227">
        <v>0</v>
      </c>
      <c r="M15" s="5228"/>
      <c r="N15" s="5229"/>
    </row>
    <row r="16" spans="1:14" ht="27" customHeight="1">
      <c r="A16" s="262"/>
      <c r="B16" s="5201" t="s">
        <v>992</v>
      </c>
      <c r="C16" s="5202" t="s">
        <v>993</v>
      </c>
      <c r="D16" s="5213" t="s">
        <v>994</v>
      </c>
      <c r="E16" s="5214" t="s">
        <v>1007</v>
      </c>
      <c r="F16" s="5215">
        <v>0</v>
      </c>
      <c r="G16" s="5216">
        <v>0</v>
      </c>
      <c r="H16" s="5216">
        <v>0</v>
      </c>
      <c r="I16" s="5217">
        <v>0</v>
      </c>
      <c r="J16" s="5230"/>
      <c r="K16" s="5231"/>
      <c r="L16" s="5231"/>
      <c r="M16" s="5232"/>
      <c r="N16" s="5233"/>
    </row>
    <row r="17" spans="1:14" ht="27" customHeight="1" thickBot="1">
      <c r="A17" s="5234" t="s">
        <v>1008</v>
      </c>
      <c r="B17" s="4966" t="s">
        <v>997</v>
      </c>
      <c r="C17" s="5223" t="s">
        <v>998</v>
      </c>
      <c r="D17" s="5224" t="s">
        <v>999</v>
      </c>
      <c r="E17" s="5225" t="s">
        <v>1007</v>
      </c>
      <c r="F17" s="5235"/>
      <c r="G17" s="5236"/>
      <c r="H17" s="5227">
        <v>4</v>
      </c>
      <c r="I17" s="5237"/>
      <c r="J17" s="5235"/>
      <c r="K17" s="5236"/>
      <c r="L17" s="5236"/>
      <c r="M17" s="5237"/>
      <c r="N17" s="5238"/>
    </row>
  </sheetData>
  <sheetProtection algorithmName="SHA-512" hashValue="g1kiS2zO5NsHzQgttPsiL+6H+lQy/6mr1niia6eR/wvCHcRhv9bAcaU+wS17YYS9lOZavFBoEITSMuweaftXXg==" saltValue="WXOsjtAqXPuhnwbf5xdHjg==" spinCount="100000" sheet="1" objects="1" scenarios="1"/>
  <mergeCells count="1">
    <mergeCell ref="A1:N1"/>
  </mergeCells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A0982-8461-41CE-9BBF-640D80B1988C}">
  <sheetPr codeName="Ark2">
    <pageSetUpPr fitToPage="1"/>
  </sheetPr>
  <dimension ref="A1:AI292"/>
  <sheetViews>
    <sheetView topLeftCell="B221" zoomScale="70" zoomScaleNormal="70" workbookViewId="0">
      <selection activeCell="AM244" sqref="AM244"/>
    </sheetView>
  </sheetViews>
  <sheetFormatPr defaultRowHeight="15"/>
  <cols>
    <col min="2" max="2" width="27.28515625" customWidth="1"/>
    <col min="3" max="35" width="5.28515625" customWidth="1"/>
  </cols>
  <sheetData>
    <row r="1" spans="1:35" ht="18" customHeight="1">
      <c r="A1" t="s">
        <v>0</v>
      </c>
      <c r="B1" s="1" t="s">
        <v>1</v>
      </c>
    </row>
    <row r="2" spans="1:35" ht="18" customHeight="1">
      <c r="B2" s="3538" t="s">
        <v>2</v>
      </c>
      <c r="C2" s="3539" t="s">
        <v>3</v>
      </c>
      <c r="D2" s="3540"/>
      <c r="E2" s="3541" t="s">
        <v>4</v>
      </c>
      <c r="F2" s="3542"/>
      <c r="G2" s="3543"/>
      <c r="H2" s="3543"/>
      <c r="I2" s="3543"/>
      <c r="J2" s="3543"/>
      <c r="K2" s="3544"/>
      <c r="L2" s="3545" t="s">
        <v>5</v>
      </c>
      <c r="M2" s="3546"/>
      <c r="N2" s="3547"/>
      <c r="O2" s="3548" t="s">
        <v>6</v>
      </c>
      <c r="P2" s="3549"/>
      <c r="Q2" s="3550"/>
      <c r="R2" s="3551"/>
      <c r="S2" s="3552" t="s">
        <v>7</v>
      </c>
      <c r="T2" s="3553"/>
      <c r="U2" s="3554"/>
      <c r="V2" s="3553"/>
      <c r="W2" s="3555" t="s">
        <v>8</v>
      </c>
      <c r="X2" s="3556"/>
      <c r="Y2" s="3557"/>
      <c r="Z2" s="2" t="s">
        <v>9</v>
      </c>
      <c r="AA2" s="3558"/>
      <c r="AB2" s="3559"/>
      <c r="AC2" s="3560"/>
      <c r="AD2" s="3561" t="s">
        <v>10</v>
      </c>
      <c r="AE2" s="3562"/>
      <c r="AF2" s="3562"/>
      <c r="AG2" s="3563"/>
    </row>
    <row r="3" spans="1:35" ht="18" customHeight="1">
      <c r="A3" s="1"/>
      <c r="B3" s="3564" t="s">
        <v>11</v>
      </c>
      <c r="C3" s="3565" t="s">
        <v>12</v>
      </c>
      <c r="D3" s="3566"/>
      <c r="E3" s="3"/>
      <c r="F3" s="4"/>
      <c r="G3" s="4"/>
      <c r="H3" s="5" t="s">
        <v>13</v>
      </c>
      <c r="I3" s="6"/>
      <c r="J3" s="6"/>
      <c r="K3" s="7"/>
      <c r="L3" s="3567" t="s">
        <v>14</v>
      </c>
      <c r="M3" s="3568"/>
      <c r="N3" s="3569"/>
      <c r="O3" s="6"/>
      <c r="P3" s="6"/>
      <c r="Q3" s="6"/>
      <c r="R3" s="6"/>
      <c r="S3" s="8"/>
      <c r="T3" s="9" t="s">
        <v>15</v>
      </c>
      <c r="U3" s="10"/>
      <c r="V3" s="11"/>
      <c r="W3" s="12"/>
      <c r="X3" s="13"/>
      <c r="Y3" s="5" t="s">
        <v>16</v>
      </c>
      <c r="Z3" s="3568"/>
      <c r="AA3" s="3568"/>
      <c r="AB3" s="3570"/>
      <c r="AC3" s="3571"/>
      <c r="AD3" s="3572" t="s">
        <v>17</v>
      </c>
      <c r="AE3" s="3573"/>
      <c r="AF3" s="3573"/>
      <c r="AG3" s="3574"/>
    </row>
    <row r="4" spans="1:35" ht="18" customHeight="1">
      <c r="A4" s="14" t="s">
        <v>18</v>
      </c>
      <c r="B4" s="15"/>
      <c r="C4" s="16"/>
      <c r="D4" s="17"/>
      <c r="E4" s="17"/>
      <c r="F4" s="17"/>
      <c r="G4" s="17"/>
      <c r="H4" s="16"/>
      <c r="I4" s="17"/>
      <c r="J4" s="17"/>
      <c r="K4" s="18"/>
      <c r="L4" s="17"/>
      <c r="M4" s="18"/>
      <c r="N4" s="18"/>
      <c r="O4" s="17"/>
      <c r="P4" s="17"/>
      <c r="Q4" s="17"/>
      <c r="R4" s="17"/>
      <c r="T4" s="18"/>
      <c r="U4" s="16"/>
      <c r="W4" s="17"/>
      <c r="X4" s="17"/>
      <c r="Y4" s="16"/>
      <c r="Z4" s="17"/>
      <c r="AB4" s="17"/>
      <c r="AC4" s="17"/>
      <c r="AD4" s="17"/>
      <c r="AE4" s="17"/>
      <c r="AF4" s="17"/>
      <c r="AG4" s="17"/>
    </row>
    <row r="5" spans="1:35" ht="18" customHeight="1">
      <c r="A5" s="14" t="s">
        <v>19</v>
      </c>
      <c r="B5" s="1"/>
    </row>
    <row r="6" spans="1:35" ht="18" customHeight="1">
      <c r="A6" s="3575" t="s">
        <v>20</v>
      </c>
      <c r="B6" s="3568"/>
      <c r="C6" s="3576"/>
      <c r="D6" s="3575" t="s">
        <v>21</v>
      </c>
      <c r="E6" s="3568"/>
      <c r="F6" s="3568"/>
      <c r="G6" s="3568"/>
      <c r="H6" s="3437"/>
      <c r="I6" s="3568"/>
      <c r="J6" s="3568"/>
      <c r="K6" s="3568"/>
      <c r="L6" s="3577" t="s">
        <v>22</v>
      </c>
      <c r="M6" s="3568"/>
      <c r="N6" s="3568"/>
      <c r="O6" s="3568"/>
      <c r="P6" s="3568"/>
      <c r="Q6" s="3568"/>
      <c r="R6" s="3568"/>
      <c r="S6" s="3576"/>
      <c r="T6" s="3578"/>
      <c r="U6" s="3568"/>
      <c r="V6" s="3568"/>
      <c r="W6" s="3568"/>
      <c r="X6" s="3568"/>
      <c r="Y6" s="3568"/>
      <c r="Z6" s="3568"/>
      <c r="AA6" s="3576"/>
      <c r="AB6" s="3579"/>
      <c r="AC6" s="3580"/>
      <c r="AD6" s="3580"/>
      <c r="AE6" s="3580"/>
      <c r="AF6" s="3580"/>
      <c r="AG6" s="3581"/>
    </row>
    <row r="7" spans="1:35" ht="18" customHeight="1">
      <c r="A7" s="3575" t="s">
        <v>23</v>
      </c>
      <c r="B7" s="3568"/>
      <c r="C7" s="3568"/>
      <c r="D7" s="3568"/>
      <c r="E7" s="3568"/>
      <c r="F7" s="3568"/>
      <c r="G7" s="3568"/>
      <c r="H7" s="3568"/>
      <c r="I7" s="3568"/>
      <c r="J7" s="3568"/>
      <c r="K7" s="3576"/>
      <c r="L7" s="19" t="s">
        <v>24</v>
      </c>
      <c r="M7" s="8"/>
      <c r="N7" s="8"/>
      <c r="O7" s="8"/>
      <c r="P7" s="8"/>
      <c r="Q7" s="8"/>
      <c r="R7" s="8"/>
      <c r="S7" s="8"/>
      <c r="T7" s="8"/>
      <c r="U7" s="3568"/>
      <c r="V7" s="3568"/>
      <c r="W7" s="3568"/>
      <c r="X7" s="3568"/>
      <c r="Y7" s="3568"/>
      <c r="Z7" s="3568"/>
      <c r="AA7" s="3568"/>
      <c r="AB7" s="3582"/>
      <c r="AC7" s="3568"/>
      <c r="AD7" s="3568"/>
      <c r="AE7" s="3568"/>
      <c r="AF7" s="3568"/>
      <c r="AG7" s="3576"/>
    </row>
    <row r="8" spans="1:35" ht="18" customHeight="1">
      <c r="A8" s="14" t="s">
        <v>25</v>
      </c>
      <c r="L8" s="20"/>
      <c r="AB8" s="1"/>
    </row>
    <row r="9" spans="1:35" ht="18" customHeight="1">
      <c r="A9" s="14" t="s">
        <v>26</v>
      </c>
      <c r="L9" s="20"/>
      <c r="AB9" s="1"/>
    </row>
    <row r="10" spans="1:35" ht="18" customHeight="1">
      <c r="B10" s="21" t="s">
        <v>27</v>
      </c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</row>
    <row r="11" spans="1:35" ht="18" customHeight="1" thickBot="1">
      <c r="A11" s="3583" t="s">
        <v>28</v>
      </c>
      <c r="B11" s="3584" t="s">
        <v>29</v>
      </c>
      <c r="C11" s="3410">
        <v>1</v>
      </c>
      <c r="D11" s="3410">
        <v>2</v>
      </c>
      <c r="E11" s="3411">
        <v>3</v>
      </c>
      <c r="F11" s="3411">
        <v>4</v>
      </c>
      <c r="G11" s="3410">
        <v>5</v>
      </c>
      <c r="H11" s="3411">
        <v>6</v>
      </c>
      <c r="I11" s="3411">
        <v>7</v>
      </c>
      <c r="J11" s="3410">
        <v>8</v>
      </c>
      <c r="K11" s="3410">
        <v>9</v>
      </c>
      <c r="L11" s="3410">
        <v>10</v>
      </c>
      <c r="M11" s="3411">
        <v>11</v>
      </c>
      <c r="N11" s="3411">
        <v>12</v>
      </c>
      <c r="O11" s="3411">
        <v>13</v>
      </c>
      <c r="P11" s="3411">
        <v>14</v>
      </c>
      <c r="Q11" s="3410">
        <v>15</v>
      </c>
      <c r="R11" s="3410">
        <v>16</v>
      </c>
      <c r="S11" s="3411">
        <v>17</v>
      </c>
      <c r="T11" s="3411">
        <v>18</v>
      </c>
      <c r="U11" s="3411">
        <v>19</v>
      </c>
      <c r="V11" s="3411">
        <v>20</v>
      </c>
      <c r="W11" s="3411">
        <v>21</v>
      </c>
      <c r="X11" s="3410">
        <v>22</v>
      </c>
      <c r="Y11" s="3410">
        <v>23</v>
      </c>
      <c r="Z11" s="3411">
        <v>24</v>
      </c>
      <c r="AA11" s="3411">
        <v>25</v>
      </c>
      <c r="AB11" s="3411">
        <v>26</v>
      </c>
      <c r="AC11" s="3411">
        <v>27</v>
      </c>
      <c r="AD11" s="3411">
        <v>28</v>
      </c>
      <c r="AE11" s="3410">
        <v>29</v>
      </c>
      <c r="AF11" s="3410">
        <v>30</v>
      </c>
      <c r="AG11" s="3585"/>
      <c r="AH11" s="23"/>
      <c r="AI11" s="24"/>
    </row>
    <row r="12" spans="1:35" ht="18" customHeight="1">
      <c r="A12" s="3586">
        <v>8500</v>
      </c>
      <c r="B12" s="5239" t="s">
        <v>30</v>
      </c>
      <c r="C12" s="4880"/>
      <c r="D12" s="4880"/>
      <c r="E12" s="4880" t="s">
        <v>31</v>
      </c>
      <c r="F12" s="4880" t="s">
        <v>31</v>
      </c>
      <c r="G12" s="4880"/>
      <c r="H12" s="5240" t="s">
        <v>31</v>
      </c>
      <c r="I12" s="5240" t="s">
        <v>31</v>
      </c>
      <c r="J12" s="4880"/>
      <c r="K12" s="4880"/>
      <c r="L12" s="4880"/>
      <c r="M12" s="4880" t="s">
        <v>31</v>
      </c>
      <c r="N12" s="4880" t="s">
        <v>31</v>
      </c>
      <c r="O12" s="4880" t="s">
        <v>31</v>
      </c>
      <c r="P12" s="4880">
        <v>1</v>
      </c>
      <c r="Q12" s="4880"/>
      <c r="R12" s="4880"/>
      <c r="S12" s="4880" t="s">
        <v>31</v>
      </c>
      <c r="T12" s="4880" t="s">
        <v>31</v>
      </c>
      <c r="U12" s="4880" t="s">
        <v>31</v>
      </c>
      <c r="V12" s="4880" t="s">
        <v>31</v>
      </c>
      <c r="W12" s="4880" t="s">
        <v>31</v>
      </c>
      <c r="X12" s="4880"/>
      <c r="Y12" s="4880"/>
      <c r="Z12" s="4880" t="s">
        <v>31</v>
      </c>
      <c r="AA12" s="4880" t="s">
        <v>31</v>
      </c>
      <c r="AB12" s="4880" t="s">
        <v>31</v>
      </c>
      <c r="AC12" s="4880" t="s">
        <v>31</v>
      </c>
      <c r="AD12" s="4141" t="s">
        <v>31</v>
      </c>
      <c r="AE12" s="4880"/>
      <c r="AF12" s="4880"/>
      <c r="AG12" s="4882"/>
      <c r="AH12" s="25"/>
      <c r="AI12" s="25"/>
    </row>
    <row r="13" spans="1:35" ht="18" customHeight="1">
      <c r="A13" s="3592" t="s">
        <v>32</v>
      </c>
      <c r="B13" s="3593"/>
      <c r="C13" s="3593"/>
      <c r="D13" s="3593"/>
      <c r="E13" s="3593"/>
      <c r="F13" s="3593"/>
      <c r="G13" s="3593"/>
      <c r="H13" s="3593"/>
      <c r="I13" s="3593"/>
      <c r="J13" s="3593"/>
      <c r="K13" s="3593"/>
      <c r="L13" s="3593"/>
      <c r="M13" s="3593"/>
      <c r="N13" s="3593"/>
      <c r="O13" s="3593"/>
      <c r="P13" s="3593"/>
      <c r="Q13" s="3593"/>
      <c r="R13" s="3593"/>
      <c r="S13" s="3593"/>
      <c r="T13" s="3593"/>
      <c r="U13" s="3593"/>
      <c r="V13" s="3593"/>
      <c r="W13" s="3593"/>
      <c r="X13" s="3593"/>
      <c r="Y13" s="3593"/>
      <c r="Z13" s="3593"/>
      <c r="AA13" s="3593"/>
      <c r="AB13" s="3593"/>
      <c r="AC13" s="3593"/>
      <c r="AD13" s="3593"/>
      <c r="AE13" s="3593"/>
      <c r="AF13" s="3593"/>
      <c r="AG13" s="3594"/>
      <c r="AH13" s="26"/>
      <c r="AI13" s="26"/>
    </row>
    <row r="14" spans="1:35" ht="18" customHeight="1">
      <c r="A14" s="27">
        <v>8546</v>
      </c>
      <c r="B14" s="3595" t="s">
        <v>33</v>
      </c>
      <c r="C14" s="3596" t="s">
        <v>34</v>
      </c>
      <c r="D14" s="3597" t="s">
        <v>34</v>
      </c>
      <c r="E14" s="3598" t="s">
        <v>35</v>
      </c>
      <c r="F14" s="3599" t="s">
        <v>35</v>
      </c>
      <c r="G14" s="3598" t="s">
        <v>35</v>
      </c>
      <c r="H14" s="3598" t="s">
        <v>35</v>
      </c>
      <c r="I14" s="3598" t="s">
        <v>35</v>
      </c>
      <c r="J14" s="3598"/>
      <c r="K14" s="3596"/>
      <c r="L14" s="3598">
        <v>4</v>
      </c>
      <c r="M14" s="3598">
        <v>4</v>
      </c>
      <c r="N14" s="3598">
        <v>4</v>
      </c>
      <c r="O14" s="3598">
        <v>4</v>
      </c>
      <c r="P14" s="3598">
        <v>4</v>
      </c>
      <c r="Q14" s="3598" t="s">
        <v>36</v>
      </c>
      <c r="R14" s="3598" t="s">
        <v>36</v>
      </c>
      <c r="S14" s="3599" t="s">
        <v>35</v>
      </c>
      <c r="T14" s="3599" t="s">
        <v>35</v>
      </c>
      <c r="U14" s="3598" t="s">
        <v>35</v>
      </c>
      <c r="V14" s="3598" t="s">
        <v>35</v>
      </c>
      <c r="W14" s="3598" t="s">
        <v>35</v>
      </c>
      <c r="X14" s="3598"/>
      <c r="Y14" s="3598"/>
      <c r="Z14" s="3598">
        <v>1</v>
      </c>
      <c r="AA14" s="3598">
        <v>1</v>
      </c>
      <c r="AB14" s="3598">
        <v>1</v>
      </c>
      <c r="AC14" s="3598">
        <v>1</v>
      </c>
      <c r="AD14" s="3597">
        <v>1</v>
      </c>
      <c r="AE14" s="3598"/>
      <c r="AF14" s="3598"/>
      <c r="AG14" s="3604"/>
      <c r="AH14" s="25"/>
      <c r="AI14" s="25"/>
    </row>
    <row r="15" spans="1:35" ht="18" customHeight="1">
      <c r="A15" s="3602">
        <v>8546</v>
      </c>
      <c r="B15" s="3595" t="s">
        <v>350</v>
      </c>
      <c r="C15" s="3596"/>
      <c r="D15" s="3598"/>
      <c r="E15" s="3598">
        <v>2</v>
      </c>
      <c r="F15" s="3597">
        <v>2</v>
      </c>
      <c r="G15" s="3597">
        <v>2</v>
      </c>
      <c r="H15" s="3597">
        <v>2</v>
      </c>
      <c r="I15" s="3598">
        <v>2</v>
      </c>
      <c r="J15" s="5241" t="s">
        <v>34</v>
      </c>
      <c r="K15" s="5241" t="s">
        <v>34</v>
      </c>
      <c r="L15" s="3598" t="s">
        <v>35</v>
      </c>
      <c r="M15" s="3598" t="s">
        <v>35</v>
      </c>
      <c r="N15" s="3598" t="s">
        <v>35</v>
      </c>
      <c r="O15" s="3598" t="s">
        <v>35</v>
      </c>
      <c r="P15" s="3598" t="s">
        <v>35</v>
      </c>
      <c r="Q15" s="3598"/>
      <c r="R15" s="3598"/>
      <c r="S15" s="3598">
        <v>4</v>
      </c>
      <c r="T15" s="3598">
        <v>4</v>
      </c>
      <c r="U15" s="3598">
        <v>4</v>
      </c>
      <c r="V15" s="3598">
        <v>4</v>
      </c>
      <c r="W15" s="3598">
        <v>4</v>
      </c>
      <c r="X15" s="3598" t="s">
        <v>36</v>
      </c>
      <c r="Y15" s="3598" t="s">
        <v>36</v>
      </c>
      <c r="Z15" s="3598" t="s">
        <v>35</v>
      </c>
      <c r="AA15" s="3598" t="s">
        <v>35</v>
      </c>
      <c r="AB15" s="3598" t="s">
        <v>35</v>
      </c>
      <c r="AC15" s="3598" t="s">
        <v>35</v>
      </c>
      <c r="AD15" s="3598" t="s">
        <v>35</v>
      </c>
      <c r="AE15" s="3598"/>
      <c r="AF15" s="3598"/>
      <c r="AG15" s="3604"/>
      <c r="AH15" s="25"/>
      <c r="AI15" s="25"/>
    </row>
    <row r="16" spans="1:35" ht="18" customHeight="1">
      <c r="A16" s="3602">
        <v>8546</v>
      </c>
      <c r="B16" s="3595" t="s">
        <v>38</v>
      </c>
      <c r="C16" s="3598" t="s">
        <v>36</v>
      </c>
      <c r="D16" s="3598" t="s">
        <v>36</v>
      </c>
      <c r="E16" s="3598" t="s">
        <v>35</v>
      </c>
      <c r="F16" s="5242">
        <v>4</v>
      </c>
      <c r="G16" s="5242">
        <v>4</v>
      </c>
      <c r="H16" s="5242">
        <v>4</v>
      </c>
      <c r="I16" s="3598" t="s">
        <v>35</v>
      </c>
      <c r="J16" s="3598"/>
      <c r="K16" s="3598"/>
      <c r="L16" s="3598">
        <v>1</v>
      </c>
      <c r="M16" s="3603">
        <v>1</v>
      </c>
      <c r="N16" s="3603">
        <v>1</v>
      </c>
      <c r="O16" s="3603">
        <v>1</v>
      </c>
      <c r="P16" s="3603">
        <v>1</v>
      </c>
      <c r="Q16" s="3597"/>
      <c r="R16" s="3597"/>
      <c r="S16" s="3598">
        <v>2</v>
      </c>
      <c r="T16" s="3598">
        <v>2</v>
      </c>
      <c r="U16" s="3598">
        <v>2</v>
      </c>
      <c r="V16" s="3598">
        <v>2</v>
      </c>
      <c r="W16" s="3596">
        <v>2</v>
      </c>
      <c r="X16" s="3598" t="s">
        <v>34</v>
      </c>
      <c r="Y16" s="3597" t="s">
        <v>34</v>
      </c>
      <c r="Z16" s="3597" t="s">
        <v>35</v>
      </c>
      <c r="AA16" s="3597" t="s">
        <v>35</v>
      </c>
      <c r="AB16" s="3597" t="s">
        <v>35</v>
      </c>
      <c r="AC16" s="3597" t="s">
        <v>35</v>
      </c>
      <c r="AD16" s="3598" t="s">
        <v>35</v>
      </c>
      <c r="AE16" s="3598"/>
      <c r="AF16" s="3598"/>
      <c r="AG16" s="3604"/>
      <c r="AH16" s="25"/>
      <c r="AI16" s="25"/>
    </row>
    <row r="17" spans="1:35" ht="18" customHeight="1">
      <c r="A17" s="3602">
        <v>8546</v>
      </c>
      <c r="B17" s="3606" t="s">
        <v>39</v>
      </c>
      <c r="C17" s="3598"/>
      <c r="D17" s="3596"/>
      <c r="E17" s="3600">
        <v>4</v>
      </c>
      <c r="F17" s="3600">
        <v>4</v>
      </c>
      <c r="G17" s="3600">
        <v>4</v>
      </c>
      <c r="H17" s="3600">
        <v>4</v>
      </c>
      <c r="I17" s="3600">
        <v>4</v>
      </c>
      <c r="J17" s="3600" t="s">
        <v>36</v>
      </c>
      <c r="K17" s="3600" t="s">
        <v>36</v>
      </c>
      <c r="L17" s="3600" t="s">
        <v>35</v>
      </c>
      <c r="M17" s="3600" t="s">
        <v>35</v>
      </c>
      <c r="N17" s="3600" t="s">
        <v>35</v>
      </c>
      <c r="O17" s="3600" t="s">
        <v>35</v>
      </c>
      <c r="P17" s="3607" t="s">
        <v>35</v>
      </c>
      <c r="Q17" s="3600"/>
      <c r="R17" s="3600"/>
      <c r="S17" s="3598">
        <v>1</v>
      </c>
      <c r="T17" s="3598">
        <v>1</v>
      </c>
      <c r="U17" s="3598">
        <v>1</v>
      </c>
      <c r="V17" s="3598">
        <v>1</v>
      </c>
      <c r="W17" s="3598">
        <v>1</v>
      </c>
      <c r="X17" s="3596"/>
      <c r="Y17" s="3598"/>
      <c r="Z17" s="3598">
        <v>2</v>
      </c>
      <c r="AA17" s="3598">
        <v>2</v>
      </c>
      <c r="AB17" s="3598">
        <v>2</v>
      </c>
      <c r="AC17" s="3598">
        <v>2</v>
      </c>
      <c r="AD17" s="3598">
        <v>2</v>
      </c>
      <c r="AE17" s="3598" t="s">
        <v>34</v>
      </c>
      <c r="AF17" s="3598" t="s">
        <v>34</v>
      </c>
      <c r="AG17" s="3604"/>
      <c r="AH17" s="25"/>
      <c r="AI17" s="25"/>
    </row>
    <row r="18" spans="1:35" ht="18" customHeight="1">
      <c r="A18" s="3602">
        <v>8546</v>
      </c>
      <c r="B18" s="3595" t="s">
        <v>40</v>
      </c>
      <c r="C18" s="3598"/>
      <c r="D18" s="3596"/>
      <c r="E18" s="3598">
        <v>1</v>
      </c>
      <c r="F18" s="3598">
        <v>1</v>
      </c>
      <c r="G18" s="3598">
        <v>1</v>
      </c>
      <c r="H18" s="3607">
        <v>1</v>
      </c>
      <c r="I18" s="3603">
        <v>1</v>
      </c>
      <c r="J18" s="3597"/>
      <c r="K18" s="3597"/>
      <c r="L18" s="3598">
        <v>2</v>
      </c>
      <c r="M18" s="3597">
        <v>2</v>
      </c>
      <c r="N18" s="3597">
        <v>2</v>
      </c>
      <c r="O18" s="3598">
        <v>2</v>
      </c>
      <c r="P18" s="3598">
        <v>2</v>
      </c>
      <c r="Q18" s="3598" t="s">
        <v>34</v>
      </c>
      <c r="R18" s="3598" t="s">
        <v>34</v>
      </c>
      <c r="S18" s="3598" t="s">
        <v>35</v>
      </c>
      <c r="T18" s="3598" t="s">
        <v>35</v>
      </c>
      <c r="U18" s="3597" t="s">
        <v>35</v>
      </c>
      <c r="V18" s="3597" t="s">
        <v>35</v>
      </c>
      <c r="W18" s="3598" t="s">
        <v>35</v>
      </c>
      <c r="X18" s="3598"/>
      <c r="Y18" s="3598"/>
      <c r="Z18" s="3598">
        <v>4</v>
      </c>
      <c r="AA18" s="3598">
        <v>4</v>
      </c>
      <c r="AB18" s="3598">
        <v>4</v>
      </c>
      <c r="AC18" s="5243">
        <v>4</v>
      </c>
      <c r="AD18" s="3598">
        <v>4</v>
      </c>
      <c r="AE18" s="3598" t="s">
        <v>36</v>
      </c>
      <c r="AF18" s="3598" t="s">
        <v>36</v>
      </c>
      <c r="AG18" s="3604"/>
      <c r="AH18" s="25"/>
      <c r="AI18" s="25"/>
    </row>
    <row r="19" spans="1:35" ht="18" customHeight="1" thickBot="1">
      <c r="A19" s="3609" t="s">
        <v>41</v>
      </c>
      <c r="B19" s="3610"/>
      <c r="C19" s="3611"/>
      <c r="D19" s="3611"/>
      <c r="E19" s="3611"/>
      <c r="F19" s="3611"/>
      <c r="G19" s="3611"/>
      <c r="H19" s="3611"/>
      <c r="I19" s="3611"/>
      <c r="J19" s="3611"/>
      <c r="K19" s="3611"/>
      <c r="L19" s="3611"/>
      <c r="M19" s="3611"/>
      <c r="N19" s="3611"/>
      <c r="O19" s="3611"/>
      <c r="P19" s="3611"/>
      <c r="Q19" s="3611"/>
      <c r="R19" s="3611"/>
      <c r="S19" s="3611"/>
      <c r="T19" s="3611"/>
      <c r="U19" s="3611"/>
      <c r="V19" s="3611"/>
      <c r="W19" s="3611"/>
      <c r="X19" s="3611"/>
      <c r="Y19" s="3611"/>
      <c r="Z19" s="3611"/>
      <c r="AA19" s="3611"/>
      <c r="AB19" s="3611"/>
      <c r="AC19" s="3611"/>
      <c r="AD19" s="3611"/>
      <c r="AE19" s="3611"/>
      <c r="AF19" s="3611"/>
      <c r="AG19" s="3612"/>
      <c r="AH19" s="26"/>
      <c r="AI19" s="26"/>
    </row>
    <row r="20" spans="1:35" ht="18" customHeight="1">
      <c r="A20" s="5244">
        <v>8500</v>
      </c>
      <c r="B20" s="5245" t="s">
        <v>37</v>
      </c>
      <c r="C20" s="4177"/>
      <c r="D20" s="4177"/>
      <c r="E20" s="3598">
        <v>4</v>
      </c>
      <c r="F20" s="3598" t="s">
        <v>31</v>
      </c>
      <c r="G20" s="3598" t="s">
        <v>31</v>
      </c>
      <c r="H20" s="3598" t="s">
        <v>31</v>
      </c>
      <c r="I20" s="3598">
        <v>4</v>
      </c>
      <c r="J20" s="3598" t="s">
        <v>36</v>
      </c>
      <c r="K20" s="3598" t="s">
        <v>36</v>
      </c>
      <c r="L20" s="3599" t="s">
        <v>35</v>
      </c>
      <c r="M20" s="3599" t="s">
        <v>35</v>
      </c>
      <c r="N20" s="3598" t="s">
        <v>35</v>
      </c>
      <c r="O20" s="3598" t="s">
        <v>35</v>
      </c>
      <c r="P20" s="3598" t="s">
        <v>35</v>
      </c>
      <c r="Q20" s="4177"/>
      <c r="R20" s="4177"/>
      <c r="S20" s="4340" t="s">
        <v>31</v>
      </c>
      <c r="T20" s="4340" t="s">
        <v>31</v>
      </c>
      <c r="U20" s="4340" t="s">
        <v>31</v>
      </c>
      <c r="V20" s="4340" t="s">
        <v>31</v>
      </c>
      <c r="W20" s="4340" t="s">
        <v>31</v>
      </c>
      <c r="X20" s="4340"/>
      <c r="Y20" s="4340"/>
      <c r="Z20" s="4340" t="s">
        <v>31</v>
      </c>
      <c r="AA20" s="4340" t="s">
        <v>31</v>
      </c>
      <c r="AB20" s="4340" t="s">
        <v>31</v>
      </c>
      <c r="AC20" s="4340" t="s">
        <v>31</v>
      </c>
      <c r="AD20" s="4340" t="s">
        <v>31</v>
      </c>
      <c r="AE20" s="4340"/>
      <c r="AF20" s="4340"/>
      <c r="AG20" s="5246"/>
      <c r="AH20" s="25"/>
      <c r="AI20" s="25"/>
    </row>
    <row r="21" spans="1:35" ht="18" customHeight="1">
      <c r="A21" s="3253">
        <v>8500</v>
      </c>
      <c r="B21" s="3254" t="s">
        <v>42</v>
      </c>
      <c r="C21" s="3255"/>
      <c r="D21" s="3255"/>
      <c r="E21" s="3255" t="s">
        <v>31</v>
      </c>
      <c r="F21" s="3255" t="s">
        <v>31</v>
      </c>
      <c r="G21" s="3255" t="s">
        <v>31</v>
      </c>
      <c r="H21" s="3598" t="s">
        <v>31</v>
      </c>
      <c r="I21" s="3256" t="s">
        <v>31</v>
      </c>
      <c r="J21" s="3255"/>
      <c r="K21" s="3255"/>
      <c r="L21" s="3257" t="s">
        <v>31</v>
      </c>
      <c r="M21" s="3255">
        <v>1</v>
      </c>
      <c r="N21" s="3256">
        <v>1</v>
      </c>
      <c r="O21" s="3255">
        <v>1</v>
      </c>
      <c r="P21" s="3255" t="s">
        <v>31</v>
      </c>
      <c r="Q21" s="3255"/>
      <c r="R21" s="3255"/>
      <c r="S21" s="263" t="s">
        <v>31</v>
      </c>
      <c r="T21" s="3244" t="s">
        <v>31</v>
      </c>
      <c r="U21" s="3244" t="s">
        <v>31</v>
      </c>
      <c r="V21" s="3258" t="s">
        <v>31</v>
      </c>
      <c r="W21" s="3255" t="s">
        <v>118</v>
      </c>
      <c r="X21" s="3255"/>
      <c r="Y21" s="3255"/>
      <c r="Z21" s="3255" t="s">
        <v>31</v>
      </c>
      <c r="AA21" s="3255" t="s">
        <v>31</v>
      </c>
      <c r="AB21" s="3255" t="s">
        <v>31</v>
      </c>
      <c r="AC21" s="3255" t="s">
        <v>31</v>
      </c>
      <c r="AD21" s="3258" t="s">
        <v>31</v>
      </c>
      <c r="AE21" s="3256"/>
      <c r="AF21" s="3256"/>
      <c r="AG21" s="5247"/>
      <c r="AH21" s="25"/>
      <c r="AI21" s="25"/>
    </row>
    <row r="22" spans="1:35" ht="18" customHeight="1">
      <c r="A22" s="3253">
        <v>8500</v>
      </c>
      <c r="B22" s="5248" t="s">
        <v>43</v>
      </c>
      <c r="C22" s="3255"/>
      <c r="D22" s="3255" t="s">
        <v>45</v>
      </c>
      <c r="E22" s="3255" t="s">
        <v>201</v>
      </c>
      <c r="F22" s="3256" t="s">
        <v>31</v>
      </c>
      <c r="G22" s="3598" t="s">
        <v>31</v>
      </c>
      <c r="H22" s="3598" t="s">
        <v>35</v>
      </c>
      <c r="I22" s="3255" t="s">
        <v>35</v>
      </c>
      <c r="J22" s="3596" t="s">
        <v>34</v>
      </c>
      <c r="K22" s="3597" t="s">
        <v>34</v>
      </c>
      <c r="L22" s="3255" t="s">
        <v>35</v>
      </c>
      <c r="M22" s="3255" t="s">
        <v>250</v>
      </c>
      <c r="N22" s="3255" t="s">
        <v>250</v>
      </c>
      <c r="O22" s="3255" t="s">
        <v>250</v>
      </c>
      <c r="P22" s="3255" t="s">
        <v>250</v>
      </c>
      <c r="Q22" s="3244"/>
      <c r="R22" s="3244"/>
      <c r="S22" s="3255" t="s">
        <v>123</v>
      </c>
      <c r="T22" s="3255" t="s">
        <v>123</v>
      </c>
      <c r="U22" s="3244">
        <v>69</v>
      </c>
      <c r="V22" s="3244">
        <v>69</v>
      </c>
      <c r="W22" s="3244" t="s">
        <v>47</v>
      </c>
      <c r="X22" s="3244"/>
      <c r="Y22" s="3244"/>
      <c r="Z22" s="3255" t="s">
        <v>123</v>
      </c>
      <c r="AA22" s="3255" t="s">
        <v>123</v>
      </c>
      <c r="AB22" s="3255" t="s">
        <v>123</v>
      </c>
      <c r="AC22" s="3255" t="s">
        <v>123</v>
      </c>
      <c r="AD22" s="3255" t="s">
        <v>123</v>
      </c>
      <c r="AE22" s="3255"/>
      <c r="AF22" s="3256"/>
      <c r="AG22" s="5247"/>
      <c r="AH22" s="25"/>
      <c r="AI22" s="25"/>
    </row>
    <row r="23" spans="1:35" ht="18" customHeight="1">
      <c r="A23" s="3253"/>
      <c r="B23" s="5249" t="s">
        <v>353</v>
      </c>
      <c r="C23" s="3256"/>
      <c r="D23" s="3257"/>
      <c r="E23" s="3255" t="s">
        <v>31</v>
      </c>
      <c r="F23" s="3255" t="s">
        <v>31</v>
      </c>
      <c r="G23" s="3255" t="s">
        <v>31</v>
      </c>
      <c r="H23" s="3255" t="s">
        <v>31</v>
      </c>
      <c r="I23" s="3256" t="s">
        <v>31</v>
      </c>
      <c r="J23" s="3256"/>
      <c r="K23" s="3256"/>
      <c r="L23" s="3256" t="s">
        <v>31</v>
      </c>
      <c r="M23" s="3256" t="s">
        <v>31</v>
      </c>
      <c r="N23" s="3256" t="s">
        <v>31</v>
      </c>
      <c r="O23" s="5250" t="s">
        <v>31</v>
      </c>
      <c r="P23" s="5251" t="s">
        <v>31</v>
      </c>
      <c r="Q23" s="3256"/>
      <c r="R23" s="5252"/>
      <c r="S23" s="5252" t="s">
        <v>31</v>
      </c>
      <c r="T23" s="3256" t="s">
        <v>31</v>
      </c>
      <c r="U23" s="3256" t="s">
        <v>31</v>
      </c>
      <c r="V23" s="3256" t="s">
        <v>31</v>
      </c>
      <c r="W23" s="3256" t="s">
        <v>31</v>
      </c>
      <c r="X23" s="3256"/>
      <c r="Y23" s="3256"/>
      <c r="Z23" s="5253" t="s">
        <v>31</v>
      </c>
      <c r="AA23" s="5253" t="s">
        <v>31</v>
      </c>
      <c r="AB23" s="5253" t="s">
        <v>31</v>
      </c>
      <c r="AC23" s="5254" t="s">
        <v>31</v>
      </c>
      <c r="AD23" s="5254" t="s">
        <v>31</v>
      </c>
      <c r="AE23" s="3244"/>
      <c r="AF23" s="3244"/>
      <c r="AG23" s="5247"/>
    </row>
    <row r="24" spans="1:35" ht="18" customHeight="1" thickBot="1">
      <c r="A24" s="416"/>
      <c r="B24" s="417"/>
      <c r="C24" s="418"/>
      <c r="D24" s="418"/>
      <c r="E24" s="418"/>
      <c r="F24" s="418"/>
      <c r="G24" s="418" t="s">
        <v>0</v>
      </c>
      <c r="H24" s="418"/>
      <c r="I24" s="418"/>
      <c r="J24" s="418"/>
      <c r="K24" s="418"/>
      <c r="L24" s="418" t="s">
        <v>0</v>
      </c>
      <c r="M24" s="418"/>
      <c r="N24" s="418" t="s">
        <v>0</v>
      </c>
      <c r="O24" s="418" t="s">
        <v>0</v>
      </c>
      <c r="P24" s="418"/>
      <c r="Q24" s="418"/>
      <c r="R24" s="418"/>
      <c r="S24" s="418"/>
      <c r="T24" s="418"/>
      <c r="U24" s="418" t="s">
        <v>0</v>
      </c>
      <c r="V24" s="418"/>
      <c r="W24" s="418" t="s">
        <v>0</v>
      </c>
      <c r="X24" s="418"/>
      <c r="Y24" s="418"/>
      <c r="Z24" s="418"/>
      <c r="AA24" s="418"/>
      <c r="AB24" s="418"/>
      <c r="AC24" s="418"/>
      <c r="AD24" s="418"/>
      <c r="AE24" s="418"/>
      <c r="AF24" s="418"/>
      <c r="AG24" s="28"/>
    </row>
    <row r="25" spans="1:35" ht="18" customHeight="1">
      <c r="A25" s="29"/>
    </row>
    <row r="26" spans="1:35" ht="18" customHeight="1">
      <c r="A26" s="29"/>
    </row>
    <row r="27" spans="1:35" ht="18" customHeight="1">
      <c r="A27" s="29"/>
    </row>
    <row r="28" spans="1:35" ht="18" customHeight="1">
      <c r="A28" s="29"/>
    </row>
    <row r="29" spans="1:35" ht="18" customHeight="1">
      <c r="A29" s="29"/>
    </row>
    <row r="30" spans="1:35" ht="18" customHeight="1" thickBot="1">
      <c r="A30" s="14" t="s">
        <v>49</v>
      </c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</row>
    <row r="31" spans="1:35" ht="18" customHeight="1">
      <c r="A31" s="3630" t="s">
        <v>50</v>
      </c>
      <c r="B31" s="3631"/>
      <c r="C31" s="3631"/>
      <c r="D31" s="3632" t="s">
        <v>51</v>
      </c>
      <c r="E31" s="3633"/>
      <c r="F31" s="3633"/>
      <c r="G31" s="3633"/>
      <c r="H31" s="3633"/>
      <c r="I31" s="3633"/>
      <c r="J31" s="3633"/>
      <c r="K31" s="3633"/>
      <c r="L31" s="3633"/>
      <c r="M31" s="3634" t="s">
        <v>52</v>
      </c>
      <c r="N31" s="3633"/>
      <c r="O31" s="3633"/>
      <c r="P31" s="3633"/>
      <c r="Q31" s="3633"/>
      <c r="R31" s="3633"/>
      <c r="S31" s="3635"/>
      <c r="T31" s="3636" t="s">
        <v>53</v>
      </c>
      <c r="U31" s="3637"/>
      <c r="V31" s="3637"/>
      <c r="W31" s="3637"/>
      <c r="X31" s="3637"/>
      <c r="Y31" s="3637"/>
      <c r="Z31" s="3638"/>
      <c r="AA31" s="3639" t="s">
        <v>54</v>
      </c>
      <c r="AB31" s="3640"/>
      <c r="AC31" s="3640"/>
      <c r="AD31" s="3640"/>
      <c r="AE31" s="3640"/>
      <c r="AF31" s="3640"/>
      <c r="AG31" s="3641"/>
    </row>
    <row r="32" spans="1:35" ht="18" customHeight="1">
      <c r="A32" s="2958" t="s">
        <v>55</v>
      </c>
      <c r="B32" s="3580"/>
      <c r="C32" s="3580"/>
      <c r="D32" s="2959" t="s">
        <v>56</v>
      </c>
      <c r="E32" s="2960"/>
      <c r="F32" s="3568"/>
      <c r="G32" s="3568"/>
      <c r="H32" s="3568"/>
      <c r="I32" s="3568"/>
      <c r="J32" s="3568"/>
      <c r="K32" s="3568"/>
      <c r="L32" s="3576"/>
      <c r="M32" s="2961" t="s">
        <v>57</v>
      </c>
      <c r="N32" s="3580"/>
      <c r="O32" s="2962"/>
      <c r="P32" s="3580"/>
      <c r="Q32" s="3580"/>
      <c r="R32" s="3580"/>
      <c r="S32" s="2963"/>
      <c r="T32" s="2959" t="s">
        <v>58</v>
      </c>
      <c r="U32" s="3568"/>
      <c r="V32" s="2960"/>
      <c r="W32" s="3568"/>
      <c r="X32" s="3568"/>
      <c r="Y32" s="3568"/>
      <c r="Z32" s="3576"/>
      <c r="AA32" s="31" t="s">
        <v>59</v>
      </c>
      <c r="AD32" s="20"/>
      <c r="AG32" s="32"/>
    </row>
    <row r="33" spans="1:35" ht="18" customHeight="1">
      <c r="A33" s="3266" t="s">
        <v>60</v>
      </c>
      <c r="B33" s="3568"/>
      <c r="C33" s="3568"/>
      <c r="D33" s="2965"/>
      <c r="E33" s="3568"/>
      <c r="F33" s="3568"/>
      <c r="G33" s="3576"/>
      <c r="H33" s="3582" t="s">
        <v>61</v>
      </c>
      <c r="I33" s="3568"/>
      <c r="J33" s="3568"/>
      <c r="K33" s="3568"/>
      <c r="L33" s="3568"/>
      <c r="M33" s="2966"/>
      <c r="N33" s="3568"/>
      <c r="O33" s="3568"/>
      <c r="P33" s="3568"/>
      <c r="Q33" s="3568"/>
      <c r="R33" s="3568"/>
      <c r="S33" s="3568"/>
      <c r="T33" s="2965"/>
      <c r="U33" s="14" t="s">
        <v>62</v>
      </c>
      <c r="AA33" s="2962"/>
      <c r="AB33" s="3580"/>
      <c r="AC33" s="3580"/>
      <c r="AD33" s="3580"/>
      <c r="AE33" s="3580"/>
      <c r="AF33" s="3580"/>
      <c r="AG33" s="2967"/>
    </row>
    <row r="34" spans="1:35" ht="18" customHeight="1" thickBot="1">
      <c r="A34" s="3267" t="s">
        <v>63</v>
      </c>
      <c r="B34" s="3268"/>
      <c r="C34" s="3268"/>
      <c r="D34" s="3269"/>
      <c r="E34" s="3268"/>
      <c r="F34" s="3268"/>
      <c r="G34" s="3270"/>
      <c r="H34" s="3271" t="s">
        <v>64</v>
      </c>
      <c r="I34" s="3270"/>
      <c r="J34" s="3268"/>
      <c r="K34" s="3268"/>
      <c r="L34" s="3268"/>
      <c r="M34" s="3272"/>
      <c r="N34" s="3268"/>
      <c r="O34" s="3268"/>
      <c r="P34" s="3268"/>
      <c r="Q34" s="3273"/>
      <c r="R34" s="3273"/>
      <c r="S34" s="3273"/>
      <c r="T34" s="3269"/>
      <c r="U34" s="3274" t="s">
        <v>65</v>
      </c>
      <c r="V34" s="3268"/>
      <c r="W34" s="3268"/>
      <c r="X34" s="3268"/>
      <c r="Y34" s="3268"/>
      <c r="Z34" s="3268"/>
      <c r="AA34" s="3268"/>
      <c r="AB34" s="3268"/>
      <c r="AC34" s="3268"/>
      <c r="AD34" s="3268"/>
      <c r="AE34" s="3268"/>
      <c r="AF34" s="3268"/>
      <c r="AG34" s="3275"/>
    </row>
    <row r="35" spans="1:35" ht="18" customHeight="1">
      <c r="B35" s="33" t="s">
        <v>27</v>
      </c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"/>
    </row>
    <row r="36" spans="1:35" ht="18" customHeight="1" thickBot="1">
      <c r="A36" s="2977" t="s">
        <v>28</v>
      </c>
      <c r="B36" s="2978" t="s">
        <v>29</v>
      </c>
      <c r="C36" s="3410">
        <v>1</v>
      </c>
      <c r="D36" s="3410">
        <v>2</v>
      </c>
      <c r="E36" s="3411">
        <v>3</v>
      </c>
      <c r="F36" s="3411">
        <v>4</v>
      </c>
      <c r="G36" s="3410">
        <v>5</v>
      </c>
      <c r="H36" s="3411">
        <v>6</v>
      </c>
      <c r="I36" s="3411">
        <v>7</v>
      </c>
      <c r="J36" s="3410">
        <v>8</v>
      </c>
      <c r="K36" s="3410">
        <v>9</v>
      </c>
      <c r="L36" s="3410">
        <v>10</v>
      </c>
      <c r="M36" s="3411">
        <v>11</v>
      </c>
      <c r="N36" s="3411">
        <v>12</v>
      </c>
      <c r="O36" s="3411">
        <v>13</v>
      </c>
      <c r="P36" s="3411">
        <v>14</v>
      </c>
      <c r="Q36" s="3410">
        <v>15</v>
      </c>
      <c r="R36" s="3410">
        <v>16</v>
      </c>
      <c r="S36" s="3411">
        <v>17</v>
      </c>
      <c r="T36" s="3411">
        <v>18</v>
      </c>
      <c r="U36" s="3411">
        <v>19</v>
      </c>
      <c r="V36" s="3411">
        <v>20</v>
      </c>
      <c r="W36" s="3411">
        <v>21</v>
      </c>
      <c r="X36" s="3410">
        <v>22</v>
      </c>
      <c r="Y36" s="3410">
        <v>23</v>
      </c>
      <c r="Z36" s="3411">
        <v>24</v>
      </c>
      <c r="AA36" s="3411">
        <v>25</v>
      </c>
      <c r="AB36" s="3411">
        <v>26</v>
      </c>
      <c r="AC36" s="3411">
        <v>27</v>
      </c>
      <c r="AD36" s="3411">
        <v>28</v>
      </c>
      <c r="AE36" s="3410">
        <v>29</v>
      </c>
      <c r="AF36" s="3410">
        <v>30</v>
      </c>
      <c r="AG36" s="3585"/>
      <c r="AH36" s="23"/>
      <c r="AI36" s="24"/>
    </row>
    <row r="37" spans="1:35" ht="18" customHeight="1">
      <c r="A37" s="4105">
        <v>1</v>
      </c>
      <c r="B37" s="4081" t="s">
        <v>66</v>
      </c>
      <c r="C37" s="4106"/>
      <c r="D37" s="4880"/>
      <c r="E37" s="4106" t="s">
        <v>35</v>
      </c>
      <c r="F37" s="4106" t="s">
        <v>35</v>
      </c>
      <c r="G37" s="4106" t="s">
        <v>35</v>
      </c>
      <c r="H37" s="3294"/>
      <c r="I37" s="4106" t="s">
        <v>35</v>
      </c>
      <c r="J37" s="4880"/>
      <c r="K37" s="4106"/>
      <c r="L37" s="4106">
        <v>1</v>
      </c>
      <c r="M37" s="4106">
        <v>1</v>
      </c>
      <c r="N37" s="4106">
        <v>1</v>
      </c>
      <c r="O37" s="5255">
        <v>1</v>
      </c>
      <c r="P37" s="5255">
        <v>1</v>
      </c>
      <c r="Q37" s="5255"/>
      <c r="R37" s="5255"/>
      <c r="S37" s="5255">
        <v>9</v>
      </c>
      <c r="T37" s="5255">
        <v>9</v>
      </c>
      <c r="U37" s="5255">
        <v>9</v>
      </c>
      <c r="V37" s="5255">
        <v>9</v>
      </c>
      <c r="W37" s="5255">
        <v>9</v>
      </c>
      <c r="X37" s="5255" t="s">
        <v>70</v>
      </c>
      <c r="Y37" s="5255" t="s">
        <v>72</v>
      </c>
      <c r="Z37" s="5255" t="s">
        <v>351</v>
      </c>
      <c r="AA37" s="4106" t="s">
        <v>35</v>
      </c>
      <c r="AB37" s="4108" t="s">
        <v>35</v>
      </c>
      <c r="AC37" s="4108" t="s">
        <v>35</v>
      </c>
      <c r="AD37" s="4108" t="s">
        <v>35</v>
      </c>
      <c r="AE37" s="4106" t="s">
        <v>75</v>
      </c>
      <c r="AF37" s="4106" t="s">
        <v>69</v>
      </c>
      <c r="AG37" s="4111"/>
      <c r="AH37" s="34"/>
      <c r="AI37" s="25"/>
    </row>
    <row r="38" spans="1:35" ht="18" customHeight="1">
      <c r="A38" s="3276">
        <v>6</v>
      </c>
      <c r="B38" s="3277" t="s">
        <v>355</v>
      </c>
      <c r="C38" s="2981"/>
      <c r="D38" s="2981"/>
      <c r="E38" s="2981" t="s">
        <v>35</v>
      </c>
      <c r="F38" s="2981" t="s">
        <v>35</v>
      </c>
      <c r="G38" s="2981" t="s">
        <v>35</v>
      </c>
      <c r="H38" s="2981" t="s">
        <v>35</v>
      </c>
      <c r="I38" s="2981" t="s">
        <v>35</v>
      </c>
      <c r="J38" s="2981"/>
      <c r="K38" s="2981"/>
      <c r="L38" s="2981"/>
      <c r="M38" s="2933">
        <v>5</v>
      </c>
      <c r="N38" s="2933">
        <v>5</v>
      </c>
      <c r="O38" s="2933">
        <v>5</v>
      </c>
      <c r="P38" s="2933" t="s">
        <v>400</v>
      </c>
      <c r="Q38" s="2981"/>
      <c r="R38" s="2981"/>
      <c r="S38" s="2981">
        <v>10</v>
      </c>
      <c r="T38" s="2981">
        <v>10</v>
      </c>
      <c r="U38" s="2981">
        <v>10</v>
      </c>
      <c r="V38" s="2981">
        <v>10</v>
      </c>
      <c r="W38" s="2981">
        <v>10</v>
      </c>
      <c r="X38" s="2981" t="s">
        <v>72</v>
      </c>
      <c r="Y38" s="2981" t="s">
        <v>72</v>
      </c>
      <c r="Z38" s="2981" t="s">
        <v>35</v>
      </c>
      <c r="AA38" s="2981" t="s">
        <v>35</v>
      </c>
      <c r="AB38" s="2981" t="s">
        <v>35</v>
      </c>
      <c r="AC38" s="2981" t="s">
        <v>35</v>
      </c>
      <c r="AD38" s="2981" t="s">
        <v>35</v>
      </c>
      <c r="AE38" s="2981" t="s">
        <v>67</v>
      </c>
      <c r="AF38" s="2981" t="s">
        <v>67</v>
      </c>
      <c r="AG38" s="2983"/>
      <c r="AH38" s="34"/>
      <c r="AI38" s="25"/>
    </row>
    <row r="39" spans="1:35" ht="18" customHeight="1" thickBot="1">
      <c r="A39" s="3278">
        <v>11</v>
      </c>
      <c r="B39" s="3279" t="s">
        <v>71</v>
      </c>
      <c r="C39" s="3411"/>
      <c r="D39" s="3228"/>
      <c r="E39" s="3228">
        <v>4</v>
      </c>
      <c r="F39" s="3228">
        <v>4</v>
      </c>
      <c r="G39" s="3228">
        <v>4</v>
      </c>
      <c r="H39" s="3228">
        <v>4</v>
      </c>
      <c r="I39" s="3228">
        <v>4</v>
      </c>
      <c r="J39" s="3228"/>
      <c r="K39" s="3228"/>
      <c r="L39" s="3228">
        <v>3</v>
      </c>
      <c r="M39" s="3228">
        <v>3</v>
      </c>
      <c r="N39" s="3228">
        <v>3</v>
      </c>
      <c r="O39" s="3411">
        <v>3</v>
      </c>
      <c r="P39" s="3228">
        <v>3</v>
      </c>
      <c r="Q39" s="3411"/>
      <c r="R39" s="3411"/>
      <c r="S39" s="3228">
        <v>11</v>
      </c>
      <c r="T39" s="3228">
        <v>11</v>
      </c>
      <c r="U39" s="3228">
        <v>11</v>
      </c>
      <c r="V39" s="3228">
        <v>11</v>
      </c>
      <c r="W39" s="3228">
        <v>11</v>
      </c>
      <c r="X39" s="3411" t="s">
        <v>68</v>
      </c>
      <c r="Y39" s="3228" t="s">
        <v>68</v>
      </c>
      <c r="Z39" s="3228" t="s">
        <v>35</v>
      </c>
      <c r="AA39" s="3228" t="s">
        <v>35</v>
      </c>
      <c r="AB39" s="3281" t="s">
        <v>35</v>
      </c>
      <c r="AC39" s="3281" t="s">
        <v>35</v>
      </c>
      <c r="AD39" s="3281" t="s">
        <v>35</v>
      </c>
      <c r="AE39" s="3228" t="s">
        <v>69</v>
      </c>
      <c r="AF39" s="3228" t="s">
        <v>69</v>
      </c>
      <c r="AG39" s="3282"/>
      <c r="AH39" s="34"/>
      <c r="AI39" s="25"/>
    </row>
    <row r="40" spans="1:35" ht="18" customHeight="1">
      <c r="A40" s="4105">
        <v>2</v>
      </c>
      <c r="B40" s="35" t="s">
        <v>73</v>
      </c>
      <c r="C40" s="4880"/>
      <c r="D40" s="4880"/>
      <c r="E40" s="5256">
        <v>1</v>
      </c>
      <c r="F40" s="5256" t="s">
        <v>398</v>
      </c>
      <c r="G40" s="4880">
        <v>1</v>
      </c>
      <c r="H40" s="4106">
        <v>1</v>
      </c>
      <c r="I40" s="4106">
        <v>1</v>
      </c>
      <c r="J40" s="4880"/>
      <c r="K40" s="4880"/>
      <c r="L40" s="4106">
        <v>9</v>
      </c>
      <c r="M40" s="4106">
        <v>9</v>
      </c>
      <c r="N40" s="4106">
        <v>9</v>
      </c>
      <c r="O40" s="4108">
        <v>9</v>
      </c>
      <c r="P40" s="4106">
        <v>9</v>
      </c>
      <c r="Q40" s="4108" t="s">
        <v>70</v>
      </c>
      <c r="R40" s="4108" t="s">
        <v>72</v>
      </c>
      <c r="S40" s="4880" t="s">
        <v>35</v>
      </c>
      <c r="T40" s="4880" t="s">
        <v>35</v>
      </c>
      <c r="U40" s="4108" t="s">
        <v>35</v>
      </c>
      <c r="V40" s="4108" t="s">
        <v>35</v>
      </c>
      <c r="W40" s="4108" t="s">
        <v>35</v>
      </c>
      <c r="X40" s="4106" t="s">
        <v>75</v>
      </c>
      <c r="Y40" s="4106" t="s">
        <v>69</v>
      </c>
      <c r="Z40" s="4106">
        <v>6</v>
      </c>
      <c r="AA40" s="4106">
        <v>6</v>
      </c>
      <c r="AB40" s="4106">
        <v>6</v>
      </c>
      <c r="AC40" s="4108">
        <v>6</v>
      </c>
      <c r="AD40" s="4108">
        <v>6</v>
      </c>
      <c r="AE40" s="4106"/>
      <c r="AF40" s="4106"/>
      <c r="AG40" s="4111"/>
      <c r="AH40" s="34"/>
      <c r="AI40" s="25"/>
    </row>
    <row r="41" spans="1:35" ht="18" customHeight="1">
      <c r="A41" s="3276">
        <v>7</v>
      </c>
      <c r="B41" s="3606" t="s">
        <v>74</v>
      </c>
      <c r="C41" s="2990"/>
      <c r="D41" s="2840"/>
      <c r="E41" s="2990">
        <v>5</v>
      </c>
      <c r="F41" s="2990">
        <v>5</v>
      </c>
      <c r="G41" s="2990"/>
      <c r="H41" s="2990">
        <v>5</v>
      </c>
      <c r="I41" s="2990">
        <v>5</v>
      </c>
      <c r="J41" s="2840"/>
      <c r="K41" s="2991"/>
      <c r="L41" s="2991">
        <v>10</v>
      </c>
      <c r="M41" s="2991">
        <v>10</v>
      </c>
      <c r="N41" s="2990">
        <v>10</v>
      </c>
      <c r="O41" s="2990">
        <v>10</v>
      </c>
      <c r="P41" s="2990">
        <v>10</v>
      </c>
      <c r="Q41" s="2840" t="s">
        <v>72</v>
      </c>
      <c r="R41" s="2990" t="s">
        <v>72</v>
      </c>
      <c r="S41" s="2990" t="s">
        <v>35</v>
      </c>
      <c r="T41" s="2990" t="s">
        <v>35</v>
      </c>
      <c r="U41" s="2990" t="s">
        <v>35</v>
      </c>
      <c r="V41" s="2990" t="s">
        <v>35</v>
      </c>
      <c r="W41" s="2990" t="s">
        <v>35</v>
      </c>
      <c r="X41" s="2990" t="s">
        <v>67</v>
      </c>
      <c r="Y41" s="2990" t="s">
        <v>67</v>
      </c>
      <c r="Z41" s="2990">
        <v>7</v>
      </c>
      <c r="AA41" s="2990">
        <v>7</v>
      </c>
      <c r="AB41" s="2990">
        <v>7</v>
      </c>
      <c r="AC41" s="2990">
        <v>7</v>
      </c>
      <c r="AD41" s="2990">
        <v>7</v>
      </c>
      <c r="AE41" s="2990"/>
      <c r="AF41" s="2990"/>
      <c r="AG41" s="2993"/>
      <c r="AH41" s="34"/>
      <c r="AI41" s="25"/>
    </row>
    <row r="42" spans="1:35" ht="18" customHeight="1" thickBot="1">
      <c r="A42" s="3278">
        <v>12</v>
      </c>
      <c r="B42" s="3283" t="s">
        <v>76</v>
      </c>
      <c r="C42" s="3228"/>
      <c r="D42" s="3281"/>
      <c r="E42" s="3228">
        <v>3</v>
      </c>
      <c r="F42" s="3228">
        <v>3</v>
      </c>
      <c r="G42" s="3228">
        <v>3</v>
      </c>
      <c r="H42" s="3228">
        <v>3</v>
      </c>
      <c r="I42" s="3228">
        <v>3</v>
      </c>
      <c r="J42" s="3228"/>
      <c r="K42" s="3411"/>
      <c r="L42" s="3228">
        <v>11</v>
      </c>
      <c r="M42" s="3228">
        <v>11</v>
      </c>
      <c r="N42" s="3228">
        <v>11</v>
      </c>
      <c r="O42" s="3228">
        <v>11</v>
      </c>
      <c r="P42" s="3228">
        <v>11</v>
      </c>
      <c r="Q42" s="3411" t="s">
        <v>68</v>
      </c>
      <c r="R42" s="3228" t="s">
        <v>68</v>
      </c>
      <c r="S42" s="3228" t="s">
        <v>35</v>
      </c>
      <c r="T42" s="3228" t="s">
        <v>35</v>
      </c>
      <c r="U42" s="3281" t="s">
        <v>35</v>
      </c>
      <c r="V42" s="3281" t="s">
        <v>35</v>
      </c>
      <c r="W42" s="3281" t="s">
        <v>35</v>
      </c>
      <c r="X42" s="3228" t="s">
        <v>69</v>
      </c>
      <c r="Y42" s="3228" t="s">
        <v>69</v>
      </c>
      <c r="Z42" s="3228">
        <v>8</v>
      </c>
      <c r="AA42" s="3228">
        <v>8</v>
      </c>
      <c r="AB42" s="3228">
        <v>8</v>
      </c>
      <c r="AC42" s="3411">
        <v>8</v>
      </c>
      <c r="AD42" s="3411">
        <v>8</v>
      </c>
      <c r="AE42" s="3411"/>
      <c r="AF42" s="3411"/>
      <c r="AG42" s="3585"/>
      <c r="AH42" s="34"/>
      <c r="AI42" s="25"/>
    </row>
    <row r="43" spans="1:35" ht="18" customHeight="1">
      <c r="A43" s="4105">
        <v>3</v>
      </c>
      <c r="B43" s="4129" t="s">
        <v>77</v>
      </c>
      <c r="C43" s="4879"/>
      <c r="D43" s="4879"/>
      <c r="E43" s="4879">
        <v>9</v>
      </c>
      <c r="F43" s="4879">
        <v>9</v>
      </c>
      <c r="G43" s="4879">
        <v>9</v>
      </c>
      <c r="H43" s="4879">
        <v>9</v>
      </c>
      <c r="I43" s="4879">
        <v>9</v>
      </c>
      <c r="J43" s="4879" t="s">
        <v>70</v>
      </c>
      <c r="K43" s="4879" t="s">
        <v>72</v>
      </c>
      <c r="L43" s="4879" t="s">
        <v>35</v>
      </c>
      <c r="M43" s="4879" t="s">
        <v>35</v>
      </c>
      <c r="N43" s="4879" t="s">
        <v>35</v>
      </c>
      <c r="O43" s="4879" t="s">
        <v>35</v>
      </c>
      <c r="P43" s="4879" t="s">
        <v>35</v>
      </c>
      <c r="Q43" s="4879" t="s">
        <v>75</v>
      </c>
      <c r="R43" s="4879" t="s">
        <v>69</v>
      </c>
      <c r="S43" s="4106">
        <v>6</v>
      </c>
      <c r="T43" s="4106">
        <v>6</v>
      </c>
      <c r="U43" s="4106">
        <v>6</v>
      </c>
      <c r="V43" s="4108">
        <v>6</v>
      </c>
      <c r="W43" s="4108">
        <v>6</v>
      </c>
      <c r="X43" s="4880"/>
      <c r="Y43" s="4106"/>
      <c r="Z43" s="4106" t="s">
        <v>35</v>
      </c>
      <c r="AA43" s="4106" t="s">
        <v>35</v>
      </c>
      <c r="AB43" s="4106" t="s">
        <v>35</v>
      </c>
      <c r="AC43" s="4130" t="s">
        <v>35</v>
      </c>
      <c r="AD43" s="4106" t="s">
        <v>35</v>
      </c>
      <c r="AE43" s="4106"/>
      <c r="AF43" s="4106"/>
      <c r="AG43" s="4111"/>
      <c r="AH43" s="34"/>
      <c r="AI43" s="25"/>
    </row>
    <row r="44" spans="1:35" ht="18" customHeight="1">
      <c r="A44" s="3276">
        <v>8</v>
      </c>
      <c r="B44" s="3606" t="s">
        <v>358</v>
      </c>
      <c r="C44" s="3597"/>
      <c r="D44" s="3597"/>
      <c r="E44" s="3597">
        <v>10</v>
      </c>
      <c r="F44" s="3597">
        <v>10</v>
      </c>
      <c r="G44" s="3597">
        <v>10</v>
      </c>
      <c r="H44" s="3597">
        <v>10</v>
      </c>
      <c r="I44" s="2990">
        <v>10</v>
      </c>
      <c r="J44" s="5241" t="s">
        <v>72</v>
      </c>
      <c r="K44" s="5241" t="s">
        <v>72</v>
      </c>
      <c r="L44" s="2981" t="s">
        <v>35</v>
      </c>
      <c r="M44" s="2981" t="s">
        <v>35</v>
      </c>
      <c r="N44" s="3597" t="s">
        <v>35</v>
      </c>
      <c r="O44" s="2990" t="s">
        <v>35</v>
      </c>
      <c r="P44" s="2990" t="s">
        <v>35</v>
      </c>
      <c r="Q44" s="2990" t="s">
        <v>67</v>
      </c>
      <c r="R44" s="2990" t="s">
        <v>67</v>
      </c>
      <c r="S44" s="2990">
        <v>7</v>
      </c>
      <c r="T44" s="2990">
        <v>7</v>
      </c>
      <c r="U44" s="2990">
        <v>7</v>
      </c>
      <c r="V44" s="2990">
        <v>7</v>
      </c>
      <c r="W44" s="2990">
        <v>7</v>
      </c>
      <c r="X44" s="2840"/>
      <c r="Y44" s="2990"/>
      <c r="Z44" s="2990">
        <v>4</v>
      </c>
      <c r="AA44" s="2990">
        <v>4</v>
      </c>
      <c r="AB44" s="2990">
        <v>4</v>
      </c>
      <c r="AC44" s="2990">
        <v>4</v>
      </c>
      <c r="AD44" s="2990">
        <v>4</v>
      </c>
      <c r="AE44" s="2990"/>
      <c r="AF44" s="2990"/>
      <c r="AG44" s="2993"/>
      <c r="AH44" s="34"/>
      <c r="AI44" s="25"/>
    </row>
    <row r="45" spans="1:35" ht="18" customHeight="1" thickBot="1">
      <c r="A45" s="3278">
        <v>13</v>
      </c>
      <c r="B45" s="3279" t="s">
        <v>79</v>
      </c>
      <c r="C45" s="3411"/>
      <c r="D45" s="3411"/>
      <c r="E45" s="3228">
        <v>11</v>
      </c>
      <c r="F45" s="3228">
        <v>11</v>
      </c>
      <c r="G45" s="3228">
        <v>11</v>
      </c>
      <c r="H45" s="3228">
        <v>11</v>
      </c>
      <c r="I45" s="3228">
        <v>11</v>
      </c>
      <c r="J45" s="3411" t="s">
        <v>68</v>
      </c>
      <c r="K45" s="3228" t="s">
        <v>68</v>
      </c>
      <c r="L45" s="3281" t="s">
        <v>35</v>
      </c>
      <c r="M45" s="3228" t="s">
        <v>35</v>
      </c>
      <c r="N45" s="3281" t="s">
        <v>35</v>
      </c>
      <c r="O45" s="3281" t="s">
        <v>35</v>
      </c>
      <c r="P45" s="3281" t="s">
        <v>35</v>
      </c>
      <c r="Q45" s="3228" t="s">
        <v>69</v>
      </c>
      <c r="R45" s="3228" t="s">
        <v>69</v>
      </c>
      <c r="S45" s="3228">
        <v>8</v>
      </c>
      <c r="T45" s="3228">
        <v>8</v>
      </c>
      <c r="U45" s="3228">
        <v>8</v>
      </c>
      <c r="V45" s="3228">
        <v>8</v>
      </c>
      <c r="W45" s="3228">
        <v>8</v>
      </c>
      <c r="X45" s="3228"/>
      <c r="Y45" s="3411"/>
      <c r="Z45" s="3228" t="s">
        <v>35</v>
      </c>
      <c r="AA45" s="3228" t="s">
        <v>35</v>
      </c>
      <c r="AB45" s="3228" t="s">
        <v>35</v>
      </c>
      <c r="AC45" s="3228" t="s">
        <v>35</v>
      </c>
      <c r="AD45" s="3228" t="s">
        <v>35</v>
      </c>
      <c r="AE45" s="3411"/>
      <c r="AF45" s="3228"/>
      <c r="AG45" s="3282"/>
      <c r="AH45" s="34"/>
      <c r="AI45" s="25"/>
    </row>
    <row r="46" spans="1:35" ht="18" customHeight="1">
      <c r="A46" s="4105">
        <v>4</v>
      </c>
      <c r="B46" s="4081" t="s">
        <v>80</v>
      </c>
      <c r="C46" s="4108" t="s">
        <v>70</v>
      </c>
      <c r="D46" s="4108" t="s">
        <v>72</v>
      </c>
      <c r="E46" s="4106" t="s">
        <v>35</v>
      </c>
      <c r="F46" s="4106" t="s">
        <v>35</v>
      </c>
      <c r="G46" s="4108" t="s">
        <v>35</v>
      </c>
      <c r="H46" s="4108" t="s">
        <v>35</v>
      </c>
      <c r="I46" s="4108" t="s">
        <v>35</v>
      </c>
      <c r="J46" s="4106" t="s">
        <v>75</v>
      </c>
      <c r="K46" s="4106" t="s">
        <v>69</v>
      </c>
      <c r="L46" s="4108">
        <v>6</v>
      </c>
      <c r="M46" s="5257">
        <v>6</v>
      </c>
      <c r="N46" s="5257">
        <v>6</v>
      </c>
      <c r="O46" s="5257">
        <v>6</v>
      </c>
      <c r="P46" s="5257">
        <v>6</v>
      </c>
      <c r="Q46" s="4880"/>
      <c r="R46" s="4106"/>
      <c r="S46" s="4106" t="s">
        <v>35</v>
      </c>
      <c r="T46" s="4106" t="s">
        <v>35</v>
      </c>
      <c r="U46" s="4106" t="s">
        <v>35</v>
      </c>
      <c r="V46" s="4130" t="s">
        <v>35</v>
      </c>
      <c r="W46" s="4106" t="s">
        <v>35</v>
      </c>
      <c r="X46" s="4106"/>
      <c r="Y46" s="4880"/>
      <c r="Z46" s="4106">
        <v>5</v>
      </c>
      <c r="AA46" s="4106">
        <v>5</v>
      </c>
      <c r="AB46" s="4106">
        <v>5</v>
      </c>
      <c r="AC46" s="4106">
        <v>5</v>
      </c>
      <c r="AD46" s="4106">
        <v>5</v>
      </c>
      <c r="AE46" s="4108"/>
      <c r="AF46" s="4106"/>
      <c r="AG46" s="4111"/>
      <c r="AH46" s="34"/>
      <c r="AI46" s="25"/>
    </row>
    <row r="47" spans="1:35" ht="18" customHeight="1">
      <c r="A47" s="3276">
        <v>9</v>
      </c>
      <c r="B47" s="3606" t="s">
        <v>81</v>
      </c>
      <c r="C47" s="2840" t="s">
        <v>72</v>
      </c>
      <c r="D47" s="2990" t="s">
        <v>72</v>
      </c>
      <c r="E47" s="2990" t="s">
        <v>35</v>
      </c>
      <c r="F47" s="2990" t="s">
        <v>35</v>
      </c>
      <c r="G47" s="2990" t="s">
        <v>35</v>
      </c>
      <c r="H47" s="2990" t="s">
        <v>35</v>
      </c>
      <c r="I47" s="2990" t="s">
        <v>35</v>
      </c>
      <c r="J47" s="2990" t="s">
        <v>67</v>
      </c>
      <c r="K47" s="2990" t="s">
        <v>67</v>
      </c>
      <c r="L47" s="2990">
        <v>7</v>
      </c>
      <c r="M47" s="2990">
        <v>7</v>
      </c>
      <c r="N47" s="2990">
        <v>7</v>
      </c>
      <c r="O47" s="2990">
        <v>7</v>
      </c>
      <c r="P47" s="2990">
        <v>7</v>
      </c>
      <c r="Q47" s="2840"/>
      <c r="R47" s="2990"/>
      <c r="S47" s="3600">
        <v>4</v>
      </c>
      <c r="T47" s="3600">
        <v>4</v>
      </c>
      <c r="U47" s="3600">
        <v>4</v>
      </c>
      <c r="V47" s="3600">
        <v>4</v>
      </c>
      <c r="W47" s="3600">
        <v>4</v>
      </c>
      <c r="X47" s="3600"/>
      <c r="Y47" s="3600"/>
      <c r="Z47" s="3600">
        <v>3</v>
      </c>
      <c r="AA47" s="3600">
        <v>3</v>
      </c>
      <c r="AB47" s="3600">
        <v>3</v>
      </c>
      <c r="AC47" s="3600">
        <v>3</v>
      </c>
      <c r="AD47" s="3600">
        <v>3</v>
      </c>
      <c r="AE47" s="3600"/>
      <c r="AF47" s="3600"/>
      <c r="AG47" s="2993"/>
      <c r="AH47" s="34"/>
      <c r="AI47" s="25"/>
    </row>
    <row r="48" spans="1:35" ht="18" customHeight="1" thickBot="1">
      <c r="A48" s="3278">
        <v>14</v>
      </c>
      <c r="B48" s="3279" t="s">
        <v>82</v>
      </c>
      <c r="C48" s="3411" t="s">
        <v>68</v>
      </c>
      <c r="D48" s="3228" t="s">
        <v>68</v>
      </c>
      <c r="E48" s="3228" t="s">
        <v>35</v>
      </c>
      <c r="F48" s="3228" t="s">
        <v>35</v>
      </c>
      <c r="G48" s="3281" t="s">
        <v>35</v>
      </c>
      <c r="H48" s="3294"/>
      <c r="I48" s="3281" t="s">
        <v>35</v>
      </c>
      <c r="J48" s="3228" t="s">
        <v>69</v>
      </c>
      <c r="K48" s="3228" t="s">
        <v>69</v>
      </c>
      <c r="L48" s="3228">
        <v>8</v>
      </c>
      <c r="M48" s="3228">
        <v>8</v>
      </c>
      <c r="N48" s="3228">
        <v>8</v>
      </c>
      <c r="O48" s="3411">
        <v>8</v>
      </c>
      <c r="P48" s="3228">
        <v>8</v>
      </c>
      <c r="Q48" s="3228"/>
      <c r="R48" s="3411"/>
      <c r="S48" s="3228" t="s">
        <v>35</v>
      </c>
      <c r="T48" s="3228" t="s">
        <v>35</v>
      </c>
      <c r="U48" s="3228" t="s">
        <v>35</v>
      </c>
      <c r="V48" s="3228" t="s">
        <v>35</v>
      </c>
      <c r="W48" s="3228" t="s">
        <v>35</v>
      </c>
      <c r="X48" s="3411"/>
      <c r="Y48" s="3228"/>
      <c r="Z48" s="3228">
        <v>1</v>
      </c>
      <c r="AA48" s="3228">
        <v>1</v>
      </c>
      <c r="AB48" s="3228">
        <v>1</v>
      </c>
      <c r="AC48" s="3411">
        <v>1</v>
      </c>
      <c r="AD48" s="3228">
        <v>1</v>
      </c>
      <c r="AE48" s="3228"/>
      <c r="AF48" s="3411"/>
      <c r="AG48" s="3585"/>
      <c r="AH48" s="34"/>
      <c r="AI48" s="25"/>
    </row>
    <row r="49" spans="1:35" ht="18" customHeight="1">
      <c r="A49" s="4105">
        <v>5</v>
      </c>
      <c r="B49" s="3606" t="s">
        <v>83</v>
      </c>
      <c r="C49" s="4106" t="s">
        <v>75</v>
      </c>
      <c r="D49" s="4106" t="s">
        <v>69</v>
      </c>
      <c r="E49" s="4106">
        <v>6</v>
      </c>
      <c r="F49" s="4106">
        <v>6</v>
      </c>
      <c r="G49" s="4106">
        <v>6</v>
      </c>
      <c r="H49" s="4108">
        <v>6</v>
      </c>
      <c r="I49" s="4108">
        <v>6</v>
      </c>
      <c r="J49" s="4880"/>
      <c r="K49" s="4106"/>
      <c r="L49" s="4106" t="s">
        <v>35</v>
      </c>
      <c r="M49" s="4106" t="s">
        <v>35</v>
      </c>
      <c r="N49" s="4106" t="s">
        <v>35</v>
      </c>
      <c r="O49" s="4880" t="s">
        <v>35</v>
      </c>
      <c r="P49" s="4106" t="s">
        <v>35</v>
      </c>
      <c r="Q49" s="4106"/>
      <c r="R49" s="4880"/>
      <c r="S49" s="4141">
        <v>5</v>
      </c>
      <c r="T49" s="4141">
        <v>5</v>
      </c>
      <c r="U49" s="4141">
        <v>5</v>
      </c>
      <c r="V49" s="4141">
        <v>5</v>
      </c>
      <c r="W49" s="4141">
        <v>5</v>
      </c>
      <c r="X49" s="4108"/>
      <c r="Y49" s="4108"/>
      <c r="Z49" s="4108">
        <v>10</v>
      </c>
      <c r="AA49" s="5258">
        <v>10</v>
      </c>
      <c r="AB49" s="5258">
        <v>10</v>
      </c>
      <c r="AC49" s="5258">
        <v>10</v>
      </c>
      <c r="AD49" s="5259">
        <v>10</v>
      </c>
      <c r="AE49" s="5259" t="s">
        <v>72</v>
      </c>
      <c r="AF49" s="5260" t="s">
        <v>72</v>
      </c>
      <c r="AG49" s="4142"/>
      <c r="AH49" s="34"/>
      <c r="AI49" s="25"/>
    </row>
    <row r="50" spans="1:35" ht="18" customHeight="1">
      <c r="A50" s="3276">
        <v>10</v>
      </c>
      <c r="B50" s="3606" t="s">
        <v>84</v>
      </c>
      <c r="C50" s="2990" t="s">
        <v>67</v>
      </c>
      <c r="D50" s="5241" t="s">
        <v>67</v>
      </c>
      <c r="E50" s="2990">
        <v>7</v>
      </c>
      <c r="F50" s="3597">
        <v>7</v>
      </c>
      <c r="G50" s="2981">
        <v>7</v>
      </c>
      <c r="H50" s="2981">
        <v>7</v>
      </c>
      <c r="I50" s="2981">
        <v>7</v>
      </c>
      <c r="J50" s="2981"/>
      <c r="K50" s="2981"/>
      <c r="L50" s="2981">
        <v>4</v>
      </c>
      <c r="M50" s="2981">
        <v>4</v>
      </c>
      <c r="N50" s="2932">
        <v>4</v>
      </c>
      <c r="O50" s="2981">
        <v>4</v>
      </c>
      <c r="P50" s="2981">
        <v>4</v>
      </c>
      <c r="Q50" s="2981"/>
      <c r="R50" s="2981"/>
      <c r="S50" s="3600">
        <v>3</v>
      </c>
      <c r="T50" s="3600">
        <v>3</v>
      </c>
      <c r="U50" s="3600">
        <v>3</v>
      </c>
      <c r="V50" s="3600">
        <v>3</v>
      </c>
      <c r="W50" s="3600">
        <v>3</v>
      </c>
      <c r="X50" s="3600"/>
      <c r="Y50" s="3600"/>
      <c r="Z50" s="3600">
        <v>11</v>
      </c>
      <c r="AA50" s="3600">
        <v>11</v>
      </c>
      <c r="AB50" s="3600">
        <v>11</v>
      </c>
      <c r="AC50" s="3600">
        <v>11</v>
      </c>
      <c r="AD50" s="3600">
        <v>11</v>
      </c>
      <c r="AE50" s="3600" t="s">
        <v>68</v>
      </c>
      <c r="AF50" s="3600" t="s">
        <v>68</v>
      </c>
      <c r="AG50" s="2993"/>
      <c r="AH50" s="34"/>
      <c r="AI50" s="25"/>
    </row>
    <row r="51" spans="1:35" ht="18" customHeight="1" thickBot="1">
      <c r="A51" s="3278">
        <v>15</v>
      </c>
      <c r="B51" s="3279" t="s">
        <v>85</v>
      </c>
      <c r="C51" s="3228" t="s">
        <v>69</v>
      </c>
      <c r="D51" s="3228" t="s">
        <v>69</v>
      </c>
      <c r="E51" s="3228">
        <v>8</v>
      </c>
      <c r="F51" s="3228">
        <v>8</v>
      </c>
      <c r="G51" s="3228">
        <v>8</v>
      </c>
      <c r="H51" s="3411">
        <v>8</v>
      </c>
      <c r="I51" s="3411">
        <v>8</v>
      </c>
      <c r="J51" s="3228"/>
      <c r="K51" s="3411"/>
      <c r="L51" s="3228" t="s">
        <v>35</v>
      </c>
      <c r="M51" s="3228" t="s">
        <v>35</v>
      </c>
      <c r="N51" s="3228" t="s">
        <v>35</v>
      </c>
      <c r="O51" s="3228" t="s">
        <v>35</v>
      </c>
      <c r="P51" s="3228" t="s">
        <v>35</v>
      </c>
      <c r="Q51" s="3411"/>
      <c r="R51" s="3228"/>
      <c r="S51" s="3228">
        <v>1</v>
      </c>
      <c r="T51" s="3228">
        <v>1</v>
      </c>
      <c r="U51" s="3228">
        <v>1</v>
      </c>
      <c r="V51" s="3228">
        <v>1</v>
      </c>
      <c r="W51" s="3228">
        <v>1</v>
      </c>
      <c r="X51" s="3228"/>
      <c r="Y51" s="3411"/>
      <c r="Z51" s="3228">
        <v>9</v>
      </c>
      <c r="AA51" s="3228">
        <v>9</v>
      </c>
      <c r="AB51" s="3228">
        <v>9</v>
      </c>
      <c r="AC51" s="3228">
        <v>9</v>
      </c>
      <c r="AD51" s="3228">
        <v>9</v>
      </c>
      <c r="AE51" s="3411" t="s">
        <v>70</v>
      </c>
      <c r="AF51" s="3281" t="s">
        <v>72</v>
      </c>
      <c r="AG51" s="3290"/>
      <c r="AH51" s="34"/>
      <c r="AI51" s="25"/>
    </row>
    <row r="52" spans="1:35" ht="18" customHeight="1">
      <c r="A52" s="29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"/>
    </row>
    <row r="53" spans="1:35" ht="18" customHeight="1">
      <c r="A53" s="36"/>
      <c r="B53" s="37" t="s">
        <v>86</v>
      </c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1"/>
    </row>
    <row r="54" spans="1:35" ht="18" customHeight="1">
      <c r="A54" s="3006" t="s">
        <v>28</v>
      </c>
      <c r="B54" s="3006"/>
      <c r="C54" s="2936"/>
      <c r="D54" s="3006" t="s">
        <v>87</v>
      </c>
      <c r="E54" s="3007"/>
      <c r="F54" s="2936"/>
      <c r="G54" s="3006" t="s">
        <v>88</v>
      </c>
      <c r="H54" s="3007"/>
      <c r="I54" s="2936"/>
      <c r="J54" s="3006" t="s">
        <v>89</v>
      </c>
      <c r="K54" s="3007"/>
      <c r="L54" s="2936"/>
      <c r="M54" s="3006" t="s">
        <v>90</v>
      </c>
      <c r="N54" s="3007"/>
      <c r="O54" s="2936"/>
      <c r="P54" s="3006" t="s">
        <v>91</v>
      </c>
      <c r="Q54" s="3007"/>
      <c r="R54" s="3008"/>
      <c r="S54" s="3009" t="s">
        <v>92</v>
      </c>
      <c r="T54" s="3007"/>
      <c r="U54" s="2936"/>
      <c r="V54" s="3006" t="s">
        <v>93</v>
      </c>
      <c r="W54" s="3007"/>
      <c r="X54" s="3010" t="s">
        <v>94</v>
      </c>
      <c r="Y54" s="3007"/>
      <c r="Z54" s="3007"/>
      <c r="AA54" s="3011"/>
      <c r="AB54" s="3570"/>
      <c r="AC54" s="3570"/>
      <c r="AD54" s="3570"/>
      <c r="AE54" s="3570"/>
      <c r="AF54" s="3570"/>
      <c r="AG54" s="3571"/>
      <c r="AH54" s="1"/>
    </row>
    <row r="55" spans="1:35" ht="18" customHeight="1">
      <c r="A55" s="3012">
        <v>8517</v>
      </c>
      <c r="B55" s="3602" t="s">
        <v>95</v>
      </c>
      <c r="C55" s="3013" t="s">
        <v>96</v>
      </c>
      <c r="D55" s="3014"/>
      <c r="E55" s="3569"/>
      <c r="F55" s="3013" t="s">
        <v>96</v>
      </c>
      <c r="G55" s="3014"/>
      <c r="H55" s="3569"/>
      <c r="I55" s="3013" t="s">
        <v>96</v>
      </c>
      <c r="J55" s="3014"/>
      <c r="K55" s="3569"/>
      <c r="L55" s="3013" t="s">
        <v>96</v>
      </c>
      <c r="M55" s="3014"/>
      <c r="N55" s="3569"/>
      <c r="O55" s="3013" t="s">
        <v>97</v>
      </c>
      <c r="P55" s="3014"/>
      <c r="Q55" s="3569"/>
      <c r="R55" s="3013" t="s">
        <v>96</v>
      </c>
      <c r="S55" s="3014"/>
      <c r="T55" s="3569"/>
      <c r="U55" s="3013" t="s">
        <v>96</v>
      </c>
      <c r="V55" s="3014"/>
      <c r="W55" s="3569"/>
      <c r="X55" s="3567"/>
      <c r="Y55" s="3570"/>
      <c r="Z55" s="3570"/>
      <c r="AA55" s="3570"/>
      <c r="AB55" s="3570"/>
      <c r="AC55" s="3570"/>
      <c r="AD55" s="3570"/>
      <c r="AE55" s="3570"/>
      <c r="AF55" s="3570"/>
      <c r="AG55" s="3571"/>
      <c r="AH55" s="1"/>
    </row>
    <row r="56" spans="1:35" ht="18" customHeight="1">
      <c r="B56" s="3015" t="s">
        <v>98</v>
      </c>
      <c r="C56" s="3016" t="s">
        <v>99</v>
      </c>
      <c r="D56" s="3017"/>
      <c r="E56" s="3018"/>
      <c r="F56" s="3016" t="s">
        <v>99</v>
      </c>
      <c r="G56" s="3019"/>
      <c r="H56" s="3018"/>
      <c r="I56" s="3013" t="s">
        <v>99</v>
      </c>
      <c r="J56" s="3014"/>
      <c r="K56" s="3020"/>
      <c r="L56" s="3013" t="s">
        <v>99</v>
      </c>
      <c r="M56" s="3014"/>
      <c r="N56" s="3020"/>
      <c r="O56" s="3013" t="s">
        <v>100</v>
      </c>
      <c r="P56" s="3014"/>
      <c r="Q56" s="3569"/>
      <c r="R56" s="3021" t="s">
        <v>0</v>
      </c>
      <c r="S56" s="3014"/>
      <c r="T56" s="3020"/>
      <c r="U56" s="3014" t="s">
        <v>0</v>
      </c>
      <c r="V56" s="3014"/>
      <c r="W56" s="3569"/>
      <c r="X56" s="3291" t="s">
        <v>0</v>
      </c>
      <c r="Y56" s="17"/>
      <c r="Z56" s="17"/>
      <c r="AA56" s="17"/>
      <c r="AB56" s="17"/>
      <c r="AC56" s="17"/>
      <c r="AD56" s="17"/>
      <c r="AE56" s="17"/>
      <c r="AF56" s="17"/>
      <c r="AG56" s="39"/>
      <c r="AH56" s="1"/>
    </row>
    <row r="57" spans="1:35" ht="18" customHeight="1">
      <c r="A57" s="3022"/>
      <c r="B57" s="3602" t="s">
        <v>101</v>
      </c>
      <c r="C57" s="3013" t="s">
        <v>102</v>
      </c>
      <c r="D57" s="3014"/>
      <c r="E57" s="3569"/>
      <c r="F57" s="3013" t="s">
        <v>102</v>
      </c>
      <c r="G57" s="3014"/>
      <c r="H57" s="3020"/>
      <c r="I57" s="3013" t="s">
        <v>102</v>
      </c>
      <c r="J57" s="3014"/>
      <c r="K57" s="3020"/>
      <c r="L57" s="3013" t="s">
        <v>102</v>
      </c>
      <c r="M57" s="3014"/>
      <c r="N57" s="3020"/>
      <c r="O57" s="3013" t="s">
        <v>103</v>
      </c>
      <c r="P57" s="3014"/>
      <c r="Q57" s="3569"/>
      <c r="R57" s="40"/>
      <c r="S57" s="41"/>
      <c r="T57" s="3020"/>
      <c r="U57" s="3014"/>
      <c r="V57" s="3014"/>
      <c r="W57" s="3569"/>
      <c r="X57" s="3567"/>
      <c r="Y57" s="3570"/>
      <c r="Z57" s="3570"/>
      <c r="AA57" s="3570"/>
      <c r="AB57" s="3570"/>
      <c r="AC57" s="3570"/>
      <c r="AD57" s="3570"/>
      <c r="AE57" s="3570"/>
      <c r="AF57" s="3570"/>
      <c r="AG57" s="3571"/>
      <c r="AH57" s="1"/>
    </row>
    <row r="58" spans="1:35" ht="18" customHeight="1">
      <c r="A58" s="3006"/>
      <c r="B58" s="3015" t="s">
        <v>104</v>
      </c>
      <c r="C58" s="3023" t="s">
        <v>105</v>
      </c>
      <c r="D58" s="3023"/>
      <c r="E58" s="3024"/>
      <c r="F58" s="3023" t="s">
        <v>105</v>
      </c>
      <c r="G58" s="3023"/>
      <c r="H58" s="3024"/>
      <c r="I58" s="3023" t="s">
        <v>105</v>
      </c>
      <c r="J58" s="3023"/>
      <c r="K58" s="3024"/>
      <c r="L58" s="3023" t="s">
        <v>105</v>
      </c>
      <c r="M58" s="3023"/>
      <c r="N58" s="3024"/>
      <c r="O58" s="3023" t="s">
        <v>105</v>
      </c>
      <c r="P58" s="3023"/>
      <c r="Q58" s="3024"/>
      <c r="R58" s="3023" t="s">
        <v>105</v>
      </c>
      <c r="S58" s="3023"/>
      <c r="T58" s="3024"/>
      <c r="U58" s="3023" t="s">
        <v>105</v>
      </c>
      <c r="V58" s="3023"/>
      <c r="W58" s="3024"/>
      <c r="X58" s="3567"/>
      <c r="Y58" s="3570"/>
      <c r="Z58" s="3570"/>
      <c r="AA58" s="3570"/>
      <c r="AB58" s="3570"/>
      <c r="AC58" s="3570"/>
      <c r="AD58" s="3570"/>
      <c r="AE58" s="3570"/>
      <c r="AF58" s="3570"/>
      <c r="AG58" s="3571"/>
      <c r="AH58" s="1"/>
    </row>
    <row r="59" spans="1:35" ht="18" customHeight="1">
      <c r="A59" s="42"/>
      <c r="B59" s="29"/>
      <c r="C59" s="22"/>
      <c r="D59" s="22"/>
      <c r="E59" s="18"/>
      <c r="F59" s="22"/>
      <c r="G59" s="22"/>
      <c r="H59" s="18"/>
      <c r="I59" s="22"/>
      <c r="J59" s="22"/>
      <c r="K59" s="18"/>
      <c r="L59" s="22"/>
      <c r="M59" s="22"/>
      <c r="N59" s="18"/>
      <c r="O59" s="22"/>
      <c r="P59" s="22"/>
      <c r="Q59" s="18"/>
      <c r="R59" s="22"/>
      <c r="S59" s="22"/>
      <c r="T59" s="18"/>
      <c r="U59" s="22"/>
      <c r="V59" s="22"/>
      <c r="W59" s="18"/>
      <c r="X59" s="18"/>
      <c r="Y59" s="17"/>
      <c r="Z59" s="17"/>
      <c r="AA59" s="17"/>
      <c r="AB59" s="17"/>
      <c r="AC59" s="17"/>
      <c r="AD59" s="17"/>
      <c r="AE59" s="17"/>
      <c r="AF59" s="17"/>
      <c r="AG59" s="17"/>
      <c r="AH59" s="1"/>
    </row>
    <row r="60" spans="1:35" ht="18" customHeight="1" thickBot="1">
      <c r="A60" s="3025"/>
      <c r="B60" s="2978" t="s">
        <v>29</v>
      </c>
      <c r="C60" s="3027">
        <v>1</v>
      </c>
      <c r="D60" s="3027">
        <v>2</v>
      </c>
      <c r="E60" s="3026">
        <v>3</v>
      </c>
      <c r="F60" s="3026">
        <v>4</v>
      </c>
      <c r="G60" s="3027">
        <v>5</v>
      </c>
      <c r="H60" s="3026">
        <v>6</v>
      </c>
      <c r="I60" s="3026">
        <v>7</v>
      </c>
      <c r="J60" s="3027">
        <v>8</v>
      </c>
      <c r="K60" s="3027">
        <v>9</v>
      </c>
      <c r="L60" s="3027">
        <v>10</v>
      </c>
      <c r="M60" s="3026">
        <v>11</v>
      </c>
      <c r="N60" s="3026">
        <v>12</v>
      </c>
      <c r="O60" s="3026">
        <v>13</v>
      </c>
      <c r="P60" s="3026">
        <v>14</v>
      </c>
      <c r="Q60" s="3027">
        <v>15</v>
      </c>
      <c r="R60" s="3027">
        <v>16</v>
      </c>
      <c r="S60" s="3026">
        <v>17</v>
      </c>
      <c r="T60" s="3026">
        <v>18</v>
      </c>
      <c r="U60" s="3026">
        <v>19</v>
      </c>
      <c r="V60" s="3026">
        <v>20</v>
      </c>
      <c r="W60" s="3026">
        <v>21</v>
      </c>
      <c r="X60" s="3027">
        <v>22</v>
      </c>
      <c r="Y60" s="3027">
        <v>23</v>
      </c>
      <c r="Z60" s="3026">
        <v>24</v>
      </c>
      <c r="AA60" s="3026">
        <v>25</v>
      </c>
      <c r="AB60" s="3026">
        <v>26</v>
      </c>
      <c r="AC60" s="3026">
        <v>27</v>
      </c>
      <c r="AD60" s="3026">
        <v>28</v>
      </c>
      <c r="AE60" s="3027">
        <v>29</v>
      </c>
      <c r="AF60" s="3027">
        <v>30</v>
      </c>
      <c r="AG60" s="3028"/>
      <c r="AH60" s="1"/>
    </row>
    <row r="61" spans="1:35" ht="18" customHeight="1">
      <c r="A61" s="4173"/>
      <c r="B61" s="4173" t="s">
        <v>177</v>
      </c>
      <c r="C61" s="5261"/>
      <c r="D61" s="5261"/>
      <c r="E61" s="5261" t="s">
        <v>136</v>
      </c>
      <c r="F61" s="5261" t="s">
        <v>136</v>
      </c>
      <c r="G61" s="4303"/>
      <c r="H61" s="5261" t="s">
        <v>136</v>
      </c>
      <c r="I61" s="5261" t="s">
        <v>136</v>
      </c>
      <c r="J61" s="4175"/>
      <c r="K61" s="4175"/>
      <c r="L61" s="4176"/>
      <c r="M61" s="5261" t="s">
        <v>136</v>
      </c>
      <c r="N61" s="5261" t="s">
        <v>136</v>
      </c>
      <c r="O61" s="5261" t="s">
        <v>136</v>
      </c>
      <c r="P61" s="5261" t="s">
        <v>136</v>
      </c>
      <c r="Q61" s="3256" t="s">
        <v>0</v>
      </c>
      <c r="R61" s="4177"/>
      <c r="S61" s="5261" t="s">
        <v>136</v>
      </c>
      <c r="T61" s="5261" t="s">
        <v>136</v>
      </c>
      <c r="U61" s="5261" t="s">
        <v>136</v>
      </c>
      <c r="V61" s="5261" t="s">
        <v>136</v>
      </c>
      <c r="W61" s="5261" t="s">
        <v>136</v>
      </c>
      <c r="X61" s="4177"/>
      <c r="Y61" s="4303"/>
      <c r="Z61" s="5261" t="s">
        <v>136</v>
      </c>
      <c r="AA61" s="5261" t="s">
        <v>136</v>
      </c>
      <c r="AB61" s="5261" t="s">
        <v>136</v>
      </c>
      <c r="AC61" s="5261" t="s">
        <v>136</v>
      </c>
      <c r="AD61" s="5261" t="s">
        <v>136</v>
      </c>
      <c r="AE61" s="4177"/>
      <c r="AF61" s="4177"/>
      <c r="AG61" s="5246" t="s">
        <v>0</v>
      </c>
      <c r="AH61" s="1"/>
    </row>
    <row r="62" spans="1:35" ht="18" customHeight="1">
      <c r="A62" s="3293"/>
      <c r="B62" s="3293" t="s">
        <v>106</v>
      </c>
      <c r="C62" s="5254"/>
      <c r="D62" s="5254"/>
      <c r="E62" s="5254" t="s">
        <v>31</v>
      </c>
      <c r="F62" s="5254" t="s">
        <v>31</v>
      </c>
      <c r="G62" s="5254"/>
      <c r="H62" s="5254" t="s">
        <v>31</v>
      </c>
      <c r="I62" s="5254" t="s">
        <v>31</v>
      </c>
      <c r="J62" s="5254"/>
      <c r="K62" s="5254"/>
      <c r="L62" s="5254"/>
      <c r="M62" s="5254" t="s">
        <v>31</v>
      </c>
      <c r="N62" s="5254" t="s">
        <v>31</v>
      </c>
      <c r="O62" s="5254" t="s">
        <v>31</v>
      </c>
      <c r="P62" s="5254" t="s">
        <v>31</v>
      </c>
      <c r="Q62" s="5254"/>
      <c r="R62" s="5254"/>
      <c r="S62" s="3256">
        <v>5</v>
      </c>
      <c r="T62" s="3256">
        <v>5</v>
      </c>
      <c r="U62" s="3256">
        <v>5</v>
      </c>
      <c r="V62" s="3256">
        <v>5</v>
      </c>
      <c r="W62" s="3256">
        <v>5</v>
      </c>
      <c r="X62" s="3257"/>
      <c r="Y62" s="3298"/>
      <c r="Z62" s="3257">
        <v>25</v>
      </c>
      <c r="AA62" s="3257">
        <v>25</v>
      </c>
      <c r="AB62" s="3257">
        <v>25</v>
      </c>
      <c r="AC62" s="3257">
        <v>25</v>
      </c>
      <c r="AD62" s="3257">
        <v>25</v>
      </c>
      <c r="AE62" s="3299"/>
      <c r="AF62" s="3299"/>
      <c r="AG62" s="5247"/>
      <c r="AH62" s="1"/>
    </row>
    <row r="63" spans="1:35" ht="18" customHeight="1">
      <c r="A63" s="3254"/>
      <c r="B63" s="3277" t="s">
        <v>111</v>
      </c>
      <c r="C63" s="3256">
        <v>26</v>
      </c>
      <c r="D63" s="3255">
        <v>26</v>
      </c>
      <c r="E63" s="3255" t="s">
        <v>35</v>
      </c>
      <c r="F63" s="3255" t="s">
        <v>35</v>
      </c>
      <c r="G63" s="5262" t="s">
        <v>108</v>
      </c>
      <c r="H63" s="5263" t="s">
        <v>110</v>
      </c>
      <c r="I63" s="3255" t="s">
        <v>35</v>
      </c>
      <c r="J63" s="3255" t="s">
        <v>35</v>
      </c>
      <c r="K63" s="3255" t="s">
        <v>35</v>
      </c>
      <c r="L63" s="3255" t="s">
        <v>35</v>
      </c>
      <c r="M63" s="3256">
        <v>25</v>
      </c>
      <c r="N63" s="3256">
        <v>25</v>
      </c>
      <c r="O63" s="3256">
        <v>25</v>
      </c>
      <c r="P63" s="3256">
        <v>25</v>
      </c>
      <c r="Q63" s="3255" t="s">
        <v>108</v>
      </c>
      <c r="R63" s="3255"/>
      <c r="S63" s="3255" t="s">
        <v>35</v>
      </c>
      <c r="T63" s="3255" t="s">
        <v>35</v>
      </c>
      <c r="U63" s="3258">
        <v>25</v>
      </c>
      <c r="V63" s="3258">
        <v>25</v>
      </c>
      <c r="W63" s="3258">
        <v>25</v>
      </c>
      <c r="X63" s="3255" t="s">
        <v>0</v>
      </c>
      <c r="Y63" s="3255" t="s">
        <v>0</v>
      </c>
      <c r="Z63" s="3256">
        <v>26</v>
      </c>
      <c r="AA63" s="3256">
        <v>26</v>
      </c>
      <c r="AB63" s="3256">
        <v>26</v>
      </c>
      <c r="AC63" s="3256">
        <v>26</v>
      </c>
      <c r="AD63" s="3256">
        <v>26</v>
      </c>
      <c r="AE63" s="3256">
        <v>26</v>
      </c>
      <c r="AF63" s="3256">
        <v>26</v>
      </c>
      <c r="AG63" s="5247"/>
      <c r="AH63" s="1"/>
    </row>
    <row r="64" spans="1:35" ht="18" customHeight="1">
      <c r="A64" s="3277"/>
      <c r="B64" s="3277" t="s">
        <v>377</v>
      </c>
      <c r="C64" s="3256"/>
      <c r="D64" s="3256"/>
      <c r="E64" s="3258" t="s">
        <v>31</v>
      </c>
      <c r="F64" s="3299">
        <v>26</v>
      </c>
      <c r="G64" s="3299" t="s">
        <v>0</v>
      </c>
      <c r="H64" s="3299" t="s">
        <v>123</v>
      </c>
      <c r="I64" s="3299" t="s">
        <v>123</v>
      </c>
      <c r="J64" s="3299"/>
      <c r="K64" s="3299"/>
      <c r="L64" s="3256">
        <v>26</v>
      </c>
      <c r="M64" s="3256">
        <v>26</v>
      </c>
      <c r="N64" s="3256">
        <v>26</v>
      </c>
      <c r="O64" s="3256">
        <v>26</v>
      </c>
      <c r="P64" s="3256">
        <v>26</v>
      </c>
      <c r="Q64" s="3256">
        <v>26</v>
      </c>
      <c r="R64" s="3256">
        <v>26</v>
      </c>
      <c r="S64" s="5254" t="s">
        <v>35</v>
      </c>
      <c r="T64" s="5254" t="s">
        <v>35</v>
      </c>
      <c r="U64" s="5254" t="s">
        <v>35</v>
      </c>
      <c r="V64" s="5254" t="s">
        <v>35</v>
      </c>
      <c r="W64" s="5254" t="s">
        <v>35</v>
      </c>
      <c r="X64" s="5254"/>
      <c r="Y64" s="5254"/>
      <c r="Z64" s="5254" t="s">
        <v>123</v>
      </c>
      <c r="AA64" s="5254" t="s">
        <v>123</v>
      </c>
      <c r="AB64" s="5254" t="s">
        <v>123</v>
      </c>
      <c r="AC64" s="5254" t="s">
        <v>123</v>
      </c>
      <c r="AD64" s="5254" t="s">
        <v>123</v>
      </c>
      <c r="AE64" s="5254" t="s">
        <v>45</v>
      </c>
      <c r="AF64" s="5254" t="s">
        <v>45</v>
      </c>
      <c r="AG64" s="5264"/>
      <c r="AH64" s="1"/>
    </row>
    <row r="65" spans="1:34" ht="18" customHeight="1">
      <c r="A65" s="3277"/>
      <c r="B65" s="3277" t="s">
        <v>113</v>
      </c>
      <c r="C65" s="5265" t="s">
        <v>115</v>
      </c>
      <c r="D65" s="3256"/>
      <c r="E65" s="3244">
        <v>25</v>
      </c>
      <c r="F65" s="3256">
        <v>25</v>
      </c>
      <c r="G65" s="3299">
        <v>9</v>
      </c>
      <c r="H65" s="3299">
        <v>9</v>
      </c>
      <c r="I65" s="3299">
        <v>9</v>
      </c>
      <c r="J65" s="3257" t="s">
        <v>70</v>
      </c>
      <c r="K65" s="3257" t="s">
        <v>72</v>
      </c>
      <c r="L65" s="5251" t="s">
        <v>35</v>
      </c>
      <c r="M65" s="3302">
        <v>6</v>
      </c>
      <c r="N65" s="3302">
        <v>6</v>
      </c>
      <c r="O65" s="5266">
        <v>6</v>
      </c>
      <c r="P65" s="5266">
        <v>6</v>
      </c>
      <c r="Q65" s="3256" t="s">
        <v>0</v>
      </c>
      <c r="R65" s="3256"/>
      <c r="S65" s="5251">
        <v>69</v>
      </c>
      <c r="T65" s="5251">
        <v>69</v>
      </c>
      <c r="U65" s="5251">
        <v>25</v>
      </c>
      <c r="V65" s="5251">
        <v>25</v>
      </c>
      <c r="W65" s="5251">
        <v>25</v>
      </c>
      <c r="X65" s="3312" t="s">
        <v>0</v>
      </c>
      <c r="Y65" s="3312" t="s">
        <v>0</v>
      </c>
      <c r="Z65" s="5251">
        <v>79</v>
      </c>
      <c r="AA65" s="5251">
        <v>79</v>
      </c>
      <c r="AB65" s="5251">
        <v>79</v>
      </c>
      <c r="AC65" s="5251">
        <v>79</v>
      </c>
      <c r="AD65" s="5251">
        <v>79</v>
      </c>
      <c r="AE65" s="5267" t="s">
        <v>115</v>
      </c>
      <c r="AF65" s="3256"/>
      <c r="AG65" s="5247"/>
      <c r="AH65" s="1"/>
    </row>
    <row r="66" spans="1:34" ht="18" customHeight="1">
      <c r="A66" s="3277"/>
      <c r="B66" s="3300" t="s">
        <v>379</v>
      </c>
      <c r="C66" s="3256"/>
      <c r="D66" s="3299"/>
      <c r="E66" s="5251">
        <v>69</v>
      </c>
      <c r="F66" s="5251">
        <v>69</v>
      </c>
      <c r="G66" s="5251"/>
      <c r="H66" s="5251">
        <v>69</v>
      </c>
      <c r="I66" s="5251">
        <v>69</v>
      </c>
      <c r="J66" s="3255"/>
      <c r="K66" s="3255"/>
      <c r="L66" s="3299"/>
      <c r="M66" s="3299" t="s">
        <v>31</v>
      </c>
      <c r="N66" s="3299">
        <v>4</v>
      </c>
      <c r="O66" s="3299" t="s">
        <v>35</v>
      </c>
      <c r="P66" s="3299" t="s">
        <v>35</v>
      </c>
      <c r="Q66" s="3298" t="s">
        <v>75</v>
      </c>
      <c r="R66" s="3298" t="s">
        <v>69</v>
      </c>
      <c r="S66" s="3299" t="s">
        <v>31</v>
      </c>
      <c r="T66" s="3299">
        <v>3</v>
      </c>
      <c r="U66" s="3256">
        <v>3</v>
      </c>
      <c r="V66" s="3256">
        <v>3</v>
      </c>
      <c r="W66" s="3256">
        <v>3</v>
      </c>
      <c r="X66" s="3256"/>
      <c r="Y66" s="3256"/>
      <c r="Z66" s="3299" t="s">
        <v>118</v>
      </c>
      <c r="AA66" s="3299" t="s">
        <v>118</v>
      </c>
      <c r="AB66" s="3299" t="s">
        <v>118</v>
      </c>
      <c r="AC66" s="3299" t="s">
        <v>118</v>
      </c>
      <c r="AD66" s="3299" t="s">
        <v>118</v>
      </c>
      <c r="AE66" s="3256"/>
      <c r="AF66" s="3256"/>
      <c r="AG66" s="5247"/>
      <c r="AH66" s="1"/>
    </row>
    <row r="67" spans="1:34" ht="18" customHeight="1">
      <c r="A67" s="3277"/>
      <c r="B67" s="3300" t="s">
        <v>116</v>
      </c>
      <c r="C67" s="3255"/>
      <c r="D67" s="3299" t="s">
        <v>69</v>
      </c>
      <c r="E67" s="3255" t="s">
        <v>31</v>
      </c>
      <c r="F67" s="3255" t="s">
        <v>31</v>
      </c>
      <c r="G67" s="3294"/>
      <c r="H67" s="3294"/>
      <c r="I67" s="3256">
        <v>25</v>
      </c>
      <c r="J67" s="3256"/>
      <c r="K67" s="3299"/>
      <c r="L67" s="3299" t="s">
        <v>45</v>
      </c>
      <c r="M67" s="3258" t="s">
        <v>31</v>
      </c>
      <c r="N67" s="3258" t="s">
        <v>31</v>
      </c>
      <c r="O67" s="3258" t="s">
        <v>31</v>
      </c>
      <c r="P67" s="3258" t="s">
        <v>31</v>
      </c>
      <c r="Q67" s="3256" t="s">
        <v>45</v>
      </c>
      <c r="R67" s="3256" t="s">
        <v>45</v>
      </c>
      <c r="S67" s="5254" t="s">
        <v>31</v>
      </c>
      <c r="T67" s="5254" t="s">
        <v>31</v>
      </c>
      <c r="U67" s="5254" t="s">
        <v>31</v>
      </c>
      <c r="V67" s="5254" t="s">
        <v>31</v>
      </c>
      <c r="W67" s="5254" t="s">
        <v>31</v>
      </c>
      <c r="X67" s="5254"/>
      <c r="Y67" s="5254"/>
      <c r="Z67" s="5254" t="s">
        <v>31</v>
      </c>
      <c r="AA67" s="5254" t="s">
        <v>31</v>
      </c>
      <c r="AB67" s="5254" t="s">
        <v>31</v>
      </c>
      <c r="AC67" s="5254" t="s">
        <v>31</v>
      </c>
      <c r="AD67" s="5254" t="s">
        <v>31</v>
      </c>
      <c r="AE67" s="5254"/>
      <c r="AF67" s="5254"/>
      <c r="AG67" s="5247"/>
      <c r="AH67" s="1"/>
    </row>
    <row r="68" spans="1:34" ht="18" customHeight="1">
      <c r="A68" s="3277"/>
      <c r="B68" s="3300" t="s">
        <v>122</v>
      </c>
      <c r="C68" s="3256" t="s">
        <v>45</v>
      </c>
      <c r="D68" s="3256" t="s">
        <v>45</v>
      </c>
      <c r="E68" s="3304">
        <v>26</v>
      </c>
      <c r="F68" s="3256" t="s">
        <v>110</v>
      </c>
      <c r="G68" s="3244">
        <v>26</v>
      </c>
      <c r="H68" s="3256">
        <v>26</v>
      </c>
      <c r="I68" s="3256">
        <v>26</v>
      </c>
      <c r="J68" s="3256">
        <v>26</v>
      </c>
      <c r="K68" s="3256">
        <v>26</v>
      </c>
      <c r="L68" s="3298" t="s">
        <v>35</v>
      </c>
      <c r="M68" s="3256" t="s">
        <v>35</v>
      </c>
      <c r="N68" s="3256" t="s">
        <v>35</v>
      </c>
      <c r="O68" s="3299" t="s">
        <v>35</v>
      </c>
      <c r="P68" s="3299">
        <v>5</v>
      </c>
      <c r="Q68" s="3256"/>
      <c r="R68" s="3298"/>
      <c r="S68" s="3256">
        <v>25</v>
      </c>
      <c r="T68" s="3256">
        <v>25</v>
      </c>
      <c r="U68" s="3294" t="s">
        <v>123</v>
      </c>
      <c r="V68" s="3294" t="s">
        <v>123</v>
      </c>
      <c r="W68" s="3256" t="s">
        <v>123</v>
      </c>
      <c r="X68" s="3299">
        <v>26</v>
      </c>
      <c r="Y68" s="3299"/>
      <c r="Z68" s="3299">
        <v>69</v>
      </c>
      <c r="AA68" s="3299">
        <v>69</v>
      </c>
      <c r="AB68" s="3256">
        <v>69</v>
      </c>
      <c r="AC68" s="3256">
        <v>69</v>
      </c>
      <c r="AD68" s="3256">
        <v>8</v>
      </c>
      <c r="AE68" s="3302" t="s">
        <v>72</v>
      </c>
      <c r="AF68" s="3302" t="s">
        <v>72</v>
      </c>
      <c r="AG68" s="5268"/>
      <c r="AH68" s="1"/>
    </row>
    <row r="69" spans="1:34" ht="18" customHeight="1">
      <c r="A69" s="3300"/>
      <c r="B69" s="3277" t="s">
        <v>381</v>
      </c>
      <c r="C69" s="3304"/>
      <c r="D69" s="3304"/>
      <c r="E69" s="5263" t="s">
        <v>110</v>
      </c>
      <c r="F69" s="3308" t="s">
        <v>48</v>
      </c>
      <c r="G69" s="3294"/>
      <c r="H69" s="3294"/>
      <c r="I69" s="5263" t="s">
        <v>110</v>
      </c>
      <c r="J69" s="5269" t="s">
        <v>108</v>
      </c>
      <c r="K69" s="5270" t="s">
        <v>108</v>
      </c>
      <c r="L69" s="3256" t="s">
        <v>35</v>
      </c>
      <c r="M69" s="3256" t="s">
        <v>35</v>
      </c>
      <c r="N69" s="3256" t="s">
        <v>35</v>
      </c>
      <c r="O69" s="3299" t="s">
        <v>35</v>
      </c>
      <c r="P69" s="3299" t="s">
        <v>35</v>
      </c>
      <c r="Q69" s="3256"/>
      <c r="R69" s="3256"/>
      <c r="S69" s="3256">
        <v>4</v>
      </c>
      <c r="T69" s="3258">
        <v>4</v>
      </c>
      <c r="U69" s="3256">
        <v>4</v>
      </c>
      <c r="V69" s="3256">
        <v>4</v>
      </c>
      <c r="W69" s="3256">
        <v>4</v>
      </c>
      <c r="X69" s="3256"/>
      <c r="Y69" s="3256"/>
      <c r="Z69" s="3298">
        <v>11</v>
      </c>
      <c r="AA69" s="3298">
        <v>11</v>
      </c>
      <c r="AB69" s="3298">
        <v>11</v>
      </c>
      <c r="AC69" s="3298">
        <v>11</v>
      </c>
      <c r="AD69" s="3298">
        <v>11</v>
      </c>
      <c r="AE69" s="3256" t="s">
        <v>68</v>
      </c>
      <c r="AF69" s="3258" t="s">
        <v>68</v>
      </c>
      <c r="AG69" s="5271"/>
      <c r="AH69" s="1"/>
    </row>
    <row r="70" spans="1:34" ht="18" customHeight="1">
      <c r="A70" s="3300"/>
      <c r="B70" s="3300" t="s">
        <v>382</v>
      </c>
      <c r="C70" s="3298"/>
      <c r="D70" s="3298"/>
      <c r="E70" s="3298">
        <v>9</v>
      </c>
      <c r="F70" s="3298">
        <v>9</v>
      </c>
      <c r="G70" s="3298">
        <v>9</v>
      </c>
      <c r="H70" s="3257">
        <v>9</v>
      </c>
      <c r="I70" s="3298">
        <v>9</v>
      </c>
      <c r="J70" s="3257" t="s">
        <v>70</v>
      </c>
      <c r="K70" s="3257" t="s">
        <v>72</v>
      </c>
      <c r="L70" s="3256" t="s">
        <v>35</v>
      </c>
      <c r="M70" s="3256" t="s">
        <v>35</v>
      </c>
      <c r="N70" s="3257" t="s">
        <v>35</v>
      </c>
      <c r="O70" s="3257" t="s">
        <v>35</v>
      </c>
      <c r="P70" s="3257" t="s">
        <v>35</v>
      </c>
      <c r="Q70" s="3298" t="s">
        <v>0</v>
      </c>
      <c r="R70" s="3298" t="s">
        <v>0</v>
      </c>
      <c r="S70" s="3256">
        <v>3</v>
      </c>
      <c r="T70" s="3256">
        <v>3</v>
      </c>
      <c r="U70" s="3256">
        <v>3</v>
      </c>
      <c r="V70" s="3256">
        <v>3</v>
      </c>
      <c r="W70" s="3256">
        <v>3</v>
      </c>
      <c r="X70" s="3256" t="s">
        <v>0</v>
      </c>
      <c r="Y70" s="3256" t="s">
        <v>0</v>
      </c>
      <c r="Z70" s="3256">
        <v>3</v>
      </c>
      <c r="AA70" s="3256">
        <v>3</v>
      </c>
      <c r="AB70" s="3256">
        <v>3</v>
      </c>
      <c r="AC70" s="3256">
        <v>3</v>
      </c>
      <c r="AD70" s="3256">
        <v>3</v>
      </c>
      <c r="AE70" s="3298"/>
      <c r="AF70" s="3298"/>
      <c r="AG70" s="5271"/>
      <c r="AH70" s="1"/>
    </row>
    <row r="71" spans="1:34" ht="18" customHeight="1" thickBot="1">
      <c r="A71" s="402"/>
      <c r="B71" s="402" t="s">
        <v>380</v>
      </c>
      <c r="C71" s="465">
        <v>89</v>
      </c>
      <c r="D71" s="423"/>
      <c r="E71" s="423">
        <v>99</v>
      </c>
      <c r="F71" s="423">
        <v>99</v>
      </c>
      <c r="G71" s="423"/>
      <c r="H71" s="407">
        <v>99</v>
      </c>
      <c r="I71" s="423" t="s">
        <v>35</v>
      </c>
      <c r="J71" s="423"/>
      <c r="K71" s="423"/>
      <c r="L71" s="423"/>
      <c r="M71" s="423">
        <v>5</v>
      </c>
      <c r="N71" s="423">
        <v>5</v>
      </c>
      <c r="O71" s="423">
        <v>5</v>
      </c>
      <c r="P71" s="425" t="s">
        <v>35</v>
      </c>
      <c r="Q71" s="409"/>
      <c r="R71" s="409"/>
      <c r="S71" s="466">
        <v>26</v>
      </c>
      <c r="T71" s="466">
        <v>26</v>
      </c>
      <c r="U71" s="466">
        <v>26</v>
      </c>
      <c r="V71" s="466">
        <v>26</v>
      </c>
      <c r="W71" s="466">
        <v>26</v>
      </c>
      <c r="X71" s="466" t="s">
        <v>0</v>
      </c>
      <c r="Y71" s="466">
        <v>26</v>
      </c>
      <c r="Z71" s="408" t="s">
        <v>35</v>
      </c>
      <c r="AA71" s="408" t="s">
        <v>35</v>
      </c>
      <c r="AB71" s="418" t="s">
        <v>35</v>
      </c>
      <c r="AC71" s="418">
        <v>3</v>
      </c>
      <c r="AD71" s="418">
        <v>69</v>
      </c>
      <c r="AE71" s="418"/>
      <c r="AF71" s="418"/>
      <c r="AG71" s="264"/>
      <c r="AH71" s="1"/>
    </row>
    <row r="72" spans="1:34" ht="18" customHeight="1" thickBot="1">
      <c r="A72" s="5272"/>
      <c r="B72" s="5273" t="s">
        <v>403</v>
      </c>
      <c r="C72" s="4880"/>
      <c r="D72" s="4130"/>
      <c r="E72" s="4880"/>
      <c r="F72" s="4880"/>
      <c r="G72" s="4880"/>
      <c r="H72" s="4880"/>
      <c r="I72" s="4880"/>
      <c r="J72" s="4880"/>
      <c r="K72" s="4880"/>
      <c r="L72" s="4880"/>
      <c r="M72" s="4880"/>
      <c r="N72" s="4880"/>
      <c r="O72" s="4880"/>
      <c r="P72" s="4880"/>
      <c r="Q72" s="4880"/>
      <c r="R72" s="4880"/>
      <c r="S72" s="4880"/>
      <c r="T72" s="4880"/>
      <c r="U72" s="4880"/>
      <c r="V72" s="4880"/>
      <c r="W72" s="4880"/>
      <c r="X72" s="4880"/>
      <c r="Y72" s="4880"/>
      <c r="Z72" s="4880" t="s">
        <v>31</v>
      </c>
      <c r="AA72" s="4880" t="s">
        <v>31</v>
      </c>
      <c r="AB72" s="5274">
        <v>3</v>
      </c>
      <c r="AC72" s="5274">
        <v>3</v>
      </c>
      <c r="AD72" s="4880">
        <v>3</v>
      </c>
      <c r="AE72" s="4880"/>
      <c r="AF72" s="4880"/>
      <c r="AG72" s="4882"/>
      <c r="AH72" s="1"/>
    </row>
    <row r="73" spans="1:34" ht="18" customHeight="1" thickBot="1">
      <c r="A73" s="5272"/>
      <c r="B73" s="5273"/>
      <c r="C73" s="4880"/>
      <c r="D73" s="4130"/>
      <c r="E73" s="4880"/>
      <c r="F73" s="4880"/>
      <c r="G73" s="4880"/>
      <c r="H73" s="4880"/>
      <c r="I73" s="4880"/>
      <c r="J73" s="4880"/>
      <c r="K73" s="4880"/>
      <c r="L73" s="4880"/>
      <c r="M73" s="4880"/>
      <c r="N73" s="4880"/>
      <c r="O73" s="4880"/>
      <c r="P73" s="4880"/>
      <c r="Q73" s="4880"/>
      <c r="R73" s="4880"/>
      <c r="S73" s="4880"/>
      <c r="T73" s="4880"/>
      <c r="U73" s="4880"/>
      <c r="V73" s="4880"/>
      <c r="W73" s="4880"/>
      <c r="X73" s="4880"/>
      <c r="Y73" s="4880"/>
      <c r="Z73" s="4880"/>
      <c r="AA73" s="4880"/>
      <c r="AB73" s="4880"/>
      <c r="AC73" s="4880"/>
      <c r="AD73" s="4880"/>
      <c r="AE73" s="4880"/>
      <c r="AF73" s="4880"/>
      <c r="AG73" s="4882"/>
      <c r="AH73" s="1"/>
    </row>
    <row r="74" spans="1:34" ht="18" customHeight="1" thickBot="1">
      <c r="A74" s="5272"/>
      <c r="B74" s="5275" t="s">
        <v>384</v>
      </c>
      <c r="C74" s="5276"/>
      <c r="D74" s="5276"/>
      <c r="E74" s="5276"/>
      <c r="F74" s="5276"/>
      <c r="G74" s="5276"/>
      <c r="H74" s="5276"/>
      <c r="I74" s="5276"/>
      <c r="J74" s="5276"/>
      <c r="K74" s="5277"/>
      <c r="L74" s="5277"/>
      <c r="M74" s="5277"/>
      <c r="N74" s="5277"/>
      <c r="O74" s="5277"/>
      <c r="P74" s="5277"/>
      <c r="Q74" s="5277"/>
      <c r="R74" s="5277"/>
      <c r="S74" s="5277"/>
      <c r="T74" s="5277"/>
      <c r="U74" s="5277"/>
      <c r="V74" s="5277"/>
      <c r="W74" s="5277"/>
      <c r="X74" s="5277"/>
      <c r="Y74" s="5277"/>
      <c r="Z74" s="5277"/>
      <c r="AA74" s="5277"/>
      <c r="AB74" s="5277"/>
      <c r="AC74" s="5277"/>
      <c r="AD74" s="5277"/>
      <c r="AE74" s="5277"/>
      <c r="AF74" s="5277"/>
      <c r="AG74" s="5278"/>
      <c r="AH74" s="1"/>
    </row>
    <row r="75" spans="1:34" ht="18" customHeight="1" thickBot="1">
      <c r="A75" s="2636"/>
      <c r="C75" s="3410">
        <v>1</v>
      </c>
      <c r="D75" s="3410">
        <v>2</v>
      </c>
      <c r="E75" s="3411">
        <v>3</v>
      </c>
      <c r="F75" s="3411">
        <v>4</v>
      </c>
      <c r="G75" s="3410">
        <v>5</v>
      </c>
      <c r="H75" s="3411">
        <v>6</v>
      </c>
      <c r="I75" s="3411">
        <v>7</v>
      </c>
      <c r="J75" s="3410">
        <v>8</v>
      </c>
      <c r="K75" s="3410">
        <v>9</v>
      </c>
      <c r="L75" s="3410">
        <v>10</v>
      </c>
      <c r="M75" s="3411">
        <v>11</v>
      </c>
      <c r="N75" s="3411">
        <v>12</v>
      </c>
      <c r="O75" s="3411">
        <v>13</v>
      </c>
      <c r="P75" s="3411">
        <v>14</v>
      </c>
      <c r="Q75" s="3410">
        <v>15</v>
      </c>
      <c r="R75" s="3410">
        <v>16</v>
      </c>
      <c r="S75" s="3411">
        <v>17</v>
      </c>
      <c r="T75" s="3411">
        <v>18</v>
      </c>
      <c r="U75" s="3411">
        <v>19</v>
      </c>
      <c r="V75" s="3411">
        <v>20</v>
      </c>
      <c r="W75" s="3411">
        <v>21</v>
      </c>
      <c r="X75" s="3410">
        <v>22</v>
      </c>
      <c r="Y75" s="3410">
        <v>23</v>
      </c>
      <c r="Z75" s="3411">
        <v>24</v>
      </c>
      <c r="AA75" s="3411">
        <v>25</v>
      </c>
      <c r="AB75" s="3411">
        <v>26</v>
      </c>
      <c r="AC75" s="3411">
        <v>27</v>
      </c>
      <c r="AD75" s="3411">
        <v>28</v>
      </c>
      <c r="AE75" s="3410">
        <v>29</v>
      </c>
      <c r="AF75" s="3410">
        <v>30</v>
      </c>
      <c r="AG75" s="3585"/>
      <c r="AH75" s="1"/>
    </row>
    <row r="76" spans="1:34" ht="18" customHeight="1" thickBot="1">
      <c r="A76" s="265"/>
      <c r="C76" s="1816"/>
      <c r="D76" s="4130"/>
      <c r="E76" s="1816"/>
      <c r="F76" s="1816"/>
      <c r="G76" s="1816"/>
      <c r="H76" s="1816"/>
      <c r="I76" s="1816"/>
      <c r="J76" s="1816"/>
      <c r="K76" s="1816"/>
      <c r="L76" s="1816"/>
      <c r="M76" s="1816"/>
      <c r="N76" s="1816"/>
      <c r="O76" s="1816"/>
      <c r="P76" s="1816"/>
      <c r="Q76" s="1816"/>
      <c r="R76" s="1816"/>
      <c r="S76" s="1816"/>
      <c r="T76" s="1816"/>
      <c r="U76" s="1816"/>
      <c r="V76" s="1816"/>
      <c r="W76" s="1816"/>
      <c r="X76" s="1816"/>
      <c r="Y76" s="1816"/>
      <c r="Z76" s="1816"/>
      <c r="AA76" s="1816"/>
      <c r="AB76" s="1816"/>
      <c r="AC76" s="1816"/>
      <c r="AD76" s="1816"/>
      <c r="AE76" s="1816"/>
      <c r="AF76" s="1816"/>
      <c r="AG76" s="1819"/>
      <c r="AH76" s="1"/>
    </row>
    <row r="77" spans="1:34" ht="18" customHeight="1">
      <c r="B77" s="2636" t="s">
        <v>385</v>
      </c>
      <c r="C77" s="5279">
        <v>89</v>
      </c>
      <c r="D77" s="2481" t="s">
        <v>0</v>
      </c>
      <c r="E77" s="5280">
        <v>25</v>
      </c>
      <c r="F77" s="5280">
        <v>25</v>
      </c>
      <c r="H77" s="1840" t="s">
        <v>31</v>
      </c>
      <c r="I77" t="s">
        <v>1009</v>
      </c>
      <c r="J77" s="2818" t="s">
        <v>72</v>
      </c>
      <c r="K77" s="2818" t="s">
        <v>72</v>
      </c>
      <c r="L77" s="2818" t="s">
        <v>35</v>
      </c>
      <c r="M77" s="2818">
        <v>79</v>
      </c>
      <c r="N77" s="2818">
        <v>79</v>
      </c>
      <c r="O77" s="2818">
        <v>79</v>
      </c>
      <c r="P77" s="2818">
        <v>79</v>
      </c>
      <c r="Q77" s="2818"/>
      <c r="R77" s="2818" t="s">
        <v>0</v>
      </c>
      <c r="S77" s="2818">
        <v>89</v>
      </c>
      <c r="T77" s="2818">
        <v>89</v>
      </c>
      <c r="U77" s="2818">
        <v>89</v>
      </c>
      <c r="V77" s="2818">
        <v>89</v>
      </c>
      <c r="W77" s="2818">
        <v>89</v>
      </c>
      <c r="X77" s="2818">
        <v>89</v>
      </c>
      <c r="Y77" s="2818" t="s">
        <v>0</v>
      </c>
      <c r="Z77" s="2818">
        <v>99</v>
      </c>
      <c r="AA77" s="2818">
        <v>99</v>
      </c>
      <c r="AB77" s="2818">
        <v>99</v>
      </c>
      <c r="AC77" s="2818">
        <v>99</v>
      </c>
      <c r="AD77" s="2818">
        <v>6</v>
      </c>
      <c r="AE77" s="2818" t="s">
        <v>0</v>
      </c>
      <c r="AF77" s="5281" t="s">
        <v>68</v>
      </c>
      <c r="AG77" s="5281"/>
      <c r="AH77" s="1"/>
    </row>
    <row r="78" spans="1:34" ht="18" customHeight="1">
      <c r="A78" s="3254" t="s">
        <v>0</v>
      </c>
      <c r="B78" s="3254" t="s">
        <v>389</v>
      </c>
      <c r="C78" s="3256"/>
      <c r="D78" s="5251" t="s">
        <v>0</v>
      </c>
      <c r="E78" s="3308" t="s">
        <v>118</v>
      </c>
      <c r="F78" s="3308" t="s">
        <v>47</v>
      </c>
      <c r="G78" s="3256" t="s">
        <v>47</v>
      </c>
      <c r="H78" s="3308">
        <v>89</v>
      </c>
      <c r="I78" s="5251" t="s">
        <v>0</v>
      </c>
      <c r="J78" s="3256"/>
      <c r="M78" s="3308">
        <v>8</v>
      </c>
      <c r="N78" s="3308">
        <v>8</v>
      </c>
      <c r="O78" s="3308">
        <v>8</v>
      </c>
      <c r="P78" s="5282">
        <v>8</v>
      </c>
      <c r="Q78" s="3256"/>
      <c r="R78" s="5251" t="s">
        <v>0</v>
      </c>
      <c r="S78" s="5251">
        <v>3</v>
      </c>
      <c r="T78" s="5251">
        <v>4</v>
      </c>
      <c r="U78" s="3308">
        <v>11</v>
      </c>
      <c r="V78" s="3308">
        <v>11</v>
      </c>
      <c r="W78" s="3308">
        <v>11</v>
      </c>
      <c r="X78" s="3308" t="s">
        <v>70</v>
      </c>
      <c r="Y78" s="5283" t="s">
        <v>72</v>
      </c>
      <c r="Z78" s="3256" t="s">
        <v>35</v>
      </c>
      <c r="AA78" s="3256" t="s">
        <v>35</v>
      </c>
      <c r="AB78" s="5251" t="s">
        <v>35</v>
      </c>
      <c r="AC78" s="5251" t="s">
        <v>35</v>
      </c>
      <c r="AD78" s="3256">
        <v>7</v>
      </c>
      <c r="AE78" s="3256"/>
      <c r="AF78" s="5271"/>
      <c r="AG78" s="5271"/>
      <c r="AH78" s="1"/>
    </row>
    <row r="79" spans="1:34" ht="18" customHeight="1" thickBot="1">
      <c r="A79" s="550" t="s">
        <v>0</v>
      </c>
      <c r="B79" s="550" t="s">
        <v>386</v>
      </c>
      <c r="C79" s="551">
        <v>21</v>
      </c>
      <c r="D79" s="551" t="s">
        <v>35</v>
      </c>
      <c r="E79" s="551" t="s">
        <v>35</v>
      </c>
      <c r="F79" s="551" t="s">
        <v>35</v>
      </c>
      <c r="G79" s="551" t="s">
        <v>35</v>
      </c>
      <c r="H79" s="551" t="s">
        <v>35</v>
      </c>
      <c r="I79" s="551"/>
      <c r="J79" s="551"/>
      <c r="L79" s="551">
        <v>22</v>
      </c>
      <c r="M79" s="551">
        <v>22</v>
      </c>
      <c r="N79" s="551">
        <v>22</v>
      </c>
      <c r="O79" s="551">
        <v>22</v>
      </c>
      <c r="P79" s="551">
        <v>22</v>
      </c>
      <c r="Q79" s="551">
        <v>22</v>
      </c>
      <c r="R79" s="551">
        <v>22</v>
      </c>
      <c r="S79" s="551" t="s">
        <v>35</v>
      </c>
      <c r="T79" s="551" t="s">
        <v>35</v>
      </c>
      <c r="U79" s="551" t="s">
        <v>35</v>
      </c>
      <c r="V79" s="551" t="s">
        <v>35</v>
      </c>
      <c r="W79" s="551" t="s">
        <v>35</v>
      </c>
      <c r="X79" s="551"/>
      <c r="Z79" s="551">
        <v>23</v>
      </c>
      <c r="AA79" s="551">
        <v>23</v>
      </c>
      <c r="AB79" s="551">
        <v>23</v>
      </c>
      <c r="AC79" s="551">
        <v>23</v>
      </c>
      <c r="AD79" s="551">
        <v>23</v>
      </c>
      <c r="AE79" s="551">
        <v>23</v>
      </c>
      <c r="AF79" s="551">
        <v>23</v>
      </c>
      <c r="AG79" s="5284"/>
      <c r="AH79" s="1"/>
    </row>
    <row r="80" spans="1:34" ht="18" customHeight="1" thickBot="1">
      <c r="A80" s="5285" t="s">
        <v>147</v>
      </c>
      <c r="B80" s="5286"/>
      <c r="C80" s="5287"/>
      <c r="D80" s="5287"/>
      <c r="E80" s="5287"/>
      <c r="F80" s="5287"/>
      <c r="G80" s="5287"/>
      <c r="H80" s="5286"/>
      <c r="I80" s="5286"/>
      <c r="J80" s="5287"/>
      <c r="K80" s="5287"/>
      <c r="L80" s="5287"/>
      <c r="M80" s="5287"/>
      <c r="N80" s="5287"/>
      <c r="O80" s="5286"/>
      <c r="P80" s="5286"/>
      <c r="Q80" s="5286"/>
      <c r="R80" s="5288"/>
      <c r="S80" s="5288"/>
      <c r="T80" s="5288"/>
      <c r="U80" s="5289"/>
      <c r="V80" s="5286"/>
      <c r="W80" s="5286"/>
      <c r="X80" s="5286"/>
      <c r="Y80" s="5286"/>
      <c r="Z80" s="5286"/>
      <c r="AA80" s="5286"/>
      <c r="AB80" s="5286"/>
      <c r="AC80" s="5286"/>
      <c r="AD80" s="5286"/>
      <c r="AE80" s="5286"/>
      <c r="AF80" s="5290"/>
      <c r="AH80" s="1"/>
    </row>
    <row r="81" spans="1:35" ht="18" customHeight="1" thickBot="1">
      <c r="A81" s="52" t="s">
        <v>148</v>
      </c>
      <c r="B81" s="266"/>
      <c r="C81" s="267"/>
      <c r="E81" s="266" t="s">
        <v>35</v>
      </c>
      <c r="F81" s="266" t="s">
        <v>35</v>
      </c>
      <c r="G81" s="266" t="s">
        <v>35</v>
      </c>
      <c r="H81" s="268" t="s">
        <v>35</v>
      </c>
      <c r="I81" s="266" t="s">
        <v>35</v>
      </c>
      <c r="J81" s="267"/>
      <c r="K81" s="266"/>
      <c r="L81" s="266" t="s">
        <v>452</v>
      </c>
      <c r="M81" s="266" t="s">
        <v>47</v>
      </c>
      <c r="N81" s="266" t="s">
        <v>408</v>
      </c>
      <c r="O81" s="267">
        <v>1</v>
      </c>
      <c r="P81" s="266">
        <v>1</v>
      </c>
      <c r="Q81" s="269"/>
      <c r="R81" s="267"/>
      <c r="S81" s="266" t="s">
        <v>0</v>
      </c>
      <c r="T81" s="266">
        <v>9</v>
      </c>
      <c r="U81" s="266">
        <v>9</v>
      </c>
      <c r="V81" s="266">
        <v>9</v>
      </c>
      <c r="W81" s="266">
        <v>9</v>
      </c>
      <c r="X81" s="269">
        <v>9</v>
      </c>
      <c r="Y81" s="269" t="s">
        <v>70</v>
      </c>
      <c r="Z81" s="269" t="s">
        <v>72</v>
      </c>
      <c r="AA81" s="266" t="s">
        <v>35</v>
      </c>
      <c r="AB81" s="269" t="s">
        <v>35</v>
      </c>
      <c r="AC81" s="269" t="s">
        <v>35</v>
      </c>
      <c r="AD81" s="269" t="s">
        <v>35</v>
      </c>
      <c r="AE81" s="266" t="s">
        <v>75</v>
      </c>
      <c r="AF81" s="266" t="s">
        <v>69</v>
      </c>
      <c r="AH81" s="1"/>
    </row>
    <row r="82" spans="1:35" ht="18" customHeight="1">
      <c r="AH82" s="1"/>
    </row>
    <row r="83" spans="1:35" ht="18" customHeight="1" thickBot="1">
      <c r="A83" s="2978" t="s">
        <v>29</v>
      </c>
      <c r="C83" s="3410">
        <v>1</v>
      </c>
      <c r="D83" s="3410">
        <v>2</v>
      </c>
      <c r="E83" s="3411">
        <v>3</v>
      </c>
      <c r="F83" s="3411">
        <v>4</v>
      </c>
      <c r="G83" s="3410">
        <v>5</v>
      </c>
      <c r="H83" s="3411">
        <v>6</v>
      </c>
      <c r="I83" s="3411">
        <v>7</v>
      </c>
      <c r="J83" s="3410">
        <v>8</v>
      </c>
      <c r="K83" s="3410">
        <v>9</v>
      </c>
      <c r="L83" s="3410">
        <v>10</v>
      </c>
      <c r="M83" s="3411">
        <v>11</v>
      </c>
      <c r="N83" s="3411">
        <v>12</v>
      </c>
      <c r="O83" s="3411">
        <v>13</v>
      </c>
      <c r="P83" s="3411">
        <v>14</v>
      </c>
      <c r="Q83" s="3410">
        <v>15</v>
      </c>
      <c r="R83" s="3410">
        <v>16</v>
      </c>
      <c r="S83" s="3411">
        <v>17</v>
      </c>
      <c r="T83" s="3411">
        <v>18</v>
      </c>
      <c r="U83" s="3411">
        <v>19</v>
      </c>
      <c r="V83" s="3411">
        <v>20</v>
      </c>
      <c r="W83" s="3411">
        <v>21</v>
      </c>
      <c r="X83" s="3410">
        <v>22</v>
      </c>
      <c r="Y83" s="3410">
        <v>23</v>
      </c>
      <c r="Z83" s="3411">
        <v>24</v>
      </c>
      <c r="AA83" s="3411">
        <v>25</v>
      </c>
      <c r="AB83" s="3411">
        <v>26</v>
      </c>
      <c r="AC83" s="3411">
        <v>27</v>
      </c>
      <c r="AD83" s="3411">
        <v>28</v>
      </c>
      <c r="AE83" s="3410">
        <v>29</v>
      </c>
      <c r="AF83" s="3410">
        <v>30</v>
      </c>
      <c r="AG83" s="3585"/>
      <c r="AH83" s="1"/>
    </row>
    <row r="84" spans="1:35" ht="18" customHeight="1" thickBot="1">
      <c r="A84" s="4197" t="s">
        <v>150</v>
      </c>
      <c r="B84" s="4880"/>
      <c r="C84" s="4880"/>
      <c r="D84" s="4130"/>
      <c r="E84" s="4880"/>
      <c r="F84" s="4880"/>
      <c r="G84" s="4880"/>
      <c r="H84" s="4880"/>
      <c r="I84" s="4880"/>
      <c r="J84" s="4880"/>
      <c r="K84" s="4880"/>
      <c r="L84" s="4880"/>
      <c r="M84" s="4880"/>
      <c r="N84" s="4880"/>
      <c r="O84" s="4880"/>
      <c r="P84" s="4880"/>
      <c r="Q84" s="4880"/>
      <c r="R84" s="4880"/>
      <c r="S84" s="4880"/>
      <c r="T84" s="4880"/>
      <c r="U84" s="4880"/>
      <c r="V84" s="4880"/>
      <c r="W84" s="4880"/>
      <c r="X84" s="4880"/>
      <c r="Y84" s="4880"/>
      <c r="Z84" s="4880"/>
      <c r="AA84" s="4880"/>
      <c r="AB84" s="4880"/>
      <c r="AC84" s="4880"/>
      <c r="AD84" s="4880"/>
      <c r="AE84" s="4880"/>
      <c r="AF84" s="4880"/>
      <c r="AG84" s="4882"/>
      <c r="AH84" s="1"/>
    </row>
    <row r="85" spans="1:35" ht="18" customHeight="1" thickBot="1">
      <c r="A85" s="150" t="s">
        <v>0</v>
      </c>
      <c r="B85" s="5291"/>
      <c r="C85" s="5291"/>
      <c r="D85" s="5291"/>
      <c r="E85" s="5291"/>
      <c r="F85" s="5291"/>
      <c r="G85" s="5291"/>
      <c r="H85" s="5291"/>
      <c r="I85" s="5291"/>
      <c r="J85" s="5291"/>
      <c r="K85" s="5291"/>
      <c r="L85" s="5291"/>
      <c r="M85" s="5291"/>
      <c r="N85" s="5291"/>
      <c r="O85" s="5291"/>
      <c r="P85" s="5291"/>
      <c r="Q85" s="5291"/>
      <c r="R85" s="5291"/>
      <c r="S85" s="5291"/>
      <c r="T85" s="5291"/>
      <c r="U85" s="5291"/>
      <c r="V85" s="5291"/>
      <c r="W85" s="5291"/>
      <c r="X85" s="5291"/>
      <c r="Y85" s="5291"/>
      <c r="Z85" s="5291"/>
      <c r="AA85" s="5291"/>
      <c r="AB85" s="5291"/>
      <c r="AC85" s="5291"/>
      <c r="AD85" s="5291"/>
      <c r="AE85" s="5291"/>
      <c r="AF85" s="5291"/>
      <c r="AG85" s="4200"/>
      <c r="AH85" s="1"/>
    </row>
    <row r="86" spans="1:35" ht="18" customHeight="1" thickBot="1">
      <c r="A86" s="150" t="s">
        <v>0</v>
      </c>
      <c r="B86" s="150" t="s">
        <v>387</v>
      </c>
      <c r="C86" s="2840"/>
      <c r="D86" s="2840"/>
      <c r="E86" s="5292">
        <v>5</v>
      </c>
      <c r="F86" s="5292">
        <v>5</v>
      </c>
      <c r="G86" s="2840"/>
      <c r="H86" s="5292">
        <v>5</v>
      </c>
      <c r="I86" s="5292">
        <v>5</v>
      </c>
      <c r="J86" s="2840"/>
      <c r="K86" s="2840"/>
      <c r="L86" s="2840"/>
      <c r="M86" s="5292">
        <v>6</v>
      </c>
      <c r="N86" s="5292">
        <v>6</v>
      </c>
      <c r="O86" s="5292">
        <v>6</v>
      </c>
      <c r="P86" s="5292">
        <v>6</v>
      </c>
      <c r="Q86" s="2840"/>
      <c r="R86" s="3050"/>
      <c r="S86" s="5293" t="s">
        <v>152</v>
      </c>
      <c r="T86" s="5293" t="s">
        <v>152</v>
      </c>
      <c r="U86" s="5293" t="s">
        <v>152</v>
      </c>
      <c r="V86" s="5293" t="s">
        <v>152</v>
      </c>
      <c r="W86" s="5292" t="s">
        <v>152</v>
      </c>
      <c r="X86" s="2840"/>
      <c r="Y86" s="3050"/>
      <c r="Z86" s="5293" t="s">
        <v>152</v>
      </c>
      <c r="AA86" s="5293" t="s">
        <v>152</v>
      </c>
      <c r="AB86" s="5293" t="s">
        <v>152</v>
      </c>
      <c r="AC86" s="5291" t="s">
        <v>35</v>
      </c>
      <c r="AD86" s="5291" t="s">
        <v>35</v>
      </c>
      <c r="AE86" s="2840"/>
      <c r="AF86" s="3050"/>
      <c r="AG86" s="3051"/>
      <c r="AH86" s="1"/>
    </row>
    <row r="87" spans="1:35" ht="18" customHeight="1" thickBot="1">
      <c r="B87" s="4283" t="s">
        <v>388</v>
      </c>
      <c r="C87" s="2840"/>
      <c r="D87" s="2840"/>
      <c r="E87" s="5292" t="s">
        <v>233</v>
      </c>
      <c r="F87" s="5292" t="s">
        <v>233</v>
      </c>
      <c r="G87" s="2840"/>
      <c r="H87" s="5292" t="s">
        <v>233</v>
      </c>
      <c r="I87" s="5292" t="s">
        <v>233</v>
      </c>
      <c r="J87" s="2840"/>
      <c r="K87" s="2840"/>
      <c r="L87" s="2840"/>
      <c r="M87" s="5292">
        <v>11</v>
      </c>
      <c r="N87" s="5292">
        <v>11</v>
      </c>
      <c r="O87" s="5292">
        <v>11</v>
      </c>
      <c r="P87" s="5292">
        <v>11</v>
      </c>
      <c r="Q87" s="2840"/>
      <c r="R87" s="2840"/>
      <c r="S87" s="5292">
        <v>6</v>
      </c>
      <c r="T87" s="5292">
        <v>6</v>
      </c>
      <c r="U87" s="5292">
        <v>6</v>
      </c>
      <c r="V87" s="5292">
        <v>6</v>
      </c>
      <c r="W87" s="5292">
        <v>6</v>
      </c>
      <c r="X87" s="2840"/>
      <c r="Y87" s="2840"/>
      <c r="Z87" s="5292">
        <v>3</v>
      </c>
      <c r="AA87" s="5292">
        <v>3</v>
      </c>
      <c r="AB87" s="5292">
        <v>3</v>
      </c>
      <c r="AC87" s="5291" t="s">
        <v>35</v>
      </c>
      <c r="AD87" s="5291" t="s">
        <v>35</v>
      </c>
      <c r="AE87" s="2840"/>
      <c r="AF87" s="2840"/>
      <c r="AG87" s="2983"/>
      <c r="AH87" s="1"/>
    </row>
    <row r="88" spans="1:35" ht="18" customHeight="1" thickBot="1">
      <c r="A88" s="3279" t="s">
        <v>0</v>
      </c>
      <c r="B88" s="3411"/>
      <c r="D88" s="3411"/>
      <c r="E88" s="5291"/>
      <c r="F88" s="5291"/>
      <c r="G88" s="5291"/>
      <c r="H88" s="5291"/>
      <c r="I88" s="5291"/>
      <c r="J88" s="5291"/>
      <c r="K88" s="5291"/>
      <c r="L88" s="5291"/>
      <c r="M88" s="5291"/>
      <c r="N88" s="5291"/>
      <c r="O88" s="5291"/>
      <c r="P88" s="5291"/>
      <c r="Q88" s="5291"/>
      <c r="R88" s="5291"/>
      <c r="S88" s="5291"/>
      <c r="T88" s="5291"/>
      <c r="U88" s="5291"/>
      <c r="V88" s="5291"/>
      <c r="W88" s="5291"/>
      <c r="X88" s="5291"/>
      <c r="Y88" s="5291"/>
      <c r="Z88" s="5291"/>
      <c r="AA88" s="5291"/>
      <c r="AB88" s="5291"/>
      <c r="AC88" s="5291"/>
      <c r="AD88" s="5291"/>
      <c r="AE88" s="5291"/>
      <c r="AF88" s="3411"/>
      <c r="AG88" s="3585"/>
      <c r="AH88" s="1"/>
    </row>
    <row r="89" spans="1:35" ht="18" customHeight="1" thickBot="1">
      <c r="A89" s="57" t="s">
        <v>154</v>
      </c>
      <c r="B89" s="58"/>
      <c r="C89" s="58"/>
      <c r="D89" s="58"/>
      <c r="E89" s="58"/>
      <c r="F89" s="58"/>
      <c r="G89" s="59"/>
      <c r="H89" s="58"/>
      <c r="I89" s="58"/>
      <c r="J89" s="58"/>
      <c r="K89" s="58"/>
      <c r="L89" s="58"/>
      <c r="M89" s="58"/>
      <c r="N89" s="58"/>
      <c r="O89" s="58"/>
      <c r="P89" s="58"/>
      <c r="Q89" s="58"/>
      <c r="R89" s="58"/>
      <c r="S89" s="58"/>
      <c r="T89" s="58"/>
      <c r="U89" s="58"/>
      <c r="V89" s="58"/>
      <c r="W89" s="58"/>
      <c r="X89" s="58"/>
      <c r="Y89" s="58"/>
      <c r="Z89" s="58"/>
      <c r="AA89" s="58"/>
      <c r="AB89" s="58"/>
      <c r="AC89" s="58"/>
      <c r="AD89" s="58"/>
      <c r="AE89" s="58"/>
      <c r="AF89" s="58"/>
      <c r="AG89" s="58"/>
      <c r="AH89" s="58"/>
      <c r="AI89" s="58"/>
    </row>
    <row r="90" spans="1:35" ht="18" customHeight="1" thickBot="1">
      <c r="A90" s="60"/>
      <c r="B90" s="3769" t="s">
        <v>155</v>
      </c>
      <c r="C90" s="3770"/>
      <c r="D90" s="3771" t="s">
        <v>87</v>
      </c>
      <c r="E90" s="3772"/>
      <c r="F90" s="3773"/>
      <c r="G90" s="3770"/>
      <c r="H90" s="3771" t="s">
        <v>88</v>
      </c>
      <c r="I90" s="3772"/>
      <c r="J90" s="3773"/>
      <c r="K90" s="3770"/>
      <c r="L90" s="3771" t="s">
        <v>89</v>
      </c>
      <c r="M90" s="3772"/>
      <c r="N90" s="3773"/>
      <c r="O90" s="3770"/>
      <c r="P90" s="3771" t="s">
        <v>90</v>
      </c>
      <c r="Q90" s="3772"/>
      <c r="R90" s="3773"/>
      <c r="S90" s="3770"/>
      <c r="T90" s="3771" t="s">
        <v>91</v>
      </c>
      <c r="U90" s="3772"/>
      <c r="V90" s="3773"/>
      <c r="W90" s="3770"/>
      <c r="X90" s="3771" t="s">
        <v>92</v>
      </c>
      <c r="Y90" s="3772"/>
      <c r="Z90" s="3773"/>
      <c r="AA90" s="3770"/>
      <c r="AB90" s="3771" t="s">
        <v>93</v>
      </c>
      <c r="AC90" s="3772"/>
      <c r="AD90" s="3772"/>
      <c r="AE90" s="3774" t="s">
        <v>158</v>
      </c>
      <c r="AF90" s="3772"/>
      <c r="AG90" s="3772"/>
      <c r="AH90" s="3772"/>
      <c r="AI90" s="3775"/>
    </row>
    <row r="91" spans="1:35" ht="18" customHeight="1">
      <c r="A91" s="60"/>
      <c r="B91" s="4207" t="s">
        <v>159</v>
      </c>
      <c r="C91" s="3777" t="s">
        <v>160</v>
      </c>
      <c r="D91" s="3772"/>
      <c r="E91" s="3778"/>
      <c r="F91" s="3779"/>
      <c r="G91" s="3777" t="s">
        <v>160</v>
      </c>
      <c r="H91" s="3778"/>
      <c r="I91" s="3778"/>
      <c r="J91" s="3779"/>
      <c r="K91" s="3780" t="s">
        <v>160</v>
      </c>
      <c r="L91" s="3772"/>
      <c r="M91" s="3772"/>
      <c r="N91" s="3781"/>
      <c r="O91" s="3780" t="s">
        <v>161</v>
      </c>
      <c r="P91" s="3772"/>
      <c r="Q91" s="3778"/>
      <c r="R91" s="3779"/>
      <c r="S91" s="3777" t="s">
        <v>162</v>
      </c>
      <c r="T91" s="3778"/>
      <c r="U91" s="3778"/>
      <c r="V91" s="3782"/>
      <c r="W91" s="4208"/>
      <c r="X91" s="4209"/>
      <c r="Y91" s="4209"/>
      <c r="Z91" s="4210"/>
      <c r="AA91" s="3782"/>
      <c r="AB91" s="3778"/>
      <c r="AC91" s="3778"/>
      <c r="AD91" s="3782"/>
      <c r="AE91" s="3786">
        <v>37</v>
      </c>
      <c r="AF91" s="3772"/>
      <c r="AG91" s="3778"/>
      <c r="AH91" s="3782"/>
      <c r="AI91" s="3787"/>
    </row>
    <row r="92" spans="1:35" ht="18" customHeight="1">
      <c r="A92" s="60"/>
      <c r="B92" s="3326" t="s">
        <v>163</v>
      </c>
      <c r="C92" s="3058" t="s">
        <v>156</v>
      </c>
      <c r="D92" s="3059"/>
      <c r="E92" s="3059"/>
      <c r="F92" s="3060"/>
      <c r="G92" s="3058" t="s">
        <v>164</v>
      </c>
      <c r="H92" s="3059"/>
      <c r="I92" s="3059"/>
      <c r="J92" s="3060"/>
      <c r="K92" s="3058" t="s">
        <v>165</v>
      </c>
      <c r="L92" s="3061" t="s">
        <v>166</v>
      </c>
      <c r="M92" s="3059"/>
      <c r="N92" s="3060"/>
      <c r="O92" s="3058" t="s">
        <v>165</v>
      </c>
      <c r="P92" s="3061" t="s">
        <v>166</v>
      </c>
      <c r="Q92" s="3059"/>
      <c r="R92" s="3060"/>
      <c r="S92" s="3058" t="s">
        <v>156</v>
      </c>
      <c r="T92" s="3061"/>
      <c r="U92" s="3059"/>
      <c r="V92" s="3060"/>
      <c r="W92" s="61" t="s">
        <v>108</v>
      </c>
      <c r="X92" s="270" t="s">
        <v>157</v>
      </c>
      <c r="Y92" s="63"/>
      <c r="Z92" s="63"/>
      <c r="AA92" s="3058" t="s">
        <v>108</v>
      </c>
      <c r="AB92" s="3062" t="s">
        <v>157</v>
      </c>
      <c r="AC92" s="3058"/>
      <c r="AD92" s="3058"/>
      <c r="AE92" s="3063">
        <v>68</v>
      </c>
      <c r="AF92" s="3059"/>
      <c r="AG92" s="3064"/>
      <c r="AH92" s="3065"/>
      <c r="AI92" s="3066"/>
    </row>
    <row r="93" spans="1:35" ht="18" customHeight="1">
      <c r="A93" s="60"/>
      <c r="B93" s="3326" t="s">
        <v>171</v>
      </c>
      <c r="C93" s="3067" t="s">
        <v>172</v>
      </c>
      <c r="D93" s="3059"/>
      <c r="E93" s="3059"/>
      <c r="F93" s="3060"/>
      <c r="G93" s="3059" t="s">
        <v>172</v>
      </c>
      <c r="H93" s="3059"/>
      <c r="I93" s="3059"/>
      <c r="J93" s="3060"/>
      <c r="K93" s="3059" t="s">
        <v>172</v>
      </c>
      <c r="L93" s="3059"/>
      <c r="M93" s="3059"/>
      <c r="N93" s="3060"/>
      <c r="O93" s="3059" t="s">
        <v>172</v>
      </c>
      <c r="P93" s="3059"/>
      <c r="Q93" s="3059"/>
      <c r="R93" s="3060"/>
      <c r="S93" s="3059" t="s">
        <v>172</v>
      </c>
      <c r="T93" s="3059"/>
      <c r="U93" s="3059"/>
      <c r="V93" s="3060"/>
      <c r="W93" s="3058"/>
      <c r="X93" s="3059"/>
      <c r="Y93" s="3059"/>
      <c r="Z93" s="3060"/>
      <c r="AA93" s="3058"/>
      <c r="AB93" s="3059"/>
      <c r="AC93" s="3059"/>
      <c r="AD93" s="3061"/>
      <c r="AE93" s="3063">
        <v>0</v>
      </c>
      <c r="AF93" s="3064"/>
      <c r="AG93" s="3059"/>
      <c r="AH93" s="3061"/>
      <c r="AI93" s="3068"/>
    </row>
    <row r="94" spans="1:35" ht="18" customHeight="1" thickBot="1">
      <c r="A94" s="60"/>
      <c r="B94" s="3327" t="s">
        <v>173</v>
      </c>
      <c r="C94" s="3328" t="s">
        <v>160</v>
      </c>
      <c r="D94" s="4225"/>
      <c r="E94" s="3330"/>
      <c r="F94" s="3331"/>
      <c r="G94" s="3328" t="s">
        <v>160</v>
      </c>
      <c r="H94" s="4225"/>
      <c r="I94" s="3330"/>
      <c r="J94" s="3331"/>
      <c r="K94" s="3328" t="s">
        <v>160</v>
      </c>
      <c r="L94" s="4225"/>
      <c r="M94" s="3330"/>
      <c r="N94" s="3331"/>
      <c r="O94" s="3328" t="s">
        <v>161</v>
      </c>
      <c r="P94" s="3330"/>
      <c r="Q94" s="3330"/>
      <c r="R94" s="3331"/>
      <c r="S94" s="3328" t="s">
        <v>162</v>
      </c>
      <c r="T94" s="3330"/>
      <c r="U94" s="3330"/>
      <c r="V94" s="3334"/>
      <c r="W94" s="3332"/>
      <c r="X94" s="3330"/>
      <c r="Y94" s="3330"/>
      <c r="Z94" s="3333"/>
      <c r="AA94" s="3334"/>
      <c r="AB94" s="3330"/>
      <c r="AC94" s="3330"/>
      <c r="AD94" s="3334"/>
      <c r="AE94" s="3335">
        <v>37</v>
      </c>
      <c r="AF94" s="3330"/>
      <c r="AG94" s="3330"/>
      <c r="AH94" s="3334"/>
      <c r="AI94" s="3336"/>
    </row>
    <row r="95" spans="1:35" ht="18" customHeight="1">
      <c r="A95" s="66"/>
      <c r="B95" s="60"/>
      <c r="C95" s="58"/>
      <c r="D95" s="63"/>
      <c r="E95" s="58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D95" s="58"/>
      <c r="AE95" s="58"/>
      <c r="AF95" s="58"/>
      <c r="AG95" s="58"/>
      <c r="AH95" s="58"/>
      <c r="AI95" s="58"/>
    </row>
    <row r="96" spans="1:35" ht="18" customHeight="1" thickBot="1">
      <c r="A96" s="3078"/>
      <c r="B96" s="3079" t="s">
        <v>29</v>
      </c>
      <c r="C96" s="3410">
        <v>1</v>
      </c>
      <c r="D96" s="3410">
        <v>2</v>
      </c>
      <c r="E96" s="3411">
        <v>3</v>
      </c>
      <c r="F96" s="3411">
        <v>4</v>
      </c>
      <c r="G96" s="3410">
        <v>5</v>
      </c>
      <c r="H96" s="3411">
        <v>6</v>
      </c>
      <c r="I96" s="3411">
        <v>7</v>
      </c>
      <c r="J96" s="3410">
        <v>8</v>
      </c>
      <c r="K96" s="3410">
        <v>9</v>
      </c>
      <c r="L96" s="3410">
        <v>10</v>
      </c>
      <c r="M96" s="3411">
        <v>11</v>
      </c>
      <c r="N96" s="3411">
        <v>12</v>
      </c>
      <c r="O96" s="3411">
        <v>13</v>
      </c>
      <c r="P96" s="3411">
        <v>14</v>
      </c>
      <c r="Q96" s="3410">
        <v>15</v>
      </c>
      <c r="R96" s="3410">
        <v>16</v>
      </c>
      <c r="S96" s="3411">
        <v>17</v>
      </c>
      <c r="T96" s="3411">
        <v>18</v>
      </c>
      <c r="U96" s="3411">
        <v>19</v>
      </c>
      <c r="V96" s="3411">
        <v>20</v>
      </c>
      <c r="W96" s="3411">
        <v>21</v>
      </c>
      <c r="X96" s="3410">
        <v>22</v>
      </c>
      <c r="Y96" s="3410">
        <v>23</v>
      </c>
      <c r="Z96" s="3411">
        <v>24</v>
      </c>
      <c r="AA96" s="3411">
        <v>25</v>
      </c>
      <c r="AB96" s="3411">
        <v>26</v>
      </c>
      <c r="AC96" s="3411">
        <v>27</v>
      </c>
      <c r="AD96" s="3411">
        <v>28</v>
      </c>
      <c r="AE96" s="3410">
        <v>29</v>
      </c>
      <c r="AF96" s="3410">
        <v>30</v>
      </c>
      <c r="AG96" s="3585"/>
      <c r="AH96" s="67"/>
      <c r="AI96" s="68"/>
    </row>
    <row r="97" spans="1:35" ht="18" customHeight="1">
      <c r="A97" s="4235">
        <v>1</v>
      </c>
      <c r="B97" s="4081" t="s">
        <v>46</v>
      </c>
      <c r="C97" s="4174" t="s">
        <v>108</v>
      </c>
      <c r="D97" s="4174" t="s">
        <v>108</v>
      </c>
      <c r="E97" s="4174" t="s">
        <v>35</v>
      </c>
      <c r="F97" s="4174" t="s">
        <v>35</v>
      </c>
      <c r="G97" s="3294"/>
      <c r="H97" s="3294"/>
      <c r="I97" s="4174" t="s">
        <v>35</v>
      </c>
      <c r="J97" s="4174"/>
      <c r="K97" s="4174"/>
      <c r="L97" s="4174"/>
      <c r="M97" s="3603" t="s">
        <v>176</v>
      </c>
      <c r="N97" s="3603" t="s">
        <v>176</v>
      </c>
      <c r="O97" s="3603" t="s">
        <v>176</v>
      </c>
      <c r="P97" s="4141" t="s">
        <v>251</v>
      </c>
      <c r="Q97" s="4174"/>
      <c r="R97" s="4174"/>
      <c r="S97" s="5294" t="s">
        <v>250</v>
      </c>
      <c r="T97" s="5294" t="s">
        <v>250</v>
      </c>
      <c r="U97" s="5294" t="s">
        <v>250</v>
      </c>
      <c r="V97" s="5294" t="s">
        <v>250</v>
      </c>
      <c r="W97" s="5294" t="s">
        <v>250</v>
      </c>
      <c r="X97" s="4237"/>
      <c r="Y97" s="4237"/>
      <c r="Z97" s="4237" t="s">
        <v>110</v>
      </c>
      <c r="AA97" s="4237" t="s">
        <v>110</v>
      </c>
      <c r="AB97" s="4237" t="s">
        <v>110</v>
      </c>
      <c r="AC97" s="4174" t="s">
        <v>110</v>
      </c>
      <c r="AD97" s="4237" t="s">
        <v>110</v>
      </c>
      <c r="AE97" s="4174" t="s">
        <v>108</v>
      </c>
      <c r="AF97" s="4174" t="s">
        <v>108</v>
      </c>
      <c r="AG97" s="4238"/>
      <c r="AH97" s="69"/>
      <c r="AI97" s="70"/>
    </row>
    <row r="98" spans="1:35" ht="18" customHeight="1">
      <c r="A98" s="3081">
        <v>2</v>
      </c>
      <c r="B98" s="2936"/>
      <c r="C98" s="3082"/>
      <c r="D98" s="3082"/>
      <c r="E98" s="3082" t="s">
        <v>110</v>
      </c>
      <c r="F98" s="3082" t="s">
        <v>110</v>
      </c>
      <c r="G98" s="3341" t="s">
        <v>108</v>
      </c>
      <c r="H98" s="3082" t="s">
        <v>110</v>
      </c>
      <c r="I98" s="3082" t="s">
        <v>110</v>
      </c>
      <c r="J98" s="3084" t="s">
        <v>108</v>
      </c>
      <c r="K98" s="3083" t="s">
        <v>108</v>
      </c>
      <c r="L98" s="3084" t="s">
        <v>35</v>
      </c>
      <c r="M98" s="3084" t="s">
        <v>35</v>
      </c>
      <c r="N98" s="3084" t="s">
        <v>35</v>
      </c>
      <c r="O98" s="3084" t="s">
        <v>35</v>
      </c>
      <c r="P98" s="3082" t="s">
        <v>35</v>
      </c>
      <c r="Q98" s="3084"/>
      <c r="R98" s="3084"/>
      <c r="S98" s="3084" t="s">
        <v>176</v>
      </c>
      <c r="T98" s="3084" t="s">
        <v>176</v>
      </c>
      <c r="U98" s="3085" t="s">
        <v>176</v>
      </c>
      <c r="V98" s="3084" t="s">
        <v>176</v>
      </c>
      <c r="W98" s="3086" t="s">
        <v>176</v>
      </c>
      <c r="X98" s="3084"/>
      <c r="Y98" s="3084"/>
      <c r="Z98" s="3084" t="s">
        <v>176</v>
      </c>
      <c r="AA98" s="3084" t="s">
        <v>176</v>
      </c>
      <c r="AB98" s="3084" t="s">
        <v>176</v>
      </c>
      <c r="AC98" s="3084" t="s">
        <v>176</v>
      </c>
      <c r="AD98" s="3084" t="s">
        <v>176</v>
      </c>
      <c r="AE98" s="3082"/>
      <c r="AF98" s="3082"/>
      <c r="AG98" s="3088"/>
      <c r="AH98" s="69"/>
      <c r="AI98" s="70"/>
    </row>
    <row r="99" spans="1:35" ht="18" customHeight="1" thickBot="1">
      <c r="A99" s="3081">
        <v>3</v>
      </c>
      <c r="B99" s="3089" t="s">
        <v>178</v>
      </c>
      <c r="C99" s="3084"/>
      <c r="D99" s="3090"/>
      <c r="E99" s="3599" t="s">
        <v>1010</v>
      </c>
      <c r="F99" s="3599">
        <v>1</v>
      </c>
      <c r="G99" s="3084"/>
      <c r="H99" s="2991" t="s">
        <v>251</v>
      </c>
      <c r="I99" s="2991" t="s">
        <v>251</v>
      </c>
      <c r="J99" s="3082"/>
      <c r="K99" s="3082"/>
      <c r="L99" s="3341" t="s">
        <v>108</v>
      </c>
      <c r="M99" s="3082" t="s">
        <v>110</v>
      </c>
      <c r="N99" s="2990" t="s">
        <v>110</v>
      </c>
      <c r="O99" s="2990" t="s">
        <v>110</v>
      </c>
      <c r="P99" s="2990" t="s">
        <v>110</v>
      </c>
      <c r="Q99" s="5241" t="s">
        <v>108</v>
      </c>
      <c r="R99" s="2990" t="s">
        <v>108</v>
      </c>
      <c r="S99" s="3085" t="s">
        <v>35</v>
      </c>
      <c r="T99" s="3084" t="s">
        <v>35</v>
      </c>
      <c r="U99" s="5295" t="s">
        <v>110</v>
      </c>
      <c r="V99" s="5295" t="s">
        <v>110</v>
      </c>
      <c r="W99" s="5295" t="s">
        <v>110</v>
      </c>
      <c r="X99" s="3284" t="s">
        <v>108</v>
      </c>
      <c r="Y99" s="3284" t="s">
        <v>108</v>
      </c>
      <c r="Z99" s="3607">
        <v>3</v>
      </c>
      <c r="AA99" s="3607">
        <v>3</v>
      </c>
      <c r="AB99" s="3607">
        <v>3</v>
      </c>
      <c r="AC99" s="5296" t="s">
        <v>31</v>
      </c>
      <c r="AD99" s="3600">
        <v>3</v>
      </c>
      <c r="AE99" s="3607"/>
      <c r="AF99" s="3607"/>
      <c r="AG99" s="3098"/>
      <c r="AH99" s="69"/>
      <c r="AI99" s="70"/>
    </row>
    <row r="100" spans="1:35" ht="18" customHeight="1" thickBot="1">
      <c r="A100" s="3342">
        <v>4</v>
      </c>
      <c r="B100" s="5297" t="s">
        <v>360</v>
      </c>
      <c r="C100" s="3344"/>
      <c r="D100" s="3344"/>
      <c r="E100" s="3096" t="s">
        <v>251</v>
      </c>
      <c r="F100" s="3096" t="s">
        <v>251</v>
      </c>
      <c r="G100" s="3084" t="s">
        <v>176</v>
      </c>
      <c r="H100" s="3309">
        <v>99</v>
      </c>
      <c r="I100" s="3096" t="s">
        <v>233</v>
      </c>
      <c r="J100" s="3344"/>
      <c r="K100" s="3344"/>
      <c r="L100" s="3344"/>
      <c r="M100" s="3096" t="s">
        <v>408</v>
      </c>
      <c r="N100" s="3096" t="s">
        <v>47</v>
      </c>
      <c r="O100" s="3096" t="s">
        <v>407</v>
      </c>
      <c r="P100" s="3096" t="s">
        <v>244</v>
      </c>
      <c r="Q100" s="3344" t="s">
        <v>0</v>
      </c>
      <c r="R100" s="3344" t="s">
        <v>0</v>
      </c>
      <c r="S100" s="5298" t="s">
        <v>110</v>
      </c>
      <c r="T100" s="5298" t="s">
        <v>110</v>
      </c>
      <c r="U100" s="5299" t="s">
        <v>110</v>
      </c>
      <c r="V100" s="5299" t="s">
        <v>110</v>
      </c>
      <c r="W100" s="5299" t="s">
        <v>110</v>
      </c>
      <c r="X100" s="5299" t="s">
        <v>108</v>
      </c>
      <c r="Y100" s="5299" t="s">
        <v>1011</v>
      </c>
      <c r="Z100" s="5298" t="s">
        <v>35</v>
      </c>
      <c r="AA100" s="5298" t="s">
        <v>35</v>
      </c>
      <c r="AB100" s="5298" t="s">
        <v>35</v>
      </c>
      <c r="AC100" s="5298" t="s">
        <v>35</v>
      </c>
      <c r="AD100" s="5298" t="s">
        <v>35</v>
      </c>
      <c r="AE100" s="5298"/>
      <c r="AF100" s="5298"/>
      <c r="AG100" s="5300"/>
      <c r="AH100" s="69"/>
      <c r="AI100" s="70"/>
    </row>
    <row r="101" spans="1:35" ht="18" customHeight="1" thickBot="1">
      <c r="A101" s="71"/>
      <c r="B101" s="72"/>
      <c r="C101" s="73"/>
      <c r="D101" s="73"/>
      <c r="E101" s="73"/>
      <c r="F101" s="73"/>
      <c r="G101" s="73"/>
      <c r="H101" s="73"/>
      <c r="I101" s="73"/>
      <c r="J101" s="73"/>
      <c r="K101" s="73"/>
      <c r="L101" s="73"/>
      <c r="M101" s="73"/>
      <c r="N101" s="73"/>
      <c r="O101" s="73"/>
      <c r="P101" s="73"/>
      <c r="Q101" s="73"/>
      <c r="R101" s="73"/>
      <c r="S101" s="73"/>
      <c r="T101" s="73"/>
      <c r="U101" s="73"/>
      <c r="V101" s="73"/>
      <c r="W101" s="73"/>
      <c r="X101" s="73"/>
      <c r="Y101" s="73"/>
      <c r="Z101" s="73"/>
      <c r="AA101" s="73"/>
      <c r="AB101" s="73"/>
      <c r="AC101" s="73"/>
      <c r="AD101" s="73"/>
      <c r="AE101" s="73"/>
      <c r="AF101" s="73"/>
      <c r="AG101" s="74"/>
      <c r="AH101" s="75"/>
      <c r="AI101" s="70"/>
    </row>
    <row r="102" spans="1:35" ht="18" customHeight="1">
      <c r="A102" s="17"/>
      <c r="B102" s="3833" t="s">
        <v>179</v>
      </c>
      <c r="C102" s="3834"/>
      <c r="D102" s="3835" t="s">
        <v>87</v>
      </c>
      <c r="E102" s="3836"/>
      <c r="F102" s="3834"/>
      <c r="G102" s="3837" t="s">
        <v>88</v>
      </c>
      <c r="H102" s="3838"/>
      <c r="I102" s="3839"/>
      <c r="J102" s="3837" t="s">
        <v>89</v>
      </c>
      <c r="K102" s="3840"/>
      <c r="L102" s="3839"/>
      <c r="M102" s="3841" t="s">
        <v>90</v>
      </c>
      <c r="N102" s="3840"/>
      <c r="O102" s="3839"/>
      <c r="P102" s="3837" t="s">
        <v>91</v>
      </c>
      <c r="Q102" s="3842"/>
      <c r="R102" s="3839"/>
      <c r="S102" s="3837" t="s">
        <v>92</v>
      </c>
      <c r="T102" s="3843"/>
      <c r="U102" s="3839"/>
      <c r="V102" s="3837" t="s">
        <v>93</v>
      </c>
      <c r="W102" s="3842"/>
      <c r="X102" s="3844" t="s">
        <v>158</v>
      </c>
      <c r="Y102" s="3845"/>
      <c r="Z102" s="3845"/>
      <c r="AA102" s="3846"/>
      <c r="AB102" s="3847" t="s">
        <v>94</v>
      </c>
      <c r="AC102" s="3848"/>
      <c r="AD102" s="3848"/>
      <c r="AE102" s="3849"/>
      <c r="AF102" s="3849"/>
      <c r="AG102" s="3850"/>
      <c r="AH102" s="75"/>
      <c r="AI102" s="70"/>
    </row>
    <row r="103" spans="1:35" ht="18" customHeight="1">
      <c r="A103" s="17"/>
      <c r="B103" s="3347" t="s">
        <v>180</v>
      </c>
      <c r="C103" s="3104" t="s">
        <v>181</v>
      </c>
      <c r="D103" s="3570"/>
      <c r="E103" s="3571"/>
      <c r="F103" s="3104" t="s">
        <v>181</v>
      </c>
      <c r="G103" s="3570"/>
      <c r="H103" s="3571"/>
      <c r="I103" s="3104" t="s">
        <v>181</v>
      </c>
      <c r="J103" s="3570"/>
      <c r="K103" s="3571"/>
      <c r="L103" s="3104" t="s">
        <v>181</v>
      </c>
      <c r="M103" s="3570"/>
      <c r="N103" s="3571"/>
      <c r="O103" s="3104" t="s">
        <v>182</v>
      </c>
      <c r="P103" s="3570"/>
      <c r="Q103" s="3571"/>
      <c r="R103" s="3104"/>
      <c r="S103" s="3570"/>
      <c r="T103" s="3571"/>
      <c r="U103" s="3104"/>
      <c r="V103" s="3570"/>
      <c r="W103" s="3571"/>
      <c r="X103" s="3104"/>
      <c r="Y103" s="3105"/>
      <c r="Z103" s="3105"/>
      <c r="AA103" s="3105"/>
      <c r="AB103" s="3567"/>
      <c r="AC103" s="3105"/>
      <c r="AD103" s="3105"/>
      <c r="AE103" s="3105"/>
      <c r="AF103" s="3105"/>
      <c r="AG103" s="3106"/>
      <c r="AH103" s="75"/>
      <c r="AI103" s="70"/>
    </row>
    <row r="104" spans="1:35" ht="18" customHeight="1">
      <c r="A104" s="17"/>
      <c r="B104" s="16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75"/>
      <c r="AI104" s="70"/>
    </row>
    <row r="105" spans="1:35" ht="18" customHeight="1" thickBot="1">
      <c r="A105" s="3025" t="s">
        <v>28</v>
      </c>
      <c r="B105" s="2978" t="s">
        <v>29</v>
      </c>
      <c r="C105" s="3410">
        <v>1</v>
      </c>
      <c r="D105" s="3410">
        <v>2</v>
      </c>
      <c r="E105" s="3411">
        <v>3</v>
      </c>
      <c r="F105" s="3411">
        <v>4</v>
      </c>
      <c r="G105" s="3410">
        <v>5</v>
      </c>
      <c r="H105" s="3411">
        <v>6</v>
      </c>
      <c r="I105" s="3411">
        <v>7</v>
      </c>
      <c r="J105" s="3410">
        <v>8</v>
      </c>
      <c r="K105" s="3410">
        <v>9</v>
      </c>
      <c r="L105" s="3410">
        <v>10</v>
      </c>
      <c r="M105" s="3411">
        <v>11</v>
      </c>
      <c r="N105" s="3411">
        <v>12</v>
      </c>
      <c r="O105" s="3411">
        <v>13</v>
      </c>
      <c r="P105" s="3411">
        <v>14</v>
      </c>
      <c r="Q105" s="3410">
        <v>15</v>
      </c>
      <c r="R105" s="3410">
        <v>16</v>
      </c>
      <c r="S105" s="3411">
        <v>17</v>
      </c>
      <c r="T105" s="3411">
        <v>18</v>
      </c>
      <c r="U105" s="3411">
        <v>19</v>
      </c>
      <c r="V105" s="3411">
        <v>20</v>
      </c>
      <c r="W105" s="3411">
        <v>21</v>
      </c>
      <c r="X105" s="3410">
        <v>22</v>
      </c>
      <c r="Y105" s="3410">
        <v>23</v>
      </c>
      <c r="Z105" s="3411">
        <v>24</v>
      </c>
      <c r="AA105" s="3411">
        <v>25</v>
      </c>
      <c r="AB105" s="3411">
        <v>26</v>
      </c>
      <c r="AC105" s="3411">
        <v>27</v>
      </c>
      <c r="AD105" s="3411">
        <v>28</v>
      </c>
      <c r="AE105" s="3410">
        <v>29</v>
      </c>
      <c r="AF105" s="3410">
        <v>30</v>
      </c>
      <c r="AG105" s="3585"/>
      <c r="AH105" s="75"/>
      <c r="AI105" s="70"/>
    </row>
    <row r="106" spans="1:35" ht="18" customHeight="1">
      <c r="A106" s="4257">
        <v>8520</v>
      </c>
      <c r="B106" s="4258" t="s">
        <v>183</v>
      </c>
      <c r="C106" s="4880"/>
      <c r="D106" s="4880"/>
      <c r="E106" s="4880" t="s">
        <v>118</v>
      </c>
      <c r="F106" s="4880" t="s">
        <v>118</v>
      </c>
      <c r="G106" s="4880"/>
      <c r="H106" s="4880" t="s">
        <v>118</v>
      </c>
      <c r="I106" s="4880" t="s">
        <v>118</v>
      </c>
      <c r="J106" s="4880"/>
      <c r="K106" s="4880"/>
      <c r="L106" s="4880"/>
      <c r="M106" s="4880" t="s">
        <v>118</v>
      </c>
      <c r="N106" s="4880" t="s">
        <v>118</v>
      </c>
      <c r="O106" s="4880" t="s">
        <v>118</v>
      </c>
      <c r="P106" s="4880" t="s">
        <v>118</v>
      </c>
      <c r="Q106" s="4880"/>
      <c r="R106" s="4880"/>
      <c r="S106" s="4880" t="s">
        <v>118</v>
      </c>
      <c r="T106" s="4880" t="s">
        <v>118</v>
      </c>
      <c r="U106" s="4880" t="s">
        <v>118</v>
      </c>
      <c r="V106" s="4880" t="s">
        <v>118</v>
      </c>
      <c r="W106" s="4879" t="s">
        <v>118</v>
      </c>
      <c r="X106" s="4880"/>
      <c r="Y106" s="4880"/>
      <c r="Z106" s="4879" t="s">
        <v>118</v>
      </c>
      <c r="AA106" s="4879" t="s">
        <v>118</v>
      </c>
      <c r="AB106" s="4879" t="s">
        <v>118</v>
      </c>
      <c r="AC106" s="4879" t="s">
        <v>118</v>
      </c>
      <c r="AD106" s="4879" t="s">
        <v>118</v>
      </c>
      <c r="AE106" s="4879"/>
      <c r="AF106" s="4879"/>
      <c r="AG106" s="4882"/>
      <c r="AH106" s="75"/>
      <c r="AI106" s="70"/>
    </row>
    <row r="107" spans="1:35" ht="18" customHeight="1">
      <c r="AH107" s="76"/>
      <c r="AI107" s="76"/>
    </row>
    <row r="108" spans="1:35" ht="18" customHeight="1" thickBot="1">
      <c r="A108" s="77" t="s">
        <v>185</v>
      </c>
      <c r="B108" s="78"/>
      <c r="C108" s="78"/>
      <c r="D108" s="79"/>
      <c r="E108" s="79"/>
      <c r="F108" s="79"/>
      <c r="G108" s="80"/>
      <c r="H108" s="79"/>
      <c r="I108" s="79"/>
      <c r="J108" s="79"/>
      <c r="K108" s="79"/>
      <c r="L108" s="79"/>
      <c r="M108" s="79"/>
      <c r="N108" s="79"/>
      <c r="O108" s="79"/>
      <c r="P108" s="79"/>
      <c r="Q108" s="79"/>
      <c r="R108" s="79"/>
      <c r="S108" s="79"/>
      <c r="T108" s="79"/>
      <c r="U108" s="79"/>
      <c r="V108" s="79"/>
      <c r="W108" s="79"/>
      <c r="X108" s="79"/>
      <c r="Y108" s="79"/>
      <c r="Z108" s="79"/>
      <c r="AA108" s="79"/>
      <c r="AB108" s="79"/>
      <c r="AC108" s="79"/>
      <c r="AD108" s="79"/>
      <c r="AE108" s="79"/>
      <c r="AF108" s="79"/>
      <c r="AG108" s="79"/>
      <c r="AH108" s="78"/>
      <c r="AI108" s="78"/>
    </row>
    <row r="109" spans="1:35" ht="18" customHeight="1">
      <c r="A109" s="77"/>
      <c r="B109" s="3833" t="s">
        <v>186</v>
      </c>
      <c r="C109" s="3857"/>
      <c r="D109" s="3858" t="s">
        <v>87</v>
      </c>
      <c r="E109" s="3859"/>
      <c r="F109" s="3860"/>
      <c r="G109" s="3857"/>
      <c r="H109" s="3858" t="s">
        <v>88</v>
      </c>
      <c r="I109" s="3859"/>
      <c r="J109" s="3860"/>
      <c r="K109" s="3857"/>
      <c r="L109" s="3858" t="s">
        <v>89</v>
      </c>
      <c r="M109" s="3859"/>
      <c r="N109" s="3860"/>
      <c r="O109" s="3857"/>
      <c r="P109" s="3858" t="s">
        <v>90</v>
      </c>
      <c r="Q109" s="3859"/>
      <c r="R109" s="3860"/>
      <c r="S109" s="3857"/>
      <c r="T109" s="3858" t="s">
        <v>91</v>
      </c>
      <c r="U109" s="3859"/>
      <c r="V109" s="3860"/>
      <c r="W109" s="3857"/>
      <c r="X109" s="3858" t="s">
        <v>92</v>
      </c>
      <c r="Y109" s="3859"/>
      <c r="Z109" s="3860"/>
      <c r="AA109" s="3857"/>
      <c r="AB109" s="3858" t="s">
        <v>93</v>
      </c>
      <c r="AC109" s="3859"/>
      <c r="AD109" s="3859"/>
      <c r="AE109" s="3861" t="s">
        <v>94</v>
      </c>
      <c r="AF109" s="3859"/>
      <c r="AG109" s="3859"/>
      <c r="AH109" s="3859"/>
      <c r="AI109" s="3862"/>
    </row>
    <row r="110" spans="1:35" ht="18" customHeight="1">
      <c r="A110" s="77"/>
      <c r="B110" s="3348" t="s">
        <v>159</v>
      </c>
      <c r="C110" s="3108">
        <v>69</v>
      </c>
      <c r="D110" s="3109" t="s">
        <v>187</v>
      </c>
      <c r="E110" s="3109"/>
      <c r="F110" s="3110"/>
      <c r="G110" s="3108">
        <v>69</v>
      </c>
      <c r="H110" s="3109" t="s">
        <v>187</v>
      </c>
      <c r="I110" s="3109"/>
      <c r="J110" s="3110"/>
      <c r="K110" s="3108">
        <v>69</v>
      </c>
      <c r="L110" s="3109" t="s">
        <v>187</v>
      </c>
      <c r="M110" s="3109"/>
      <c r="N110" s="3110"/>
      <c r="O110" s="3108">
        <v>69</v>
      </c>
      <c r="P110" s="3109" t="s">
        <v>187</v>
      </c>
      <c r="Q110" s="3109"/>
      <c r="R110" s="3110"/>
      <c r="S110" s="3108">
        <v>69</v>
      </c>
      <c r="T110" s="3109" t="s">
        <v>187</v>
      </c>
      <c r="U110" s="3109"/>
      <c r="V110" s="3110"/>
      <c r="W110" s="3108"/>
      <c r="X110" s="3111"/>
      <c r="Y110" s="3111"/>
      <c r="Z110" s="3112"/>
      <c r="AA110" s="3108"/>
      <c r="AB110" s="3109"/>
      <c r="AC110" s="3109"/>
      <c r="AD110" s="3014"/>
      <c r="AE110" s="3113">
        <v>35</v>
      </c>
      <c r="AF110" s="3109"/>
      <c r="AG110" s="3109"/>
      <c r="AH110" s="3014"/>
      <c r="AI110" s="3114"/>
    </row>
    <row r="111" spans="1:35" ht="18" customHeight="1">
      <c r="A111" s="77"/>
      <c r="B111" s="3348" t="s">
        <v>163</v>
      </c>
      <c r="C111" s="3108">
        <v>79</v>
      </c>
      <c r="D111" s="3109" t="s">
        <v>188</v>
      </c>
      <c r="E111" s="3109"/>
      <c r="F111" s="3110"/>
      <c r="G111" s="3108">
        <v>79</v>
      </c>
      <c r="H111" s="3109" t="s">
        <v>188</v>
      </c>
      <c r="I111" s="3109"/>
      <c r="J111" s="3110"/>
      <c r="K111" s="3108">
        <v>79</v>
      </c>
      <c r="L111" s="3109" t="s">
        <v>188</v>
      </c>
      <c r="M111" s="3109"/>
      <c r="N111" s="3110"/>
      <c r="O111" s="3108">
        <v>79</v>
      </c>
      <c r="P111" s="3109" t="s">
        <v>188</v>
      </c>
      <c r="Q111" s="3109"/>
      <c r="R111" s="3110"/>
      <c r="S111" s="3108">
        <v>79</v>
      </c>
      <c r="T111" s="3109" t="s">
        <v>188</v>
      </c>
      <c r="U111" s="3109"/>
      <c r="V111" s="3110"/>
      <c r="W111" s="3108"/>
      <c r="X111" s="3109"/>
      <c r="Y111" s="3109"/>
      <c r="Z111" s="3110"/>
      <c r="AA111" s="3109"/>
      <c r="AB111" s="3109"/>
      <c r="AC111" s="3109"/>
      <c r="AD111" s="3014"/>
      <c r="AE111" s="3113">
        <v>40</v>
      </c>
      <c r="AF111" s="3109"/>
      <c r="AG111" s="3109"/>
      <c r="AH111" s="3014"/>
      <c r="AI111" s="3114"/>
    </row>
    <row r="112" spans="1:35" ht="18" customHeight="1">
      <c r="A112" s="77"/>
      <c r="B112" s="3348" t="s">
        <v>171</v>
      </c>
      <c r="C112" s="3108">
        <v>89</v>
      </c>
      <c r="D112" s="3109" t="s">
        <v>189</v>
      </c>
      <c r="E112" s="3109"/>
      <c r="F112" s="3110"/>
      <c r="G112" s="3108">
        <v>89</v>
      </c>
      <c r="H112" s="3109" t="s">
        <v>189</v>
      </c>
      <c r="I112" s="3109"/>
      <c r="J112" s="3110"/>
      <c r="K112" s="3108">
        <v>89</v>
      </c>
      <c r="L112" s="3109" t="s">
        <v>189</v>
      </c>
      <c r="M112" s="3109"/>
      <c r="N112" s="3110"/>
      <c r="O112" s="3108">
        <v>89</v>
      </c>
      <c r="P112" s="3109" t="s">
        <v>189</v>
      </c>
      <c r="Q112" s="3109"/>
      <c r="R112" s="3110"/>
      <c r="S112" s="3108">
        <v>89</v>
      </c>
      <c r="T112" s="3109" t="s">
        <v>190</v>
      </c>
      <c r="U112" s="3109"/>
      <c r="V112" s="3110"/>
      <c r="W112" s="3115"/>
      <c r="X112" s="3116" t="s">
        <v>191</v>
      </c>
      <c r="Y112" s="3116"/>
      <c r="Z112" s="3117"/>
      <c r="AA112" s="3115"/>
      <c r="AB112" s="3116"/>
      <c r="AC112" s="3116"/>
      <c r="AD112" s="3017"/>
      <c r="AE112" s="3113">
        <v>44</v>
      </c>
      <c r="AF112" s="3109"/>
      <c r="AG112" s="3109"/>
      <c r="AH112" s="3014"/>
      <c r="AI112" s="3114"/>
    </row>
    <row r="113" spans="1:35" ht="18" customHeight="1">
      <c r="A113" s="77"/>
      <c r="B113" s="81" t="s">
        <v>173</v>
      </c>
      <c r="C113" s="3115">
        <v>99</v>
      </c>
      <c r="D113" s="3116" t="s">
        <v>192</v>
      </c>
      <c r="E113" s="3116"/>
      <c r="F113" s="3117"/>
      <c r="G113" s="3115">
        <v>99</v>
      </c>
      <c r="H113" s="3116" t="s">
        <v>192</v>
      </c>
      <c r="I113" s="3116"/>
      <c r="J113" s="3117"/>
      <c r="K113" s="3115">
        <v>99</v>
      </c>
      <c r="L113" s="3116" t="s">
        <v>192</v>
      </c>
      <c r="M113" s="3116"/>
      <c r="N113" s="3117"/>
      <c r="O113" s="3115">
        <v>99</v>
      </c>
      <c r="P113" s="3116" t="s">
        <v>192</v>
      </c>
      <c r="Q113" s="3116"/>
      <c r="R113" s="3117"/>
      <c r="S113" s="3115">
        <v>99</v>
      </c>
      <c r="T113" s="3116" t="s">
        <v>172</v>
      </c>
      <c r="U113" s="3116"/>
      <c r="V113" s="3017"/>
      <c r="W113" s="3016"/>
      <c r="X113" s="3017"/>
      <c r="Y113" s="3116"/>
      <c r="Z113" s="3117"/>
      <c r="AA113" s="3016"/>
      <c r="AB113" s="3017"/>
      <c r="AC113" s="3116"/>
      <c r="AD113" s="3117"/>
      <c r="AE113" s="3118">
        <v>28</v>
      </c>
      <c r="AF113" s="3116"/>
      <c r="AG113" s="3116"/>
      <c r="AH113" s="3017"/>
      <c r="AI113" s="3119"/>
    </row>
    <row r="114" spans="1:35" ht="18" customHeight="1" thickBot="1">
      <c r="A114" s="77"/>
      <c r="B114" s="3349" t="s">
        <v>193</v>
      </c>
      <c r="C114" s="3350" t="s">
        <v>47</v>
      </c>
      <c r="D114" s="3351" t="s">
        <v>194</v>
      </c>
      <c r="E114" s="3352"/>
      <c r="F114" s="3270"/>
      <c r="G114" s="3350" t="s">
        <v>47</v>
      </c>
      <c r="H114" s="3351" t="s">
        <v>194</v>
      </c>
      <c r="I114" s="3268"/>
      <c r="J114" s="3352"/>
      <c r="K114" s="3350" t="s">
        <v>47</v>
      </c>
      <c r="L114" s="3351" t="s">
        <v>194</v>
      </c>
      <c r="M114" s="3352"/>
      <c r="N114" s="3353"/>
      <c r="O114" s="3350" t="s">
        <v>47</v>
      </c>
      <c r="P114" s="3351" t="s">
        <v>194</v>
      </c>
      <c r="Q114" s="3352"/>
      <c r="R114" s="3351"/>
      <c r="S114" s="3350" t="s">
        <v>47</v>
      </c>
      <c r="T114" s="3272" t="s">
        <v>195</v>
      </c>
      <c r="U114" s="3351"/>
      <c r="V114" s="3353"/>
      <c r="W114" s="3352"/>
      <c r="X114" s="3351"/>
      <c r="Y114" s="3351"/>
      <c r="Z114" s="3351"/>
      <c r="AA114" s="3354"/>
      <c r="AB114" s="3355"/>
      <c r="AC114" s="3351"/>
      <c r="AD114" s="3356"/>
      <c r="AE114" s="3351"/>
      <c r="AF114" s="3351"/>
      <c r="AG114" s="3351"/>
      <c r="AH114" s="3357"/>
      <c r="AI114" s="3358"/>
    </row>
    <row r="115" spans="1:35" ht="18" customHeight="1">
      <c r="A115" s="82"/>
      <c r="B115" s="77"/>
      <c r="C115" s="79"/>
      <c r="D115" s="79"/>
      <c r="E115" s="79"/>
      <c r="F115" s="79"/>
      <c r="G115" s="79"/>
      <c r="H115" s="79"/>
      <c r="I115" s="79"/>
      <c r="J115" s="79"/>
      <c r="K115" s="79"/>
      <c r="L115" s="79"/>
      <c r="M115" s="79"/>
      <c r="N115" s="79"/>
      <c r="O115" s="79"/>
      <c r="P115" s="79"/>
      <c r="Q115" s="79"/>
      <c r="R115" s="79"/>
      <c r="S115" s="79"/>
      <c r="T115" s="79"/>
      <c r="U115" s="79"/>
      <c r="V115" s="79"/>
      <c r="W115" s="79"/>
      <c r="X115" s="79"/>
      <c r="Y115" s="79"/>
      <c r="Z115" s="79"/>
      <c r="AA115" s="79"/>
      <c r="AB115" s="79"/>
      <c r="AC115" s="79"/>
      <c r="AD115" s="79"/>
      <c r="AE115" s="79"/>
      <c r="AF115" s="79"/>
      <c r="AG115" s="79"/>
      <c r="AH115" s="78"/>
      <c r="AI115" s="78"/>
    </row>
    <row r="116" spans="1:35" ht="18" customHeight="1" thickBot="1">
      <c r="A116" s="3025"/>
      <c r="B116" s="2978" t="s">
        <v>29</v>
      </c>
      <c r="C116" s="3410">
        <v>1</v>
      </c>
      <c r="D116" s="3410">
        <v>2</v>
      </c>
      <c r="E116" s="3411">
        <v>3</v>
      </c>
      <c r="F116" s="3411">
        <v>4</v>
      </c>
      <c r="G116" s="3410">
        <v>5</v>
      </c>
      <c r="H116" s="3411">
        <v>6</v>
      </c>
      <c r="I116" s="3411">
        <v>7</v>
      </c>
      <c r="J116" s="3410">
        <v>8</v>
      </c>
      <c r="K116" s="3410">
        <v>9</v>
      </c>
      <c r="L116" s="3410">
        <v>10</v>
      </c>
      <c r="M116" s="3411">
        <v>11</v>
      </c>
      <c r="N116" s="3411">
        <v>12</v>
      </c>
      <c r="O116" s="3411">
        <v>13</v>
      </c>
      <c r="P116" s="3411">
        <v>14</v>
      </c>
      <c r="Q116" s="3410">
        <v>15</v>
      </c>
      <c r="R116" s="3410">
        <v>16</v>
      </c>
      <c r="S116" s="3411">
        <v>17</v>
      </c>
      <c r="T116" s="3411">
        <v>18</v>
      </c>
      <c r="U116" s="3411">
        <v>19</v>
      </c>
      <c r="V116" s="3411">
        <v>20</v>
      </c>
      <c r="W116" s="3411">
        <v>21</v>
      </c>
      <c r="X116" s="3410">
        <v>22</v>
      </c>
      <c r="Y116" s="3410">
        <v>23</v>
      </c>
      <c r="Z116" s="3411">
        <v>24</v>
      </c>
      <c r="AA116" s="3411">
        <v>25</v>
      </c>
      <c r="AB116" s="3411">
        <v>26</v>
      </c>
      <c r="AC116" s="3411">
        <v>27</v>
      </c>
      <c r="AD116" s="3411">
        <v>28</v>
      </c>
      <c r="AE116" s="3410">
        <v>29</v>
      </c>
      <c r="AF116" s="3410">
        <v>30</v>
      </c>
      <c r="AG116" s="3585"/>
      <c r="AH116" s="23"/>
      <c r="AI116" s="24"/>
    </row>
    <row r="117" spans="1:35" ht="18" customHeight="1">
      <c r="A117" s="4282">
        <v>1</v>
      </c>
      <c r="B117" s="4283" t="s">
        <v>196</v>
      </c>
      <c r="C117" s="4106"/>
      <c r="D117" s="4106"/>
      <c r="E117" s="4880">
        <v>89</v>
      </c>
      <c r="F117" s="4880">
        <v>89</v>
      </c>
      <c r="G117" s="4108"/>
      <c r="H117" s="4106">
        <v>89</v>
      </c>
      <c r="I117" s="4108">
        <v>89</v>
      </c>
      <c r="J117" s="4108">
        <v>89</v>
      </c>
      <c r="K117" s="4106"/>
      <c r="L117" s="4108"/>
      <c r="M117" s="4880">
        <v>99</v>
      </c>
      <c r="N117" s="4106">
        <v>99</v>
      </c>
      <c r="O117" s="4141">
        <v>99</v>
      </c>
      <c r="P117" s="4106" t="s">
        <v>35</v>
      </c>
      <c r="Q117" s="4106"/>
      <c r="R117" s="4106"/>
      <c r="S117" s="4880" t="s">
        <v>47</v>
      </c>
      <c r="T117" s="4880" t="s">
        <v>47</v>
      </c>
      <c r="U117" s="4106" t="s">
        <v>47</v>
      </c>
      <c r="V117" s="4106" t="s">
        <v>47</v>
      </c>
      <c r="W117" s="4879" t="s">
        <v>47</v>
      </c>
      <c r="X117" s="4879"/>
      <c r="Y117" s="4879"/>
      <c r="Z117" s="4879">
        <v>69</v>
      </c>
      <c r="AA117" s="4879">
        <v>69</v>
      </c>
      <c r="AB117" s="4879">
        <v>69</v>
      </c>
      <c r="AC117" s="4879">
        <v>69</v>
      </c>
      <c r="AD117" s="4879">
        <v>69</v>
      </c>
      <c r="AE117" s="4106"/>
      <c r="AF117" s="4106"/>
      <c r="AG117" s="4111"/>
      <c r="AH117" s="83"/>
      <c r="AI117" s="76"/>
    </row>
    <row r="118" spans="1:35" ht="18" customHeight="1">
      <c r="A118" s="3130">
        <v>2</v>
      </c>
      <c r="B118" s="3046" t="s">
        <v>197</v>
      </c>
      <c r="C118" s="3132">
        <v>89</v>
      </c>
      <c r="D118" s="3132"/>
      <c r="E118" s="3132">
        <v>99</v>
      </c>
      <c r="F118" s="3132">
        <v>99</v>
      </c>
      <c r="G118" s="3132"/>
      <c r="H118" s="3132">
        <v>99</v>
      </c>
      <c r="I118" s="3132" t="s">
        <v>35</v>
      </c>
      <c r="J118" s="3132"/>
      <c r="K118" s="3132"/>
      <c r="L118" s="3132"/>
      <c r="M118" s="3132" t="s">
        <v>47</v>
      </c>
      <c r="N118" s="3132" t="s">
        <v>47</v>
      </c>
      <c r="O118" s="3132" t="s">
        <v>47</v>
      </c>
      <c r="P118" s="3132" t="s">
        <v>47</v>
      </c>
      <c r="Q118" s="2990"/>
      <c r="R118" s="3597"/>
      <c r="S118" s="3600">
        <v>69</v>
      </c>
      <c r="T118" s="3600">
        <v>69</v>
      </c>
      <c r="U118" s="3600">
        <v>69</v>
      </c>
      <c r="V118" s="3600">
        <v>69</v>
      </c>
      <c r="W118" s="3600">
        <v>69</v>
      </c>
      <c r="X118" s="3600"/>
      <c r="Y118" s="3600"/>
      <c r="Z118" s="3600">
        <v>79</v>
      </c>
      <c r="AA118" s="3600">
        <v>79</v>
      </c>
      <c r="AB118" s="3600">
        <v>79</v>
      </c>
      <c r="AC118" s="3600">
        <v>79</v>
      </c>
      <c r="AD118" s="3600">
        <v>79</v>
      </c>
      <c r="AE118" s="3600"/>
      <c r="AF118" s="3600"/>
      <c r="AG118" s="3131"/>
      <c r="AH118" s="84"/>
      <c r="AI118" s="85"/>
    </row>
    <row r="119" spans="1:35" ht="18" customHeight="1">
      <c r="A119" s="3130">
        <v>3</v>
      </c>
      <c r="B119" s="3046" t="s">
        <v>198</v>
      </c>
      <c r="C119" s="2990"/>
      <c r="D119" s="2990"/>
      <c r="E119" s="5301" t="s">
        <v>47</v>
      </c>
      <c r="F119" s="2840" t="s">
        <v>47</v>
      </c>
      <c r="G119" s="2990"/>
      <c r="H119" s="2932" t="s">
        <v>47</v>
      </c>
      <c r="I119" s="2990" t="s">
        <v>47</v>
      </c>
      <c r="J119" s="3597"/>
      <c r="K119" s="2990"/>
      <c r="L119" s="3597"/>
      <c r="M119" s="3387" t="s">
        <v>458</v>
      </c>
      <c r="N119" s="2936">
        <v>69</v>
      </c>
      <c r="O119" s="2990">
        <v>69</v>
      </c>
      <c r="P119" s="2990">
        <v>69</v>
      </c>
      <c r="Q119" s="2990"/>
      <c r="R119" s="2990"/>
      <c r="S119" s="2840">
        <v>79</v>
      </c>
      <c r="T119" s="2840">
        <v>79</v>
      </c>
      <c r="U119" s="3597">
        <v>79</v>
      </c>
      <c r="V119" s="2990">
        <v>79</v>
      </c>
      <c r="W119" s="3597">
        <v>79</v>
      </c>
      <c r="X119" s="3597"/>
      <c r="Y119" s="3597"/>
      <c r="Z119" s="2840">
        <v>89</v>
      </c>
      <c r="AA119" s="2840">
        <v>89</v>
      </c>
      <c r="AB119" s="2840">
        <v>89</v>
      </c>
      <c r="AC119" s="2840">
        <v>89</v>
      </c>
      <c r="AD119" s="2840">
        <v>89</v>
      </c>
      <c r="AE119" s="2990">
        <v>89</v>
      </c>
      <c r="AF119" s="2990"/>
      <c r="AG119" s="2993"/>
      <c r="AH119" s="83"/>
      <c r="AI119" s="76"/>
    </row>
    <row r="120" spans="1:35" ht="18" customHeight="1">
      <c r="A120" s="3130">
        <v>4</v>
      </c>
      <c r="B120" s="3046" t="s">
        <v>268</v>
      </c>
      <c r="C120" s="2932"/>
      <c r="D120" s="2932"/>
      <c r="E120" s="2932">
        <v>69</v>
      </c>
      <c r="F120" s="2932">
        <v>69</v>
      </c>
      <c r="G120" s="2932"/>
      <c r="H120" s="2932">
        <v>69</v>
      </c>
      <c r="I120" s="2932">
        <v>69</v>
      </c>
      <c r="J120" s="2932"/>
      <c r="K120" s="2932"/>
      <c r="L120" s="2932"/>
      <c r="M120" s="2932">
        <v>79</v>
      </c>
      <c r="N120" s="2932">
        <v>79</v>
      </c>
      <c r="O120" s="2932">
        <v>79</v>
      </c>
      <c r="P120" s="2932">
        <v>79</v>
      </c>
      <c r="Q120" s="2932"/>
      <c r="R120" s="2932"/>
      <c r="S120" s="2932">
        <v>89</v>
      </c>
      <c r="T120" s="2932">
        <v>89</v>
      </c>
      <c r="U120" s="2932">
        <v>89</v>
      </c>
      <c r="V120" s="2932">
        <v>89</v>
      </c>
      <c r="W120" s="2932">
        <v>89</v>
      </c>
      <c r="X120" s="2932">
        <v>89</v>
      </c>
      <c r="Y120" s="2932"/>
      <c r="Z120" s="2932">
        <v>99</v>
      </c>
      <c r="AA120" s="2932">
        <v>99</v>
      </c>
      <c r="AB120" s="2932">
        <v>99</v>
      </c>
      <c r="AC120" s="2932">
        <v>99</v>
      </c>
      <c r="AD120" s="2932" t="s">
        <v>35</v>
      </c>
      <c r="AE120" s="2932"/>
      <c r="AF120" s="2932"/>
      <c r="AG120" s="5302"/>
      <c r="AH120" s="83"/>
      <c r="AI120" s="76"/>
    </row>
    <row r="121" spans="1:35" ht="18" customHeight="1" thickBot="1">
      <c r="A121" s="3365">
        <v>5</v>
      </c>
      <c r="B121" s="3366" t="s">
        <v>361</v>
      </c>
      <c r="C121" s="3367"/>
      <c r="D121" s="3367"/>
      <c r="E121" s="3367">
        <v>79</v>
      </c>
      <c r="F121" s="3411">
        <v>79</v>
      </c>
      <c r="G121" s="3228"/>
      <c r="H121" s="3228">
        <v>79</v>
      </c>
      <c r="I121" s="3228">
        <v>79</v>
      </c>
      <c r="J121" s="3228"/>
      <c r="K121" s="3228"/>
      <c r="L121" s="3411"/>
      <c r="M121" s="3411">
        <v>89</v>
      </c>
      <c r="N121" s="3367">
        <v>89</v>
      </c>
      <c r="O121" s="3367">
        <v>89</v>
      </c>
      <c r="P121" s="3367">
        <v>89</v>
      </c>
      <c r="Q121" s="3367">
        <v>89</v>
      </c>
      <c r="R121" s="3367"/>
      <c r="S121" s="3411">
        <v>99</v>
      </c>
      <c r="T121" s="3368">
        <v>99</v>
      </c>
      <c r="U121" s="3367">
        <v>99</v>
      </c>
      <c r="V121" s="3367">
        <v>99</v>
      </c>
      <c r="W121" s="3284">
        <v>69</v>
      </c>
      <c r="X121" s="3367"/>
      <c r="Y121" s="3367"/>
      <c r="Z121" s="3369" t="s">
        <v>47</v>
      </c>
      <c r="AA121" s="3369" t="s">
        <v>47</v>
      </c>
      <c r="AB121" s="3367" t="s">
        <v>47</v>
      </c>
      <c r="AC121" s="3367" t="s">
        <v>47</v>
      </c>
      <c r="AD121" s="3367" t="s">
        <v>47</v>
      </c>
      <c r="AE121" s="3367"/>
      <c r="AF121" s="3367"/>
      <c r="AG121" s="3370"/>
      <c r="AH121" s="83"/>
      <c r="AI121" s="76"/>
    </row>
    <row r="122" spans="1:35" ht="18" customHeight="1">
      <c r="A122" s="36"/>
      <c r="B122" s="87"/>
      <c r="C122" s="38"/>
      <c r="D122" s="38"/>
      <c r="E122" s="38"/>
      <c r="F122" s="38"/>
      <c r="G122" s="38"/>
      <c r="H122" s="38"/>
      <c r="I122" s="38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76"/>
      <c r="AI122" s="76"/>
    </row>
    <row r="123" spans="1:35" ht="18" customHeight="1" thickBot="1">
      <c r="A123" s="77" t="s">
        <v>202</v>
      </c>
      <c r="B123" s="78"/>
      <c r="C123" s="78"/>
      <c r="D123" s="79"/>
      <c r="E123" s="79"/>
      <c r="F123" s="79"/>
      <c r="G123" s="80"/>
      <c r="H123" s="79"/>
      <c r="I123" s="79"/>
      <c r="J123" s="79"/>
      <c r="K123" s="79"/>
      <c r="L123" s="79"/>
      <c r="M123" s="79"/>
      <c r="N123" s="79"/>
      <c r="O123" s="79"/>
      <c r="P123" s="79"/>
      <c r="Q123" s="79"/>
      <c r="R123" s="79"/>
      <c r="S123" s="79"/>
      <c r="T123" s="79"/>
      <c r="U123" s="79"/>
      <c r="V123" s="79"/>
      <c r="W123" s="79"/>
      <c r="X123" s="79"/>
      <c r="Y123" s="79"/>
      <c r="Z123" s="79"/>
      <c r="AA123" s="79"/>
      <c r="AB123" s="79"/>
      <c r="AC123" s="79"/>
      <c r="AD123" s="79"/>
      <c r="AE123" s="79"/>
      <c r="AF123" s="79"/>
      <c r="AG123" s="79"/>
      <c r="AH123" s="78"/>
      <c r="AI123" s="78"/>
    </row>
    <row r="124" spans="1:35" ht="18" customHeight="1">
      <c r="A124" s="77"/>
      <c r="B124" s="3833" t="s">
        <v>186</v>
      </c>
      <c r="C124" s="3857"/>
      <c r="D124" s="3858" t="s">
        <v>87</v>
      </c>
      <c r="E124" s="3859"/>
      <c r="F124" s="3860"/>
      <c r="G124" s="3857"/>
      <c r="H124" s="3858" t="s">
        <v>88</v>
      </c>
      <c r="I124" s="3859"/>
      <c r="J124" s="3860"/>
      <c r="K124" s="3857"/>
      <c r="L124" s="3858" t="s">
        <v>89</v>
      </c>
      <c r="M124" s="3859"/>
      <c r="N124" s="3860"/>
      <c r="O124" s="3857"/>
      <c r="P124" s="3858" t="s">
        <v>90</v>
      </c>
      <c r="Q124" s="3859"/>
      <c r="R124" s="3860"/>
      <c r="S124" s="3857"/>
      <c r="T124" s="3858" t="s">
        <v>91</v>
      </c>
      <c r="U124" s="3859"/>
      <c r="V124" s="3860"/>
      <c r="W124" s="3857"/>
      <c r="X124" s="3858" t="s">
        <v>92</v>
      </c>
      <c r="Y124" s="3859"/>
      <c r="Z124" s="3860"/>
      <c r="AA124" s="3857"/>
      <c r="AB124" s="3858" t="s">
        <v>93</v>
      </c>
      <c r="AC124" s="3859"/>
      <c r="AD124" s="3859"/>
      <c r="AE124" s="3861" t="s">
        <v>94</v>
      </c>
      <c r="AF124" s="3859"/>
      <c r="AG124" s="3859"/>
      <c r="AH124" s="3859"/>
      <c r="AI124" s="3862"/>
    </row>
    <row r="125" spans="1:35" ht="18" customHeight="1">
      <c r="A125" s="77"/>
      <c r="B125" s="3348" t="s">
        <v>203</v>
      </c>
      <c r="C125" s="3013" t="s">
        <v>204</v>
      </c>
      <c r="D125" s="3109"/>
      <c r="E125" s="3109"/>
      <c r="F125" s="3110"/>
      <c r="G125" s="3013" t="s">
        <v>204</v>
      </c>
      <c r="H125" s="3109"/>
      <c r="I125" s="3109"/>
      <c r="J125" s="3110"/>
      <c r="K125" s="3013" t="s">
        <v>204</v>
      </c>
      <c r="L125" s="3109"/>
      <c r="M125" s="3109"/>
      <c r="N125" s="3110"/>
      <c r="O125" s="3013" t="s">
        <v>204</v>
      </c>
      <c r="P125" s="3109"/>
      <c r="Q125" s="3109"/>
      <c r="R125" s="3110"/>
      <c r="S125" s="3013" t="s">
        <v>204</v>
      </c>
      <c r="T125" s="3109"/>
      <c r="U125" s="3109"/>
      <c r="V125" s="3110"/>
      <c r="W125" s="3013" t="s">
        <v>205</v>
      </c>
      <c r="X125" s="3111"/>
      <c r="Y125" s="3111"/>
      <c r="Z125" s="3112"/>
      <c r="AA125" s="3013" t="s">
        <v>205</v>
      </c>
      <c r="AB125" s="3109"/>
      <c r="AC125" s="3109"/>
      <c r="AD125" s="3014"/>
      <c r="AE125" s="3113">
        <v>68</v>
      </c>
      <c r="AF125" s="88"/>
      <c r="AG125" s="88"/>
      <c r="AH125" s="88"/>
      <c r="AI125" s="89"/>
    </row>
    <row r="126" spans="1:35" ht="18" customHeight="1">
      <c r="A126" s="77"/>
      <c r="B126" s="3348" t="s">
        <v>163</v>
      </c>
      <c r="C126" s="3013" t="s">
        <v>172</v>
      </c>
      <c r="D126" s="3109"/>
      <c r="E126" s="3109"/>
      <c r="F126" s="3110"/>
      <c r="G126" s="3013" t="s">
        <v>172</v>
      </c>
      <c r="H126" s="3109"/>
      <c r="I126" s="3109"/>
      <c r="J126" s="3110"/>
      <c r="K126" s="3013" t="s">
        <v>172</v>
      </c>
      <c r="L126" s="3109"/>
      <c r="M126" s="3109"/>
      <c r="N126" s="3110"/>
      <c r="O126" s="3013" t="s">
        <v>172</v>
      </c>
      <c r="P126" s="3109"/>
      <c r="Q126" s="3109"/>
      <c r="R126" s="3110"/>
      <c r="S126" s="3013" t="s">
        <v>172</v>
      </c>
      <c r="T126" s="3109"/>
      <c r="U126" s="3109"/>
      <c r="V126" s="3110"/>
      <c r="W126" s="3013" t="s">
        <v>172</v>
      </c>
      <c r="X126" s="3109"/>
      <c r="Y126" s="3109"/>
      <c r="Z126" s="3110"/>
      <c r="AA126" s="3109" t="s">
        <v>172</v>
      </c>
      <c r="AB126" s="3109"/>
      <c r="AC126" s="3109"/>
      <c r="AD126" s="3014"/>
      <c r="AE126" s="3113">
        <v>0</v>
      </c>
      <c r="AF126" s="88"/>
      <c r="AG126" s="88"/>
      <c r="AH126" s="88"/>
      <c r="AI126" s="89"/>
    </row>
    <row r="127" spans="1:35" ht="18" customHeight="1">
      <c r="A127" s="77"/>
      <c r="B127" s="3348" t="s">
        <v>206</v>
      </c>
      <c r="C127" s="3013" t="s">
        <v>204</v>
      </c>
      <c r="D127" s="3109"/>
      <c r="E127" s="3109"/>
      <c r="F127" s="3110"/>
      <c r="G127" s="3013" t="s">
        <v>204</v>
      </c>
      <c r="H127" s="3109"/>
      <c r="I127" s="3109"/>
      <c r="J127" s="3110"/>
      <c r="K127" s="3013" t="s">
        <v>204</v>
      </c>
      <c r="L127" s="3109"/>
      <c r="M127" s="3109"/>
      <c r="N127" s="3110"/>
      <c r="O127" s="3013" t="s">
        <v>204</v>
      </c>
      <c r="P127" s="3109"/>
      <c r="Q127" s="3109"/>
      <c r="R127" s="3110"/>
      <c r="S127" s="3013" t="s">
        <v>204</v>
      </c>
      <c r="T127" s="3109"/>
      <c r="U127" s="3109"/>
      <c r="V127" s="3110"/>
      <c r="W127" s="3013" t="s">
        <v>205</v>
      </c>
      <c r="X127" s="3111"/>
      <c r="Y127" s="3111"/>
      <c r="Z127" s="3112"/>
      <c r="AA127" s="3013" t="s">
        <v>205</v>
      </c>
      <c r="AB127" s="3109"/>
      <c r="AC127" s="3109"/>
      <c r="AD127" s="3014"/>
      <c r="AE127" s="3113">
        <v>68</v>
      </c>
      <c r="AF127" s="3109"/>
      <c r="AG127" s="3109" t="s">
        <v>0</v>
      </c>
      <c r="AH127" s="3014"/>
      <c r="AI127" s="3114"/>
    </row>
    <row r="128" spans="1:35" ht="18" customHeight="1">
      <c r="A128" s="77"/>
      <c r="B128" s="3348" t="s">
        <v>173</v>
      </c>
      <c r="C128" s="3013" t="s">
        <v>172</v>
      </c>
      <c r="D128" s="3109"/>
      <c r="E128" s="3109"/>
      <c r="F128" s="3110"/>
      <c r="G128" s="3013" t="s">
        <v>172</v>
      </c>
      <c r="H128" s="3109"/>
      <c r="I128" s="3109"/>
      <c r="J128" s="3110"/>
      <c r="K128" s="3013" t="s">
        <v>172</v>
      </c>
      <c r="L128" s="3109"/>
      <c r="M128" s="3109"/>
      <c r="N128" s="3110"/>
      <c r="O128" s="3013" t="s">
        <v>172</v>
      </c>
      <c r="P128" s="3109"/>
      <c r="Q128" s="3109"/>
      <c r="R128" s="3110"/>
      <c r="S128" s="3013" t="s">
        <v>172</v>
      </c>
      <c r="T128" s="3109"/>
      <c r="U128" s="3109"/>
      <c r="V128" s="3110"/>
      <c r="W128" s="3013" t="s">
        <v>172</v>
      </c>
      <c r="X128" s="3109"/>
      <c r="Y128" s="3109"/>
      <c r="Z128" s="3110"/>
      <c r="AA128" s="3109" t="s">
        <v>172</v>
      </c>
      <c r="AB128" s="3109"/>
      <c r="AC128" s="3109"/>
      <c r="AD128" s="3014"/>
      <c r="AE128" s="3113">
        <v>0</v>
      </c>
      <c r="AF128" s="3109"/>
      <c r="AG128" s="3109"/>
      <c r="AH128" s="3014"/>
      <c r="AI128" s="3114"/>
    </row>
    <row r="129" spans="1:35" ht="18" customHeight="1">
      <c r="A129" s="77"/>
      <c r="B129" s="3348" t="s">
        <v>207</v>
      </c>
      <c r="C129" s="3013" t="s">
        <v>204</v>
      </c>
      <c r="D129" s="3109"/>
      <c r="E129" s="3109"/>
      <c r="F129" s="3110"/>
      <c r="G129" s="3013" t="s">
        <v>204</v>
      </c>
      <c r="H129" s="3109"/>
      <c r="I129" s="3109"/>
      <c r="J129" s="3110"/>
      <c r="K129" s="3013" t="s">
        <v>204</v>
      </c>
      <c r="L129" s="3109"/>
      <c r="M129" s="3109"/>
      <c r="N129" s="3110"/>
      <c r="O129" s="3013" t="s">
        <v>204</v>
      </c>
      <c r="P129" s="3109"/>
      <c r="Q129" s="3109"/>
      <c r="R129" s="3110"/>
      <c r="S129" s="3013" t="s">
        <v>204</v>
      </c>
      <c r="T129" s="3109"/>
      <c r="U129" s="3109"/>
      <c r="V129" s="3110"/>
      <c r="W129" s="3013" t="s">
        <v>208</v>
      </c>
      <c r="X129" s="3116"/>
      <c r="Y129" s="3116"/>
      <c r="Z129" s="3117"/>
      <c r="AA129" s="3013" t="s">
        <v>208</v>
      </c>
      <c r="AB129" s="3116"/>
      <c r="AC129" s="3116"/>
      <c r="AD129" s="3017"/>
      <c r="AE129" s="3113">
        <v>68</v>
      </c>
      <c r="AF129" s="3109"/>
      <c r="AG129" s="3109"/>
      <c r="AH129" s="3014"/>
      <c r="AI129" s="3114"/>
    </row>
    <row r="130" spans="1:35" ht="18" customHeight="1" thickBot="1">
      <c r="A130" s="77"/>
      <c r="B130" s="3348" t="s">
        <v>209</v>
      </c>
      <c r="C130" s="3371" t="s">
        <v>172</v>
      </c>
      <c r="D130" s="3372"/>
      <c r="E130" s="3372"/>
      <c r="F130" s="3373"/>
      <c r="G130" s="3371" t="s">
        <v>172</v>
      </c>
      <c r="H130" s="3372"/>
      <c r="I130" s="3372"/>
      <c r="J130" s="3373"/>
      <c r="K130" s="3371" t="s">
        <v>172</v>
      </c>
      <c r="L130" s="3372"/>
      <c r="M130" s="3372"/>
      <c r="N130" s="3373"/>
      <c r="O130" s="3371" t="s">
        <v>172</v>
      </c>
      <c r="P130" s="3372"/>
      <c r="Q130" s="3372"/>
      <c r="R130" s="3373"/>
      <c r="S130" s="3371" t="s">
        <v>172</v>
      </c>
      <c r="T130" s="3372"/>
      <c r="U130" s="3372"/>
      <c r="V130" s="3357"/>
      <c r="W130" s="3371" t="s">
        <v>172</v>
      </c>
      <c r="X130" s="3357"/>
      <c r="Y130" s="3372"/>
      <c r="Z130" s="3373"/>
      <c r="AA130" s="3371" t="s">
        <v>172</v>
      </c>
      <c r="AB130" s="3357"/>
      <c r="AC130" s="3372"/>
      <c r="AD130" s="3373"/>
      <c r="AE130" s="3374" t="s">
        <v>210</v>
      </c>
      <c r="AF130" s="3372"/>
      <c r="AG130" s="3372"/>
      <c r="AH130" s="3357"/>
      <c r="AI130" s="3358"/>
    </row>
    <row r="131" spans="1:35" ht="18" customHeight="1">
      <c r="A131" s="82"/>
      <c r="B131" s="77"/>
      <c r="C131" s="79"/>
      <c r="D131" s="79"/>
      <c r="E131" s="79"/>
      <c r="F131" s="79"/>
      <c r="G131" s="79"/>
      <c r="H131" s="79"/>
      <c r="I131" s="79"/>
      <c r="J131" s="79"/>
      <c r="K131" s="79"/>
      <c r="L131" s="79"/>
      <c r="M131" s="79"/>
      <c r="N131" s="79"/>
      <c r="O131" s="79"/>
      <c r="P131" s="79"/>
      <c r="Q131" s="79"/>
      <c r="R131" s="79"/>
      <c r="S131" s="79"/>
      <c r="T131" s="79"/>
      <c r="U131" s="79"/>
      <c r="V131" s="79"/>
      <c r="W131" s="79"/>
      <c r="X131" s="79"/>
      <c r="Y131" s="79"/>
      <c r="Z131" s="79"/>
      <c r="AA131" s="79"/>
      <c r="AB131" s="79"/>
      <c r="AC131" s="79"/>
      <c r="AD131" s="79"/>
      <c r="AE131" s="79"/>
      <c r="AF131" s="79"/>
      <c r="AG131" s="79"/>
      <c r="AH131" s="78"/>
      <c r="AI131" s="78"/>
    </row>
    <row r="132" spans="1:35" ht="18" customHeight="1" thickBot="1">
      <c r="A132" s="3025"/>
      <c r="B132" s="2978" t="s">
        <v>29</v>
      </c>
      <c r="C132" s="3410">
        <v>1</v>
      </c>
      <c r="D132" s="3410">
        <v>2</v>
      </c>
      <c r="E132" s="3411">
        <v>3</v>
      </c>
      <c r="F132" s="3411">
        <v>4</v>
      </c>
      <c r="G132" s="3410">
        <v>5</v>
      </c>
      <c r="H132" s="3411">
        <v>6</v>
      </c>
      <c r="I132" s="3411">
        <v>7</v>
      </c>
      <c r="J132" s="3410">
        <v>8</v>
      </c>
      <c r="K132" s="3410">
        <v>9</v>
      </c>
      <c r="L132" s="3410">
        <v>10</v>
      </c>
      <c r="M132" s="3411">
        <v>11</v>
      </c>
      <c r="N132" s="3411">
        <v>12</v>
      </c>
      <c r="O132" s="3411">
        <v>13</v>
      </c>
      <c r="P132" s="3411">
        <v>14</v>
      </c>
      <c r="Q132" s="3410">
        <v>15</v>
      </c>
      <c r="R132" s="3410">
        <v>16</v>
      </c>
      <c r="S132" s="3411">
        <v>17</v>
      </c>
      <c r="T132" s="3411">
        <v>18</v>
      </c>
      <c r="U132" s="3411">
        <v>19</v>
      </c>
      <c r="V132" s="3411">
        <v>20</v>
      </c>
      <c r="W132" s="3411">
        <v>21</v>
      </c>
      <c r="X132" s="3410">
        <v>22</v>
      </c>
      <c r="Y132" s="3410">
        <v>23</v>
      </c>
      <c r="Z132" s="3411">
        <v>24</v>
      </c>
      <c r="AA132" s="3411">
        <v>25</v>
      </c>
      <c r="AB132" s="3411">
        <v>26</v>
      </c>
      <c r="AC132" s="3411">
        <v>27</v>
      </c>
      <c r="AD132" s="3411">
        <v>28</v>
      </c>
      <c r="AE132" s="3410">
        <v>29</v>
      </c>
      <c r="AF132" s="3410">
        <v>30</v>
      </c>
      <c r="AG132" s="3585"/>
      <c r="AH132" s="23"/>
      <c r="AI132" s="24"/>
    </row>
    <row r="133" spans="1:35" ht="18" customHeight="1">
      <c r="A133" s="4302">
        <v>1</v>
      </c>
      <c r="B133" s="5245" t="s">
        <v>363</v>
      </c>
      <c r="C133" s="5303">
        <v>21</v>
      </c>
      <c r="D133" s="4340">
        <v>21</v>
      </c>
      <c r="E133" s="4340" t="s">
        <v>35</v>
      </c>
      <c r="F133" s="4340" t="s">
        <v>35</v>
      </c>
      <c r="G133" s="4340" t="s">
        <v>35</v>
      </c>
      <c r="H133" s="4340" t="s">
        <v>35</v>
      </c>
      <c r="I133" s="4340" t="s">
        <v>35</v>
      </c>
      <c r="J133" s="4340"/>
      <c r="K133" s="4340"/>
      <c r="L133" s="4340">
        <v>22</v>
      </c>
      <c r="M133" s="4340">
        <v>22</v>
      </c>
      <c r="N133" s="4340">
        <v>22</v>
      </c>
      <c r="O133" s="4340">
        <v>22</v>
      </c>
      <c r="P133" s="4340">
        <v>22</v>
      </c>
      <c r="Q133" s="4340">
        <v>22</v>
      </c>
      <c r="R133" s="4340">
        <v>22</v>
      </c>
      <c r="S133" s="4340" t="s">
        <v>35</v>
      </c>
      <c r="T133" s="4340" t="s">
        <v>35</v>
      </c>
      <c r="U133" s="4340" t="s">
        <v>35</v>
      </c>
      <c r="V133" s="4340" t="s">
        <v>35</v>
      </c>
      <c r="W133" s="4340" t="s">
        <v>35</v>
      </c>
      <c r="X133" s="4340"/>
      <c r="Y133" s="4340"/>
      <c r="Z133" s="4340">
        <v>23</v>
      </c>
      <c r="AA133" s="4340">
        <v>23</v>
      </c>
      <c r="AB133" s="4340">
        <v>23</v>
      </c>
      <c r="AC133" s="4340">
        <v>23</v>
      </c>
      <c r="AD133" s="4340">
        <v>23</v>
      </c>
      <c r="AE133" s="4340">
        <v>23</v>
      </c>
      <c r="AF133" s="4340">
        <v>23</v>
      </c>
      <c r="AG133" s="5304"/>
      <c r="AH133" s="76"/>
      <c r="AI133" s="76"/>
    </row>
    <row r="134" spans="1:35" ht="18" customHeight="1">
      <c r="A134" s="3376">
        <v>2</v>
      </c>
      <c r="B134" s="3254" t="s">
        <v>212</v>
      </c>
      <c r="C134" s="3256">
        <v>22</v>
      </c>
      <c r="D134" s="3256">
        <v>22</v>
      </c>
      <c r="E134" s="3256" t="s">
        <v>35</v>
      </c>
      <c r="F134" s="3256" t="s">
        <v>35</v>
      </c>
      <c r="G134" s="3256" t="s">
        <v>35</v>
      </c>
      <c r="H134" s="3256" t="s">
        <v>35</v>
      </c>
      <c r="I134" s="3298" t="s">
        <v>35</v>
      </c>
      <c r="J134" s="3256"/>
      <c r="K134" s="3256"/>
      <c r="L134" s="3298">
        <v>23</v>
      </c>
      <c r="M134" s="3256">
        <v>23</v>
      </c>
      <c r="N134" s="3256">
        <v>23</v>
      </c>
      <c r="O134" s="3256">
        <v>23</v>
      </c>
      <c r="P134" s="3256">
        <v>23</v>
      </c>
      <c r="Q134" s="5305">
        <v>23</v>
      </c>
      <c r="R134" s="5305">
        <v>23</v>
      </c>
      <c r="S134" s="3256" t="s">
        <v>35</v>
      </c>
      <c r="T134" s="3257" t="s">
        <v>35</v>
      </c>
      <c r="U134" s="3257" t="s">
        <v>35</v>
      </c>
      <c r="V134" s="3257" t="s">
        <v>35</v>
      </c>
      <c r="W134" s="3298" t="s">
        <v>35</v>
      </c>
      <c r="X134" s="3256"/>
      <c r="Y134" s="3256"/>
      <c r="Z134" s="3298">
        <v>21</v>
      </c>
      <c r="AA134" s="3256">
        <v>21</v>
      </c>
      <c r="AB134" s="3256">
        <v>21</v>
      </c>
      <c r="AC134" s="3256">
        <v>21</v>
      </c>
      <c r="AD134" s="3256">
        <v>21</v>
      </c>
      <c r="AE134" s="3256">
        <v>21</v>
      </c>
      <c r="AF134" s="3256">
        <v>21</v>
      </c>
      <c r="AG134" s="5247"/>
      <c r="AH134" s="76"/>
      <c r="AI134" s="76"/>
    </row>
    <row r="135" spans="1:35" ht="18" customHeight="1">
      <c r="A135" s="3376">
        <v>3</v>
      </c>
      <c r="B135" s="3254" t="s">
        <v>365</v>
      </c>
      <c r="C135" s="3256">
        <v>23</v>
      </c>
      <c r="D135" s="3256">
        <v>23</v>
      </c>
      <c r="E135" s="3256" t="s">
        <v>35</v>
      </c>
      <c r="F135" s="3256" t="s">
        <v>35</v>
      </c>
      <c r="G135" s="3257" t="s">
        <v>35</v>
      </c>
      <c r="H135" s="3257" t="s">
        <v>35</v>
      </c>
      <c r="I135" s="3298" t="s">
        <v>35</v>
      </c>
      <c r="J135" s="3256"/>
      <c r="K135" s="3256"/>
      <c r="L135" s="5306">
        <v>21</v>
      </c>
      <c r="M135" s="5306">
        <v>21</v>
      </c>
      <c r="N135" s="5306">
        <v>21</v>
      </c>
      <c r="O135" s="5306">
        <v>21</v>
      </c>
      <c r="P135" s="5306">
        <v>21</v>
      </c>
      <c r="Q135" s="5306">
        <v>21</v>
      </c>
      <c r="R135" s="5306">
        <v>21</v>
      </c>
      <c r="S135" s="3256" t="s">
        <v>35</v>
      </c>
      <c r="T135" s="3256" t="s">
        <v>35</v>
      </c>
      <c r="U135" s="3257" t="s">
        <v>35</v>
      </c>
      <c r="V135" s="3257" t="s">
        <v>35</v>
      </c>
      <c r="W135" s="3298" t="s">
        <v>35</v>
      </c>
      <c r="X135" s="3256"/>
      <c r="Y135" s="3256"/>
      <c r="Z135" s="3298">
        <v>22</v>
      </c>
      <c r="AA135" s="3256">
        <v>22</v>
      </c>
      <c r="AB135" s="3256">
        <v>22</v>
      </c>
      <c r="AC135" s="3256">
        <v>22</v>
      </c>
      <c r="AD135" s="3256">
        <v>22</v>
      </c>
      <c r="AE135" s="3256">
        <v>22</v>
      </c>
      <c r="AF135" s="3256">
        <v>22</v>
      </c>
      <c r="AG135" s="5247"/>
      <c r="AH135" s="76"/>
      <c r="AI135" s="76"/>
    </row>
    <row r="136" spans="1:35" ht="18" customHeight="1">
      <c r="A136" s="3376">
        <v>4</v>
      </c>
      <c r="B136" s="3254" t="s">
        <v>366</v>
      </c>
      <c r="C136" s="3256"/>
      <c r="D136" s="3256"/>
      <c r="E136" s="3298">
        <v>21</v>
      </c>
      <c r="F136" s="3256">
        <v>21</v>
      </c>
      <c r="G136" s="3256">
        <v>21</v>
      </c>
      <c r="H136" s="3256">
        <v>21</v>
      </c>
      <c r="I136" s="3256">
        <v>21</v>
      </c>
      <c r="J136" s="3256">
        <v>21</v>
      </c>
      <c r="K136" s="3256">
        <v>21</v>
      </c>
      <c r="L136" s="3256" t="s">
        <v>35</v>
      </c>
      <c r="M136" s="3256" t="s">
        <v>35</v>
      </c>
      <c r="N136" s="3256" t="s">
        <v>35</v>
      </c>
      <c r="O136" s="3379" t="s">
        <v>35</v>
      </c>
      <c r="P136" s="3298" t="s">
        <v>35</v>
      </c>
      <c r="Q136" s="3256"/>
      <c r="R136" s="3256"/>
      <c r="S136" s="3298">
        <v>22</v>
      </c>
      <c r="T136" s="3256">
        <v>22</v>
      </c>
      <c r="U136" s="3256">
        <v>22</v>
      </c>
      <c r="V136" s="3256">
        <v>22</v>
      </c>
      <c r="W136" s="3256">
        <v>22</v>
      </c>
      <c r="X136" s="3256">
        <v>22</v>
      </c>
      <c r="Y136" s="3256">
        <v>22</v>
      </c>
      <c r="Z136" s="3256" t="s">
        <v>35</v>
      </c>
      <c r="AA136" s="3256" t="s">
        <v>35</v>
      </c>
      <c r="AB136" s="3256" t="s">
        <v>35</v>
      </c>
      <c r="AC136" s="3256" t="s">
        <v>35</v>
      </c>
      <c r="AD136" s="3298" t="s">
        <v>35</v>
      </c>
      <c r="AE136" s="3256"/>
      <c r="AF136" s="3256"/>
      <c r="AG136" s="5271"/>
      <c r="AH136" s="76"/>
      <c r="AI136" s="76"/>
    </row>
    <row r="137" spans="1:35" ht="18" customHeight="1">
      <c r="A137" s="3376">
        <v>5</v>
      </c>
      <c r="B137" s="3254" t="s">
        <v>1012</v>
      </c>
      <c r="C137" s="3256"/>
      <c r="D137" s="3256"/>
      <c r="E137" s="3298">
        <v>22</v>
      </c>
      <c r="F137" s="3256">
        <v>22</v>
      </c>
      <c r="G137" s="3256">
        <v>22</v>
      </c>
      <c r="H137" s="3256">
        <v>22</v>
      </c>
      <c r="I137" s="3256">
        <v>22</v>
      </c>
      <c r="J137" s="3256">
        <v>22</v>
      </c>
      <c r="K137" s="3256">
        <v>22</v>
      </c>
      <c r="L137" s="3256" t="s">
        <v>35</v>
      </c>
      <c r="M137" s="3256" t="s">
        <v>35</v>
      </c>
      <c r="N137" s="3256" t="s">
        <v>35</v>
      </c>
      <c r="O137" s="5307">
        <v>21</v>
      </c>
      <c r="P137" s="5307" t="s">
        <v>455</v>
      </c>
      <c r="Q137" s="3256"/>
      <c r="R137" s="3256"/>
      <c r="S137" s="3298">
        <v>23</v>
      </c>
      <c r="T137" s="3256">
        <v>23</v>
      </c>
      <c r="U137" s="3256">
        <v>23</v>
      </c>
      <c r="V137" s="3256">
        <v>23</v>
      </c>
      <c r="W137" s="3256">
        <v>23</v>
      </c>
      <c r="X137" s="3256">
        <v>23</v>
      </c>
      <c r="Y137" s="3256">
        <v>23</v>
      </c>
      <c r="Z137" s="3256" t="s">
        <v>35</v>
      </c>
      <c r="AA137" s="3256" t="s">
        <v>35</v>
      </c>
      <c r="AB137" s="3256" t="s">
        <v>35</v>
      </c>
      <c r="AC137" s="3257" t="s">
        <v>35</v>
      </c>
      <c r="AD137" s="3257" t="s">
        <v>35</v>
      </c>
      <c r="AE137" s="3257"/>
      <c r="AF137" s="3256"/>
      <c r="AG137" s="5271"/>
      <c r="AH137" s="76"/>
      <c r="AI137" s="76"/>
    </row>
    <row r="138" spans="1:35" ht="18" customHeight="1" thickBot="1">
      <c r="A138" s="405">
        <v>6</v>
      </c>
      <c r="B138" s="406" t="s">
        <v>217</v>
      </c>
      <c r="C138" s="418"/>
      <c r="D138" s="418"/>
      <c r="E138" s="408">
        <v>23</v>
      </c>
      <c r="F138" s="418">
        <v>23</v>
      </c>
      <c r="G138" s="418">
        <v>23</v>
      </c>
      <c r="H138" s="409">
        <v>23</v>
      </c>
      <c r="I138" s="409">
        <v>23</v>
      </c>
      <c r="J138" s="409">
        <v>23</v>
      </c>
      <c r="K138" s="409">
        <v>23</v>
      </c>
      <c r="L138" s="409" t="s">
        <v>35</v>
      </c>
      <c r="M138" s="409" t="s">
        <v>35</v>
      </c>
      <c r="N138" s="410" t="s">
        <v>35</v>
      </c>
      <c r="O138" s="410" t="s">
        <v>35</v>
      </c>
      <c r="P138" s="408" t="s">
        <v>35</v>
      </c>
      <c r="Q138" s="467">
        <v>21</v>
      </c>
      <c r="R138" s="467">
        <v>21</v>
      </c>
      <c r="S138" s="408">
        <v>21</v>
      </c>
      <c r="T138" s="418">
        <v>21</v>
      </c>
      <c r="U138" s="418">
        <v>21</v>
      </c>
      <c r="V138" s="418">
        <v>21</v>
      </c>
      <c r="W138" s="418">
        <v>21</v>
      </c>
      <c r="X138" s="418">
        <v>21</v>
      </c>
      <c r="Y138" s="418">
        <v>21</v>
      </c>
      <c r="Z138" s="418" t="s">
        <v>35</v>
      </c>
      <c r="AA138" s="418" t="s">
        <v>35</v>
      </c>
      <c r="AB138" s="410" t="s">
        <v>35</v>
      </c>
      <c r="AC138" s="410" t="s">
        <v>35</v>
      </c>
      <c r="AD138" s="408" t="s">
        <v>35</v>
      </c>
      <c r="AE138" s="418"/>
      <c r="AF138" s="418"/>
      <c r="AG138" s="90"/>
      <c r="AH138" s="76"/>
      <c r="AI138" s="76"/>
    </row>
    <row r="139" spans="1:35" ht="18" customHeight="1">
      <c r="A139" s="36"/>
      <c r="B139" s="87"/>
      <c r="C139" s="91"/>
      <c r="D139" s="91"/>
      <c r="E139" s="85"/>
      <c r="F139" s="91"/>
      <c r="G139" s="91"/>
      <c r="H139" s="91"/>
      <c r="I139" s="91"/>
      <c r="J139" s="91"/>
      <c r="K139" s="91"/>
      <c r="L139" s="91"/>
      <c r="M139" s="91"/>
      <c r="N139" s="91"/>
      <c r="O139" s="91"/>
      <c r="P139" s="85"/>
      <c r="Q139" s="91"/>
      <c r="R139" s="91"/>
      <c r="S139" s="85"/>
      <c r="T139" s="91"/>
      <c r="U139" s="91"/>
      <c r="V139" s="91"/>
      <c r="W139" s="91"/>
      <c r="X139" s="91"/>
      <c r="Y139" s="91"/>
      <c r="Z139" s="91"/>
      <c r="AA139" s="91"/>
      <c r="AB139" s="91"/>
      <c r="AC139" s="92"/>
      <c r="AD139" s="92"/>
      <c r="AE139" s="92"/>
      <c r="AF139" s="91"/>
      <c r="AG139" s="85"/>
      <c r="AH139" s="76"/>
      <c r="AI139" s="76"/>
    </row>
    <row r="140" spans="1:35" ht="18" customHeight="1" thickBot="1">
      <c r="A140" s="14" t="s">
        <v>218</v>
      </c>
      <c r="D140" s="17"/>
      <c r="E140" s="17"/>
      <c r="F140" s="17"/>
      <c r="G140" s="80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  <c r="AG140" s="17"/>
    </row>
    <row r="141" spans="1:35" ht="18" customHeight="1">
      <c r="A141" s="1"/>
      <c r="B141" s="3833" t="s">
        <v>186</v>
      </c>
      <c r="C141" s="3834"/>
      <c r="D141" s="3858" t="s">
        <v>87</v>
      </c>
      <c r="E141" s="3640"/>
      <c r="F141" s="3838"/>
      <c r="G141" s="3834"/>
      <c r="H141" s="3858" t="s">
        <v>88</v>
      </c>
      <c r="I141" s="3640"/>
      <c r="J141" s="3838"/>
      <c r="K141" s="3834"/>
      <c r="L141" s="3858" t="s">
        <v>89</v>
      </c>
      <c r="M141" s="3640"/>
      <c r="N141" s="3838"/>
      <c r="O141" s="3834"/>
      <c r="P141" s="3858" t="s">
        <v>90</v>
      </c>
      <c r="Q141" s="3640"/>
      <c r="R141" s="3838"/>
      <c r="S141" s="3834"/>
      <c r="T141" s="3858" t="s">
        <v>91</v>
      </c>
      <c r="U141" s="3640"/>
      <c r="V141" s="3838"/>
      <c r="W141" s="3834"/>
      <c r="X141" s="3858" t="s">
        <v>92</v>
      </c>
      <c r="Y141" s="3640"/>
      <c r="Z141" s="3838"/>
      <c r="AA141" s="3834"/>
      <c r="AB141" s="3858" t="s">
        <v>93</v>
      </c>
      <c r="AC141" s="3640"/>
      <c r="AD141" s="3640"/>
      <c r="AE141" s="3861" t="s">
        <v>94</v>
      </c>
      <c r="AF141" s="3640"/>
      <c r="AG141" s="3640"/>
      <c r="AH141" s="3640"/>
      <c r="AI141" s="3641"/>
    </row>
    <row r="142" spans="1:35" ht="18" customHeight="1">
      <c r="A142" s="1"/>
      <c r="B142" s="3348" t="s">
        <v>159</v>
      </c>
      <c r="C142" s="3013" t="s">
        <v>368</v>
      </c>
      <c r="D142" s="3568"/>
      <c r="E142" s="3568"/>
      <c r="F142" s="3110"/>
      <c r="G142" s="3013" t="s">
        <v>368</v>
      </c>
      <c r="H142" s="3568"/>
      <c r="I142" s="3568"/>
      <c r="J142" s="3110"/>
      <c r="K142" s="3013" t="s">
        <v>368</v>
      </c>
      <c r="L142" s="3568"/>
      <c r="M142" s="3568"/>
      <c r="N142" s="3110"/>
      <c r="O142" s="3013" t="s">
        <v>195</v>
      </c>
      <c r="P142" s="3568"/>
      <c r="Q142" s="3568"/>
      <c r="R142" s="3110"/>
      <c r="S142" s="3013" t="s">
        <v>172</v>
      </c>
      <c r="T142" s="3568"/>
      <c r="U142" s="3568"/>
      <c r="V142" s="3110"/>
      <c r="W142" s="3158"/>
      <c r="X142" s="3159"/>
      <c r="Y142" s="3159"/>
      <c r="Z142" s="3112"/>
      <c r="AA142" s="3108"/>
      <c r="AB142" s="3568"/>
      <c r="AC142" s="3568"/>
      <c r="AD142" s="3014"/>
      <c r="AE142" s="3113">
        <v>27</v>
      </c>
      <c r="AF142" s="3568"/>
      <c r="AG142" s="3568"/>
      <c r="AH142" s="3014"/>
      <c r="AI142" s="3437"/>
    </row>
    <row r="143" spans="1:35" ht="18" customHeight="1">
      <c r="A143" s="1"/>
      <c r="B143" s="3348" t="s">
        <v>163</v>
      </c>
      <c r="C143" s="3013" t="s">
        <v>188</v>
      </c>
      <c r="D143" s="3568"/>
      <c r="E143" s="3568"/>
      <c r="F143" s="3110"/>
      <c r="G143" s="3013" t="s">
        <v>188</v>
      </c>
      <c r="H143" s="3568"/>
      <c r="I143" s="3568"/>
      <c r="J143" s="3110"/>
      <c r="K143" s="3013" t="s">
        <v>188</v>
      </c>
      <c r="L143" s="3568"/>
      <c r="M143" s="3568"/>
      <c r="N143" s="3110"/>
      <c r="O143" s="3013" t="s">
        <v>188</v>
      </c>
      <c r="P143" s="3568"/>
      <c r="Q143" s="3568"/>
      <c r="R143" s="3110"/>
      <c r="S143" s="3013" t="s">
        <v>368</v>
      </c>
      <c r="T143" s="3568"/>
      <c r="U143" s="3568"/>
      <c r="V143" s="3110"/>
      <c r="W143" s="3013"/>
      <c r="X143" s="3568"/>
      <c r="Y143" s="3568"/>
      <c r="Z143" s="3110"/>
      <c r="AA143" s="3568"/>
      <c r="AB143" s="3568"/>
      <c r="AC143" s="3568"/>
      <c r="AD143" s="3014"/>
      <c r="AE143" s="3113">
        <v>39</v>
      </c>
      <c r="AF143" s="3568"/>
      <c r="AG143" s="3568"/>
      <c r="AH143" s="3014"/>
      <c r="AI143" s="3437"/>
    </row>
    <row r="144" spans="1:35" ht="18" customHeight="1">
      <c r="A144" s="1"/>
      <c r="B144" s="3348" t="s">
        <v>171</v>
      </c>
      <c r="C144" s="3013" t="s">
        <v>188</v>
      </c>
      <c r="D144" s="3568"/>
      <c r="E144" s="3568"/>
      <c r="F144" s="3110"/>
      <c r="G144" s="3013" t="s">
        <v>188</v>
      </c>
      <c r="H144" s="3568"/>
      <c r="I144" s="3568"/>
      <c r="J144" s="3110"/>
      <c r="K144" s="3013" t="s">
        <v>188</v>
      </c>
      <c r="L144" s="3568"/>
      <c r="M144" s="3568"/>
      <c r="N144" s="3110"/>
      <c r="O144" s="3013" t="s">
        <v>188</v>
      </c>
      <c r="P144" s="3568"/>
      <c r="Q144" s="3568"/>
      <c r="R144" s="3110"/>
      <c r="S144" s="3013" t="s">
        <v>188</v>
      </c>
      <c r="T144" s="3568"/>
      <c r="U144" s="3568"/>
      <c r="V144" s="3110"/>
      <c r="W144" s="3016" t="s">
        <v>221</v>
      </c>
      <c r="X144" s="3580"/>
      <c r="Y144" s="3580"/>
      <c r="Z144" s="3117"/>
      <c r="AA144" s="3115"/>
      <c r="AB144" s="3580"/>
      <c r="AC144" s="3580"/>
      <c r="AD144" s="3017"/>
      <c r="AE144" s="3113">
        <v>45</v>
      </c>
      <c r="AF144" s="3568"/>
      <c r="AG144" s="3568"/>
      <c r="AH144" s="3014"/>
      <c r="AI144" s="3437"/>
    </row>
    <row r="145" spans="1:35" ht="18" customHeight="1" thickBot="1">
      <c r="A145" s="1"/>
      <c r="B145" s="4309" t="s">
        <v>173</v>
      </c>
      <c r="C145" s="3371"/>
      <c r="D145" s="3268"/>
      <c r="E145" s="3268"/>
      <c r="F145" s="3373"/>
      <c r="G145" s="3371"/>
      <c r="H145" s="3268"/>
      <c r="I145" s="3268"/>
      <c r="J145" s="3373"/>
      <c r="K145" s="3371"/>
      <c r="L145" s="3268"/>
      <c r="M145" s="3268"/>
      <c r="N145" s="3373"/>
      <c r="O145" s="3371"/>
      <c r="P145" s="3268"/>
      <c r="Q145" s="3268"/>
      <c r="R145" s="3373"/>
      <c r="S145" s="3371"/>
      <c r="T145" s="3268"/>
      <c r="U145" s="3268"/>
      <c r="V145" s="3357"/>
      <c r="W145" s="3371"/>
      <c r="X145" s="3357"/>
      <c r="Y145" s="3268"/>
      <c r="Z145" s="3373"/>
      <c r="AA145" s="3371"/>
      <c r="AB145" s="3357"/>
      <c r="AC145" s="3268"/>
      <c r="AD145" s="3373"/>
      <c r="AE145" s="3383"/>
      <c r="AF145" s="3268"/>
      <c r="AG145" s="3268"/>
      <c r="AH145" s="3357"/>
      <c r="AI145" s="3275"/>
    </row>
    <row r="146" spans="1:35" ht="18" customHeight="1">
      <c r="A146" s="82"/>
      <c r="B146" s="1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  <c r="AG146" s="17"/>
      <c r="AH146" s="271"/>
      <c r="AI146" s="271"/>
    </row>
    <row r="147" spans="1:35" ht="18" customHeight="1" thickBot="1">
      <c r="A147" s="3025"/>
      <c r="B147" s="2978" t="s">
        <v>29</v>
      </c>
      <c r="C147" s="3410">
        <v>1</v>
      </c>
      <c r="D147" s="3410">
        <v>2</v>
      </c>
      <c r="E147" s="3411">
        <v>3</v>
      </c>
      <c r="F147" s="3411">
        <v>4</v>
      </c>
      <c r="G147" s="3410">
        <v>5</v>
      </c>
      <c r="H147" s="3411">
        <v>6</v>
      </c>
      <c r="I147" s="3411">
        <v>7</v>
      </c>
      <c r="J147" s="3410">
        <v>8</v>
      </c>
      <c r="K147" s="3410">
        <v>9</v>
      </c>
      <c r="L147" s="3410">
        <v>10</v>
      </c>
      <c r="M147" s="3411">
        <v>11</v>
      </c>
      <c r="N147" s="3411">
        <v>12</v>
      </c>
      <c r="O147" s="3411">
        <v>13</v>
      </c>
      <c r="P147" s="3411">
        <v>14</v>
      </c>
      <c r="Q147" s="3410">
        <v>15</v>
      </c>
      <c r="R147" s="3410">
        <v>16</v>
      </c>
      <c r="S147" s="3411">
        <v>17</v>
      </c>
      <c r="T147" s="3411">
        <v>18</v>
      </c>
      <c r="U147" s="3411">
        <v>19</v>
      </c>
      <c r="V147" s="3411">
        <v>20</v>
      </c>
      <c r="W147" s="3411">
        <v>21</v>
      </c>
      <c r="X147" s="3410">
        <v>22</v>
      </c>
      <c r="Y147" s="3410">
        <v>23</v>
      </c>
      <c r="Z147" s="3411">
        <v>24</v>
      </c>
      <c r="AA147" s="3411">
        <v>25</v>
      </c>
      <c r="AB147" s="3411">
        <v>26</v>
      </c>
      <c r="AC147" s="3411">
        <v>27</v>
      </c>
      <c r="AD147" s="3411">
        <v>28</v>
      </c>
      <c r="AE147" s="3410">
        <v>29</v>
      </c>
      <c r="AF147" s="3410">
        <v>30</v>
      </c>
      <c r="AG147" s="3585"/>
      <c r="AH147" s="5308"/>
      <c r="AI147" s="272"/>
    </row>
    <row r="148" spans="1:35" ht="18" customHeight="1">
      <c r="A148" s="4282">
        <v>1</v>
      </c>
      <c r="B148" s="4311" t="s">
        <v>223</v>
      </c>
      <c r="C148" s="4312"/>
      <c r="D148" s="4312"/>
      <c r="E148" s="4141" t="s">
        <v>31</v>
      </c>
      <c r="F148" s="4141" t="s">
        <v>31</v>
      </c>
      <c r="G148" s="4312"/>
      <c r="H148" s="4141" t="s">
        <v>31</v>
      </c>
      <c r="I148" s="4141" t="s">
        <v>31</v>
      </c>
      <c r="J148" s="4312"/>
      <c r="K148" s="4312"/>
      <c r="L148" s="4312"/>
      <c r="M148" s="5240" t="s">
        <v>31</v>
      </c>
      <c r="N148" s="4312" t="s">
        <v>31</v>
      </c>
      <c r="O148" s="4312" t="s">
        <v>31</v>
      </c>
      <c r="P148" s="4312" t="s">
        <v>31</v>
      </c>
      <c r="Q148" s="4312"/>
      <c r="R148" s="4312"/>
      <c r="S148" s="4312" t="s">
        <v>31</v>
      </c>
      <c r="T148" s="4312" t="s">
        <v>31</v>
      </c>
      <c r="U148" s="4312" t="s">
        <v>31</v>
      </c>
      <c r="V148" s="4312" t="s">
        <v>31</v>
      </c>
      <c r="W148" s="4141" t="s">
        <v>31</v>
      </c>
      <c r="X148" s="4312"/>
      <c r="Y148" s="4312"/>
      <c r="Z148" s="4312" t="s">
        <v>31</v>
      </c>
      <c r="AA148" s="4312" t="s">
        <v>31</v>
      </c>
      <c r="AB148" s="4312" t="s">
        <v>31</v>
      </c>
      <c r="AC148" s="4312" t="s">
        <v>31</v>
      </c>
      <c r="AD148" s="4312" t="s">
        <v>31</v>
      </c>
      <c r="AE148" s="4312"/>
      <c r="AF148" s="4312"/>
      <c r="AG148" s="5309"/>
      <c r="AH148" s="34"/>
      <c r="AI148" s="273"/>
    </row>
    <row r="149" spans="1:35" ht="18" customHeight="1">
      <c r="A149" s="3130">
        <v>2</v>
      </c>
      <c r="B149" s="3161" t="s">
        <v>224</v>
      </c>
      <c r="C149" s="3162"/>
      <c r="D149" s="3163"/>
      <c r="E149" s="3162" t="s">
        <v>115</v>
      </c>
      <c r="F149" s="3162" t="s">
        <v>115</v>
      </c>
      <c r="G149" s="3162"/>
      <c r="H149" s="3162" t="s">
        <v>115</v>
      </c>
      <c r="I149" s="3162" t="s">
        <v>115</v>
      </c>
      <c r="J149" s="3162" t="s">
        <v>115</v>
      </c>
      <c r="K149" s="3162"/>
      <c r="L149" s="3162"/>
      <c r="M149" s="3162" t="s">
        <v>225</v>
      </c>
      <c r="N149" s="3162" t="s">
        <v>225</v>
      </c>
      <c r="O149" s="3162" t="s">
        <v>225</v>
      </c>
      <c r="P149" s="3162" t="s">
        <v>35</v>
      </c>
      <c r="Q149" s="3162"/>
      <c r="R149" s="3162"/>
      <c r="S149" s="3162" t="s">
        <v>114</v>
      </c>
      <c r="T149" s="3162" t="s">
        <v>114</v>
      </c>
      <c r="U149" s="3162" t="s">
        <v>114</v>
      </c>
      <c r="V149" s="3162" t="s">
        <v>114</v>
      </c>
      <c r="W149" s="3162" t="s">
        <v>114</v>
      </c>
      <c r="X149" s="3162" t="s">
        <v>115</v>
      </c>
      <c r="Y149" s="3163"/>
      <c r="Z149" s="3162" t="s">
        <v>115</v>
      </c>
      <c r="AA149" s="3162" t="s">
        <v>115</v>
      </c>
      <c r="AB149" s="3162" t="s">
        <v>115</v>
      </c>
      <c r="AC149" s="3162" t="s">
        <v>115</v>
      </c>
      <c r="AD149" s="3162" t="s">
        <v>115</v>
      </c>
      <c r="AE149" s="3603" t="s">
        <v>115</v>
      </c>
      <c r="AF149" s="3162"/>
      <c r="AG149" s="3164"/>
      <c r="AH149" s="34"/>
      <c r="AI149" s="25"/>
    </row>
    <row r="150" spans="1:35" ht="18" customHeight="1">
      <c r="A150" s="3130">
        <v>3</v>
      </c>
      <c r="B150" s="3161"/>
      <c r="C150" s="3162" t="s">
        <v>115</v>
      </c>
      <c r="D150" s="3162"/>
      <c r="E150" s="3162" t="s">
        <v>225</v>
      </c>
      <c r="F150" s="3162" t="s">
        <v>225</v>
      </c>
      <c r="G150" s="3162"/>
      <c r="H150" s="3162" t="s">
        <v>225</v>
      </c>
      <c r="I150" s="3162" t="s">
        <v>35</v>
      </c>
      <c r="J150" s="3162"/>
      <c r="K150" s="3162"/>
      <c r="L150" s="3162"/>
      <c r="M150" s="3162" t="s">
        <v>114</v>
      </c>
      <c r="N150" s="3162" t="s">
        <v>114</v>
      </c>
      <c r="O150" s="3162" t="s">
        <v>114</v>
      </c>
      <c r="P150" s="3162" t="s">
        <v>114</v>
      </c>
      <c r="Q150" s="3162"/>
      <c r="R150" s="3162"/>
      <c r="S150" s="3162" t="s">
        <v>115</v>
      </c>
      <c r="T150" s="3162" t="s">
        <v>115</v>
      </c>
      <c r="U150" s="3162" t="s">
        <v>115</v>
      </c>
      <c r="V150" s="3162" t="s">
        <v>115</v>
      </c>
      <c r="W150" s="3162" t="s">
        <v>115</v>
      </c>
      <c r="X150" s="3162" t="s">
        <v>115</v>
      </c>
      <c r="Y150" s="3162"/>
      <c r="Z150" s="3162" t="s">
        <v>225</v>
      </c>
      <c r="AA150" s="3162" t="s">
        <v>225</v>
      </c>
      <c r="AB150" s="3162" t="s">
        <v>225</v>
      </c>
      <c r="AC150" s="3162" t="s">
        <v>225</v>
      </c>
      <c r="AD150" s="3162" t="s">
        <v>35</v>
      </c>
      <c r="AE150" s="3162"/>
      <c r="AF150" s="3162"/>
      <c r="AG150" s="3164"/>
      <c r="AH150" s="34"/>
      <c r="AI150" s="25"/>
    </row>
    <row r="151" spans="1:35" ht="18" customHeight="1">
      <c r="A151" s="3130">
        <v>4</v>
      </c>
      <c r="B151" s="3165" t="s">
        <v>227</v>
      </c>
      <c r="C151" s="3162"/>
      <c r="D151" s="3162"/>
      <c r="E151" s="3162" t="s">
        <v>31</v>
      </c>
      <c r="F151" s="3162"/>
      <c r="G151" s="3162"/>
      <c r="H151" s="3162"/>
      <c r="I151" s="3162" t="s">
        <v>31</v>
      </c>
      <c r="J151" s="3162"/>
      <c r="K151" s="3162"/>
      <c r="L151" s="3162"/>
      <c r="M151" s="3162"/>
      <c r="N151" s="3162"/>
      <c r="O151" s="3162"/>
      <c r="P151" s="3162" t="s">
        <v>31</v>
      </c>
      <c r="Q151" s="3162"/>
      <c r="R151" s="3162"/>
      <c r="S151" s="3162" t="s">
        <v>31</v>
      </c>
      <c r="T151" s="3162"/>
      <c r="U151" s="3162" t="s">
        <v>31</v>
      </c>
      <c r="V151" s="3162"/>
      <c r="W151" s="3162" t="s">
        <v>31</v>
      </c>
      <c r="X151" s="3162"/>
      <c r="Y151" s="3162"/>
      <c r="Z151" s="3162" t="s">
        <v>31</v>
      </c>
      <c r="AA151" s="3162"/>
      <c r="AB151" s="3162" t="s">
        <v>31</v>
      </c>
      <c r="AC151" s="3162"/>
      <c r="AD151" s="3162" t="s">
        <v>31</v>
      </c>
      <c r="AE151" s="3162"/>
      <c r="AF151" s="3162"/>
      <c r="AG151" s="3164"/>
      <c r="AH151" s="34"/>
      <c r="AI151" s="25"/>
    </row>
    <row r="152" spans="1:35" ht="18" customHeight="1">
      <c r="A152" s="3130">
        <v>5</v>
      </c>
      <c r="B152" s="3165" t="s">
        <v>228</v>
      </c>
      <c r="C152" s="3162"/>
      <c r="D152" s="3162"/>
      <c r="E152" s="3162"/>
      <c r="F152" s="3162" t="s">
        <v>31</v>
      </c>
      <c r="G152" s="3162"/>
      <c r="H152" s="3162" t="s">
        <v>31</v>
      </c>
      <c r="I152" s="3162"/>
      <c r="J152" s="3162"/>
      <c r="K152" s="3162"/>
      <c r="L152" s="3162"/>
      <c r="M152" s="3162" t="s">
        <v>31</v>
      </c>
      <c r="N152" s="3162"/>
      <c r="O152" s="3162" t="s">
        <v>31</v>
      </c>
      <c r="P152" s="3162"/>
      <c r="Q152" s="3162"/>
      <c r="R152" s="3162"/>
      <c r="S152" s="3162"/>
      <c r="T152" s="3162" t="s">
        <v>31</v>
      </c>
      <c r="U152" s="3162"/>
      <c r="V152" s="3162" t="s">
        <v>31</v>
      </c>
      <c r="W152" s="3162"/>
      <c r="X152" s="3162"/>
      <c r="Y152" s="3162"/>
      <c r="Z152" s="3162"/>
      <c r="AA152" s="3162" t="s">
        <v>31</v>
      </c>
      <c r="AB152" s="3162"/>
      <c r="AC152" s="5310" t="s">
        <v>31</v>
      </c>
      <c r="AD152" s="3162"/>
      <c r="AE152" s="3162"/>
      <c r="AF152" s="3162"/>
      <c r="AG152" s="3164"/>
      <c r="AH152" s="34"/>
      <c r="AI152" s="25"/>
    </row>
    <row r="153" spans="1:35" ht="18" customHeight="1" thickBot="1">
      <c r="A153" s="3365">
        <v>6</v>
      </c>
      <c r="B153" s="3279" t="s">
        <v>229</v>
      </c>
      <c r="C153" s="5311"/>
      <c r="D153" s="5311"/>
      <c r="E153" s="5312" t="s">
        <v>31</v>
      </c>
      <c r="F153" s="5312" t="s">
        <v>31</v>
      </c>
      <c r="G153" s="5311"/>
      <c r="H153" s="5312" t="s">
        <v>31</v>
      </c>
      <c r="I153" s="5312" t="s">
        <v>31</v>
      </c>
      <c r="J153" s="5311"/>
      <c r="K153" s="5311"/>
      <c r="L153" s="5311"/>
      <c r="M153" s="5311" t="s">
        <v>31</v>
      </c>
      <c r="N153" s="5311" t="s">
        <v>31</v>
      </c>
      <c r="O153" s="5311" t="s">
        <v>31</v>
      </c>
      <c r="P153" s="5311" t="s">
        <v>31</v>
      </c>
      <c r="Q153" s="5311"/>
      <c r="R153" s="5311"/>
      <c r="S153" s="5311" t="s">
        <v>31</v>
      </c>
      <c r="T153" s="5311" t="s">
        <v>31</v>
      </c>
      <c r="U153" s="5311" t="s">
        <v>31</v>
      </c>
      <c r="V153" s="5311" t="s">
        <v>31</v>
      </c>
      <c r="W153" s="5311" t="s">
        <v>31</v>
      </c>
      <c r="X153" s="5311"/>
      <c r="Y153" s="5311"/>
      <c r="Z153" s="5311" t="s">
        <v>31</v>
      </c>
      <c r="AA153" s="5311" t="s">
        <v>31</v>
      </c>
      <c r="AB153" s="5311" t="s">
        <v>31</v>
      </c>
      <c r="AC153" s="5311" t="s">
        <v>31</v>
      </c>
      <c r="AD153" s="3287" t="s">
        <v>31</v>
      </c>
      <c r="AE153" s="5311"/>
      <c r="AF153" s="5311"/>
      <c r="AG153" s="5313"/>
      <c r="AH153" s="93"/>
      <c r="AI153" s="76"/>
    </row>
    <row r="154" spans="1:35" ht="18" customHeight="1">
      <c r="A154" s="36"/>
      <c r="B154" s="87"/>
      <c r="C154" s="133"/>
      <c r="D154" s="133"/>
      <c r="E154" s="133"/>
      <c r="F154" s="133"/>
      <c r="G154" s="133"/>
      <c r="H154" s="133"/>
      <c r="I154" s="133"/>
      <c r="J154" s="133"/>
      <c r="K154" s="133"/>
      <c r="L154" s="133"/>
      <c r="M154" s="133"/>
      <c r="N154" s="133"/>
      <c r="O154" s="133"/>
      <c r="P154" s="133"/>
      <c r="Q154" s="133"/>
      <c r="R154" s="133"/>
      <c r="S154" s="133"/>
      <c r="T154" s="133"/>
      <c r="U154" s="133"/>
      <c r="V154" s="133"/>
      <c r="W154" s="133"/>
      <c r="X154" s="133"/>
      <c r="Y154" s="133"/>
      <c r="Z154" s="133"/>
      <c r="AA154" s="133"/>
      <c r="AB154" s="133"/>
      <c r="AC154" s="133"/>
      <c r="AD154" s="78"/>
      <c r="AE154" s="78"/>
      <c r="AF154" s="78"/>
      <c r="AG154" s="78"/>
      <c r="AH154" s="76"/>
      <c r="AI154" s="76"/>
    </row>
    <row r="155" spans="1:35" ht="18" customHeight="1" thickBot="1">
      <c r="A155" s="94" t="s">
        <v>230</v>
      </c>
      <c r="B155" s="17"/>
      <c r="C155" s="38" t="s">
        <v>96</v>
      </c>
      <c r="D155" s="17"/>
      <c r="E155" s="17"/>
      <c r="F155" s="38" t="s">
        <v>96</v>
      </c>
      <c r="G155" s="17"/>
      <c r="H155" s="17"/>
      <c r="I155" s="38" t="s">
        <v>96</v>
      </c>
      <c r="J155" s="38"/>
      <c r="K155" s="17"/>
      <c r="L155" s="38" t="s">
        <v>96</v>
      </c>
      <c r="M155" s="17"/>
      <c r="N155" s="17"/>
      <c r="O155" s="38" t="s">
        <v>96</v>
      </c>
      <c r="P155" s="17"/>
      <c r="Q155" s="38"/>
      <c r="R155" s="38" t="s">
        <v>96</v>
      </c>
      <c r="S155" s="17"/>
      <c r="T155" s="17"/>
      <c r="U155" s="38" t="s">
        <v>96</v>
      </c>
      <c r="V155" s="17"/>
      <c r="W155" s="38"/>
      <c r="X155" s="38"/>
      <c r="Y155" s="17"/>
      <c r="Z155" s="17"/>
      <c r="AA155" s="17"/>
      <c r="AB155" s="17"/>
      <c r="AC155" s="17"/>
      <c r="AD155" s="17"/>
      <c r="AE155" s="38"/>
      <c r="AF155" s="17"/>
      <c r="AG155" s="17"/>
      <c r="AH155" s="76"/>
      <c r="AI155" s="76"/>
    </row>
    <row r="156" spans="1:35" ht="18" customHeight="1">
      <c r="A156" s="36"/>
      <c r="B156" s="5314" t="s">
        <v>231</v>
      </c>
      <c r="C156" s="5315"/>
      <c r="D156" s="5316" t="s">
        <v>87</v>
      </c>
      <c r="E156" s="5317"/>
      <c r="F156" s="5318"/>
      <c r="G156" s="5319"/>
      <c r="H156" s="5316" t="s">
        <v>88</v>
      </c>
      <c r="I156" s="5317"/>
      <c r="J156" s="5318"/>
      <c r="K156" s="5319"/>
      <c r="L156" s="5316" t="s">
        <v>89</v>
      </c>
      <c r="M156" s="5317"/>
      <c r="N156" s="5318"/>
      <c r="O156" s="5319"/>
      <c r="P156" s="5316" t="s">
        <v>90</v>
      </c>
      <c r="Q156" s="5317"/>
      <c r="R156" s="5318"/>
      <c r="S156" s="5319"/>
      <c r="T156" s="5316" t="s">
        <v>91</v>
      </c>
      <c r="U156" s="5317"/>
      <c r="V156" s="5318"/>
      <c r="W156" s="5319"/>
      <c r="X156" s="5316" t="s">
        <v>92</v>
      </c>
      <c r="Y156" s="5317"/>
      <c r="Z156" s="5318"/>
      <c r="AA156" s="5319"/>
      <c r="AB156" s="5316" t="s">
        <v>93</v>
      </c>
      <c r="AC156" s="5317"/>
      <c r="AD156" s="5317"/>
      <c r="AE156" s="5320" t="s">
        <v>94</v>
      </c>
      <c r="AF156" s="5317"/>
      <c r="AG156" s="5317"/>
      <c r="AH156" s="5317"/>
      <c r="AI156" s="5321"/>
    </row>
    <row r="157" spans="1:35" ht="18" customHeight="1">
      <c r="A157" s="36"/>
      <c r="B157" s="5322" t="s">
        <v>232</v>
      </c>
      <c r="C157" s="3393" t="s">
        <v>233</v>
      </c>
      <c r="D157" s="3176" t="s">
        <v>369</v>
      </c>
      <c r="E157" s="3177"/>
      <c r="F157" s="3178"/>
      <c r="G157" s="3393"/>
      <c r="H157" s="3176" t="s">
        <v>369</v>
      </c>
      <c r="I157" s="3177"/>
      <c r="J157" s="3178"/>
      <c r="K157" s="3393"/>
      <c r="L157" s="3176" t="s">
        <v>369</v>
      </c>
      <c r="M157" s="3177"/>
      <c r="N157" s="3178"/>
      <c r="O157" s="3393"/>
      <c r="P157" s="3176" t="s">
        <v>370</v>
      </c>
      <c r="Q157" s="3177"/>
      <c r="R157" s="3178"/>
      <c r="S157" s="3393"/>
      <c r="T157" s="3176" t="s">
        <v>236</v>
      </c>
      <c r="U157" s="3177"/>
      <c r="V157" s="3178"/>
      <c r="W157" s="3393"/>
      <c r="X157" s="3177"/>
      <c r="Y157" s="3177"/>
      <c r="Z157" s="3178"/>
      <c r="AA157" s="3393"/>
      <c r="AB157" s="3177"/>
      <c r="AC157" s="3177"/>
      <c r="AD157" s="3177"/>
      <c r="AE157" s="3393"/>
      <c r="AF157" s="3177"/>
      <c r="AG157" s="3177"/>
      <c r="AH157" s="3179"/>
      <c r="AI157" s="3394"/>
    </row>
    <row r="158" spans="1:35" ht="18" customHeight="1">
      <c r="A158" s="36"/>
      <c r="B158" s="5323" t="s">
        <v>371</v>
      </c>
      <c r="C158" s="3393" t="s">
        <v>237</v>
      </c>
      <c r="D158" s="3176" t="s">
        <v>369</v>
      </c>
      <c r="E158" s="3177"/>
      <c r="F158" s="3178"/>
      <c r="G158" s="3393"/>
      <c r="H158" s="3176" t="s">
        <v>369</v>
      </c>
      <c r="I158" s="3177"/>
      <c r="J158" s="3178"/>
      <c r="K158" s="3393"/>
      <c r="L158" s="3176" t="s">
        <v>369</v>
      </c>
      <c r="M158" s="3177"/>
      <c r="N158" s="3178"/>
      <c r="O158" s="3393"/>
      <c r="P158" s="3176" t="s">
        <v>370</v>
      </c>
      <c r="Q158" s="3177"/>
      <c r="R158" s="3178"/>
      <c r="S158" s="3393"/>
      <c r="T158" s="3176" t="s">
        <v>236</v>
      </c>
      <c r="U158" s="3177"/>
      <c r="V158" s="3178"/>
      <c r="W158" s="3393"/>
      <c r="X158" s="3177"/>
      <c r="Y158" s="3177"/>
      <c r="Z158" s="3178"/>
      <c r="AA158" s="3393"/>
      <c r="AB158" s="3177"/>
      <c r="AC158" s="3177"/>
      <c r="AD158" s="3177"/>
      <c r="AE158" s="3393"/>
      <c r="AF158" s="3177"/>
      <c r="AG158" s="3177"/>
      <c r="AH158" s="3179"/>
      <c r="AI158" s="3394"/>
    </row>
    <row r="159" spans="1:35" ht="18" customHeight="1">
      <c r="A159" s="36"/>
      <c r="B159" s="5323" t="s">
        <v>238</v>
      </c>
      <c r="C159" s="3393" t="s">
        <v>201</v>
      </c>
      <c r="D159" s="3176" t="s">
        <v>369</v>
      </c>
      <c r="E159" s="3177"/>
      <c r="F159" s="3178"/>
      <c r="G159" s="3393"/>
      <c r="H159" s="3176" t="s">
        <v>369</v>
      </c>
      <c r="I159" s="3177"/>
      <c r="J159" s="3178"/>
      <c r="K159" s="3393"/>
      <c r="L159" s="3176" t="s">
        <v>369</v>
      </c>
      <c r="M159" s="3177"/>
      <c r="N159" s="3178"/>
      <c r="O159" s="3393"/>
      <c r="P159" s="3176" t="s">
        <v>370</v>
      </c>
      <c r="Q159" s="3177"/>
      <c r="R159" s="3178"/>
      <c r="S159" s="3393"/>
      <c r="T159" s="3176" t="s">
        <v>236</v>
      </c>
      <c r="U159" s="3177"/>
      <c r="V159" s="3178"/>
      <c r="W159" s="3393"/>
      <c r="X159" s="3177"/>
      <c r="Y159" s="3177"/>
      <c r="Z159" s="3178"/>
      <c r="AA159" s="3393"/>
      <c r="AB159" s="3177"/>
      <c r="AC159" s="3177"/>
      <c r="AD159" s="3177"/>
      <c r="AE159" s="3393"/>
      <c r="AF159" s="3177"/>
      <c r="AG159" s="3177"/>
      <c r="AH159" s="3179"/>
      <c r="AI159" s="3394"/>
    </row>
    <row r="160" spans="1:35" ht="18" customHeight="1">
      <c r="A160" s="36"/>
      <c r="B160" s="5323" t="s">
        <v>239</v>
      </c>
      <c r="C160" s="3393" t="s">
        <v>121</v>
      </c>
      <c r="D160" s="3176" t="s">
        <v>369</v>
      </c>
      <c r="E160" s="3177"/>
      <c r="F160" s="3178"/>
      <c r="G160" s="3393"/>
      <c r="H160" s="3176" t="s">
        <v>369</v>
      </c>
      <c r="I160" s="3177"/>
      <c r="J160" s="3178"/>
      <c r="K160" s="3393"/>
      <c r="L160" s="3176" t="s">
        <v>369</v>
      </c>
      <c r="M160" s="3177"/>
      <c r="N160" s="3178"/>
      <c r="O160" s="3393"/>
      <c r="P160" s="3176" t="s">
        <v>370</v>
      </c>
      <c r="Q160" s="3177"/>
      <c r="R160" s="3178"/>
      <c r="S160" s="3393"/>
      <c r="T160" s="3176" t="s">
        <v>236</v>
      </c>
      <c r="U160" s="3177"/>
      <c r="V160" s="3178"/>
      <c r="W160" s="3393"/>
      <c r="X160" s="3177"/>
      <c r="Y160" s="3177"/>
      <c r="Z160" s="3178"/>
      <c r="AA160" s="3393"/>
      <c r="AB160" s="3177"/>
      <c r="AC160" s="3177"/>
      <c r="AD160" s="3177"/>
      <c r="AE160" s="3393"/>
      <c r="AF160" s="3177"/>
      <c r="AG160" s="3177"/>
      <c r="AH160" s="3179"/>
      <c r="AI160" s="3394"/>
    </row>
    <row r="161" spans="1:35" ht="18" customHeight="1">
      <c r="A161" s="36"/>
      <c r="B161" s="5323" t="s">
        <v>243</v>
      </c>
      <c r="C161" s="3393" t="s">
        <v>244</v>
      </c>
      <c r="D161" s="3176" t="s">
        <v>369</v>
      </c>
      <c r="E161" s="3177"/>
      <c r="F161" s="3178"/>
      <c r="G161" s="3393"/>
      <c r="H161" s="3176" t="s">
        <v>369</v>
      </c>
      <c r="I161" s="3177"/>
      <c r="J161" s="3178"/>
      <c r="K161" s="3393"/>
      <c r="L161" s="3176" t="s">
        <v>369</v>
      </c>
      <c r="M161" s="3177"/>
      <c r="N161" s="3178"/>
      <c r="O161" s="3393"/>
      <c r="P161" s="3176" t="s">
        <v>370</v>
      </c>
      <c r="Q161" s="3177"/>
      <c r="R161" s="3178"/>
      <c r="S161" s="3393"/>
      <c r="T161" s="3180" t="s">
        <v>242</v>
      </c>
      <c r="U161" s="3177"/>
      <c r="V161" s="3178"/>
      <c r="W161" s="3393"/>
      <c r="X161" s="3177"/>
      <c r="Y161" s="3177"/>
      <c r="Z161" s="3178"/>
      <c r="AA161" s="3393"/>
      <c r="AB161" s="3177"/>
      <c r="AC161" s="3177"/>
      <c r="AD161" s="3177"/>
      <c r="AE161" s="3393"/>
      <c r="AF161" s="3177"/>
      <c r="AG161" s="3177"/>
      <c r="AH161" s="3179"/>
      <c r="AI161" s="3394"/>
    </row>
    <row r="162" spans="1:35" ht="18" customHeight="1">
      <c r="A162" s="36"/>
      <c r="B162" s="5323" t="s">
        <v>248</v>
      </c>
      <c r="C162" s="3393" t="s">
        <v>128</v>
      </c>
      <c r="D162" s="3176" t="s">
        <v>234</v>
      </c>
      <c r="E162" s="3177"/>
      <c r="F162" s="3178"/>
      <c r="G162" s="3393"/>
      <c r="H162" s="3180" t="s">
        <v>234</v>
      </c>
      <c r="I162" s="3177"/>
      <c r="J162" s="3178"/>
      <c r="K162" s="3393"/>
      <c r="L162" s="3180" t="s">
        <v>234</v>
      </c>
      <c r="M162" s="3177"/>
      <c r="N162" s="3178"/>
      <c r="O162" s="3393"/>
      <c r="P162" s="3180" t="s">
        <v>234</v>
      </c>
      <c r="Q162" s="3177"/>
      <c r="R162" s="3178"/>
      <c r="S162" s="3393"/>
      <c r="T162" s="3180" t="s">
        <v>245</v>
      </c>
      <c r="U162" s="3177"/>
      <c r="V162" s="3178"/>
      <c r="W162" s="3393"/>
      <c r="X162" s="3177"/>
      <c r="Y162" s="3177"/>
      <c r="Z162" s="3178"/>
      <c r="AA162" s="3393"/>
      <c r="AB162" s="3177"/>
      <c r="AC162" s="3177"/>
      <c r="AD162" s="3177"/>
      <c r="AE162" s="3393"/>
      <c r="AF162" s="3177"/>
      <c r="AG162" s="3177"/>
      <c r="AH162" s="3179"/>
      <c r="AI162" s="3394"/>
    </row>
    <row r="163" spans="1:35" ht="18" customHeight="1">
      <c r="A163" s="36"/>
      <c r="B163" s="5323" t="s">
        <v>249</v>
      </c>
      <c r="C163" s="3393" t="s">
        <v>250</v>
      </c>
      <c r="D163" s="3176" t="s">
        <v>369</v>
      </c>
      <c r="E163" s="3177"/>
      <c r="F163" s="3178"/>
      <c r="G163" s="3393"/>
      <c r="H163" s="3176" t="s">
        <v>369</v>
      </c>
      <c r="I163" s="3177"/>
      <c r="J163" s="3178"/>
      <c r="K163" s="3393"/>
      <c r="L163" s="3176" t="s">
        <v>369</v>
      </c>
      <c r="M163" s="3177"/>
      <c r="N163" s="3178"/>
      <c r="O163" s="3393"/>
      <c r="P163" s="3176" t="s">
        <v>370</v>
      </c>
      <c r="Q163" s="3177"/>
      <c r="R163" s="3178"/>
      <c r="S163" s="3393"/>
      <c r="T163" s="3176" t="s">
        <v>236</v>
      </c>
      <c r="U163" s="3177"/>
      <c r="V163" s="3178"/>
      <c r="W163" s="3393"/>
      <c r="X163" s="3177"/>
      <c r="Y163" s="3177"/>
      <c r="Z163" s="3178"/>
      <c r="AA163" s="3393"/>
      <c r="AB163" s="3177"/>
      <c r="AC163" s="3177"/>
      <c r="AD163" s="3177"/>
      <c r="AE163" s="3393"/>
      <c r="AF163" s="3177"/>
      <c r="AG163" s="3177"/>
      <c r="AH163" s="3179"/>
      <c r="AI163" s="3394"/>
    </row>
    <row r="164" spans="1:35" ht="18" customHeight="1">
      <c r="A164" s="36"/>
      <c r="B164" s="5323" t="s">
        <v>249</v>
      </c>
      <c r="C164" s="3393" t="s">
        <v>251</v>
      </c>
      <c r="D164" s="3176" t="s">
        <v>369</v>
      </c>
      <c r="E164" s="3177"/>
      <c r="F164" s="3178"/>
      <c r="G164" s="3393"/>
      <c r="H164" s="3176" t="s">
        <v>369</v>
      </c>
      <c r="I164" s="3177"/>
      <c r="J164" s="3178"/>
      <c r="K164" s="3393"/>
      <c r="L164" s="3176" t="s">
        <v>369</v>
      </c>
      <c r="M164" s="3177"/>
      <c r="N164" s="3178"/>
      <c r="O164" s="3393"/>
      <c r="P164" s="3176" t="s">
        <v>370</v>
      </c>
      <c r="Q164" s="3177"/>
      <c r="R164" s="3178"/>
      <c r="S164" s="3393"/>
      <c r="T164" s="3176" t="s">
        <v>236</v>
      </c>
      <c r="U164" s="3177"/>
      <c r="V164" s="3178"/>
      <c r="W164" s="3393"/>
      <c r="X164" s="3177"/>
      <c r="Y164" s="3177"/>
      <c r="Z164" s="3178"/>
      <c r="AA164" s="3393"/>
      <c r="AB164" s="3177"/>
      <c r="AC164" s="3177"/>
      <c r="AD164" s="3177"/>
      <c r="AE164" s="3393"/>
      <c r="AF164" s="3177"/>
      <c r="AG164" s="3177"/>
      <c r="AH164" s="3179"/>
      <c r="AI164" s="3394"/>
    </row>
    <row r="165" spans="1:35" ht="18" customHeight="1">
      <c r="A165" s="36"/>
      <c r="B165" s="5323" t="s">
        <v>252</v>
      </c>
      <c r="C165" s="3393" t="s">
        <v>253</v>
      </c>
      <c r="D165" s="3176" t="s">
        <v>369</v>
      </c>
      <c r="E165" s="3177"/>
      <c r="F165" s="3178"/>
      <c r="G165" s="3393"/>
      <c r="H165" s="3176" t="s">
        <v>369</v>
      </c>
      <c r="I165" s="3177"/>
      <c r="J165" s="3178"/>
      <c r="K165" s="3393"/>
      <c r="L165" s="3176" t="s">
        <v>369</v>
      </c>
      <c r="M165" s="3177"/>
      <c r="N165" s="3178"/>
      <c r="O165" s="3393"/>
      <c r="P165" s="3176" t="s">
        <v>370</v>
      </c>
      <c r="Q165" s="3177"/>
      <c r="R165" s="3178"/>
      <c r="S165" s="3393"/>
      <c r="T165" s="3176" t="s">
        <v>236</v>
      </c>
      <c r="U165" s="3177"/>
      <c r="V165" s="3178"/>
      <c r="W165" s="3393"/>
      <c r="X165" s="3177"/>
      <c r="Y165" s="3177"/>
      <c r="Z165" s="3178"/>
      <c r="AA165" s="3393"/>
      <c r="AB165" s="3177"/>
      <c r="AC165" s="3177"/>
      <c r="AD165" s="3177"/>
      <c r="AE165" s="3393"/>
      <c r="AF165" s="3177"/>
      <c r="AG165" s="3177"/>
      <c r="AH165" s="3179"/>
      <c r="AI165" s="3394"/>
    </row>
    <row r="166" spans="1:35" ht="18" customHeight="1">
      <c r="A166" s="36"/>
      <c r="B166" s="469" t="s">
        <v>255</v>
      </c>
      <c r="C166" s="1196" t="s">
        <v>123</v>
      </c>
      <c r="D166" s="419" t="s">
        <v>369</v>
      </c>
      <c r="E166" s="420"/>
      <c r="F166" s="481"/>
      <c r="G166" s="1196"/>
      <c r="H166" s="419" t="s">
        <v>369</v>
      </c>
      <c r="I166" s="420"/>
      <c r="J166" s="481"/>
      <c r="K166" s="1196"/>
      <c r="L166" s="419" t="s">
        <v>369</v>
      </c>
      <c r="M166" s="420"/>
      <c r="N166" s="481"/>
      <c r="O166" s="1196"/>
      <c r="P166" s="419" t="s">
        <v>370</v>
      </c>
      <c r="Q166" s="420"/>
      <c r="R166" s="481"/>
      <c r="S166" s="1196"/>
      <c r="T166" s="419" t="s">
        <v>236</v>
      </c>
      <c r="U166" s="420"/>
      <c r="V166" s="481"/>
      <c r="W166" s="1196"/>
      <c r="X166" s="420"/>
      <c r="Y166" s="420"/>
      <c r="Z166" s="481"/>
      <c r="AA166" s="1196"/>
      <c r="AB166" s="420"/>
      <c r="AC166" s="420"/>
      <c r="AD166" s="420"/>
      <c r="AE166" s="1196"/>
      <c r="AF166" s="420"/>
      <c r="AG166" s="420"/>
      <c r="AH166" s="421"/>
      <c r="AI166" s="1197"/>
    </row>
    <row r="167" spans="1:35" ht="18" customHeight="1">
      <c r="A167" s="36"/>
      <c r="B167" s="5323" t="s">
        <v>256</v>
      </c>
      <c r="C167" s="3393" t="s">
        <v>146</v>
      </c>
      <c r="D167" s="3176" t="s">
        <v>369</v>
      </c>
      <c r="E167" s="3177"/>
      <c r="F167" s="3178"/>
      <c r="G167" s="3393"/>
      <c r="H167" s="3176" t="s">
        <v>369</v>
      </c>
      <c r="I167" s="3177"/>
      <c r="J167" s="3178"/>
      <c r="K167" s="3393"/>
      <c r="L167" s="3176" t="s">
        <v>369</v>
      </c>
      <c r="M167" s="3177"/>
      <c r="N167" s="3177"/>
      <c r="O167" s="3393"/>
      <c r="P167" s="3176" t="s">
        <v>370</v>
      </c>
      <c r="Q167" s="3177"/>
      <c r="R167" s="3177"/>
      <c r="S167" s="3393"/>
      <c r="T167" s="3176" t="s">
        <v>236</v>
      </c>
      <c r="U167" s="3177"/>
      <c r="V167" s="3177"/>
      <c r="W167" s="3393"/>
      <c r="X167" s="3177"/>
      <c r="Y167" s="3177"/>
      <c r="Z167" s="3177"/>
      <c r="AA167" s="3393"/>
      <c r="AB167" s="3177"/>
      <c r="AC167" s="3177"/>
      <c r="AD167" s="3177"/>
      <c r="AE167" s="3393"/>
      <c r="AF167" s="3177"/>
      <c r="AG167" s="3177"/>
      <c r="AH167" s="3179"/>
      <c r="AI167" s="3394"/>
    </row>
    <row r="168" spans="1:35" ht="18" customHeight="1">
      <c r="A168" s="36"/>
      <c r="B168" s="5323" t="s">
        <v>257</v>
      </c>
      <c r="C168" s="3396" t="s">
        <v>136</v>
      </c>
      <c r="D168" s="3176" t="s">
        <v>369</v>
      </c>
      <c r="E168" s="3177"/>
      <c r="F168" s="3178"/>
      <c r="G168" s="3393"/>
      <c r="H168" s="3176" t="s">
        <v>369</v>
      </c>
      <c r="I168" s="3177"/>
      <c r="J168" s="3178"/>
      <c r="K168" s="3393"/>
      <c r="L168" s="3176" t="s">
        <v>369</v>
      </c>
      <c r="M168" s="3177"/>
      <c r="N168" s="3177"/>
      <c r="O168" s="3393"/>
      <c r="P168" s="3176" t="s">
        <v>370</v>
      </c>
      <c r="Q168" s="3177"/>
      <c r="R168" s="3177"/>
      <c r="S168" s="3393"/>
      <c r="T168" s="3176" t="s">
        <v>236</v>
      </c>
      <c r="U168" s="3177"/>
      <c r="V168" s="3177"/>
      <c r="W168" s="3397"/>
      <c r="X168" s="3177"/>
      <c r="Y168" s="3177"/>
      <c r="Z168" s="3177"/>
      <c r="AA168" s="3393"/>
      <c r="AB168" s="3177"/>
      <c r="AC168" s="3177"/>
      <c r="AD168" s="3177"/>
      <c r="AE168" s="3393"/>
      <c r="AF168" s="3177"/>
      <c r="AG168" s="3177"/>
      <c r="AH168" s="3179"/>
      <c r="AI168" s="3394"/>
    </row>
    <row r="169" spans="1:35" ht="18" customHeight="1" thickBot="1">
      <c r="A169" s="36"/>
      <c r="B169" s="95" t="s">
        <v>259</v>
      </c>
      <c r="C169" s="5324" t="s">
        <v>112</v>
      </c>
      <c r="D169" s="5325" t="s">
        <v>369</v>
      </c>
      <c r="E169" s="5326"/>
      <c r="F169" s="5327"/>
      <c r="G169" s="5328"/>
      <c r="H169" s="5325" t="s">
        <v>369</v>
      </c>
      <c r="I169" s="5326"/>
      <c r="J169" s="5327"/>
      <c r="K169" s="5328"/>
      <c r="L169" s="5325" t="s">
        <v>369</v>
      </c>
      <c r="M169" s="5326"/>
      <c r="N169" s="5326"/>
      <c r="O169" s="5328"/>
      <c r="P169" s="5329" t="s">
        <v>372</v>
      </c>
      <c r="Q169" s="5326"/>
      <c r="R169" s="5326"/>
      <c r="S169" s="5328"/>
      <c r="T169" s="5329" t="s">
        <v>242</v>
      </c>
      <c r="U169" s="5326"/>
      <c r="V169" s="5326"/>
      <c r="W169" s="5330"/>
      <c r="X169" s="5326"/>
      <c r="Y169" s="5326"/>
      <c r="Z169" s="5327"/>
      <c r="AA169" s="5331"/>
      <c r="AB169" s="4769"/>
      <c r="AC169" s="4769"/>
      <c r="AD169" s="4769"/>
      <c r="AE169" s="5328"/>
      <c r="AF169" s="4769"/>
      <c r="AG169" s="4769"/>
      <c r="AH169" s="5332"/>
      <c r="AI169" s="5333"/>
    </row>
    <row r="170" spans="1:35" ht="18" customHeight="1">
      <c r="A170" s="36"/>
      <c r="C170" s="38"/>
      <c r="D170" s="17"/>
      <c r="E170" s="17"/>
      <c r="F170" s="17"/>
      <c r="G170" s="17"/>
      <c r="H170" s="17"/>
      <c r="I170" s="38"/>
      <c r="J170" s="38"/>
      <c r="K170" s="17"/>
      <c r="L170" s="17"/>
      <c r="M170" s="17"/>
      <c r="N170" s="17"/>
      <c r="O170" s="17"/>
      <c r="P170" s="17"/>
      <c r="Q170" s="38"/>
      <c r="R170" s="17"/>
      <c r="S170" s="17"/>
      <c r="T170" s="17"/>
      <c r="U170" s="17"/>
      <c r="V170" s="17"/>
      <c r="W170" s="38"/>
      <c r="X170" s="38"/>
      <c r="Y170" s="17"/>
      <c r="Z170" s="17"/>
      <c r="AA170" s="17"/>
      <c r="AB170" s="17"/>
      <c r="AC170" s="17"/>
      <c r="AD170" s="17"/>
      <c r="AE170" s="38"/>
      <c r="AF170" s="17"/>
      <c r="AG170" s="17"/>
      <c r="AH170" s="76"/>
      <c r="AI170" s="76"/>
    </row>
    <row r="171" spans="1:35" ht="18" customHeight="1" thickBot="1">
      <c r="A171" s="96"/>
      <c r="B171" s="460" t="s">
        <v>29</v>
      </c>
      <c r="C171" s="3410">
        <v>1</v>
      </c>
      <c r="D171" s="3410">
        <v>2</v>
      </c>
      <c r="E171" s="3411">
        <v>3</v>
      </c>
      <c r="F171" s="3411">
        <v>4</v>
      </c>
      <c r="G171" s="3410">
        <v>5</v>
      </c>
      <c r="H171" s="3411">
        <v>6</v>
      </c>
      <c r="I171" s="3411">
        <v>7</v>
      </c>
      <c r="J171" s="3410">
        <v>8</v>
      </c>
      <c r="K171" s="3410">
        <v>9</v>
      </c>
      <c r="L171" s="3410">
        <v>10</v>
      </c>
      <c r="M171" s="3411">
        <v>11</v>
      </c>
      <c r="N171" s="3411">
        <v>12</v>
      </c>
      <c r="O171" s="3411">
        <v>13</v>
      </c>
      <c r="P171" s="3411">
        <v>14</v>
      </c>
      <c r="Q171" s="3410">
        <v>15</v>
      </c>
      <c r="R171" s="3410">
        <v>16</v>
      </c>
      <c r="S171" s="3411">
        <v>17</v>
      </c>
      <c r="T171" s="3411">
        <v>18</v>
      </c>
      <c r="U171" s="3411">
        <v>19</v>
      </c>
      <c r="V171" s="3411">
        <v>20</v>
      </c>
      <c r="W171" s="3411">
        <v>21</v>
      </c>
      <c r="X171" s="3410">
        <v>22</v>
      </c>
      <c r="Y171" s="3410">
        <v>23</v>
      </c>
      <c r="Z171" s="3411">
        <v>24</v>
      </c>
      <c r="AA171" s="3411">
        <v>25</v>
      </c>
      <c r="AB171" s="3411">
        <v>26</v>
      </c>
      <c r="AC171" s="3411">
        <v>27</v>
      </c>
      <c r="AD171" s="3411">
        <v>28</v>
      </c>
      <c r="AE171" s="3410">
        <v>29</v>
      </c>
      <c r="AF171" s="3410">
        <v>30</v>
      </c>
      <c r="AG171" s="3585"/>
      <c r="AH171" s="97"/>
      <c r="AI171" s="24"/>
    </row>
    <row r="172" spans="1:35" ht="18" customHeight="1">
      <c r="A172" s="36"/>
      <c r="B172" s="5334" t="s">
        <v>262</v>
      </c>
      <c r="C172" s="5335"/>
      <c r="D172" s="5335"/>
      <c r="E172" s="5335" t="s">
        <v>233</v>
      </c>
      <c r="F172" s="5335" t="s">
        <v>233</v>
      </c>
      <c r="G172" s="5335"/>
      <c r="H172" s="5335" t="s">
        <v>233</v>
      </c>
      <c r="I172" s="5335" t="s">
        <v>233</v>
      </c>
      <c r="J172" s="5335"/>
      <c r="K172" s="5335"/>
      <c r="L172" s="5335"/>
      <c r="M172" s="5335" t="s">
        <v>233</v>
      </c>
      <c r="N172" s="5335" t="s">
        <v>233</v>
      </c>
      <c r="O172" s="5335" t="s">
        <v>233</v>
      </c>
      <c r="P172" s="5335" t="s">
        <v>233</v>
      </c>
      <c r="Q172" s="5335"/>
      <c r="R172" s="5335"/>
      <c r="S172" s="5335" t="s">
        <v>233</v>
      </c>
      <c r="T172" s="5335" t="s">
        <v>233</v>
      </c>
      <c r="U172" s="5335" t="s">
        <v>233</v>
      </c>
      <c r="V172" s="5335" t="s">
        <v>233</v>
      </c>
      <c r="W172" s="5335" t="s">
        <v>233</v>
      </c>
      <c r="X172" s="5335"/>
      <c r="Y172" s="5335"/>
      <c r="Z172" s="5335" t="s">
        <v>233</v>
      </c>
      <c r="AA172" s="5335" t="s">
        <v>233</v>
      </c>
      <c r="AB172" s="5335" t="s">
        <v>233</v>
      </c>
      <c r="AC172" s="5335" t="s">
        <v>233</v>
      </c>
      <c r="AD172" s="5335" t="s">
        <v>233</v>
      </c>
      <c r="AE172" s="5335"/>
      <c r="AF172" s="5335"/>
      <c r="AG172" s="5336"/>
      <c r="AH172" s="25"/>
      <c r="AI172" s="25"/>
    </row>
    <row r="173" spans="1:35" ht="18" customHeight="1">
      <c r="A173" s="36"/>
      <c r="B173" s="3314" t="s">
        <v>263</v>
      </c>
      <c r="C173" s="3298"/>
      <c r="D173" s="3298"/>
      <c r="E173" s="3298" t="s">
        <v>233</v>
      </c>
      <c r="F173" s="3298" t="s">
        <v>233</v>
      </c>
      <c r="G173" s="3298"/>
      <c r="H173" s="3294"/>
      <c r="I173" s="3298" t="s">
        <v>233</v>
      </c>
      <c r="J173" s="3298"/>
      <c r="K173" s="3298"/>
      <c r="L173" s="3298"/>
      <c r="M173" s="3298" t="s">
        <v>233</v>
      </c>
      <c r="N173" s="3298" t="s">
        <v>233</v>
      </c>
      <c r="O173" s="3298" t="s">
        <v>233</v>
      </c>
      <c r="P173" s="3298" t="s">
        <v>233</v>
      </c>
      <c r="Q173" s="3298"/>
      <c r="R173" s="3298"/>
      <c r="S173" s="3298" t="s">
        <v>233</v>
      </c>
      <c r="T173" s="3298" t="s">
        <v>233</v>
      </c>
      <c r="U173" s="3298" t="s">
        <v>233</v>
      </c>
      <c r="V173" s="3298" t="s">
        <v>233</v>
      </c>
      <c r="W173" s="3298" t="s">
        <v>233</v>
      </c>
      <c r="X173" s="3298"/>
      <c r="Y173" s="3298"/>
      <c r="Z173" s="3298" t="s">
        <v>233</v>
      </c>
      <c r="AA173" s="3298" t="s">
        <v>233</v>
      </c>
      <c r="AB173" s="3298" t="s">
        <v>233</v>
      </c>
      <c r="AC173" s="3298" t="s">
        <v>233</v>
      </c>
      <c r="AD173" s="3298" t="s">
        <v>233</v>
      </c>
      <c r="AE173" s="3298"/>
      <c r="AF173" s="3298"/>
      <c r="AG173" s="5271"/>
      <c r="AH173" s="25"/>
      <c r="AI173" s="25"/>
    </row>
    <row r="174" spans="1:35" ht="18" customHeight="1">
      <c r="A174" s="36"/>
      <c r="B174" s="3314" t="s">
        <v>409</v>
      </c>
      <c r="C174" s="3298"/>
      <c r="D174" s="3298"/>
      <c r="E174" s="3298" t="s">
        <v>237</v>
      </c>
      <c r="F174" s="3298" t="s">
        <v>237</v>
      </c>
      <c r="G174" s="3298"/>
      <c r="H174" s="3298" t="s">
        <v>237</v>
      </c>
      <c r="I174" s="5254" t="s">
        <v>237</v>
      </c>
      <c r="J174" s="3298"/>
      <c r="K174" s="3298"/>
      <c r="L174" s="3298"/>
      <c r="M174" s="3298" t="s">
        <v>237</v>
      </c>
      <c r="N174" s="3298" t="s">
        <v>237</v>
      </c>
      <c r="O174" s="3298" t="s">
        <v>237</v>
      </c>
      <c r="P174" s="3298" t="s">
        <v>237</v>
      </c>
      <c r="Q174" s="3298"/>
      <c r="R174" s="3298"/>
      <c r="S174" s="3298" t="s">
        <v>237</v>
      </c>
      <c r="T174" s="3298" t="s">
        <v>237</v>
      </c>
      <c r="U174" s="3298" t="s">
        <v>237</v>
      </c>
      <c r="V174" s="3298" t="s">
        <v>237</v>
      </c>
      <c r="W174" s="3298" t="s">
        <v>237</v>
      </c>
      <c r="X174" s="3298"/>
      <c r="Y174" s="3298"/>
      <c r="Z174" s="3298" t="s">
        <v>237</v>
      </c>
      <c r="AA174" s="3298" t="s">
        <v>237</v>
      </c>
      <c r="AB174" s="3298" t="s">
        <v>237</v>
      </c>
      <c r="AC174" s="3298" t="s">
        <v>237</v>
      </c>
      <c r="AD174" s="3298" t="s">
        <v>237</v>
      </c>
      <c r="AE174" s="3298"/>
      <c r="AF174" s="3298"/>
      <c r="AG174" s="5271"/>
      <c r="AH174" s="25"/>
      <c r="AI174" s="25"/>
    </row>
    <row r="175" spans="1:35" ht="18" customHeight="1">
      <c r="A175" s="36"/>
      <c r="B175" s="3314" t="s">
        <v>266</v>
      </c>
      <c r="C175" s="5251"/>
      <c r="D175" s="5251"/>
      <c r="E175" s="5337" t="s">
        <v>201</v>
      </c>
      <c r="F175" s="5251" t="s">
        <v>201</v>
      </c>
      <c r="G175" s="5251"/>
      <c r="H175" s="5251" t="s">
        <v>201</v>
      </c>
      <c r="I175" s="5251" t="s">
        <v>201</v>
      </c>
      <c r="J175" s="5251"/>
      <c r="K175" s="5251"/>
      <c r="L175" s="5251"/>
      <c r="M175" s="5251" t="s">
        <v>201</v>
      </c>
      <c r="N175" s="5251" t="s">
        <v>201</v>
      </c>
      <c r="O175" s="5251" t="s">
        <v>201</v>
      </c>
      <c r="P175" s="5251" t="s">
        <v>201</v>
      </c>
      <c r="Q175" s="5251"/>
      <c r="R175" s="5251"/>
      <c r="S175" s="3298" t="s">
        <v>201</v>
      </c>
      <c r="T175" s="3298" t="s">
        <v>201</v>
      </c>
      <c r="U175" s="3298" t="s">
        <v>201</v>
      </c>
      <c r="V175" s="3298" t="s">
        <v>201</v>
      </c>
      <c r="W175" s="3298" t="s">
        <v>201</v>
      </c>
      <c r="X175" s="3298"/>
      <c r="Y175" s="3298"/>
      <c r="Z175" s="3298" t="s">
        <v>201</v>
      </c>
      <c r="AA175" s="3298" t="s">
        <v>201</v>
      </c>
      <c r="AB175" s="3298" t="s">
        <v>201</v>
      </c>
      <c r="AC175" s="3298" t="s">
        <v>201</v>
      </c>
      <c r="AD175" s="3298" t="s">
        <v>201</v>
      </c>
      <c r="AE175" s="3298"/>
      <c r="AF175" s="3298"/>
      <c r="AG175" s="5271"/>
      <c r="AH175" s="25"/>
      <c r="AI175" s="25"/>
    </row>
    <row r="176" spans="1:35" ht="18" customHeight="1">
      <c r="A176" s="36"/>
      <c r="B176" s="3277" t="s">
        <v>267</v>
      </c>
      <c r="C176" s="3298"/>
      <c r="D176" s="3298"/>
      <c r="E176" s="3298" t="s">
        <v>121</v>
      </c>
      <c r="F176" s="3299" t="s">
        <v>121</v>
      </c>
      <c r="G176" s="3298"/>
      <c r="H176" s="3298" t="s">
        <v>121</v>
      </c>
      <c r="I176" s="3298" t="s">
        <v>121</v>
      </c>
      <c r="J176" s="3298"/>
      <c r="K176" s="3298"/>
      <c r="L176" s="3299"/>
      <c r="M176" s="3299" t="s">
        <v>121</v>
      </c>
      <c r="N176" s="3298" t="s">
        <v>121</v>
      </c>
      <c r="O176" s="3298" t="s">
        <v>121</v>
      </c>
      <c r="P176" s="3298" t="s">
        <v>121</v>
      </c>
      <c r="Q176" s="3298"/>
      <c r="R176" s="3298"/>
      <c r="S176" s="3298" t="s">
        <v>121</v>
      </c>
      <c r="T176" s="3298" t="s">
        <v>121</v>
      </c>
      <c r="U176" s="3298" t="s">
        <v>121</v>
      </c>
      <c r="V176" s="3298" t="s">
        <v>121</v>
      </c>
      <c r="W176" s="3298" t="s">
        <v>121</v>
      </c>
      <c r="X176" s="3298"/>
      <c r="Y176" s="3298"/>
      <c r="Z176" s="3298" t="s">
        <v>121</v>
      </c>
      <c r="AA176" s="3298" t="s">
        <v>121</v>
      </c>
      <c r="AB176" s="3298" t="s">
        <v>121</v>
      </c>
      <c r="AC176" s="3298" t="s">
        <v>121</v>
      </c>
      <c r="AD176" s="3298" t="s">
        <v>121</v>
      </c>
      <c r="AE176" s="3298"/>
      <c r="AF176" s="3298"/>
      <c r="AG176" s="5271"/>
      <c r="AH176" s="25"/>
      <c r="AI176" s="25"/>
    </row>
    <row r="177" spans="1:35" ht="18" customHeight="1">
      <c r="A177" s="36"/>
      <c r="B177" s="3314" t="s">
        <v>374</v>
      </c>
      <c r="C177" s="3298"/>
      <c r="D177" s="3298"/>
      <c r="E177" s="3298" t="s">
        <v>244</v>
      </c>
      <c r="F177" s="3298" t="s">
        <v>244</v>
      </c>
      <c r="G177" s="3298"/>
      <c r="H177" s="3298" t="s">
        <v>244</v>
      </c>
      <c r="I177" s="3298" t="s">
        <v>244</v>
      </c>
      <c r="J177" s="3298"/>
      <c r="K177" s="3298"/>
      <c r="L177" s="3298"/>
      <c r="M177" s="3298" t="s">
        <v>244</v>
      </c>
      <c r="N177" s="3298" t="s">
        <v>244</v>
      </c>
      <c r="O177" s="3298" t="s">
        <v>244</v>
      </c>
      <c r="P177" s="3298" t="s">
        <v>244</v>
      </c>
      <c r="Q177" s="3298"/>
      <c r="R177" s="3298"/>
      <c r="S177" s="3298" t="s">
        <v>244</v>
      </c>
      <c r="T177" s="3298" t="s">
        <v>244</v>
      </c>
      <c r="U177" s="3298" t="s">
        <v>244</v>
      </c>
      <c r="V177" s="3298" t="s">
        <v>244</v>
      </c>
      <c r="W177" s="3298" t="s">
        <v>244</v>
      </c>
      <c r="X177" s="3298"/>
      <c r="Y177" s="3298"/>
      <c r="Z177" s="3298" t="s">
        <v>244</v>
      </c>
      <c r="AA177" s="3298" t="s">
        <v>244</v>
      </c>
      <c r="AB177" s="3298" t="s">
        <v>244</v>
      </c>
      <c r="AC177" s="3298" t="s">
        <v>244</v>
      </c>
      <c r="AD177" s="3298" t="s">
        <v>244</v>
      </c>
      <c r="AE177" s="3244"/>
      <c r="AF177" s="3298"/>
      <c r="AG177" s="5271"/>
      <c r="AH177" s="25"/>
      <c r="AI177" s="25"/>
    </row>
    <row r="178" spans="1:35" ht="18" customHeight="1">
      <c r="A178" s="36"/>
      <c r="B178" s="3314" t="s">
        <v>269</v>
      </c>
      <c r="C178" s="3298"/>
      <c r="D178" s="3298"/>
      <c r="E178" s="3298" t="s">
        <v>128</v>
      </c>
      <c r="F178" s="3298" t="s">
        <v>128</v>
      </c>
      <c r="G178" s="3298"/>
      <c r="H178" s="3298" t="s">
        <v>128</v>
      </c>
      <c r="I178" s="3298" t="s">
        <v>128</v>
      </c>
      <c r="J178" s="3298"/>
      <c r="K178" s="3298"/>
      <c r="L178" s="3298"/>
      <c r="M178" s="3298" t="s">
        <v>128</v>
      </c>
      <c r="N178" s="3298" t="s">
        <v>128</v>
      </c>
      <c r="O178" s="3298" t="s">
        <v>128</v>
      </c>
      <c r="P178" s="3298" t="s">
        <v>128</v>
      </c>
      <c r="Q178" s="3298"/>
      <c r="R178" s="3298"/>
      <c r="S178" s="3298" t="s">
        <v>128</v>
      </c>
      <c r="T178" s="3298" t="s">
        <v>128</v>
      </c>
      <c r="U178" s="3298" t="s">
        <v>128</v>
      </c>
      <c r="V178" s="3298" t="s">
        <v>128</v>
      </c>
      <c r="W178" s="3298" t="s">
        <v>128</v>
      </c>
      <c r="X178" s="3298"/>
      <c r="Y178" s="3298"/>
      <c r="Z178" s="3298" t="s">
        <v>128</v>
      </c>
      <c r="AA178" s="3298" t="s">
        <v>128</v>
      </c>
      <c r="AB178" s="3298" t="s">
        <v>128</v>
      </c>
      <c r="AC178" s="3298" t="s">
        <v>128</v>
      </c>
      <c r="AD178" s="3298" t="s">
        <v>128</v>
      </c>
      <c r="AE178" s="3298"/>
      <c r="AF178" s="5252"/>
      <c r="AG178" s="5271"/>
      <c r="AH178" s="25"/>
      <c r="AI178" s="25"/>
    </row>
    <row r="179" spans="1:35" ht="18" customHeight="1">
      <c r="A179" s="36"/>
      <c r="B179" s="3300" t="s">
        <v>271</v>
      </c>
      <c r="C179" s="3298"/>
      <c r="D179" s="3298"/>
      <c r="E179" s="3298" t="s">
        <v>250</v>
      </c>
      <c r="F179" s="3298" t="s">
        <v>250</v>
      </c>
      <c r="G179" s="3298"/>
      <c r="H179" s="3298" t="s">
        <v>250</v>
      </c>
      <c r="I179" s="3298" t="s">
        <v>250</v>
      </c>
      <c r="J179" s="3298"/>
      <c r="K179" s="3298"/>
      <c r="L179" s="3298"/>
      <c r="M179" s="3258" t="s">
        <v>250</v>
      </c>
      <c r="N179" s="3258" t="s">
        <v>250</v>
      </c>
      <c r="O179" s="5254" t="s">
        <v>250</v>
      </c>
      <c r="P179" s="5254" t="s">
        <v>250</v>
      </c>
      <c r="Q179" s="3258"/>
      <c r="R179" s="3258"/>
      <c r="S179" s="3258" t="s">
        <v>250</v>
      </c>
      <c r="T179" s="3258" t="s">
        <v>250</v>
      </c>
      <c r="U179" s="3258" t="s">
        <v>250</v>
      </c>
      <c r="V179" s="3258" t="s">
        <v>250</v>
      </c>
      <c r="W179" s="3258" t="s">
        <v>250</v>
      </c>
      <c r="X179" s="3298"/>
      <c r="Y179" s="3298"/>
      <c r="Z179" s="3298" t="s">
        <v>250</v>
      </c>
      <c r="AA179" s="3298" t="s">
        <v>250</v>
      </c>
      <c r="AB179" s="3298" t="s">
        <v>250</v>
      </c>
      <c r="AC179" s="3298" t="s">
        <v>250</v>
      </c>
      <c r="AD179" s="3298" t="s">
        <v>250</v>
      </c>
      <c r="AE179" s="3298"/>
      <c r="AF179" s="3298"/>
      <c r="AG179" s="5271"/>
      <c r="AH179" s="25"/>
      <c r="AI179" s="25"/>
    </row>
    <row r="180" spans="1:35" ht="18" customHeight="1">
      <c r="A180" s="36"/>
      <c r="B180" s="3314" t="s">
        <v>273</v>
      </c>
      <c r="C180" s="5254"/>
      <c r="D180" s="5254"/>
      <c r="E180" s="5254" t="s">
        <v>251</v>
      </c>
      <c r="F180" s="5254" t="s">
        <v>251</v>
      </c>
      <c r="G180" s="5254"/>
      <c r="H180" s="5254" t="s">
        <v>251</v>
      </c>
      <c r="I180" s="5254" t="s">
        <v>251</v>
      </c>
      <c r="J180" s="5254"/>
      <c r="K180" s="5254"/>
      <c r="L180" s="5251"/>
      <c r="M180" s="5251" t="s">
        <v>251</v>
      </c>
      <c r="N180" s="5251" t="s">
        <v>251</v>
      </c>
      <c r="O180" s="5251" t="s">
        <v>251</v>
      </c>
      <c r="P180" s="5251" t="s">
        <v>251</v>
      </c>
      <c r="Q180" s="5251"/>
      <c r="R180" s="5251"/>
      <c r="S180" s="3298" t="s">
        <v>251</v>
      </c>
      <c r="T180" s="3298" t="s">
        <v>251</v>
      </c>
      <c r="U180" s="3298" t="s">
        <v>251</v>
      </c>
      <c r="V180" s="3298" t="s">
        <v>251</v>
      </c>
      <c r="W180" s="3298" t="s">
        <v>251</v>
      </c>
      <c r="X180" s="3298"/>
      <c r="Y180" s="3298"/>
      <c r="Z180" s="3298" t="s">
        <v>251</v>
      </c>
      <c r="AA180" s="3298" t="s">
        <v>251</v>
      </c>
      <c r="AB180" s="3298" t="s">
        <v>251</v>
      </c>
      <c r="AC180" s="3298" t="s">
        <v>251</v>
      </c>
      <c r="AD180" s="3298" t="s">
        <v>251</v>
      </c>
      <c r="AE180" s="3298"/>
      <c r="AF180" s="3298"/>
      <c r="AG180" s="5271"/>
      <c r="AH180" s="25"/>
      <c r="AI180" s="25"/>
    </row>
    <row r="181" spans="1:35" ht="18" customHeight="1">
      <c r="A181" s="36"/>
      <c r="B181" s="3314" t="s">
        <v>274</v>
      </c>
      <c r="C181" s="3298"/>
      <c r="D181" s="3298"/>
      <c r="E181" s="3298" t="s">
        <v>253</v>
      </c>
      <c r="F181" s="3298" t="s">
        <v>253</v>
      </c>
      <c r="G181" s="5250"/>
      <c r="H181" s="5250" t="s">
        <v>253</v>
      </c>
      <c r="I181" s="5250" t="s">
        <v>253</v>
      </c>
      <c r="J181" s="5250"/>
      <c r="K181" s="5250"/>
      <c r="L181" s="3298"/>
      <c r="M181" s="3298" t="s">
        <v>253</v>
      </c>
      <c r="N181" s="3298" t="s">
        <v>253</v>
      </c>
      <c r="O181" s="3298" t="s">
        <v>253</v>
      </c>
      <c r="P181" s="3298" t="s">
        <v>253</v>
      </c>
      <c r="Q181" s="3298"/>
      <c r="R181" s="3298"/>
      <c r="S181" s="3298" t="s">
        <v>253</v>
      </c>
      <c r="T181" s="3298" t="s">
        <v>253</v>
      </c>
      <c r="U181" s="3298" t="s">
        <v>253</v>
      </c>
      <c r="V181" s="3298" t="s">
        <v>253</v>
      </c>
      <c r="W181" s="3298" t="s">
        <v>253</v>
      </c>
      <c r="X181" s="3298"/>
      <c r="Y181" s="3298"/>
      <c r="Z181" s="3298" t="s">
        <v>253</v>
      </c>
      <c r="AA181" s="3298" t="s">
        <v>253</v>
      </c>
      <c r="AB181" s="3298" t="s">
        <v>253</v>
      </c>
      <c r="AC181" s="3298" t="s">
        <v>253</v>
      </c>
      <c r="AD181" s="3298" t="s">
        <v>253</v>
      </c>
      <c r="AE181" s="3298"/>
      <c r="AF181" s="3298"/>
      <c r="AG181" s="5271"/>
      <c r="AH181" s="25"/>
      <c r="AI181" s="25"/>
    </row>
    <row r="182" spans="1:35" ht="18" customHeight="1">
      <c r="A182" s="36"/>
      <c r="B182" s="3300" t="s">
        <v>275</v>
      </c>
      <c r="C182" s="3298"/>
      <c r="D182" s="3298"/>
      <c r="E182" s="5338" t="s">
        <v>123</v>
      </c>
      <c r="F182" s="5338" t="s">
        <v>123</v>
      </c>
      <c r="G182" s="3298"/>
      <c r="H182" s="5254" t="s">
        <v>123</v>
      </c>
      <c r="I182" s="5254" t="s">
        <v>123</v>
      </c>
      <c r="J182" s="3298"/>
      <c r="K182" s="3298"/>
      <c r="L182" s="3298"/>
      <c r="M182" s="3298" t="s">
        <v>123</v>
      </c>
      <c r="N182" s="3298" t="s">
        <v>123</v>
      </c>
      <c r="O182" s="3298" t="s">
        <v>123</v>
      </c>
      <c r="P182" s="3298" t="s">
        <v>123</v>
      </c>
      <c r="Q182" s="3298"/>
      <c r="R182" s="3298"/>
      <c r="S182" s="5254" t="s">
        <v>123</v>
      </c>
      <c r="T182" s="5254" t="s">
        <v>123</v>
      </c>
      <c r="U182" s="5254" t="s">
        <v>123</v>
      </c>
      <c r="V182" s="5254" t="s">
        <v>123</v>
      </c>
      <c r="W182" s="5254" t="s">
        <v>123</v>
      </c>
      <c r="X182" s="5254"/>
      <c r="Y182" s="5254"/>
      <c r="Z182" s="5254" t="s">
        <v>123</v>
      </c>
      <c r="AA182" s="5254" t="s">
        <v>123</v>
      </c>
      <c r="AB182" s="5254" t="s">
        <v>123</v>
      </c>
      <c r="AC182" s="5254" t="s">
        <v>123</v>
      </c>
      <c r="AD182" s="5254" t="s">
        <v>123</v>
      </c>
      <c r="AE182" s="5254"/>
      <c r="AF182" s="5254"/>
      <c r="AG182" s="5271"/>
      <c r="AH182" s="25"/>
      <c r="AI182" s="25"/>
    </row>
    <row r="183" spans="1:35" ht="18" customHeight="1">
      <c r="A183" s="36"/>
      <c r="B183" s="3314" t="s">
        <v>276</v>
      </c>
      <c r="C183" s="3298"/>
      <c r="D183" s="3298"/>
      <c r="E183" s="3298" t="s">
        <v>146</v>
      </c>
      <c r="F183" s="3298" t="s">
        <v>146</v>
      </c>
      <c r="G183" s="3298"/>
      <c r="H183" s="3298" t="s">
        <v>146</v>
      </c>
      <c r="I183" s="3298" t="s">
        <v>146</v>
      </c>
      <c r="J183" s="3298"/>
      <c r="K183" s="3298"/>
      <c r="L183" s="3298"/>
      <c r="M183" s="3298" t="s">
        <v>146</v>
      </c>
      <c r="N183" s="3298" t="s">
        <v>146</v>
      </c>
      <c r="O183" s="3298" t="s">
        <v>146</v>
      </c>
      <c r="P183" s="3298" t="s">
        <v>146</v>
      </c>
      <c r="Q183" s="3298"/>
      <c r="R183" s="3298"/>
      <c r="S183" s="3298" t="s">
        <v>146</v>
      </c>
      <c r="T183" s="3298" t="s">
        <v>146</v>
      </c>
      <c r="U183" s="3298" t="s">
        <v>146</v>
      </c>
      <c r="V183" s="3298" t="s">
        <v>146</v>
      </c>
      <c r="W183" s="3298" t="s">
        <v>146</v>
      </c>
      <c r="X183" s="3298"/>
      <c r="Y183" s="3298"/>
      <c r="Z183" s="3298" t="s">
        <v>146</v>
      </c>
      <c r="AA183" s="3298" t="s">
        <v>146</v>
      </c>
      <c r="AB183" s="3298" t="s">
        <v>146</v>
      </c>
      <c r="AC183" s="3298" t="s">
        <v>146</v>
      </c>
      <c r="AD183" s="3298" t="s">
        <v>146</v>
      </c>
      <c r="AE183" s="3298"/>
      <c r="AF183" s="3298"/>
      <c r="AG183" s="5271"/>
      <c r="AH183" s="25"/>
      <c r="AI183" s="25"/>
    </row>
    <row r="184" spans="1:35" ht="18" customHeight="1" thickBot="1">
      <c r="A184" s="36"/>
      <c r="B184" s="402" t="s">
        <v>0</v>
      </c>
      <c r="C184" s="408"/>
      <c r="D184" s="408"/>
      <c r="E184" s="408" t="s">
        <v>136</v>
      </c>
      <c r="F184" s="408" t="s">
        <v>136</v>
      </c>
      <c r="G184" s="408"/>
      <c r="H184" s="408" t="s">
        <v>136</v>
      </c>
      <c r="I184" s="408" t="s">
        <v>136</v>
      </c>
      <c r="J184" s="408"/>
      <c r="K184" s="408"/>
      <c r="L184" s="408"/>
      <c r="M184" s="408" t="s">
        <v>136</v>
      </c>
      <c r="N184" s="408" t="s">
        <v>136</v>
      </c>
      <c r="O184" s="408" t="s">
        <v>136</v>
      </c>
      <c r="P184" s="408" t="s">
        <v>136</v>
      </c>
      <c r="Q184" s="408"/>
      <c r="R184" s="408"/>
      <c r="S184" s="408" t="s">
        <v>136</v>
      </c>
      <c r="T184" s="408" t="s">
        <v>136</v>
      </c>
      <c r="U184" s="408" t="s">
        <v>136</v>
      </c>
      <c r="V184" s="408" t="s">
        <v>136</v>
      </c>
      <c r="W184" s="408" t="s">
        <v>136</v>
      </c>
      <c r="X184" s="408"/>
      <c r="Y184" s="408"/>
      <c r="Z184" s="408" t="s">
        <v>136</v>
      </c>
      <c r="AA184" s="408" t="s">
        <v>136</v>
      </c>
      <c r="AB184" s="408" t="s">
        <v>136</v>
      </c>
      <c r="AC184" s="408" t="s">
        <v>136</v>
      </c>
      <c r="AD184" s="408" t="s">
        <v>136</v>
      </c>
      <c r="AE184" s="408"/>
      <c r="AF184" s="408"/>
      <c r="AG184" s="90"/>
      <c r="AH184" s="25"/>
      <c r="AI184" s="25"/>
    </row>
    <row r="185" spans="1:35" ht="18" customHeight="1" thickBot="1">
      <c r="A185" s="36"/>
      <c r="B185" s="402" t="s">
        <v>278</v>
      </c>
      <c r="C185" s="408"/>
      <c r="D185" s="408"/>
      <c r="E185" s="408" t="s">
        <v>112</v>
      </c>
      <c r="F185" s="408" t="s">
        <v>112</v>
      </c>
      <c r="G185" s="408"/>
      <c r="H185" s="408" t="s">
        <v>112</v>
      </c>
      <c r="I185" s="408" t="s">
        <v>112</v>
      </c>
      <c r="J185" s="408"/>
      <c r="K185" s="408"/>
      <c r="L185" s="408"/>
      <c r="M185" s="408" t="s">
        <v>112</v>
      </c>
      <c r="N185" s="408" t="s">
        <v>112</v>
      </c>
      <c r="O185" s="408" t="s">
        <v>112</v>
      </c>
      <c r="P185" s="408" t="s">
        <v>112</v>
      </c>
      <c r="Q185" s="408"/>
      <c r="R185" s="408"/>
      <c r="S185" s="408" t="s">
        <v>112</v>
      </c>
      <c r="T185" s="408" t="s">
        <v>112</v>
      </c>
      <c r="U185" s="408" t="s">
        <v>112</v>
      </c>
      <c r="V185" s="408" t="s">
        <v>112</v>
      </c>
      <c r="W185" s="408" t="s">
        <v>112</v>
      </c>
      <c r="X185" s="408"/>
      <c r="Y185" s="408"/>
      <c r="Z185" s="408" t="s">
        <v>112</v>
      </c>
      <c r="AA185" s="408" t="s">
        <v>112</v>
      </c>
      <c r="AB185" s="408" t="s">
        <v>112</v>
      </c>
      <c r="AC185" s="408" t="s">
        <v>112</v>
      </c>
      <c r="AD185" s="408" t="s">
        <v>112</v>
      </c>
      <c r="AE185" s="408"/>
      <c r="AF185" s="408"/>
      <c r="AG185" s="90"/>
      <c r="AH185" s="76"/>
      <c r="AI185" s="76"/>
    </row>
    <row r="186" spans="1:35" ht="18" customHeight="1">
      <c r="A186" s="96"/>
      <c r="B186" s="98"/>
      <c r="C186" s="91"/>
      <c r="D186" s="91"/>
      <c r="E186" s="91"/>
      <c r="F186" s="91"/>
      <c r="G186" s="91"/>
      <c r="H186" s="91"/>
      <c r="I186" s="91"/>
      <c r="J186" s="91"/>
      <c r="K186" s="91"/>
      <c r="L186" s="91"/>
      <c r="M186" s="91"/>
      <c r="N186" s="91"/>
      <c r="O186" s="91"/>
      <c r="P186" s="91"/>
      <c r="Q186" s="91"/>
      <c r="R186" s="91"/>
      <c r="S186" s="91"/>
      <c r="T186" s="91"/>
      <c r="U186" s="91"/>
      <c r="V186" s="91"/>
      <c r="W186" s="91"/>
      <c r="X186" s="91"/>
      <c r="Y186" s="91"/>
      <c r="Z186" s="91"/>
      <c r="AA186" s="91"/>
      <c r="AB186" s="91"/>
      <c r="AC186" s="91"/>
      <c r="AD186" s="91"/>
      <c r="AE186" s="91"/>
      <c r="AF186" s="91"/>
      <c r="AG186" s="91"/>
      <c r="AH186" s="99"/>
    </row>
    <row r="187" spans="1:35" ht="18" customHeight="1" thickBot="1">
      <c r="A187" s="1" t="s">
        <v>280</v>
      </c>
      <c r="B187" s="42"/>
      <c r="C187" s="100"/>
      <c r="D187" s="100"/>
      <c r="E187" s="100"/>
      <c r="F187" s="100"/>
      <c r="G187" s="100"/>
      <c r="H187" s="100"/>
      <c r="I187" s="100"/>
      <c r="J187" s="100"/>
      <c r="K187" s="100"/>
      <c r="L187" s="100"/>
      <c r="M187" s="100"/>
      <c r="N187" s="100"/>
      <c r="O187" s="100"/>
      <c r="P187" s="100"/>
      <c r="Q187" s="100"/>
      <c r="R187" s="100"/>
      <c r="S187" s="100"/>
      <c r="T187" s="100"/>
      <c r="U187" s="100"/>
      <c r="V187" s="100"/>
      <c r="W187" s="100"/>
      <c r="X187" s="100"/>
      <c r="Y187" s="100"/>
      <c r="Z187" s="100"/>
      <c r="AA187" s="100"/>
      <c r="AB187" s="100"/>
      <c r="AC187" s="100"/>
      <c r="AD187" s="100"/>
      <c r="AE187" s="100"/>
      <c r="AF187" s="100"/>
      <c r="AG187" s="100"/>
    </row>
    <row r="188" spans="1:35" ht="18" customHeight="1">
      <c r="A188" s="1"/>
      <c r="B188" s="5339" t="s">
        <v>281</v>
      </c>
      <c r="C188" s="2779" t="s">
        <v>87</v>
      </c>
      <c r="D188" s="2779"/>
      <c r="E188" s="2779"/>
      <c r="F188" s="2779"/>
      <c r="G188" s="5340" t="s">
        <v>88</v>
      </c>
      <c r="H188" s="2779"/>
      <c r="I188" s="2779"/>
      <c r="J188" s="2779"/>
      <c r="K188" s="5340" t="s">
        <v>89</v>
      </c>
      <c r="L188" s="2779"/>
      <c r="M188" s="2779"/>
      <c r="N188" s="2779"/>
      <c r="O188" s="5340" t="s">
        <v>90</v>
      </c>
      <c r="P188" s="2779"/>
      <c r="Q188" s="2779"/>
      <c r="R188" s="2779"/>
      <c r="S188" s="5340" t="s">
        <v>91</v>
      </c>
      <c r="T188" s="2779"/>
      <c r="U188" s="2779"/>
      <c r="V188" s="2779"/>
      <c r="W188" s="2781" t="s">
        <v>92</v>
      </c>
      <c r="X188" s="3640"/>
      <c r="Y188" s="2779"/>
      <c r="Z188" s="2782"/>
      <c r="AA188" s="2781" t="s">
        <v>93</v>
      </c>
      <c r="AB188" s="3640"/>
      <c r="AC188" s="2779"/>
      <c r="AD188" s="2782"/>
      <c r="AE188" s="2783" t="s">
        <v>94</v>
      </c>
      <c r="AF188" s="2779"/>
      <c r="AG188" s="2779"/>
      <c r="AH188" s="2779"/>
      <c r="AI188" s="3641"/>
    </row>
    <row r="189" spans="1:35" ht="18" customHeight="1">
      <c r="A189" s="1"/>
      <c r="B189" s="482">
        <v>3701</v>
      </c>
      <c r="C189" s="87" t="s">
        <v>282</v>
      </c>
      <c r="D189" s="87"/>
      <c r="E189" s="87"/>
      <c r="F189" s="87"/>
      <c r="G189" s="5341" t="s">
        <v>283</v>
      </c>
      <c r="H189" s="87"/>
      <c r="I189" s="87"/>
      <c r="J189" s="87"/>
      <c r="K189" s="5341" t="s">
        <v>283</v>
      </c>
      <c r="L189" s="87"/>
      <c r="M189" s="87"/>
      <c r="N189" s="87"/>
      <c r="O189" s="5341" t="s">
        <v>283</v>
      </c>
      <c r="P189" s="87"/>
      <c r="Q189" s="87"/>
      <c r="R189" s="87"/>
      <c r="S189" s="5341" t="s">
        <v>284</v>
      </c>
      <c r="T189" s="87"/>
      <c r="U189" s="87"/>
      <c r="V189" s="87"/>
      <c r="W189" s="5342"/>
      <c r="X189" s="5343"/>
      <c r="Y189" s="2966"/>
      <c r="Z189" s="5344"/>
      <c r="AA189" s="5342"/>
      <c r="AB189" s="5343"/>
      <c r="AC189" s="2966"/>
      <c r="AD189" s="5344"/>
      <c r="AE189" s="3108"/>
      <c r="AF189" s="2966"/>
      <c r="AG189" s="2966"/>
      <c r="AH189" s="2966"/>
      <c r="AI189" s="3437"/>
    </row>
    <row r="190" spans="1:35" ht="18" customHeight="1">
      <c r="A190" s="5345"/>
      <c r="B190" s="5339"/>
      <c r="C190" s="5346"/>
      <c r="D190" s="3180"/>
      <c r="E190" s="3180"/>
      <c r="F190" s="5347"/>
      <c r="G190" s="5346"/>
      <c r="H190" s="3180"/>
      <c r="I190" s="3180"/>
      <c r="J190" s="5347"/>
      <c r="K190" s="5346"/>
      <c r="L190" s="3180"/>
      <c r="M190" s="3180"/>
      <c r="N190" s="5347"/>
      <c r="O190" s="5346"/>
      <c r="P190" s="3180"/>
      <c r="Q190" s="3180"/>
      <c r="R190" s="5347"/>
      <c r="S190" s="5346"/>
      <c r="T190" s="3180"/>
      <c r="U190" s="3180"/>
      <c r="V190" s="3180"/>
      <c r="W190" s="5342"/>
      <c r="X190" s="5343"/>
      <c r="Y190" s="2966"/>
      <c r="Z190" s="5344"/>
      <c r="AA190" s="5342"/>
      <c r="AB190" s="5343"/>
      <c r="AC190" s="2966"/>
      <c r="AD190" s="5344"/>
      <c r="AE190" s="3108"/>
      <c r="AF190" s="2966"/>
      <c r="AG190" s="2966"/>
      <c r="AH190" s="2966"/>
      <c r="AI190" s="3437"/>
    </row>
    <row r="191" spans="1:35" ht="18" customHeight="1">
      <c r="A191" s="5345"/>
      <c r="B191" s="5339"/>
      <c r="C191" s="5346"/>
      <c r="D191" s="3180"/>
      <c r="E191" s="3180"/>
      <c r="F191" s="5347"/>
      <c r="G191" s="5346"/>
      <c r="H191" s="3180"/>
      <c r="I191" s="3180"/>
      <c r="J191" s="5347"/>
      <c r="K191" s="5346"/>
      <c r="L191" s="3180"/>
      <c r="M191" s="3180"/>
      <c r="N191" s="5347"/>
      <c r="O191" s="5346"/>
      <c r="P191" s="3180"/>
      <c r="Q191" s="3180"/>
      <c r="R191" s="5347"/>
      <c r="S191" s="5346"/>
      <c r="T191" s="3180"/>
      <c r="U191" s="3180"/>
      <c r="V191" s="3180"/>
      <c r="W191" s="5342"/>
      <c r="X191" s="5343"/>
      <c r="Y191" s="2966"/>
      <c r="Z191" s="5344"/>
      <c r="AA191" s="5342"/>
      <c r="AB191" s="5343"/>
      <c r="AC191" s="2966"/>
      <c r="AD191" s="5344"/>
      <c r="AE191" s="3108"/>
      <c r="AF191" s="2966"/>
      <c r="AG191" s="2966"/>
      <c r="AH191" s="2966"/>
      <c r="AI191" s="3437"/>
    </row>
    <row r="192" spans="1:35" ht="18" customHeight="1" thickBot="1">
      <c r="A192" s="411"/>
      <c r="B192" s="412"/>
      <c r="C192" s="5348"/>
      <c r="D192" s="5329"/>
      <c r="E192" s="5329"/>
      <c r="F192" s="5349"/>
      <c r="G192" s="5348"/>
      <c r="H192" s="5329"/>
      <c r="I192" s="5329"/>
      <c r="J192" s="5349"/>
      <c r="K192" s="5348"/>
      <c r="L192" s="5329"/>
      <c r="M192" s="5329"/>
      <c r="N192" s="5349"/>
      <c r="O192" s="5348"/>
      <c r="P192" s="5329"/>
      <c r="Q192" s="5329"/>
      <c r="R192" s="5349"/>
      <c r="S192" s="5348"/>
      <c r="T192" s="5329"/>
      <c r="U192" s="5329"/>
      <c r="V192" s="5329"/>
      <c r="W192" s="5350"/>
      <c r="X192" s="5351"/>
      <c r="Y192" s="5352"/>
      <c r="Z192" s="5353"/>
      <c r="AA192" s="5350"/>
      <c r="AB192" s="5351"/>
      <c r="AC192" s="5352"/>
      <c r="AD192" s="5353"/>
      <c r="AE192" s="3350"/>
      <c r="AF192" s="3272"/>
      <c r="AG192" s="3272"/>
      <c r="AH192" s="3272"/>
      <c r="AI192" s="3275"/>
    </row>
    <row r="193" spans="1:35" ht="18" customHeight="1">
      <c r="A193" s="1"/>
      <c r="B193" s="42"/>
      <c r="C193" s="87"/>
      <c r="D193" s="87"/>
      <c r="E193" s="87"/>
      <c r="F193" s="87"/>
      <c r="G193" s="87"/>
      <c r="H193" s="87"/>
      <c r="I193" s="87"/>
      <c r="J193" s="87"/>
      <c r="K193" s="87"/>
      <c r="L193" s="87"/>
      <c r="M193" s="87"/>
      <c r="N193" s="87"/>
      <c r="O193" s="87"/>
      <c r="P193" s="87"/>
      <c r="Q193" s="87"/>
      <c r="R193" s="87"/>
      <c r="S193" s="87"/>
      <c r="T193" s="87"/>
      <c r="U193" s="87"/>
      <c r="V193" s="87"/>
      <c r="W193" s="87"/>
      <c r="X193" s="37"/>
      <c r="Y193" s="87"/>
      <c r="Z193" s="87"/>
      <c r="AA193" s="87"/>
      <c r="AB193" s="37"/>
      <c r="AC193" s="87"/>
      <c r="AD193" s="87"/>
      <c r="AE193" s="37"/>
      <c r="AF193" s="87"/>
      <c r="AG193" s="87"/>
      <c r="AH193" s="87"/>
    </row>
    <row r="194" spans="1:35" ht="18" customHeight="1">
      <c r="AG194" s="87"/>
      <c r="AH194" s="87"/>
    </row>
    <row r="195" spans="1:35" ht="18" customHeight="1">
      <c r="B195" s="5339">
        <v>3700</v>
      </c>
      <c r="C195" s="2966" t="s">
        <v>181</v>
      </c>
      <c r="D195" s="2966"/>
      <c r="E195" s="2966"/>
      <c r="F195" s="2966"/>
      <c r="G195" s="5354" t="s">
        <v>181</v>
      </c>
      <c r="H195" s="2966"/>
      <c r="I195" s="2966"/>
      <c r="J195" s="2966"/>
      <c r="K195" s="5354" t="s">
        <v>181</v>
      </c>
      <c r="L195" s="2966"/>
      <c r="M195" s="2966"/>
      <c r="N195" s="2966"/>
      <c r="O195" s="5354" t="s">
        <v>181</v>
      </c>
      <c r="P195" s="2966"/>
      <c r="Q195" s="2966"/>
      <c r="R195" s="2966"/>
      <c r="S195" s="5354" t="s">
        <v>182</v>
      </c>
      <c r="T195" s="2966"/>
      <c r="U195" s="2966"/>
      <c r="V195" s="2966"/>
      <c r="W195" s="2966"/>
      <c r="X195" s="5354"/>
      <c r="Y195" s="2966"/>
      <c r="Z195" s="3110"/>
      <c r="AA195" s="3108"/>
      <c r="AB195" s="2966"/>
      <c r="AC195" s="2966"/>
      <c r="AD195" s="3014"/>
      <c r="AE195" s="5355"/>
      <c r="AF195" s="2966"/>
      <c r="AG195" s="2966"/>
      <c r="AH195" s="3014"/>
      <c r="AI195" s="3437"/>
    </row>
    <row r="196" spans="1:35" ht="18" customHeight="1">
      <c r="A196" s="1"/>
      <c r="B196" s="5339">
        <v>8514</v>
      </c>
      <c r="C196" s="2966" t="s">
        <v>283</v>
      </c>
      <c r="D196" s="2966"/>
      <c r="E196" s="2966"/>
      <c r="F196" s="2966"/>
      <c r="G196" s="5354" t="s">
        <v>283</v>
      </c>
      <c r="H196" s="2966"/>
      <c r="I196" s="2966"/>
      <c r="J196" s="2966"/>
      <c r="K196" s="5354" t="s">
        <v>283</v>
      </c>
      <c r="L196" s="2966"/>
      <c r="M196" s="2966"/>
      <c r="N196" s="2966"/>
      <c r="O196" s="5354" t="s">
        <v>283</v>
      </c>
      <c r="P196" s="2966"/>
      <c r="Q196" s="2966"/>
      <c r="R196" s="2966"/>
      <c r="S196" s="5354" t="s">
        <v>285</v>
      </c>
      <c r="T196" s="2966"/>
      <c r="U196" s="2966"/>
      <c r="V196" s="2966"/>
      <c r="W196" s="2966"/>
      <c r="X196" s="5354"/>
      <c r="Y196" s="2966"/>
      <c r="Z196" s="3110"/>
      <c r="AA196" s="3013"/>
      <c r="AB196" s="2966"/>
      <c r="AC196" s="2966"/>
      <c r="AD196" s="3014"/>
      <c r="AE196" s="3013"/>
      <c r="AF196" s="2966"/>
      <c r="AG196" s="2966"/>
      <c r="AH196" s="3014"/>
      <c r="AI196" s="3437"/>
    </row>
    <row r="197" spans="1:35" ht="18" customHeight="1">
      <c r="A197" s="1"/>
      <c r="B197" s="5339">
        <v>8500</v>
      </c>
      <c r="C197" s="101" t="s">
        <v>286</v>
      </c>
      <c r="D197" s="101"/>
      <c r="E197" s="101"/>
      <c r="F197" s="101"/>
      <c r="G197" s="102" t="s">
        <v>286</v>
      </c>
      <c r="H197" s="101"/>
      <c r="I197" s="101"/>
      <c r="J197" s="101"/>
      <c r="K197" s="102" t="s">
        <v>286</v>
      </c>
      <c r="L197" s="101"/>
      <c r="M197" s="101"/>
      <c r="N197" s="101"/>
      <c r="O197" s="102" t="s">
        <v>286</v>
      </c>
      <c r="P197" s="101"/>
      <c r="Q197" s="101"/>
      <c r="R197" s="101"/>
      <c r="S197" s="102" t="s">
        <v>287</v>
      </c>
      <c r="T197" s="101"/>
      <c r="U197" s="101"/>
      <c r="V197" s="101"/>
      <c r="W197" s="101"/>
      <c r="X197" s="102"/>
      <c r="Y197" s="101"/>
      <c r="Z197" s="103"/>
      <c r="AA197" s="104"/>
      <c r="AB197" s="101"/>
      <c r="AC197" s="101"/>
      <c r="AD197" s="103"/>
      <c r="AE197" s="104"/>
      <c r="AF197" s="101"/>
      <c r="AG197" s="101"/>
      <c r="AH197" s="41"/>
      <c r="AI197" s="105"/>
    </row>
    <row r="198" spans="1:35" ht="18" customHeight="1">
      <c r="A198" s="1"/>
      <c r="B198" s="5339">
        <v>8514</v>
      </c>
      <c r="C198" s="106" t="s">
        <v>283</v>
      </c>
      <c r="D198" s="106"/>
      <c r="E198" s="106"/>
      <c r="F198" s="106"/>
      <c r="G198" s="107" t="s">
        <v>283</v>
      </c>
      <c r="H198" s="106"/>
      <c r="I198" s="106"/>
      <c r="J198" s="106"/>
      <c r="K198" s="107" t="s">
        <v>283</v>
      </c>
      <c r="L198" s="106"/>
      <c r="M198" s="106"/>
      <c r="N198" s="106"/>
      <c r="O198" s="107" t="s">
        <v>283</v>
      </c>
      <c r="P198" s="106"/>
      <c r="Q198" s="106"/>
      <c r="R198" s="106"/>
      <c r="S198" s="107" t="s">
        <v>285</v>
      </c>
      <c r="T198" s="106"/>
      <c r="U198" s="106"/>
      <c r="V198" s="106"/>
      <c r="W198" s="106"/>
      <c r="X198" s="108"/>
      <c r="Y198" s="101"/>
      <c r="Z198" s="109"/>
      <c r="AA198" s="110"/>
      <c r="AB198" s="111"/>
      <c r="AC198" s="101"/>
      <c r="AD198" s="101"/>
      <c r="AE198" s="112"/>
      <c r="AF198" s="101"/>
      <c r="AG198" s="101"/>
      <c r="AH198" s="101"/>
      <c r="AI198" s="105"/>
    </row>
    <row r="199" spans="1:35" ht="18" customHeight="1" thickBot="1">
      <c r="A199" s="1"/>
      <c r="B199" s="3202" t="s">
        <v>288</v>
      </c>
      <c r="C199" s="3272" t="s">
        <v>289</v>
      </c>
      <c r="D199" s="3272"/>
      <c r="E199" s="3272"/>
      <c r="F199" s="3272"/>
      <c r="G199" s="5356" t="s">
        <v>289</v>
      </c>
      <c r="H199" s="3272"/>
      <c r="I199" s="3272"/>
      <c r="J199" s="3272"/>
      <c r="K199" s="5357" t="s">
        <v>289</v>
      </c>
      <c r="L199" s="3272"/>
      <c r="M199" s="3272"/>
      <c r="N199" s="3272"/>
      <c r="O199" s="5356" t="s">
        <v>289</v>
      </c>
      <c r="P199" s="3272"/>
      <c r="Q199" s="3272"/>
      <c r="R199" s="3272"/>
      <c r="S199" s="5356" t="s">
        <v>290</v>
      </c>
      <c r="T199" s="3272"/>
      <c r="U199" s="3272"/>
      <c r="V199" s="3272"/>
      <c r="W199" s="3272"/>
      <c r="X199" s="5356"/>
      <c r="Y199" s="3272"/>
      <c r="Z199" s="3373"/>
      <c r="AA199" s="3350"/>
      <c r="AB199" s="3272"/>
      <c r="AC199" s="3272"/>
      <c r="AD199" s="3357"/>
      <c r="AE199" s="5358"/>
      <c r="AF199" s="3272"/>
      <c r="AG199" s="3272"/>
      <c r="AH199" s="3357"/>
      <c r="AI199" s="3275"/>
    </row>
    <row r="200" spans="1:35" ht="18" customHeight="1">
      <c r="A200" s="1"/>
      <c r="B200" s="113"/>
      <c r="C200" s="37"/>
      <c r="D200" s="87"/>
      <c r="E200" s="87"/>
      <c r="F200" s="22"/>
      <c r="G200" s="37"/>
      <c r="H200" s="87"/>
      <c r="I200" s="87"/>
      <c r="J200" s="22"/>
      <c r="K200" s="37"/>
      <c r="L200" s="87"/>
      <c r="M200" s="87"/>
      <c r="N200" s="22"/>
      <c r="O200" s="37"/>
      <c r="P200" s="87"/>
      <c r="Q200" s="87"/>
      <c r="R200" s="22"/>
      <c r="S200" s="37"/>
      <c r="T200" s="87"/>
      <c r="U200" s="87"/>
      <c r="V200" s="22"/>
      <c r="W200" s="22"/>
      <c r="Z200" s="22"/>
      <c r="AA200" s="22"/>
      <c r="AD200" s="22"/>
      <c r="AE200" s="22"/>
      <c r="AH200" s="22"/>
    </row>
    <row r="201" spans="1:35" ht="18" customHeight="1">
      <c r="A201" s="1" t="s">
        <v>291</v>
      </c>
      <c r="B201" s="113"/>
      <c r="C201" s="37"/>
      <c r="D201" s="87"/>
      <c r="E201" s="87"/>
      <c r="F201" s="22"/>
      <c r="G201" s="37"/>
      <c r="H201" s="87"/>
      <c r="I201" s="87"/>
      <c r="J201" s="22"/>
      <c r="K201" s="37"/>
      <c r="L201" s="87"/>
      <c r="M201" s="87"/>
      <c r="N201" s="22"/>
      <c r="O201" s="37"/>
      <c r="P201" s="87"/>
      <c r="Q201" s="87"/>
      <c r="R201" s="22"/>
      <c r="S201" s="37"/>
      <c r="T201" s="87"/>
      <c r="U201" s="87"/>
      <c r="V201" s="22"/>
      <c r="W201" s="22"/>
      <c r="Z201" s="22"/>
      <c r="AA201" s="22"/>
      <c r="AD201" s="22"/>
      <c r="AE201" s="22"/>
      <c r="AH201" s="22"/>
    </row>
    <row r="202" spans="1:35" ht="18" customHeight="1" thickBot="1">
      <c r="A202" s="3025"/>
      <c r="B202" s="2978" t="s">
        <v>29</v>
      </c>
      <c r="C202" s="3027">
        <v>1</v>
      </c>
      <c r="D202" s="3027">
        <v>2</v>
      </c>
      <c r="E202" s="3026">
        <v>3</v>
      </c>
      <c r="F202" s="3026">
        <v>4</v>
      </c>
      <c r="G202" s="3027">
        <v>5</v>
      </c>
      <c r="H202" s="3026">
        <v>6</v>
      </c>
      <c r="I202" s="3026">
        <v>7</v>
      </c>
      <c r="J202" s="3027">
        <v>8</v>
      </c>
      <c r="K202" s="3027">
        <v>9</v>
      </c>
      <c r="L202" s="3027">
        <v>10</v>
      </c>
      <c r="M202" s="3026">
        <v>11</v>
      </c>
      <c r="N202" s="3026">
        <v>12</v>
      </c>
      <c r="O202" s="3026">
        <v>13</v>
      </c>
      <c r="P202" s="3026">
        <v>14</v>
      </c>
      <c r="Q202" s="3027">
        <v>15</v>
      </c>
      <c r="R202" s="3027">
        <v>16</v>
      </c>
      <c r="S202" s="3026">
        <v>17</v>
      </c>
      <c r="T202" s="3026">
        <v>18</v>
      </c>
      <c r="U202" s="3026">
        <v>19</v>
      </c>
      <c r="V202" s="3026">
        <v>20</v>
      </c>
      <c r="W202" s="3026">
        <v>21</v>
      </c>
      <c r="X202" s="3027">
        <v>22</v>
      </c>
      <c r="Y202" s="3027">
        <v>23</v>
      </c>
      <c r="Z202" s="3026">
        <v>24</v>
      </c>
      <c r="AA202" s="3026">
        <v>25</v>
      </c>
      <c r="AB202" s="3026">
        <v>26</v>
      </c>
      <c r="AC202" s="3026">
        <v>27</v>
      </c>
      <c r="AD202" s="3026">
        <v>28</v>
      </c>
      <c r="AE202" s="3027">
        <v>29</v>
      </c>
      <c r="AF202" s="3027">
        <v>30</v>
      </c>
      <c r="AG202" s="3028"/>
      <c r="AH202" s="23"/>
      <c r="AI202" s="24"/>
    </row>
    <row r="203" spans="1:35" ht="18" customHeight="1">
      <c r="A203" s="5359"/>
      <c r="B203" s="5360" t="s">
        <v>292</v>
      </c>
      <c r="C203" s="4177"/>
      <c r="D203" s="5361"/>
      <c r="E203" s="4177" t="s">
        <v>31</v>
      </c>
      <c r="F203" s="4177" t="s">
        <v>31</v>
      </c>
      <c r="G203" s="4177"/>
      <c r="H203" s="2481" t="s">
        <v>31</v>
      </c>
      <c r="I203" s="4177" t="s">
        <v>31</v>
      </c>
      <c r="J203" s="4177"/>
      <c r="K203" s="4177"/>
      <c r="L203" s="4177"/>
      <c r="M203" s="4340" t="s">
        <v>31</v>
      </c>
      <c r="N203" s="4177" t="s">
        <v>31</v>
      </c>
      <c r="O203" s="4177" t="s">
        <v>31</v>
      </c>
      <c r="P203" s="4177" t="s">
        <v>31</v>
      </c>
      <c r="Q203" s="4177"/>
      <c r="R203" s="4177"/>
      <c r="S203" s="4177" t="s">
        <v>31</v>
      </c>
      <c r="T203" s="4177" t="s">
        <v>31</v>
      </c>
      <c r="U203" s="4177" t="s">
        <v>31</v>
      </c>
      <c r="V203" s="4177" t="s">
        <v>31</v>
      </c>
      <c r="W203" s="4177" t="s">
        <v>31</v>
      </c>
      <c r="X203" s="4177"/>
      <c r="Y203" s="4177"/>
      <c r="Z203" s="4177" t="s">
        <v>31</v>
      </c>
      <c r="AA203" s="4177" t="s">
        <v>31</v>
      </c>
      <c r="AB203" s="4177" t="s">
        <v>31</v>
      </c>
      <c r="AC203" s="4177" t="s">
        <v>31</v>
      </c>
      <c r="AD203" s="4177" t="s">
        <v>31</v>
      </c>
      <c r="AE203" s="4177"/>
      <c r="AF203" s="4177"/>
      <c r="AG203" s="397"/>
      <c r="AH203" s="23"/>
      <c r="AI203" s="24"/>
    </row>
    <row r="204" spans="1:35" ht="18" customHeight="1">
      <c r="A204" s="3207"/>
      <c r="B204" s="3208"/>
      <c r="C204" s="3256"/>
      <c r="D204" s="3243"/>
      <c r="E204" s="3256" t="s">
        <v>31</v>
      </c>
      <c r="F204" s="3256" t="s">
        <v>31</v>
      </c>
      <c r="G204" s="3256"/>
      <c r="H204" s="3256" t="s">
        <v>31</v>
      </c>
      <c r="I204" s="3256" t="s">
        <v>31</v>
      </c>
      <c r="J204" s="3256"/>
      <c r="K204" s="3256"/>
      <c r="L204" s="3256"/>
      <c r="M204" s="3256" t="s">
        <v>31</v>
      </c>
      <c r="N204" s="3256" t="s">
        <v>31</v>
      </c>
      <c r="O204" s="3256" t="s">
        <v>31</v>
      </c>
      <c r="P204" s="3256" t="s">
        <v>31</v>
      </c>
      <c r="Q204" s="3256"/>
      <c r="R204" s="3256"/>
      <c r="S204" s="3256" t="s">
        <v>31</v>
      </c>
      <c r="T204" s="3256" t="s">
        <v>31</v>
      </c>
      <c r="U204" s="3256" t="s">
        <v>31</v>
      </c>
      <c r="V204" s="3256" t="s">
        <v>31</v>
      </c>
      <c r="W204" s="3256" t="s">
        <v>31</v>
      </c>
      <c r="X204" s="3256"/>
      <c r="Y204" s="3256"/>
      <c r="Z204" s="3256" t="s">
        <v>31</v>
      </c>
      <c r="AA204" s="3256" t="s">
        <v>31</v>
      </c>
      <c r="AB204" s="3256" t="s">
        <v>31</v>
      </c>
      <c r="AC204" s="3256" t="s">
        <v>31</v>
      </c>
      <c r="AD204" s="3256" t="s">
        <v>31</v>
      </c>
      <c r="AE204" s="3256"/>
      <c r="AF204" s="3256"/>
      <c r="AG204" s="5362"/>
      <c r="AH204" s="23"/>
      <c r="AI204" s="24"/>
    </row>
    <row r="205" spans="1:35" ht="18" customHeight="1">
      <c r="A205" s="5363">
        <v>8514</v>
      </c>
      <c r="B205" s="3277" t="s">
        <v>393</v>
      </c>
      <c r="C205" s="3256"/>
      <c r="D205" s="3243"/>
      <c r="E205" s="3256" t="s">
        <v>31</v>
      </c>
      <c r="F205" s="3256" t="s">
        <v>31</v>
      </c>
      <c r="G205" s="3256"/>
      <c r="H205" s="3256" t="s">
        <v>31</v>
      </c>
      <c r="I205" s="3256" t="s">
        <v>31</v>
      </c>
      <c r="J205" s="3256"/>
      <c r="K205" s="3256"/>
      <c r="L205" s="3256"/>
      <c r="M205" s="3256" t="s">
        <v>31</v>
      </c>
      <c r="N205" s="3256" t="s">
        <v>31</v>
      </c>
      <c r="O205" s="3256" t="s">
        <v>31</v>
      </c>
      <c r="P205" s="3256" t="s">
        <v>31</v>
      </c>
      <c r="Q205" s="3256"/>
      <c r="R205" s="3256"/>
      <c r="S205" s="3256" t="s">
        <v>31</v>
      </c>
      <c r="T205" s="3256" t="s">
        <v>31</v>
      </c>
      <c r="U205" s="3256" t="s">
        <v>31</v>
      </c>
      <c r="V205" s="3256" t="s">
        <v>31</v>
      </c>
      <c r="W205" s="3256" t="s">
        <v>31</v>
      </c>
      <c r="X205" s="3256"/>
      <c r="Y205" s="3256"/>
      <c r="Z205" s="3256" t="s">
        <v>31</v>
      </c>
      <c r="AA205" s="3256" t="s">
        <v>31</v>
      </c>
      <c r="AB205" s="3256" t="s">
        <v>31</v>
      </c>
      <c r="AC205" s="5305" t="s">
        <v>31</v>
      </c>
      <c r="AD205" s="3256" t="s">
        <v>31</v>
      </c>
      <c r="AE205" s="3256"/>
      <c r="AF205" s="3256"/>
      <c r="AG205" s="5362"/>
      <c r="AH205" s="34"/>
      <c r="AI205" s="25"/>
    </row>
    <row r="206" spans="1:35" ht="18" customHeight="1">
      <c r="A206" s="5363">
        <v>3701</v>
      </c>
      <c r="B206" s="3277" t="s">
        <v>295</v>
      </c>
      <c r="C206" s="3256"/>
      <c r="D206" s="3256"/>
      <c r="E206" s="5364" t="s">
        <v>31</v>
      </c>
      <c r="F206" s="5254" t="s">
        <v>31</v>
      </c>
      <c r="G206" s="3294"/>
      <c r="H206" s="3294"/>
      <c r="I206" s="5254" t="s">
        <v>31</v>
      </c>
      <c r="J206" s="3256"/>
      <c r="K206" s="3256"/>
      <c r="L206" s="3256"/>
      <c r="M206" s="3256" t="s">
        <v>31</v>
      </c>
      <c r="N206" s="3256" t="s">
        <v>31</v>
      </c>
      <c r="O206" s="3256" t="s">
        <v>31</v>
      </c>
      <c r="P206" s="3256" t="s">
        <v>31</v>
      </c>
      <c r="Q206" s="3256"/>
      <c r="R206" s="3256"/>
      <c r="S206" s="3256" t="s">
        <v>31</v>
      </c>
      <c r="T206" s="3256" t="s">
        <v>31</v>
      </c>
      <c r="U206" s="3256" t="s">
        <v>31</v>
      </c>
      <c r="V206" s="3256" t="s">
        <v>31</v>
      </c>
      <c r="W206" s="3256" t="s">
        <v>31</v>
      </c>
      <c r="X206" s="3256"/>
      <c r="Y206" s="3256"/>
      <c r="Z206" s="3258" t="s">
        <v>31</v>
      </c>
      <c r="AA206" s="3256" t="s">
        <v>31</v>
      </c>
      <c r="AB206" s="3256" t="s">
        <v>31</v>
      </c>
      <c r="AC206" s="3256" t="s">
        <v>31</v>
      </c>
      <c r="AD206" s="3256" t="s">
        <v>31</v>
      </c>
      <c r="AE206" s="3256"/>
      <c r="AF206" s="3256"/>
      <c r="AG206" s="5362"/>
      <c r="AH206" s="34"/>
      <c r="AI206" s="25"/>
    </row>
    <row r="207" spans="1:35" ht="18" customHeight="1">
      <c r="A207" s="5363">
        <v>3701</v>
      </c>
      <c r="B207" s="3277" t="s">
        <v>296</v>
      </c>
      <c r="C207" s="3256"/>
      <c r="D207" s="3256"/>
      <c r="E207" s="3256" t="s">
        <v>31</v>
      </c>
      <c r="F207" s="3256" t="s">
        <v>31</v>
      </c>
      <c r="G207" s="3256"/>
      <c r="H207" s="5251" t="s">
        <v>31</v>
      </c>
      <c r="I207" s="5251" t="s">
        <v>31</v>
      </c>
      <c r="J207" s="5365"/>
      <c r="K207" s="5365"/>
      <c r="L207" s="5365"/>
      <c r="M207" s="5365" t="s">
        <v>31</v>
      </c>
      <c r="N207" s="5365" t="s">
        <v>31</v>
      </c>
      <c r="O207" s="5365" t="s">
        <v>31</v>
      </c>
      <c r="P207" s="5365" t="s">
        <v>31</v>
      </c>
      <c r="Q207" s="5365"/>
      <c r="R207" s="5365"/>
      <c r="S207" s="5365">
        <v>19</v>
      </c>
      <c r="T207" s="5365">
        <v>19</v>
      </c>
      <c r="U207" s="5365">
        <v>19</v>
      </c>
      <c r="V207" s="5365">
        <v>19</v>
      </c>
      <c r="W207" s="5365">
        <v>19</v>
      </c>
      <c r="X207" s="5365"/>
      <c r="Y207" s="5365"/>
      <c r="Z207" s="5365" t="s">
        <v>31</v>
      </c>
      <c r="AA207" s="5365" t="s">
        <v>31</v>
      </c>
      <c r="AB207" s="5365" t="s">
        <v>31</v>
      </c>
      <c r="AC207" s="5365" t="s">
        <v>31</v>
      </c>
      <c r="AD207" s="5365" t="s">
        <v>31</v>
      </c>
      <c r="AE207" s="3256"/>
      <c r="AF207" s="3256"/>
      <c r="AG207" s="5362"/>
      <c r="AH207" s="34"/>
      <c r="AI207" s="25"/>
    </row>
    <row r="208" spans="1:35" ht="18" customHeight="1">
      <c r="A208" s="5363">
        <v>3701</v>
      </c>
      <c r="B208" s="3277" t="s">
        <v>297</v>
      </c>
      <c r="C208" s="3256"/>
      <c r="D208" s="3244"/>
      <c r="E208" s="3244" t="s">
        <v>31</v>
      </c>
      <c r="F208" s="3256" t="s">
        <v>31</v>
      </c>
      <c r="G208" s="3256"/>
      <c r="H208" s="3294"/>
      <c r="I208" s="3256" t="s">
        <v>31</v>
      </c>
      <c r="J208" s="3256"/>
      <c r="K208" s="3256"/>
      <c r="L208" s="3256"/>
      <c r="M208" s="3256" t="s">
        <v>31</v>
      </c>
      <c r="N208" s="3256" t="s">
        <v>31</v>
      </c>
      <c r="O208" s="3256" t="s">
        <v>31</v>
      </c>
      <c r="P208" s="3256" t="s">
        <v>31</v>
      </c>
      <c r="Q208" s="3256"/>
      <c r="R208" s="3256"/>
      <c r="S208" s="3256" t="s">
        <v>31</v>
      </c>
      <c r="T208" s="3256" t="s">
        <v>31</v>
      </c>
      <c r="U208" s="3256" t="s">
        <v>31</v>
      </c>
      <c r="V208" s="3256" t="s">
        <v>31</v>
      </c>
      <c r="W208" s="3256" t="s">
        <v>31</v>
      </c>
      <c r="X208" s="3256"/>
      <c r="Y208" s="3256"/>
      <c r="Z208" s="3256" t="s">
        <v>31</v>
      </c>
      <c r="AA208" s="5366" t="s">
        <v>31</v>
      </c>
      <c r="AB208" s="5366" t="s">
        <v>31</v>
      </c>
      <c r="AC208" s="5366" t="s">
        <v>31</v>
      </c>
      <c r="AD208" s="5366" t="s">
        <v>31</v>
      </c>
      <c r="AE208" s="5366"/>
      <c r="AF208" s="5366"/>
      <c r="AG208" s="5367"/>
      <c r="AH208" s="34"/>
      <c r="AI208" s="25"/>
    </row>
    <row r="209" spans="1:35" ht="18" customHeight="1">
      <c r="A209" s="5363">
        <v>3701</v>
      </c>
      <c r="B209" s="3277" t="s">
        <v>298</v>
      </c>
      <c r="C209" s="3256"/>
      <c r="D209" s="3256"/>
      <c r="E209" s="3256" t="s">
        <v>31</v>
      </c>
      <c r="F209" s="3256" t="s">
        <v>31</v>
      </c>
      <c r="G209" s="3256"/>
      <c r="H209" s="3256" t="s">
        <v>31</v>
      </c>
      <c r="I209" s="3256" t="s">
        <v>31</v>
      </c>
      <c r="J209" s="3256"/>
      <c r="K209" s="3256"/>
      <c r="L209" s="3256"/>
      <c r="M209" s="3256">
        <v>19</v>
      </c>
      <c r="N209" s="3256">
        <v>19</v>
      </c>
      <c r="O209" s="3256">
        <v>19</v>
      </c>
      <c r="P209" s="3244">
        <v>19</v>
      </c>
      <c r="Q209" s="3244"/>
      <c r="R209" s="3256"/>
      <c r="S209" s="3256" t="s">
        <v>31</v>
      </c>
      <c r="T209" s="3256" t="s">
        <v>31</v>
      </c>
      <c r="U209" s="3244" t="s">
        <v>31</v>
      </c>
      <c r="V209" s="3244" t="s">
        <v>31</v>
      </c>
      <c r="W209" s="3256" t="s">
        <v>31</v>
      </c>
      <c r="X209" s="3256"/>
      <c r="Y209" s="3256"/>
      <c r="Z209" s="3256" t="s">
        <v>31</v>
      </c>
      <c r="AA209" s="3256" t="s">
        <v>31</v>
      </c>
      <c r="AB209" s="3256" t="s">
        <v>31</v>
      </c>
      <c r="AC209" s="3256" t="s">
        <v>31</v>
      </c>
      <c r="AD209" s="3256" t="s">
        <v>31</v>
      </c>
      <c r="AE209" s="3256"/>
      <c r="AF209" s="3256"/>
      <c r="AG209" s="5362"/>
      <c r="AH209" s="34"/>
      <c r="AI209" s="25"/>
    </row>
    <row r="210" spans="1:35" ht="18" customHeight="1">
      <c r="A210" s="5363">
        <v>3701</v>
      </c>
      <c r="B210" s="3277" t="s">
        <v>299</v>
      </c>
      <c r="C210" s="3256"/>
      <c r="D210" s="3256"/>
      <c r="E210" s="3256">
        <v>19</v>
      </c>
      <c r="F210" s="3256">
        <v>19</v>
      </c>
      <c r="G210" s="3256"/>
      <c r="H210" s="3244">
        <v>19</v>
      </c>
      <c r="I210" s="3244">
        <v>19</v>
      </c>
      <c r="J210" s="3256"/>
      <c r="K210" s="3256"/>
      <c r="L210" s="3256"/>
      <c r="M210" s="3256" t="s">
        <v>31</v>
      </c>
      <c r="N210" s="3256" t="s">
        <v>31</v>
      </c>
      <c r="O210" s="3256" t="s">
        <v>31</v>
      </c>
      <c r="P210" s="3256" t="s">
        <v>31</v>
      </c>
      <c r="Q210" s="3256"/>
      <c r="R210" s="3257"/>
      <c r="S210" s="3257" t="s">
        <v>31</v>
      </c>
      <c r="T210" s="3257" t="s">
        <v>31</v>
      </c>
      <c r="U210" s="3256" t="s">
        <v>31</v>
      </c>
      <c r="V210" s="3256" t="s">
        <v>31</v>
      </c>
      <c r="W210" s="3256" t="s">
        <v>31</v>
      </c>
      <c r="X210" s="3256"/>
      <c r="Y210" s="3256"/>
      <c r="Z210" s="3256" t="s">
        <v>31</v>
      </c>
      <c r="AA210" s="3256" t="s">
        <v>31</v>
      </c>
      <c r="AB210" s="3256" t="s">
        <v>31</v>
      </c>
      <c r="AC210" s="3256" t="s">
        <v>31</v>
      </c>
      <c r="AD210" s="3256" t="s">
        <v>31</v>
      </c>
      <c r="AE210" s="3256"/>
      <c r="AF210" s="3256"/>
      <c r="AG210" s="5362"/>
      <c r="AH210" s="34"/>
      <c r="AI210" s="25"/>
    </row>
    <row r="211" spans="1:35" ht="18" customHeight="1">
      <c r="A211" s="5363">
        <v>3701</v>
      </c>
      <c r="B211" s="3277" t="s">
        <v>300</v>
      </c>
      <c r="C211" s="3256"/>
      <c r="D211" s="3256"/>
      <c r="E211" s="3256" t="s">
        <v>31</v>
      </c>
      <c r="F211" s="3256" t="s">
        <v>31</v>
      </c>
      <c r="G211" s="3256"/>
      <c r="H211" s="3256" t="s">
        <v>31</v>
      </c>
      <c r="I211" s="3256" t="s">
        <v>31</v>
      </c>
      <c r="J211" s="3256"/>
      <c r="K211" s="3256"/>
      <c r="L211" s="3256"/>
      <c r="M211" s="3256" t="s">
        <v>31</v>
      </c>
      <c r="N211" s="3256" t="s">
        <v>31</v>
      </c>
      <c r="O211" s="3256" t="s">
        <v>31</v>
      </c>
      <c r="P211" s="3256" t="s">
        <v>31</v>
      </c>
      <c r="Q211" s="3256"/>
      <c r="R211" s="3244"/>
      <c r="S211" s="3244" t="s">
        <v>31</v>
      </c>
      <c r="T211" s="3244" t="s">
        <v>31</v>
      </c>
      <c r="U211" s="3256" t="s">
        <v>31</v>
      </c>
      <c r="V211" s="3256" t="s">
        <v>31</v>
      </c>
      <c r="W211" s="3256" t="s">
        <v>31</v>
      </c>
      <c r="X211" s="3256"/>
      <c r="Y211" s="3256"/>
      <c r="Z211" s="3256">
        <v>19</v>
      </c>
      <c r="AA211" s="3256">
        <v>19</v>
      </c>
      <c r="AB211" s="3256">
        <v>19</v>
      </c>
      <c r="AC211" s="3244">
        <v>19</v>
      </c>
      <c r="AD211" s="3244">
        <v>19</v>
      </c>
      <c r="AE211" s="3256"/>
      <c r="AF211" s="3256"/>
      <c r="AG211" s="5362"/>
      <c r="AH211" s="34"/>
      <c r="AI211" s="25"/>
    </row>
    <row r="212" spans="1:35" ht="18" customHeight="1">
      <c r="A212" s="5363">
        <v>3701</v>
      </c>
      <c r="B212" s="3277" t="s">
        <v>301</v>
      </c>
      <c r="C212" s="3256"/>
      <c r="D212" s="3256"/>
      <c r="E212" s="3256" t="s">
        <v>31</v>
      </c>
      <c r="F212" s="3256" t="s">
        <v>31</v>
      </c>
      <c r="G212" s="3256"/>
      <c r="H212" s="3294"/>
      <c r="I212" s="3256" t="s">
        <v>31</v>
      </c>
      <c r="J212" s="5250"/>
      <c r="K212" s="5250"/>
      <c r="L212" s="3256"/>
      <c r="M212" s="3256" t="s">
        <v>31</v>
      </c>
      <c r="N212" s="3256" t="s">
        <v>31</v>
      </c>
      <c r="O212" s="3256" t="s">
        <v>31</v>
      </c>
      <c r="P212" s="3256" t="s">
        <v>31</v>
      </c>
      <c r="Q212" s="3256"/>
      <c r="R212" s="3256"/>
      <c r="S212" s="3256" t="s">
        <v>31</v>
      </c>
      <c r="T212" s="3256" t="s">
        <v>31</v>
      </c>
      <c r="U212" s="3256" t="s">
        <v>31</v>
      </c>
      <c r="V212" s="3256" t="s">
        <v>31</v>
      </c>
      <c r="W212" s="3256" t="s">
        <v>31</v>
      </c>
      <c r="X212" s="3256"/>
      <c r="Y212" s="3256"/>
      <c r="Z212" s="3256" t="s">
        <v>31</v>
      </c>
      <c r="AA212" s="3256" t="s">
        <v>31</v>
      </c>
      <c r="AB212" s="3256" t="s">
        <v>31</v>
      </c>
      <c r="AC212" s="3256" t="s">
        <v>31</v>
      </c>
      <c r="AD212" s="3256" t="s">
        <v>31</v>
      </c>
      <c r="AE212" s="3256"/>
      <c r="AF212" s="3256"/>
      <c r="AG212" s="5362"/>
      <c r="AH212" s="34"/>
      <c r="AI212" s="25"/>
    </row>
    <row r="213" spans="1:35" ht="18" customHeight="1">
      <c r="A213" s="5368">
        <v>3701</v>
      </c>
      <c r="B213" s="3277" t="s">
        <v>302</v>
      </c>
      <c r="C213" s="3256"/>
      <c r="D213" s="3256"/>
      <c r="E213" s="3256" t="s">
        <v>31</v>
      </c>
      <c r="F213" s="5369" t="s">
        <v>31</v>
      </c>
      <c r="G213" s="3256"/>
      <c r="H213" s="3256" t="s">
        <v>31</v>
      </c>
      <c r="I213" s="3256" t="s">
        <v>31</v>
      </c>
      <c r="J213" s="3256"/>
      <c r="K213" s="3256"/>
      <c r="L213" s="3256"/>
      <c r="M213" s="3256" t="s">
        <v>31</v>
      </c>
      <c r="N213" s="5254" t="s">
        <v>31</v>
      </c>
      <c r="O213" s="3256" t="s">
        <v>31</v>
      </c>
      <c r="P213" s="3256" t="s">
        <v>31</v>
      </c>
      <c r="Q213" s="3256"/>
      <c r="R213" s="3256"/>
      <c r="S213" s="3257" t="s">
        <v>31</v>
      </c>
      <c r="T213" s="3257" t="s">
        <v>31</v>
      </c>
      <c r="U213" s="3257" t="s">
        <v>31</v>
      </c>
      <c r="V213" s="3257" t="s">
        <v>31</v>
      </c>
      <c r="W213" s="5254" t="s">
        <v>31</v>
      </c>
      <c r="X213" s="5254"/>
      <c r="Y213" s="5254"/>
      <c r="Z213" s="5254" t="s">
        <v>31</v>
      </c>
      <c r="AA213" s="5254" t="s">
        <v>31</v>
      </c>
      <c r="AB213" s="5254" t="s">
        <v>31</v>
      </c>
      <c r="AC213" s="5254" t="s">
        <v>31</v>
      </c>
      <c r="AD213" s="5254" t="s">
        <v>31</v>
      </c>
      <c r="AE213" s="5254"/>
      <c r="AF213" s="5254"/>
      <c r="AG213" s="5370"/>
      <c r="AH213" s="34"/>
      <c r="AI213" s="25"/>
    </row>
    <row r="214" spans="1:35" ht="18" customHeight="1">
      <c r="A214" s="5363">
        <v>3701</v>
      </c>
      <c r="B214" s="3277" t="s">
        <v>303</v>
      </c>
      <c r="C214" s="3256"/>
      <c r="D214" s="3256"/>
      <c r="E214" s="3256" t="s">
        <v>31</v>
      </c>
      <c r="F214" s="3256" t="s">
        <v>31</v>
      </c>
      <c r="G214" s="3256"/>
      <c r="H214" s="3256" t="s">
        <v>31</v>
      </c>
      <c r="I214" s="3256" t="s">
        <v>31</v>
      </c>
      <c r="J214" s="3256"/>
      <c r="K214" s="3256"/>
      <c r="L214" s="3256"/>
      <c r="M214" s="3256" t="s">
        <v>31</v>
      </c>
      <c r="N214" s="3256" t="s">
        <v>31</v>
      </c>
      <c r="O214" s="5366" t="s">
        <v>31</v>
      </c>
      <c r="P214" s="5371" t="s">
        <v>304</v>
      </c>
      <c r="Q214" s="3256"/>
      <c r="R214" s="5372"/>
      <c r="S214" s="5372" t="s">
        <v>31</v>
      </c>
      <c r="T214" s="5372" t="s">
        <v>31</v>
      </c>
      <c r="U214" s="5372" t="s">
        <v>31</v>
      </c>
      <c r="V214" s="5372" t="s">
        <v>31</v>
      </c>
      <c r="W214" s="3244" t="s">
        <v>31</v>
      </c>
      <c r="X214" s="3244"/>
      <c r="Y214" s="3256"/>
      <c r="Z214" s="3256" t="s">
        <v>31</v>
      </c>
      <c r="AA214" s="3256" t="s">
        <v>31</v>
      </c>
      <c r="AB214" s="3256" t="s">
        <v>31</v>
      </c>
      <c r="AC214" s="3256" t="s">
        <v>31</v>
      </c>
      <c r="AD214" s="3244" t="s">
        <v>31</v>
      </c>
      <c r="AE214" s="3244"/>
      <c r="AF214" s="3244"/>
      <c r="AG214" s="5373"/>
      <c r="AH214" s="34"/>
      <c r="AI214" s="25"/>
    </row>
    <row r="215" spans="1:35" ht="18" customHeight="1">
      <c r="A215" s="5363">
        <v>3701</v>
      </c>
      <c r="B215" s="3277" t="s">
        <v>305</v>
      </c>
      <c r="C215" s="5374"/>
      <c r="D215" s="5374"/>
      <c r="E215" s="5374" t="s">
        <v>31</v>
      </c>
      <c r="F215" s="5374" t="s">
        <v>31</v>
      </c>
      <c r="G215" s="5374"/>
      <c r="H215" s="5374" t="s">
        <v>31</v>
      </c>
      <c r="I215" s="5374" t="s">
        <v>31</v>
      </c>
      <c r="J215" s="5374"/>
      <c r="K215" s="5374"/>
      <c r="L215" s="5374"/>
      <c r="M215" s="5374" t="s">
        <v>31</v>
      </c>
      <c r="N215" s="5374" t="s">
        <v>31</v>
      </c>
      <c r="O215" s="5374" t="s">
        <v>31</v>
      </c>
      <c r="P215" s="5374" t="s">
        <v>31</v>
      </c>
      <c r="Q215" s="5374"/>
      <c r="R215" s="5374"/>
      <c r="S215" s="5374" t="s">
        <v>31</v>
      </c>
      <c r="T215" s="5374" t="s">
        <v>31</v>
      </c>
      <c r="U215" s="5374" t="s">
        <v>31</v>
      </c>
      <c r="V215" s="5374" t="s">
        <v>31</v>
      </c>
      <c r="W215" s="5374" t="s">
        <v>31</v>
      </c>
      <c r="X215" s="5374"/>
      <c r="Y215" s="5374"/>
      <c r="Z215" s="5374" t="s">
        <v>31</v>
      </c>
      <c r="AA215" s="5374" t="s">
        <v>31</v>
      </c>
      <c r="AB215" s="3256" t="s">
        <v>31</v>
      </c>
      <c r="AC215" s="3256" t="s">
        <v>31</v>
      </c>
      <c r="AD215" s="3256" t="s">
        <v>31</v>
      </c>
      <c r="AE215" s="3256"/>
      <c r="AF215" s="3256"/>
      <c r="AG215" s="5375"/>
      <c r="AH215" s="34"/>
      <c r="AI215" s="25"/>
    </row>
    <row r="216" spans="1:35" ht="18" customHeight="1">
      <c r="A216" s="5363"/>
      <c r="B216" s="5376" t="s">
        <v>277</v>
      </c>
      <c r="C216" s="3256"/>
      <c r="D216" s="3256"/>
      <c r="E216" s="3256"/>
      <c r="F216" s="3256"/>
      <c r="G216" s="3256"/>
      <c r="H216" s="3256"/>
      <c r="I216" s="3256"/>
      <c r="J216" s="3256"/>
      <c r="K216" s="3256"/>
      <c r="L216" s="3256"/>
      <c r="M216" s="3256"/>
      <c r="N216" s="3256"/>
      <c r="O216" s="3256"/>
      <c r="P216" s="3256"/>
      <c r="Q216" s="3256"/>
      <c r="R216" s="3256"/>
      <c r="S216" s="3256"/>
      <c r="T216" s="3256"/>
      <c r="U216" s="3256"/>
      <c r="V216" s="3256"/>
      <c r="W216" s="3256"/>
      <c r="X216" s="3256"/>
      <c r="Y216" s="3256"/>
      <c r="Z216" s="3256"/>
      <c r="AA216" s="3256"/>
      <c r="AB216" s="3256"/>
      <c r="AC216" s="3256"/>
      <c r="AD216" s="3256"/>
      <c r="AE216" s="3256"/>
      <c r="AF216" s="3256"/>
      <c r="AG216" s="5362"/>
      <c r="AH216" s="34"/>
      <c r="AI216" s="25"/>
    </row>
    <row r="217" spans="1:35" ht="18" customHeight="1">
      <c r="A217" s="5363"/>
      <c r="B217" s="3277" t="s">
        <v>306</v>
      </c>
      <c r="C217" s="5374"/>
      <c r="D217" s="5374"/>
      <c r="E217" s="5374" t="s">
        <v>31</v>
      </c>
      <c r="F217" s="5374" t="s">
        <v>31</v>
      </c>
      <c r="G217" s="5374"/>
      <c r="H217" s="5374" t="s">
        <v>31</v>
      </c>
      <c r="I217" s="5374" t="s">
        <v>31</v>
      </c>
      <c r="J217" s="5374"/>
      <c r="K217" s="5374"/>
      <c r="L217" s="5374"/>
      <c r="M217" s="5374" t="s">
        <v>31</v>
      </c>
      <c r="N217" s="5374" t="s">
        <v>31</v>
      </c>
      <c r="O217" s="5374" t="s">
        <v>31</v>
      </c>
      <c r="P217" s="5374" t="s">
        <v>31</v>
      </c>
      <c r="Q217" s="5374"/>
      <c r="R217" s="5374"/>
      <c r="S217" s="5374" t="s">
        <v>31</v>
      </c>
      <c r="T217" s="5374" t="s">
        <v>31</v>
      </c>
      <c r="U217" s="5374" t="s">
        <v>31</v>
      </c>
      <c r="V217" s="5374" t="s">
        <v>31</v>
      </c>
      <c r="W217" s="5374" t="s">
        <v>31</v>
      </c>
      <c r="X217" s="5374"/>
      <c r="Y217" s="5374"/>
      <c r="Z217" s="5254" t="s">
        <v>31</v>
      </c>
      <c r="AA217" s="5254" t="s">
        <v>31</v>
      </c>
      <c r="AB217" s="5254" t="s">
        <v>31</v>
      </c>
      <c r="AC217" s="5254" t="s">
        <v>31</v>
      </c>
      <c r="AD217" s="5254" t="s">
        <v>31</v>
      </c>
      <c r="AE217" s="5254"/>
      <c r="AF217" s="5254"/>
      <c r="AG217" s="5370"/>
      <c r="AH217" s="34"/>
      <c r="AI217" s="25"/>
    </row>
    <row r="218" spans="1:35" ht="18" customHeight="1">
      <c r="A218" s="5363"/>
      <c r="B218" s="3277" t="s">
        <v>307</v>
      </c>
      <c r="C218" s="3256"/>
      <c r="D218" s="5250"/>
      <c r="E218" s="5250" t="s">
        <v>31</v>
      </c>
      <c r="F218" s="5250" t="s">
        <v>31</v>
      </c>
      <c r="G218" s="5250"/>
      <c r="H218" s="5250" t="s">
        <v>31</v>
      </c>
      <c r="I218" s="3256" t="s">
        <v>31</v>
      </c>
      <c r="J218" s="3256"/>
      <c r="K218" s="3256"/>
      <c r="L218" s="3256"/>
      <c r="M218" s="3256" t="s">
        <v>31</v>
      </c>
      <c r="N218" s="5369" t="s">
        <v>31</v>
      </c>
      <c r="O218" s="3256" t="s">
        <v>31</v>
      </c>
      <c r="P218" s="5366" t="s">
        <v>31</v>
      </c>
      <c r="Q218" s="5366"/>
      <c r="R218" s="5366"/>
      <c r="S218" s="5371" t="s">
        <v>304</v>
      </c>
      <c r="T218" s="3256" t="s">
        <v>31</v>
      </c>
      <c r="U218" s="3256" t="s">
        <v>31</v>
      </c>
      <c r="V218" s="3256" t="s">
        <v>31</v>
      </c>
      <c r="W218" s="3256" t="s">
        <v>31</v>
      </c>
      <c r="X218" s="3256"/>
      <c r="Y218" s="3256"/>
      <c r="Z218" s="3256" t="s">
        <v>31</v>
      </c>
      <c r="AA218" s="3256" t="s">
        <v>31</v>
      </c>
      <c r="AB218" s="3256" t="s">
        <v>31</v>
      </c>
      <c r="AC218" s="3256" t="s">
        <v>31</v>
      </c>
      <c r="AD218" s="3256" t="s">
        <v>31</v>
      </c>
      <c r="AE218" s="3256"/>
      <c r="AF218" s="3256"/>
      <c r="AG218" s="5362"/>
      <c r="AH218" s="34"/>
      <c r="AI218" s="25"/>
    </row>
    <row r="219" spans="1:35" ht="18" customHeight="1">
      <c r="A219" s="5363"/>
      <c r="B219" s="3277" t="s">
        <v>308</v>
      </c>
      <c r="C219" s="3256"/>
      <c r="D219" s="3256"/>
      <c r="E219" s="5254" t="s">
        <v>31</v>
      </c>
      <c r="F219" s="5254" t="s">
        <v>31</v>
      </c>
      <c r="G219" s="3256"/>
      <c r="H219" s="5254" t="s">
        <v>31</v>
      </c>
      <c r="I219" s="5254" t="s">
        <v>31</v>
      </c>
      <c r="J219" s="3256"/>
      <c r="K219" s="3256"/>
      <c r="L219" s="3256"/>
      <c r="M219" s="5254" t="s">
        <v>31</v>
      </c>
      <c r="N219" s="5250" t="s">
        <v>31</v>
      </c>
      <c r="O219" s="5250" t="s">
        <v>31</v>
      </c>
      <c r="P219" s="3256" t="s">
        <v>31</v>
      </c>
      <c r="Q219" s="3256"/>
      <c r="R219" s="3256"/>
      <c r="S219" s="3256" t="s">
        <v>31</v>
      </c>
      <c r="T219" s="3244" t="s">
        <v>31</v>
      </c>
      <c r="U219" s="3256" t="s">
        <v>31</v>
      </c>
      <c r="V219" s="114" t="s">
        <v>31</v>
      </c>
      <c r="W219" s="3256" t="s">
        <v>31</v>
      </c>
      <c r="X219" s="3256"/>
      <c r="Y219" s="3256"/>
      <c r="Z219" s="3256" t="s">
        <v>31</v>
      </c>
      <c r="AA219" s="3256" t="s">
        <v>31</v>
      </c>
      <c r="AB219" s="3256" t="s">
        <v>31</v>
      </c>
      <c r="AC219" s="3256" t="s">
        <v>31</v>
      </c>
      <c r="AD219" s="3256" t="s">
        <v>31</v>
      </c>
      <c r="AE219" s="3256"/>
      <c r="AF219" s="3256"/>
      <c r="AG219" s="5362"/>
      <c r="AH219" s="34"/>
      <c r="AI219" s="25"/>
    </row>
    <row r="220" spans="1:35" ht="18" customHeight="1">
      <c r="A220" s="5363"/>
      <c r="B220" s="3277" t="s">
        <v>309</v>
      </c>
      <c r="C220" s="3256"/>
      <c r="D220" s="3256"/>
      <c r="E220" s="3256" t="s">
        <v>31</v>
      </c>
      <c r="F220" s="3256" t="s">
        <v>31</v>
      </c>
      <c r="G220" s="3256"/>
      <c r="H220" s="3256" t="s">
        <v>31</v>
      </c>
      <c r="I220" s="3256" t="s">
        <v>31</v>
      </c>
      <c r="J220" s="3256"/>
      <c r="K220" s="3256"/>
      <c r="L220" s="3256"/>
      <c r="M220" s="3256" t="s">
        <v>31</v>
      </c>
      <c r="N220" s="3256" t="s">
        <v>31</v>
      </c>
      <c r="O220" s="3256" t="s">
        <v>31</v>
      </c>
      <c r="P220" s="3256" t="s">
        <v>31</v>
      </c>
      <c r="Q220" s="3256"/>
      <c r="R220" s="3256"/>
      <c r="S220" s="3256" t="s">
        <v>31</v>
      </c>
      <c r="T220" s="3256" t="s">
        <v>31</v>
      </c>
      <c r="U220" s="3256" t="s">
        <v>31</v>
      </c>
      <c r="V220" s="3256" t="s">
        <v>31</v>
      </c>
      <c r="W220" s="3256" t="s">
        <v>31</v>
      </c>
      <c r="X220" s="3256"/>
      <c r="Y220" s="3256"/>
      <c r="Z220" s="3256" t="s">
        <v>31</v>
      </c>
      <c r="AA220" s="3256" t="s">
        <v>31</v>
      </c>
      <c r="AB220" s="3256" t="s">
        <v>31</v>
      </c>
      <c r="AC220" s="3244" t="s">
        <v>31</v>
      </c>
      <c r="AD220" s="3244" t="s">
        <v>31</v>
      </c>
      <c r="AE220" s="3244"/>
      <c r="AF220" s="3244"/>
      <c r="AG220" s="5373"/>
      <c r="AH220" s="34"/>
      <c r="AI220" s="25"/>
    </row>
    <row r="221" spans="1:35" ht="18" customHeight="1">
      <c r="A221" s="5363"/>
      <c r="B221" s="5377" t="s">
        <v>310</v>
      </c>
      <c r="C221" s="3256"/>
      <c r="D221" s="3256"/>
      <c r="E221" s="3256"/>
      <c r="F221" s="3256"/>
      <c r="G221" s="3256"/>
      <c r="H221" s="3256"/>
      <c r="I221" s="3256"/>
      <c r="J221" s="3256"/>
      <c r="K221" s="3256"/>
      <c r="L221" s="3256"/>
      <c r="M221" s="3256"/>
      <c r="N221" s="3256"/>
      <c r="O221" s="3256"/>
      <c r="P221" s="3256"/>
      <c r="Q221" s="3256"/>
      <c r="R221" s="3256"/>
      <c r="S221" s="3256"/>
      <c r="T221" s="3256"/>
      <c r="U221" s="3256"/>
      <c r="V221" s="3256"/>
      <c r="W221" s="3256"/>
      <c r="X221" s="3256"/>
      <c r="Y221" s="3256"/>
      <c r="Z221" s="3256"/>
      <c r="AA221" s="3256"/>
      <c r="AB221" s="3256"/>
      <c r="AC221" s="3256"/>
      <c r="AD221" s="3256"/>
      <c r="AE221" s="3256"/>
      <c r="AF221" s="3256"/>
      <c r="AG221" s="5362"/>
      <c r="AH221" s="93"/>
      <c r="AI221" s="76"/>
    </row>
    <row r="222" spans="1:35" ht="18" customHeight="1">
      <c r="A222" s="5363"/>
      <c r="B222" s="3277"/>
      <c r="C222" s="3256"/>
      <c r="D222" s="3256"/>
      <c r="E222" s="3256"/>
      <c r="F222" s="3256"/>
      <c r="G222" s="3256"/>
      <c r="H222" s="3256"/>
      <c r="I222" s="3256"/>
      <c r="J222" s="3256"/>
      <c r="K222" s="3256"/>
      <c r="L222" s="3256"/>
      <c r="M222" s="3256"/>
      <c r="N222" s="3256"/>
      <c r="O222" s="3256"/>
      <c r="P222" s="3256"/>
      <c r="Q222" s="3256"/>
      <c r="R222" s="3256"/>
      <c r="S222" s="3256"/>
      <c r="T222" s="3256"/>
      <c r="U222" s="3256"/>
      <c r="V222" s="3256"/>
      <c r="W222" s="3256"/>
      <c r="X222" s="3256"/>
      <c r="Y222" s="3256"/>
      <c r="Z222" s="3256"/>
      <c r="AA222" s="3256"/>
      <c r="AB222" s="3256"/>
      <c r="AC222" s="3256"/>
      <c r="AD222" s="3256"/>
      <c r="AE222" s="3256"/>
      <c r="AF222" s="3256"/>
      <c r="AG222" s="5378"/>
      <c r="AH222" s="93"/>
      <c r="AI222" s="76"/>
    </row>
    <row r="223" spans="1:35" ht="18" customHeight="1">
      <c r="A223" s="3294"/>
      <c r="B223" s="3294"/>
      <c r="C223" s="3256"/>
      <c r="D223" s="3256"/>
      <c r="E223" s="3256"/>
      <c r="F223" s="3256"/>
      <c r="G223" s="3256"/>
      <c r="H223" s="3256"/>
      <c r="I223" s="3256"/>
      <c r="J223" s="3256"/>
      <c r="K223" s="3256"/>
      <c r="L223" s="3256"/>
      <c r="M223" s="3256"/>
      <c r="N223" s="3256"/>
      <c r="O223" s="3256"/>
      <c r="P223" s="3256"/>
      <c r="Q223" s="3256"/>
      <c r="R223" s="3256"/>
      <c r="S223" s="3256"/>
      <c r="T223" s="3256"/>
      <c r="U223" s="3256"/>
      <c r="V223" s="3256"/>
      <c r="W223" s="3256"/>
      <c r="X223" s="3256"/>
      <c r="Y223" s="3256"/>
      <c r="Z223" s="3256"/>
      <c r="AA223" s="3256"/>
      <c r="AB223" s="3256"/>
      <c r="AC223" s="3256"/>
      <c r="AD223" s="3256"/>
      <c r="AE223" s="3256"/>
      <c r="AF223" s="3256"/>
      <c r="AG223" s="5362"/>
      <c r="AH223" s="93"/>
      <c r="AI223" s="76"/>
    </row>
    <row r="224" spans="1:35" ht="18" customHeight="1">
      <c r="A224" s="3294"/>
      <c r="B224" s="3294"/>
      <c r="C224" s="3256"/>
      <c r="D224" s="3256"/>
      <c r="E224" s="3256"/>
      <c r="F224" s="3256"/>
      <c r="G224" s="3256"/>
      <c r="H224" s="5379"/>
      <c r="I224" s="3256"/>
      <c r="J224" s="3256"/>
      <c r="K224" s="3256"/>
      <c r="L224" s="3256"/>
      <c r="M224" s="3256"/>
      <c r="N224" s="3256"/>
      <c r="O224" s="3256"/>
      <c r="P224" s="3256"/>
      <c r="Q224" s="3256"/>
      <c r="R224" s="3256"/>
      <c r="S224" s="3256"/>
      <c r="T224" s="3256"/>
      <c r="U224" s="3256"/>
      <c r="V224" s="3256"/>
      <c r="W224" s="3256"/>
      <c r="X224" s="3256"/>
      <c r="Y224" s="3256"/>
      <c r="Z224" s="3256"/>
      <c r="AA224" s="3256"/>
      <c r="AB224" s="3256"/>
      <c r="AC224" s="3256"/>
      <c r="AD224" s="3256"/>
      <c r="AE224" s="3256"/>
      <c r="AF224" s="3256"/>
      <c r="AG224" s="5378"/>
      <c r="AH224" s="93"/>
      <c r="AI224" s="76"/>
    </row>
    <row r="225" spans="1:35" ht="18" customHeight="1">
      <c r="A225" s="3294"/>
      <c r="B225" s="3294"/>
      <c r="C225" s="3256"/>
      <c r="D225" s="3256"/>
      <c r="E225" s="3256"/>
      <c r="F225" s="3256"/>
      <c r="G225" s="3256"/>
      <c r="H225" s="3256"/>
      <c r="I225" s="3256"/>
      <c r="J225" s="3256"/>
      <c r="K225" s="3256"/>
      <c r="L225" s="3256"/>
      <c r="M225" s="3256"/>
      <c r="N225" s="3256"/>
      <c r="O225" s="3256"/>
      <c r="P225" s="3256"/>
      <c r="Q225" s="3256"/>
      <c r="R225" s="3256"/>
      <c r="S225" s="3256"/>
      <c r="T225" s="3256"/>
      <c r="U225" s="3256"/>
      <c r="V225" s="3256"/>
      <c r="W225" s="3256"/>
      <c r="X225" s="3256"/>
      <c r="Y225" s="3256"/>
      <c r="Z225" s="3256"/>
      <c r="AA225" s="3256"/>
      <c r="AB225" s="3256"/>
      <c r="AC225" s="3256"/>
      <c r="AD225" s="3256"/>
      <c r="AE225" s="3256"/>
      <c r="AF225" s="3256"/>
      <c r="AG225" s="5362"/>
      <c r="AH225" s="93"/>
      <c r="AI225" s="76"/>
    </row>
    <row r="226" spans="1:35" ht="18" customHeight="1">
      <c r="A226" s="3294"/>
      <c r="B226" s="3294"/>
      <c r="C226" s="3256"/>
      <c r="D226" s="3256"/>
      <c r="E226" s="3256"/>
      <c r="F226" s="3256"/>
      <c r="G226" s="3256"/>
      <c r="H226" s="5379"/>
      <c r="I226" s="3256"/>
      <c r="J226" s="3256"/>
      <c r="K226" s="3256"/>
      <c r="L226" s="3256"/>
      <c r="M226" s="3256"/>
      <c r="N226" s="3256"/>
      <c r="O226" s="3256"/>
      <c r="P226" s="3256"/>
      <c r="Q226" s="3256"/>
      <c r="R226" s="3256"/>
      <c r="S226" s="3256"/>
      <c r="T226" s="3256"/>
      <c r="U226" s="3256"/>
      <c r="V226" s="3256"/>
      <c r="W226" s="3256"/>
      <c r="X226" s="3256"/>
      <c r="Y226" s="3256"/>
      <c r="Z226" s="3256"/>
      <c r="AA226" s="3256"/>
      <c r="AB226" s="3256"/>
      <c r="AC226" s="3256"/>
      <c r="AD226" s="3256"/>
      <c r="AE226" s="3256"/>
      <c r="AF226" s="3256"/>
      <c r="AG226" s="5378"/>
      <c r="AH226" s="93"/>
      <c r="AI226" s="76"/>
    </row>
    <row r="227" spans="1:35" ht="18" customHeight="1">
      <c r="A227" s="5363"/>
      <c r="B227" s="5376"/>
      <c r="C227" s="3256"/>
      <c r="D227" s="3256"/>
      <c r="E227" s="3256"/>
      <c r="F227" s="3256"/>
      <c r="G227" s="3256"/>
      <c r="H227" s="3256"/>
      <c r="I227" s="3256"/>
      <c r="J227" s="3256"/>
      <c r="K227" s="3256"/>
      <c r="L227" s="3256"/>
      <c r="M227" s="3256"/>
      <c r="N227" s="3256"/>
      <c r="O227" s="3256"/>
      <c r="P227" s="3256"/>
      <c r="Q227" s="3256"/>
      <c r="R227" s="3256"/>
      <c r="S227" s="3256"/>
      <c r="T227" s="3256"/>
      <c r="U227" s="3256"/>
      <c r="V227" s="3256"/>
      <c r="W227" s="3256"/>
      <c r="X227" s="3256"/>
      <c r="Y227" s="3256"/>
      <c r="Z227" s="3256"/>
      <c r="AA227" s="3256"/>
      <c r="AB227" s="3256"/>
      <c r="AC227" s="3256"/>
      <c r="AD227" s="3256"/>
      <c r="AE227" s="3256"/>
      <c r="AF227" s="3256"/>
      <c r="AG227" s="5378"/>
      <c r="AH227" s="93"/>
      <c r="AI227" s="76"/>
    </row>
    <row r="228" spans="1:35" ht="18" customHeight="1">
      <c r="A228" s="5363"/>
      <c r="B228" s="5380"/>
      <c r="C228" s="3256"/>
      <c r="D228" s="3256"/>
      <c r="E228" s="3256"/>
      <c r="F228" s="3256"/>
      <c r="G228" s="3256"/>
      <c r="H228" s="3256"/>
      <c r="I228" s="3256"/>
      <c r="J228" s="3256"/>
      <c r="K228" s="3256"/>
      <c r="L228" s="3256"/>
      <c r="M228" s="3256"/>
      <c r="N228" s="3256"/>
      <c r="O228" s="3256"/>
      <c r="P228" s="3256"/>
      <c r="Q228" s="3256"/>
      <c r="R228" s="3256"/>
      <c r="S228" s="3256"/>
      <c r="T228" s="3256"/>
      <c r="U228" s="3256"/>
      <c r="V228" s="3256"/>
      <c r="W228" s="3256"/>
      <c r="X228" s="3256"/>
      <c r="Y228" s="3256"/>
      <c r="Z228" s="3256"/>
      <c r="AA228" s="3256"/>
      <c r="AB228" s="3256"/>
      <c r="AC228" s="3256"/>
      <c r="AD228" s="3256"/>
      <c r="AE228" s="3256"/>
      <c r="AF228" s="3256"/>
      <c r="AG228" s="5378"/>
      <c r="AH228" s="93"/>
      <c r="AI228" s="76"/>
    </row>
    <row r="229" spans="1:35" ht="18" customHeight="1">
      <c r="A229" s="82"/>
      <c r="B229" s="115"/>
      <c r="C229" s="38"/>
      <c r="D229" s="38"/>
      <c r="E229" s="38"/>
      <c r="F229" s="38"/>
      <c r="G229" s="38"/>
      <c r="H229" s="38"/>
      <c r="I229" s="38"/>
      <c r="J229" s="38"/>
      <c r="L229" s="38"/>
      <c r="M229" s="38"/>
      <c r="N229" s="38"/>
      <c r="O229" s="38"/>
      <c r="P229" s="17"/>
      <c r="Q229" s="17"/>
      <c r="R229" s="17"/>
      <c r="S229" s="38"/>
      <c r="T229" s="38"/>
      <c r="U229" s="38"/>
      <c r="V229" s="38"/>
      <c r="W229" s="38"/>
      <c r="X229" s="38"/>
      <c r="Y229" s="38"/>
      <c r="Z229" s="38"/>
      <c r="AA229" s="38"/>
      <c r="AB229" s="38"/>
      <c r="AC229" s="38"/>
      <c r="AD229" s="38"/>
      <c r="AE229" s="38"/>
      <c r="AF229" s="38"/>
      <c r="AG229" s="38"/>
      <c r="AH229" s="76"/>
      <c r="AI229" s="76"/>
    </row>
    <row r="230" spans="1:35" ht="18" customHeight="1"/>
    <row r="231" spans="1:35" ht="18" customHeight="1"/>
    <row r="232" spans="1:35" ht="18" customHeight="1"/>
    <row r="233" spans="1:35" ht="18" customHeight="1" thickBot="1">
      <c r="A233" s="14" t="s">
        <v>311</v>
      </c>
    </row>
    <row r="234" spans="1:35" ht="18" customHeight="1">
      <c r="B234" s="5381" t="s">
        <v>281</v>
      </c>
      <c r="C234" s="3834"/>
      <c r="D234" s="3858" t="s">
        <v>87</v>
      </c>
      <c r="E234" s="3640"/>
      <c r="F234" s="3838"/>
      <c r="G234" s="3834"/>
      <c r="H234" s="3858" t="s">
        <v>88</v>
      </c>
      <c r="I234" s="3640"/>
      <c r="J234" s="3838"/>
      <c r="K234" s="3834"/>
      <c r="L234" s="3858" t="s">
        <v>89</v>
      </c>
      <c r="M234" s="3640"/>
      <c r="N234" s="3838"/>
      <c r="O234" s="3834"/>
      <c r="P234" s="3858" t="s">
        <v>90</v>
      </c>
      <c r="Q234" s="3640"/>
      <c r="R234" s="3838"/>
      <c r="S234" s="3834"/>
      <c r="T234" s="3858" t="s">
        <v>91</v>
      </c>
      <c r="U234" s="3640"/>
      <c r="V234" s="3838"/>
      <c r="W234" s="3834"/>
      <c r="X234" s="3858" t="s">
        <v>92</v>
      </c>
      <c r="Y234" s="3640"/>
      <c r="Z234" s="3838"/>
      <c r="AA234" s="3834"/>
      <c r="AB234" s="3858" t="s">
        <v>93</v>
      </c>
      <c r="AC234" s="3640"/>
      <c r="AD234" s="3640"/>
      <c r="AE234" s="3861" t="s">
        <v>94</v>
      </c>
      <c r="AF234" s="3640"/>
      <c r="AG234" s="3640"/>
      <c r="AH234" s="3640"/>
      <c r="AI234" s="3641"/>
    </row>
    <row r="235" spans="1:35" ht="18" customHeight="1">
      <c r="B235" s="116"/>
      <c r="C235" s="110"/>
      <c r="D235" s="111"/>
      <c r="E235" s="101"/>
      <c r="F235" s="109"/>
      <c r="G235" s="110"/>
      <c r="H235" s="111"/>
      <c r="I235" s="101"/>
      <c r="J235" s="109"/>
      <c r="K235" s="110"/>
      <c r="L235" s="111"/>
      <c r="M235" s="101"/>
      <c r="N235" s="109"/>
      <c r="O235" s="110"/>
      <c r="P235" s="111"/>
      <c r="Q235" s="101"/>
      <c r="R235" s="109"/>
      <c r="S235" s="110"/>
      <c r="T235" s="111"/>
      <c r="U235" s="101"/>
      <c r="V235" s="109"/>
      <c r="W235" s="110"/>
      <c r="X235" s="111"/>
      <c r="Y235" s="101"/>
      <c r="Z235" s="109"/>
      <c r="AA235" s="110"/>
      <c r="AB235" s="111"/>
      <c r="AC235" s="101"/>
      <c r="AD235" s="101"/>
      <c r="AE235" s="112"/>
      <c r="AF235" s="101"/>
      <c r="AG235" s="8"/>
      <c r="AH235" s="8"/>
      <c r="AI235" s="105"/>
    </row>
    <row r="236" spans="1:35" ht="18" customHeight="1">
      <c r="A236" s="87"/>
      <c r="B236" s="5382">
        <v>3701</v>
      </c>
      <c r="C236" s="3013" t="s">
        <v>286</v>
      </c>
      <c r="D236" s="3014"/>
      <c r="E236" s="101"/>
      <c r="F236" s="109"/>
      <c r="G236" s="3013" t="s">
        <v>286</v>
      </c>
      <c r="H236" s="111"/>
      <c r="I236" s="101"/>
      <c r="J236" s="109"/>
      <c r="K236" s="3013" t="s">
        <v>286</v>
      </c>
      <c r="L236" s="111"/>
      <c r="M236" s="101"/>
      <c r="N236" s="109"/>
      <c r="O236" s="3013" t="s">
        <v>286</v>
      </c>
      <c r="P236" s="111"/>
      <c r="Q236" s="101"/>
      <c r="R236" s="109"/>
      <c r="S236" s="110" t="s">
        <v>287</v>
      </c>
      <c r="T236" s="111"/>
      <c r="U236" s="101"/>
      <c r="V236" s="109"/>
      <c r="W236" s="110"/>
      <c r="X236" s="111"/>
      <c r="Y236" s="101"/>
      <c r="Z236" s="109"/>
      <c r="AA236" s="110"/>
      <c r="AB236" s="111"/>
      <c r="AC236" s="101"/>
      <c r="AD236" s="101"/>
      <c r="AE236" s="112"/>
      <c r="AF236" s="101"/>
      <c r="AG236" s="8"/>
      <c r="AH236" s="8"/>
      <c r="AI236" s="105"/>
    </row>
    <row r="237" spans="1:35" ht="18" customHeight="1">
      <c r="B237" s="5382"/>
      <c r="C237" s="3013"/>
      <c r="D237" s="3014"/>
      <c r="E237" s="101"/>
      <c r="F237" s="109"/>
      <c r="G237" s="3013"/>
      <c r="H237" s="111"/>
      <c r="I237" s="101"/>
      <c r="J237" s="109"/>
      <c r="K237" s="3013"/>
      <c r="L237" s="111"/>
      <c r="M237" s="101"/>
      <c r="N237" s="109"/>
      <c r="O237" s="3013"/>
      <c r="P237" s="111"/>
      <c r="Q237" s="101"/>
      <c r="R237" s="109"/>
      <c r="S237" s="3013"/>
      <c r="T237" s="111"/>
      <c r="U237" s="101"/>
      <c r="V237" s="109"/>
      <c r="W237" s="110"/>
      <c r="X237" s="111"/>
      <c r="Y237" s="101"/>
      <c r="Z237" s="109"/>
      <c r="AA237" s="110"/>
      <c r="AB237" s="111"/>
      <c r="AC237" s="101"/>
      <c r="AD237" s="101"/>
      <c r="AE237" s="112"/>
      <c r="AF237" s="101"/>
      <c r="AG237" s="8"/>
      <c r="AH237" s="8"/>
      <c r="AI237" s="105"/>
    </row>
    <row r="238" spans="1:35" ht="18" customHeight="1">
      <c r="B238" s="5382">
        <v>3702</v>
      </c>
      <c r="C238" s="3013" t="s">
        <v>312</v>
      </c>
      <c r="D238" s="3014"/>
      <c r="E238" s="101"/>
      <c r="F238" s="109"/>
      <c r="G238" s="3013" t="s">
        <v>312</v>
      </c>
      <c r="H238" s="3014"/>
      <c r="I238" s="101"/>
      <c r="J238" s="109"/>
      <c r="K238" s="3013" t="s">
        <v>312</v>
      </c>
      <c r="L238" s="3014"/>
      <c r="M238" s="101"/>
      <c r="N238" s="109"/>
      <c r="O238" s="3013" t="s">
        <v>312</v>
      </c>
      <c r="P238" s="3014"/>
      <c r="Q238" s="101"/>
      <c r="R238" s="109"/>
      <c r="S238" s="3013" t="s">
        <v>313</v>
      </c>
      <c r="T238" s="3014"/>
      <c r="U238" s="101"/>
      <c r="V238" s="109"/>
      <c r="W238" s="110"/>
      <c r="X238" s="111"/>
      <c r="Y238" s="101"/>
      <c r="Z238" s="109"/>
      <c r="AA238" s="110"/>
      <c r="AB238" s="111"/>
      <c r="AC238" s="101"/>
      <c r="AD238" s="101"/>
      <c r="AE238" s="112"/>
      <c r="AF238" s="101"/>
      <c r="AG238" s="8"/>
      <c r="AH238" s="8"/>
      <c r="AI238" s="105"/>
    </row>
    <row r="239" spans="1:35" ht="18" customHeight="1">
      <c r="B239" s="5382"/>
      <c r="C239" s="3108"/>
      <c r="D239" s="3014"/>
      <c r="E239" s="101"/>
      <c r="F239" s="109"/>
      <c r="G239" s="111"/>
      <c r="H239" s="111"/>
      <c r="I239" s="101"/>
      <c r="J239" s="109"/>
      <c r="K239" s="111"/>
      <c r="L239" s="111"/>
      <c r="M239" s="101"/>
      <c r="N239" s="109"/>
      <c r="O239" s="111"/>
      <c r="P239" s="111"/>
      <c r="Q239" s="101"/>
      <c r="R239" s="109"/>
      <c r="S239" s="111"/>
      <c r="T239" s="111"/>
      <c r="U239" s="101"/>
      <c r="V239" s="109"/>
      <c r="W239" s="110"/>
      <c r="X239" s="111"/>
      <c r="Y239" s="101"/>
      <c r="Z239" s="109"/>
      <c r="AA239" s="110"/>
      <c r="AB239" s="111"/>
      <c r="AC239" s="101"/>
      <c r="AD239" s="101"/>
      <c r="AE239" s="112"/>
      <c r="AF239" s="101"/>
      <c r="AG239" s="8"/>
      <c r="AH239" s="8"/>
      <c r="AI239" s="105"/>
    </row>
    <row r="240" spans="1:35" ht="18" customHeight="1">
      <c r="B240" s="5382" t="s">
        <v>159</v>
      </c>
      <c r="C240" s="3108" t="s">
        <v>314</v>
      </c>
      <c r="D240" s="3014"/>
      <c r="E240" s="101"/>
      <c r="F240" s="109"/>
      <c r="G240" s="3108" t="s">
        <v>314</v>
      </c>
      <c r="H240" s="3014"/>
      <c r="I240" s="101"/>
      <c r="J240" s="109"/>
      <c r="K240" s="3108" t="s">
        <v>314</v>
      </c>
      <c r="L240" s="3014"/>
      <c r="M240" s="101"/>
      <c r="N240" s="109"/>
      <c r="O240" s="3108" t="s">
        <v>314</v>
      </c>
      <c r="P240" s="3014"/>
      <c r="Q240" s="101"/>
      <c r="R240" s="109"/>
      <c r="S240" s="111" t="s">
        <v>315</v>
      </c>
      <c r="T240" s="111"/>
      <c r="U240" s="101"/>
      <c r="V240" s="109"/>
      <c r="W240" s="110"/>
      <c r="X240" s="111"/>
      <c r="Y240" s="101"/>
      <c r="Z240" s="109"/>
      <c r="AA240" s="110"/>
      <c r="AB240" s="111"/>
      <c r="AC240" s="101"/>
      <c r="AD240" s="101"/>
      <c r="AE240" s="112"/>
      <c r="AF240" s="101"/>
      <c r="AG240" s="8"/>
      <c r="AH240" s="8"/>
      <c r="AI240" s="105"/>
    </row>
    <row r="241" spans="1:35" ht="18" customHeight="1">
      <c r="B241" s="5382" t="s">
        <v>163</v>
      </c>
      <c r="C241" s="3108" t="s">
        <v>316</v>
      </c>
      <c r="D241" s="3014"/>
      <c r="E241" s="101"/>
      <c r="F241" s="109"/>
      <c r="G241" s="3108" t="s">
        <v>316</v>
      </c>
      <c r="H241" s="3014"/>
      <c r="I241" s="101"/>
      <c r="J241" s="109"/>
      <c r="K241" s="3108" t="s">
        <v>316</v>
      </c>
      <c r="L241" s="3014"/>
      <c r="M241" s="101"/>
      <c r="N241" s="109"/>
      <c r="O241" s="3108" t="s">
        <v>316</v>
      </c>
      <c r="P241" s="3014"/>
      <c r="Q241" s="101"/>
      <c r="R241" s="109"/>
      <c r="S241" s="111" t="s">
        <v>317</v>
      </c>
      <c r="T241" s="111"/>
      <c r="U241" s="101"/>
      <c r="V241" s="109"/>
      <c r="W241" s="110"/>
      <c r="X241" s="111"/>
      <c r="Y241" s="101"/>
      <c r="Z241" s="109"/>
      <c r="AA241" s="110"/>
      <c r="AB241" s="111"/>
      <c r="AC241" s="101"/>
      <c r="AD241" s="101"/>
      <c r="AE241" s="112"/>
      <c r="AF241" s="101"/>
      <c r="AG241" s="8"/>
      <c r="AH241" s="8"/>
      <c r="AI241" s="105"/>
    </row>
    <row r="242" spans="1:35" ht="18" customHeight="1" thickBot="1">
      <c r="B242" s="5383" t="s">
        <v>171</v>
      </c>
      <c r="C242" s="3350" t="s">
        <v>318</v>
      </c>
      <c r="D242" s="5384"/>
      <c r="E242" s="4366"/>
      <c r="F242" s="4367"/>
      <c r="G242" s="3350" t="s">
        <v>318</v>
      </c>
      <c r="H242" s="5384"/>
      <c r="I242" s="4366"/>
      <c r="J242" s="4367"/>
      <c r="K242" s="3350" t="s">
        <v>318</v>
      </c>
      <c r="L242" s="5384"/>
      <c r="M242" s="4366"/>
      <c r="N242" s="4367"/>
      <c r="O242" s="3350" t="s">
        <v>318</v>
      </c>
      <c r="P242" s="5384"/>
      <c r="Q242" s="4366"/>
      <c r="R242" s="4367"/>
      <c r="S242" s="4368" t="s">
        <v>319</v>
      </c>
      <c r="T242" s="4368"/>
      <c r="U242" s="4366"/>
      <c r="V242" s="4367"/>
      <c r="W242" s="4369"/>
      <c r="X242" s="4368"/>
      <c r="Y242" s="4370"/>
      <c r="Z242" s="4371"/>
      <c r="AA242" s="4372"/>
      <c r="AB242" s="4368"/>
      <c r="AC242" s="4370"/>
      <c r="AD242" s="4370"/>
      <c r="AE242" s="4373"/>
      <c r="AF242" s="4370"/>
      <c r="AG242" s="4366"/>
      <c r="AH242" s="4366"/>
      <c r="AI242" s="4374"/>
    </row>
    <row r="243" spans="1:35" ht="18" customHeight="1">
      <c r="B243" s="42"/>
      <c r="C243" s="37"/>
      <c r="D243" s="113"/>
      <c r="G243" s="37"/>
      <c r="H243" s="113"/>
      <c r="K243" s="37"/>
      <c r="L243" s="113"/>
      <c r="O243" s="37"/>
      <c r="P243" s="113"/>
      <c r="S243" s="37"/>
      <c r="T243" s="37"/>
      <c r="X243" s="37"/>
      <c r="AB243" s="37"/>
      <c r="AE243" s="37"/>
    </row>
    <row r="244" spans="1:35" ht="18" customHeight="1">
      <c r="A244" s="117" t="s">
        <v>320</v>
      </c>
    </row>
    <row r="245" spans="1:35" ht="18" customHeight="1" thickBot="1">
      <c r="A245" s="5385"/>
      <c r="B245" s="5386" t="s">
        <v>29</v>
      </c>
      <c r="C245" s="3410">
        <v>1</v>
      </c>
      <c r="D245" s="3410">
        <v>2</v>
      </c>
      <c r="E245" s="3411">
        <v>3</v>
      </c>
      <c r="F245" s="3411">
        <v>4</v>
      </c>
      <c r="G245" s="3410">
        <v>5</v>
      </c>
      <c r="H245" s="3411">
        <v>6</v>
      </c>
      <c r="I245" s="3411">
        <v>7</v>
      </c>
      <c r="J245" s="3410">
        <v>8</v>
      </c>
      <c r="K245" s="3410">
        <v>9</v>
      </c>
      <c r="L245" s="3410">
        <v>10</v>
      </c>
      <c r="M245" s="3411">
        <v>11</v>
      </c>
      <c r="N245" s="3411">
        <v>12</v>
      </c>
      <c r="O245" s="3411">
        <v>13</v>
      </c>
      <c r="P245" s="3411">
        <v>14</v>
      </c>
      <c r="Q245" s="3410">
        <v>15</v>
      </c>
      <c r="R245" s="3410">
        <v>16</v>
      </c>
      <c r="S245" s="3411">
        <v>17</v>
      </c>
      <c r="T245" s="3411">
        <v>18</v>
      </c>
      <c r="U245" s="3411">
        <v>19</v>
      </c>
      <c r="V245" s="3411">
        <v>20</v>
      </c>
      <c r="W245" s="3411">
        <v>21</v>
      </c>
      <c r="X245" s="3410">
        <v>22</v>
      </c>
      <c r="Y245" s="3410">
        <v>23</v>
      </c>
      <c r="Z245" s="3411">
        <v>24</v>
      </c>
      <c r="AA245" s="3411">
        <v>25</v>
      </c>
      <c r="AB245" s="3411">
        <v>26</v>
      </c>
      <c r="AC245" s="3411">
        <v>27</v>
      </c>
      <c r="AD245" s="3411">
        <v>28</v>
      </c>
      <c r="AE245" s="3410">
        <v>29</v>
      </c>
      <c r="AF245" s="3410">
        <v>30</v>
      </c>
      <c r="AG245" s="3585"/>
      <c r="AH245" s="23"/>
      <c r="AI245" s="24"/>
    </row>
    <row r="246" spans="1:35" ht="18" customHeight="1">
      <c r="A246" s="5387">
        <v>3701</v>
      </c>
      <c r="B246" s="3606" t="s">
        <v>394</v>
      </c>
      <c r="C246" s="2990"/>
      <c r="D246" s="2990"/>
      <c r="E246" s="2990" t="s">
        <v>31</v>
      </c>
      <c r="F246" s="2990" t="s">
        <v>31</v>
      </c>
      <c r="G246" s="3243"/>
      <c r="H246" s="2990" t="s">
        <v>31</v>
      </c>
      <c r="I246" s="2990" t="s">
        <v>31</v>
      </c>
      <c r="J246" s="2990"/>
      <c r="K246" s="5388"/>
      <c r="L246" s="5388"/>
      <c r="M246" s="5388" t="s">
        <v>31</v>
      </c>
      <c r="N246" s="5388" t="s">
        <v>31</v>
      </c>
      <c r="O246" s="5388" t="s">
        <v>31</v>
      </c>
      <c r="P246" s="5388" t="s">
        <v>31</v>
      </c>
      <c r="Q246" s="5388"/>
      <c r="R246" s="5388"/>
      <c r="S246" s="5388" t="s">
        <v>31</v>
      </c>
      <c r="T246" s="5388" t="s">
        <v>31</v>
      </c>
      <c r="U246" s="5388" t="s">
        <v>31</v>
      </c>
      <c r="V246" s="5388" t="s">
        <v>31</v>
      </c>
      <c r="W246" s="2990" t="s">
        <v>31</v>
      </c>
      <c r="X246" s="2990"/>
      <c r="Y246" s="2990"/>
      <c r="Z246" s="2990" t="s">
        <v>31</v>
      </c>
      <c r="AA246" s="2990" t="s">
        <v>31</v>
      </c>
      <c r="AB246" s="2990" t="s">
        <v>31</v>
      </c>
      <c r="AC246" s="2840" t="s">
        <v>31</v>
      </c>
      <c r="AD246" s="5389" t="s">
        <v>31</v>
      </c>
      <c r="AE246" s="5390" t="s">
        <v>115</v>
      </c>
      <c r="AF246" s="5389"/>
      <c r="AG246" s="5391"/>
      <c r="AH246" s="34"/>
      <c r="AI246" s="25"/>
    </row>
    <row r="247" spans="1:35" ht="18" customHeight="1">
      <c r="A247" s="5387">
        <v>3702</v>
      </c>
      <c r="B247" s="3606" t="s">
        <v>321</v>
      </c>
      <c r="C247" s="2990"/>
      <c r="D247" s="2990"/>
      <c r="E247" s="2990" t="s">
        <v>31</v>
      </c>
      <c r="F247" s="2990" t="s">
        <v>31</v>
      </c>
      <c r="G247" s="2990"/>
      <c r="H247" s="2990" t="s">
        <v>31</v>
      </c>
      <c r="I247" s="2990" t="s">
        <v>31</v>
      </c>
      <c r="J247" s="2990"/>
      <c r="K247" s="2990"/>
      <c r="L247" s="2990"/>
      <c r="M247" s="2990" t="s">
        <v>31</v>
      </c>
      <c r="N247" s="2990" t="s">
        <v>31</v>
      </c>
      <c r="O247" s="2990" t="s">
        <v>31</v>
      </c>
      <c r="P247" s="2990" t="s">
        <v>31</v>
      </c>
      <c r="Q247" s="2990"/>
      <c r="R247" s="2990"/>
      <c r="S247" s="2990" t="s">
        <v>31</v>
      </c>
      <c r="T247" s="2990" t="s">
        <v>31</v>
      </c>
      <c r="U247" s="2990" t="s">
        <v>31</v>
      </c>
      <c r="V247" s="2990" t="s">
        <v>31</v>
      </c>
      <c r="W247" s="2990" t="s">
        <v>31</v>
      </c>
      <c r="X247" s="2990"/>
      <c r="Y247" s="2990"/>
      <c r="Z247" s="2990" t="s">
        <v>31</v>
      </c>
      <c r="AA247" s="2990" t="s">
        <v>31</v>
      </c>
      <c r="AB247" s="2990" t="s">
        <v>31</v>
      </c>
      <c r="AC247" s="2990" t="s">
        <v>31</v>
      </c>
      <c r="AD247" s="2990" t="s">
        <v>31</v>
      </c>
      <c r="AE247" s="2990"/>
      <c r="AF247" s="2990"/>
      <c r="AG247" s="5391"/>
      <c r="AH247" s="34"/>
      <c r="AI247" s="25"/>
    </row>
    <row r="248" spans="1:35" ht="18" customHeight="1">
      <c r="A248" s="5387"/>
      <c r="B248" s="3606"/>
      <c r="C248" s="5392"/>
      <c r="D248" s="5392"/>
      <c r="E248" s="5392"/>
      <c r="F248" s="5392"/>
      <c r="G248" s="5392"/>
      <c r="H248" s="5392"/>
      <c r="I248" s="5392"/>
      <c r="J248" s="5392"/>
      <c r="K248" s="5392"/>
      <c r="L248" s="5392"/>
      <c r="M248" s="5393"/>
      <c r="N248" s="5392"/>
      <c r="O248" s="5392"/>
      <c r="P248" s="5392"/>
      <c r="Q248" s="5392"/>
      <c r="R248" s="5392"/>
      <c r="S248" s="5392"/>
      <c r="T248" s="5392"/>
      <c r="U248" s="5392"/>
      <c r="V248" s="5392"/>
      <c r="W248" s="5392"/>
      <c r="X248" s="5392"/>
      <c r="Y248" s="5392"/>
      <c r="Z248" s="5392"/>
      <c r="AA248" s="5392"/>
      <c r="AB248" s="5392"/>
      <c r="AC248" s="5392"/>
      <c r="AD248" s="5392"/>
      <c r="AE248" s="5392"/>
      <c r="AF248" s="5392"/>
      <c r="AG248" s="5391"/>
      <c r="AH248" s="34"/>
      <c r="AI248" s="25"/>
    </row>
    <row r="249" spans="1:35" ht="18" customHeight="1">
      <c r="A249" s="5394"/>
      <c r="B249" s="118"/>
      <c r="C249" s="2840"/>
      <c r="D249" s="2840"/>
      <c r="E249" s="2840"/>
      <c r="F249" s="2840"/>
      <c r="G249" s="2840"/>
      <c r="H249" s="2840"/>
      <c r="I249" s="2840"/>
      <c r="J249" s="2840"/>
      <c r="K249" s="2840"/>
      <c r="L249" s="2840"/>
      <c r="M249" s="2840"/>
      <c r="N249" s="2840"/>
      <c r="O249" s="2840"/>
      <c r="P249" s="2840"/>
      <c r="Q249" s="2840"/>
      <c r="R249" s="2840"/>
      <c r="S249" s="2840"/>
      <c r="T249" s="2840"/>
      <c r="U249" s="2840"/>
      <c r="V249" s="2840"/>
      <c r="W249" s="2840"/>
      <c r="X249" s="2840"/>
      <c r="Y249" s="2840"/>
      <c r="Z249" s="2840"/>
      <c r="AA249" s="2840"/>
      <c r="AB249" s="2840"/>
      <c r="AC249" s="2840"/>
      <c r="AD249" s="2840"/>
      <c r="AE249" s="2840"/>
      <c r="AF249" s="2840"/>
      <c r="AG249" s="5395"/>
      <c r="AH249" s="34"/>
      <c r="AI249" s="25"/>
    </row>
    <row r="250" spans="1:35" ht="18" customHeight="1">
      <c r="A250" s="5396"/>
      <c r="B250" s="3610" t="s">
        <v>322</v>
      </c>
      <c r="C250" s="5397"/>
      <c r="D250" s="5397"/>
      <c r="E250" s="5397"/>
      <c r="F250" s="5397"/>
      <c r="G250" s="5397"/>
      <c r="H250" s="5397"/>
      <c r="I250" s="5397"/>
      <c r="J250" s="5397"/>
      <c r="K250" s="5397"/>
      <c r="L250" s="5397"/>
      <c r="M250" s="5397"/>
      <c r="N250" s="5397"/>
      <c r="O250" s="5397"/>
      <c r="P250" s="5397"/>
      <c r="Q250" s="5397"/>
      <c r="R250" s="5397"/>
      <c r="S250" s="5397"/>
      <c r="T250" s="5397"/>
      <c r="U250" s="5397"/>
      <c r="V250" s="5397"/>
      <c r="W250" s="5397"/>
      <c r="X250" s="5397"/>
      <c r="Y250" s="5397"/>
      <c r="Z250" s="5397"/>
      <c r="AA250" s="5397"/>
      <c r="AB250" s="5397"/>
      <c r="AC250" s="5397"/>
      <c r="AD250" s="5397"/>
      <c r="AE250" s="5397"/>
      <c r="AF250" s="5397"/>
      <c r="AG250" s="5398"/>
      <c r="AH250" s="119"/>
      <c r="AI250" s="26"/>
    </row>
    <row r="251" spans="1:35" ht="18" customHeight="1">
      <c r="A251" s="5387">
        <v>3702</v>
      </c>
      <c r="B251" s="5346" t="s">
        <v>323</v>
      </c>
      <c r="C251" s="5392"/>
      <c r="D251" s="5392"/>
      <c r="E251" s="5392" t="s">
        <v>152</v>
      </c>
      <c r="F251" s="5392" t="s">
        <v>152</v>
      </c>
      <c r="G251" s="3294"/>
      <c r="H251" s="3294"/>
      <c r="I251" s="5392" t="s">
        <v>152</v>
      </c>
      <c r="J251" s="5392"/>
      <c r="K251" s="5399"/>
      <c r="L251" s="5392"/>
      <c r="M251" s="5392" t="s">
        <v>152</v>
      </c>
      <c r="N251" s="5392" t="s">
        <v>152</v>
      </c>
      <c r="O251" s="5392" t="s">
        <v>152</v>
      </c>
      <c r="P251" s="5392" t="s">
        <v>152</v>
      </c>
      <c r="Q251" s="5392"/>
      <c r="R251" s="5392"/>
      <c r="S251" s="5392" t="s">
        <v>152</v>
      </c>
      <c r="T251" s="5392" t="s">
        <v>152</v>
      </c>
      <c r="U251" s="3243" t="s">
        <v>152</v>
      </c>
      <c r="V251" s="5392" t="s">
        <v>152</v>
      </c>
      <c r="W251" s="5392" t="s">
        <v>152</v>
      </c>
      <c r="X251" s="5392"/>
      <c r="Y251" s="5392"/>
      <c r="Z251" s="5392" t="s">
        <v>152</v>
      </c>
      <c r="AA251" s="5392" t="s">
        <v>152</v>
      </c>
      <c r="AB251" s="5392" t="s">
        <v>152</v>
      </c>
      <c r="AC251" s="3603" t="s">
        <v>152</v>
      </c>
      <c r="AD251" s="3603" t="s">
        <v>152</v>
      </c>
      <c r="AE251" s="5392"/>
      <c r="AF251" s="5392"/>
      <c r="AG251" s="5391"/>
      <c r="AH251" s="34"/>
      <c r="AI251" s="25"/>
    </row>
    <row r="252" spans="1:35" ht="18" customHeight="1">
      <c r="A252" s="5387"/>
      <c r="B252" s="5342" t="s">
        <v>325</v>
      </c>
      <c r="C252" s="5392"/>
      <c r="D252" s="5392"/>
      <c r="E252" s="5392" t="s">
        <v>326</v>
      </c>
      <c r="F252" s="5392" t="s">
        <v>326</v>
      </c>
      <c r="G252" s="5400"/>
      <c r="H252" s="3603" t="s">
        <v>326</v>
      </c>
      <c r="I252" s="5392" t="s">
        <v>326</v>
      </c>
      <c r="J252" s="5392"/>
      <c r="K252" s="5392"/>
      <c r="L252" s="5392"/>
      <c r="M252" s="3603" t="s">
        <v>326</v>
      </c>
      <c r="N252" s="3603" t="s">
        <v>326</v>
      </c>
      <c r="O252" s="3603" t="s">
        <v>326</v>
      </c>
      <c r="P252" s="5392" t="s">
        <v>326</v>
      </c>
      <c r="Q252" s="5392"/>
      <c r="R252" s="5388"/>
      <c r="S252" s="5388" t="s">
        <v>326</v>
      </c>
      <c r="T252" s="5388" t="s">
        <v>326</v>
      </c>
      <c r="U252" s="5388" t="s">
        <v>326</v>
      </c>
      <c r="V252" s="5401" t="s">
        <v>326</v>
      </c>
      <c r="W252" s="3243" t="s">
        <v>326</v>
      </c>
      <c r="X252" s="5392"/>
      <c r="Y252" s="5392"/>
      <c r="Z252" s="5392" t="s">
        <v>326</v>
      </c>
      <c r="AA252" s="5392" t="s">
        <v>326</v>
      </c>
      <c r="AB252" s="5392" t="s">
        <v>326</v>
      </c>
      <c r="AC252" s="5392" t="s">
        <v>326</v>
      </c>
      <c r="AD252" s="5392" t="s">
        <v>326</v>
      </c>
      <c r="AE252" s="5392"/>
      <c r="AF252" s="5392"/>
      <c r="AG252" s="5391"/>
      <c r="AH252" s="34"/>
      <c r="AI252" s="25"/>
    </row>
    <row r="253" spans="1:35" ht="18" customHeight="1" thickBot="1">
      <c r="A253" s="5402"/>
      <c r="B253" s="5350" t="s">
        <v>327</v>
      </c>
      <c r="C253" s="5403"/>
      <c r="D253" s="5403"/>
      <c r="E253" s="5403" t="s">
        <v>328</v>
      </c>
      <c r="F253" s="5403" t="s">
        <v>328</v>
      </c>
      <c r="G253" s="3294"/>
      <c r="H253" s="3294"/>
      <c r="I253" s="5403" t="s">
        <v>328</v>
      </c>
      <c r="J253" s="5403"/>
      <c r="K253" s="5403"/>
      <c r="L253" s="5403"/>
      <c r="M253" s="5403" t="s">
        <v>328</v>
      </c>
      <c r="N253" s="5403" t="s">
        <v>328</v>
      </c>
      <c r="O253" s="5403" t="s">
        <v>328</v>
      </c>
      <c r="P253" s="5403" t="s">
        <v>328</v>
      </c>
      <c r="Q253" s="5403"/>
      <c r="R253" s="5403"/>
      <c r="S253" s="5403" t="s">
        <v>328</v>
      </c>
      <c r="T253" s="5403" t="s">
        <v>328</v>
      </c>
      <c r="U253" s="5403" t="s">
        <v>328</v>
      </c>
      <c r="V253" s="5403" t="s">
        <v>328</v>
      </c>
      <c r="W253" s="5403" t="s">
        <v>328</v>
      </c>
      <c r="X253" s="5403"/>
      <c r="Y253" s="5403"/>
      <c r="Z253" s="5403" t="s">
        <v>328</v>
      </c>
      <c r="AA253" s="5403" t="s">
        <v>328</v>
      </c>
      <c r="AB253" s="5403" t="s">
        <v>328</v>
      </c>
      <c r="AC253" s="5403" t="s">
        <v>328</v>
      </c>
      <c r="AD253" s="5404" t="s">
        <v>328</v>
      </c>
      <c r="AE253" s="5403"/>
      <c r="AF253" s="5403"/>
      <c r="AG253" s="5405"/>
      <c r="AH253" s="34"/>
      <c r="AI253" s="25"/>
    </row>
    <row r="254" spans="1:35" ht="18" customHeight="1"/>
    <row r="255" spans="1:35" ht="18" customHeight="1"/>
    <row r="256" spans="1:35" ht="18" customHeight="1" thickBot="1">
      <c r="A256" s="14" t="s">
        <v>329</v>
      </c>
    </row>
    <row r="257" spans="1:35" ht="18" customHeight="1">
      <c r="B257" s="5381" t="s">
        <v>281</v>
      </c>
      <c r="C257" s="3834"/>
      <c r="D257" s="3858" t="s">
        <v>87</v>
      </c>
      <c r="E257" s="3640"/>
      <c r="F257" s="3838"/>
      <c r="G257" s="3834"/>
      <c r="H257" s="3858" t="s">
        <v>88</v>
      </c>
      <c r="I257" s="3640"/>
      <c r="J257" s="3838"/>
      <c r="K257" s="3834"/>
      <c r="L257" s="3858" t="s">
        <v>89</v>
      </c>
      <c r="M257" s="3640"/>
      <c r="N257" s="3838"/>
      <c r="O257" s="3834"/>
      <c r="P257" s="3858" t="s">
        <v>90</v>
      </c>
      <c r="Q257" s="3640"/>
      <c r="R257" s="3838"/>
      <c r="S257" s="3834"/>
      <c r="T257" s="3858" t="s">
        <v>91</v>
      </c>
      <c r="U257" s="3640"/>
      <c r="V257" s="3838"/>
      <c r="W257" s="3834"/>
      <c r="X257" s="3858" t="s">
        <v>92</v>
      </c>
      <c r="Y257" s="3640"/>
      <c r="Z257" s="3838"/>
      <c r="AA257" s="3834"/>
      <c r="AB257" s="3858" t="s">
        <v>93</v>
      </c>
      <c r="AC257" s="3640"/>
      <c r="AD257" s="3640"/>
      <c r="AE257" s="3861" t="s">
        <v>94</v>
      </c>
      <c r="AF257" s="3640"/>
      <c r="AG257" s="3640"/>
      <c r="AH257" s="3640"/>
      <c r="AI257" s="3641"/>
    </row>
    <row r="258" spans="1:35" ht="18" customHeight="1">
      <c r="B258" s="116">
        <v>8500</v>
      </c>
      <c r="C258" s="3013" t="s">
        <v>330</v>
      </c>
      <c r="D258" s="111"/>
      <c r="E258" s="8"/>
      <c r="F258" s="120"/>
      <c r="G258" s="3013" t="s">
        <v>330</v>
      </c>
      <c r="H258" s="111"/>
      <c r="I258" s="8"/>
      <c r="J258" s="120"/>
      <c r="K258" s="3013" t="s">
        <v>330</v>
      </c>
      <c r="L258" s="111"/>
      <c r="M258" s="8"/>
      <c r="N258" s="120"/>
      <c r="O258" s="3013" t="s">
        <v>330</v>
      </c>
      <c r="P258" s="111"/>
      <c r="Q258" s="8"/>
      <c r="R258" s="120"/>
      <c r="S258" s="3013" t="s">
        <v>331</v>
      </c>
      <c r="T258" s="111"/>
      <c r="U258" s="8"/>
      <c r="V258" s="120"/>
      <c r="W258" s="121"/>
      <c r="X258" s="111"/>
      <c r="Y258" s="8"/>
      <c r="Z258" s="120"/>
      <c r="AA258" s="121"/>
      <c r="AB258" s="111"/>
      <c r="AC258" s="8"/>
      <c r="AD258" s="8"/>
      <c r="AE258" s="112"/>
      <c r="AF258" s="8"/>
      <c r="AG258" s="8"/>
      <c r="AH258" s="8"/>
      <c r="AI258" s="105"/>
    </row>
    <row r="259" spans="1:35" ht="18" customHeight="1" thickBot="1">
      <c r="A259" s="87"/>
      <c r="B259" s="5406"/>
      <c r="C259" s="4378"/>
      <c r="D259" s="4379"/>
      <c r="E259" s="4366"/>
      <c r="F259" s="4367"/>
      <c r="G259" s="4378"/>
      <c r="H259" s="4368"/>
      <c r="I259" s="4366"/>
      <c r="J259" s="4367"/>
      <c r="K259" s="4378"/>
      <c r="L259" s="4368"/>
      <c r="M259" s="4366"/>
      <c r="N259" s="4367"/>
      <c r="O259" s="4378"/>
      <c r="P259" s="4368"/>
      <c r="Q259" s="4366"/>
      <c r="R259" s="4367"/>
      <c r="S259" s="4378"/>
      <c r="T259" s="4368"/>
      <c r="U259" s="4366"/>
      <c r="V259" s="4367"/>
      <c r="W259" s="4369"/>
      <c r="X259" s="4368"/>
      <c r="Y259" s="4366"/>
      <c r="Z259" s="4367"/>
      <c r="AA259" s="4369"/>
      <c r="AB259" s="4368"/>
      <c r="AC259" s="4366"/>
      <c r="AD259" s="4366"/>
      <c r="AE259" s="4373"/>
      <c r="AF259" s="4366"/>
      <c r="AG259" s="4366"/>
      <c r="AH259" s="4366"/>
      <c r="AI259" s="4374"/>
    </row>
    <row r="260" spans="1:35" ht="18" customHeight="1">
      <c r="A260" s="122" t="s">
        <v>332</v>
      </c>
    </row>
    <row r="261" spans="1:35" ht="18" customHeight="1" thickBot="1">
      <c r="A261" s="5407"/>
      <c r="B261" s="5386" t="s">
        <v>29</v>
      </c>
      <c r="C261" s="3410">
        <v>1</v>
      </c>
      <c r="D261" s="3410">
        <v>2</v>
      </c>
      <c r="E261" s="3411">
        <v>3</v>
      </c>
      <c r="F261" s="3411">
        <v>4</v>
      </c>
      <c r="G261" s="3410">
        <v>5</v>
      </c>
      <c r="H261" s="3411">
        <v>6</v>
      </c>
      <c r="I261" s="3411">
        <v>7</v>
      </c>
      <c r="J261" s="3410">
        <v>8</v>
      </c>
      <c r="K261" s="3410">
        <v>9</v>
      </c>
      <c r="L261" s="3410">
        <v>10</v>
      </c>
      <c r="M261" s="3411">
        <v>11</v>
      </c>
      <c r="N261" s="3411">
        <v>12</v>
      </c>
      <c r="O261" s="3411">
        <v>13</v>
      </c>
      <c r="P261" s="3411">
        <v>14</v>
      </c>
      <c r="Q261" s="3410">
        <v>15</v>
      </c>
      <c r="R261" s="3410">
        <v>16</v>
      </c>
      <c r="S261" s="3411">
        <v>17</v>
      </c>
      <c r="T261" s="3411">
        <v>18</v>
      </c>
      <c r="U261" s="3411">
        <v>19</v>
      </c>
      <c r="V261" s="3411">
        <v>20</v>
      </c>
      <c r="W261" s="3411">
        <v>21</v>
      </c>
      <c r="X261" s="3410">
        <v>22</v>
      </c>
      <c r="Y261" s="3410">
        <v>23</v>
      </c>
      <c r="Z261" s="3411">
        <v>24</v>
      </c>
      <c r="AA261" s="3411">
        <v>25</v>
      </c>
      <c r="AB261" s="3411">
        <v>26</v>
      </c>
      <c r="AC261" s="3411">
        <v>27</v>
      </c>
      <c r="AD261" s="3411">
        <v>28</v>
      </c>
      <c r="AE261" s="3410">
        <v>29</v>
      </c>
      <c r="AF261" s="3410">
        <v>30</v>
      </c>
      <c r="AG261" s="3585"/>
      <c r="AH261" s="23"/>
      <c r="AI261" s="24"/>
    </row>
    <row r="262" spans="1:35" ht="18" customHeight="1">
      <c r="A262" s="121">
        <v>8500</v>
      </c>
      <c r="B262" s="123" t="s">
        <v>333</v>
      </c>
      <c r="C262" s="4177"/>
      <c r="D262" s="5361"/>
      <c r="E262" s="4340" t="s">
        <v>31</v>
      </c>
      <c r="F262" s="4340" t="s">
        <v>31</v>
      </c>
      <c r="G262" s="4177"/>
      <c r="H262" s="4340" t="s">
        <v>31</v>
      </c>
      <c r="I262" s="4340" t="s">
        <v>31</v>
      </c>
      <c r="J262" s="4177"/>
      <c r="K262" s="4177"/>
      <c r="L262" s="4177"/>
      <c r="M262" s="4177" t="s">
        <v>31</v>
      </c>
      <c r="N262" s="4177" t="s">
        <v>31</v>
      </c>
      <c r="O262" s="4177" t="s">
        <v>31</v>
      </c>
      <c r="P262" s="4177" t="s">
        <v>31</v>
      </c>
      <c r="Q262" s="4177"/>
      <c r="R262" s="4177"/>
      <c r="S262" s="4340" t="s">
        <v>31</v>
      </c>
      <c r="T262" s="4340" t="s">
        <v>31</v>
      </c>
      <c r="U262" s="4340" t="s">
        <v>31</v>
      </c>
      <c r="V262" s="4340" t="s">
        <v>31</v>
      </c>
      <c r="W262" s="4340" t="s">
        <v>31</v>
      </c>
      <c r="X262" s="4177"/>
      <c r="Y262" s="4177"/>
      <c r="Z262" s="4177" t="s">
        <v>31</v>
      </c>
      <c r="AA262" s="4177" t="s">
        <v>31</v>
      </c>
      <c r="AB262" s="4177" t="s">
        <v>31</v>
      </c>
      <c r="AC262" s="4340" t="s">
        <v>31</v>
      </c>
      <c r="AD262" s="4177" t="s">
        <v>31</v>
      </c>
      <c r="AE262" s="4177"/>
      <c r="AF262" s="4177"/>
      <c r="AG262" s="3256"/>
      <c r="AH262" s="124"/>
      <c r="AI262" s="125"/>
    </row>
    <row r="263" spans="1:35" ht="18" customHeight="1">
      <c r="A263" s="3015"/>
      <c r="B263" s="5408" t="s">
        <v>334</v>
      </c>
      <c r="C263" s="3256"/>
      <c r="D263" s="3256"/>
      <c r="E263" s="3256" t="s">
        <v>31</v>
      </c>
      <c r="F263" s="3256" t="s">
        <v>31</v>
      </c>
      <c r="G263" s="3256"/>
      <c r="H263" s="3256" t="s">
        <v>31</v>
      </c>
      <c r="I263" s="3256" t="s">
        <v>31</v>
      </c>
      <c r="J263" s="3256"/>
      <c r="K263" s="3256"/>
      <c r="L263" s="3256"/>
      <c r="M263" s="3256" t="s">
        <v>31</v>
      </c>
      <c r="N263" s="3256" t="s">
        <v>31</v>
      </c>
      <c r="O263" s="3256" t="s">
        <v>31</v>
      </c>
      <c r="P263" s="3256" t="s">
        <v>31</v>
      </c>
      <c r="Q263" s="3256"/>
      <c r="R263" s="3256"/>
      <c r="S263" s="3256" t="s">
        <v>31</v>
      </c>
      <c r="T263" s="3256" t="s">
        <v>31</v>
      </c>
      <c r="U263" s="3256" t="s">
        <v>31</v>
      </c>
      <c r="V263" s="3256" t="s">
        <v>31</v>
      </c>
      <c r="W263" s="3256" t="s">
        <v>31</v>
      </c>
      <c r="X263" s="3256"/>
      <c r="Y263" s="3256"/>
      <c r="Z263" s="3256" t="s">
        <v>31</v>
      </c>
      <c r="AA263" s="3256" t="s">
        <v>31</v>
      </c>
      <c r="AB263" s="3256" t="s">
        <v>31</v>
      </c>
      <c r="AC263" s="3256" t="s">
        <v>31</v>
      </c>
      <c r="AD263" s="3256" t="s">
        <v>31</v>
      </c>
      <c r="AE263" s="3256"/>
      <c r="AF263" s="3256"/>
      <c r="AG263" s="3256"/>
      <c r="AH263" s="124"/>
      <c r="AI263" s="125"/>
    </row>
    <row r="264" spans="1:35" ht="18" customHeight="1">
      <c r="A264" s="5409"/>
      <c r="B264" s="5408" t="s">
        <v>335</v>
      </c>
      <c r="C264" s="3256"/>
      <c r="D264" s="3256"/>
      <c r="E264" s="3256" t="s">
        <v>31</v>
      </c>
      <c r="F264" s="3256" t="s">
        <v>31</v>
      </c>
      <c r="G264" s="3256"/>
      <c r="H264" s="3256" t="s">
        <v>31</v>
      </c>
      <c r="I264" s="3256" t="s">
        <v>31</v>
      </c>
      <c r="J264" s="3256"/>
      <c r="K264" s="3256"/>
      <c r="L264" s="3256"/>
      <c r="M264" s="3256" t="s">
        <v>31</v>
      </c>
      <c r="N264" s="3256" t="s">
        <v>31</v>
      </c>
      <c r="O264" s="3256" t="s">
        <v>31</v>
      </c>
      <c r="P264" s="3256" t="s">
        <v>31</v>
      </c>
      <c r="Q264" s="3256"/>
      <c r="R264" s="3256"/>
      <c r="S264" s="3256" t="s">
        <v>31</v>
      </c>
      <c r="T264" s="3256" t="s">
        <v>31</v>
      </c>
      <c r="U264" s="3256" t="s">
        <v>31</v>
      </c>
      <c r="V264" s="3256" t="s">
        <v>31</v>
      </c>
      <c r="W264" s="3256" t="s">
        <v>31</v>
      </c>
      <c r="X264" s="3256"/>
      <c r="Y264" s="3256"/>
      <c r="Z264" s="3256" t="s">
        <v>31</v>
      </c>
      <c r="AA264" s="3256" t="s">
        <v>31</v>
      </c>
      <c r="AB264" s="3256" t="s">
        <v>31</v>
      </c>
      <c r="AC264" s="3256" t="s">
        <v>31</v>
      </c>
      <c r="AD264" s="3256" t="s">
        <v>31</v>
      </c>
      <c r="AE264" s="3256"/>
      <c r="AF264" s="3256"/>
      <c r="AG264" s="3256"/>
      <c r="AH264" s="124"/>
      <c r="AI264" s="125"/>
    </row>
    <row r="265" spans="1:35" ht="18" customHeight="1">
      <c r="A265" s="29"/>
      <c r="B265" s="5410"/>
      <c r="C265" s="3256"/>
      <c r="D265" s="3256"/>
      <c r="E265" s="3256"/>
      <c r="F265" s="3256"/>
      <c r="G265" s="3256"/>
      <c r="H265" s="3256"/>
      <c r="I265" s="3256"/>
      <c r="J265" s="3256"/>
      <c r="K265" s="3256"/>
      <c r="L265" s="3256"/>
      <c r="M265" s="3256"/>
      <c r="N265" s="3256"/>
      <c r="O265" s="3256"/>
      <c r="P265" s="3256"/>
      <c r="Q265" s="3256"/>
      <c r="R265" s="3256"/>
      <c r="S265" s="3256"/>
      <c r="T265" s="3256"/>
      <c r="U265" s="3256"/>
      <c r="V265" s="3256"/>
      <c r="W265" s="3256"/>
      <c r="X265" s="3256"/>
      <c r="Y265" s="3256"/>
      <c r="Z265" s="3256"/>
      <c r="AA265" s="3256"/>
      <c r="AB265" s="3256"/>
      <c r="AC265" s="3256"/>
      <c r="AD265" s="3256"/>
      <c r="AE265" s="3256"/>
      <c r="AF265" s="3256"/>
      <c r="AG265" s="5250"/>
      <c r="AH265" s="124"/>
      <c r="AI265" s="125"/>
    </row>
    <row r="266" spans="1:35" ht="18" customHeight="1">
      <c r="A266" s="3236"/>
      <c r="B266" s="5410"/>
      <c r="C266" s="5392"/>
      <c r="D266" s="5392"/>
      <c r="E266" s="5392"/>
      <c r="F266" s="5392"/>
      <c r="G266" s="5392"/>
      <c r="H266" s="5392"/>
      <c r="I266" s="5392"/>
      <c r="J266" s="5392"/>
      <c r="K266" s="5392"/>
      <c r="L266" s="5392"/>
      <c r="M266" s="5392"/>
      <c r="N266" s="2840"/>
      <c r="O266" s="2840"/>
      <c r="P266" s="5392"/>
      <c r="Q266" s="5392"/>
      <c r="R266" s="5392"/>
      <c r="S266" s="5392"/>
      <c r="T266" s="5392"/>
      <c r="U266" s="5392"/>
      <c r="V266" s="5392"/>
      <c r="W266" s="5392"/>
      <c r="X266" s="5392"/>
      <c r="Y266" s="5392"/>
      <c r="Z266" s="5392"/>
      <c r="AA266" s="5392"/>
      <c r="AB266" s="2840"/>
      <c r="AC266" s="2840"/>
      <c r="AD266" s="5392"/>
      <c r="AE266" s="5392"/>
      <c r="AF266" s="5392"/>
      <c r="AG266" s="5392"/>
      <c r="AH266" s="126"/>
      <c r="AI266" s="127"/>
    </row>
    <row r="267" spans="1:35" ht="18" customHeight="1">
      <c r="A267" s="3237"/>
      <c r="B267" s="5411"/>
      <c r="C267" s="5392"/>
      <c r="D267" s="5392"/>
      <c r="E267" s="5392"/>
      <c r="F267" s="5392"/>
      <c r="G267" s="5392"/>
      <c r="H267" s="5392"/>
      <c r="I267" s="5392"/>
      <c r="J267" s="5392"/>
      <c r="K267" s="5392"/>
      <c r="L267" s="5392"/>
      <c r="M267" s="5392"/>
      <c r="N267" s="2840"/>
      <c r="O267" s="2840"/>
      <c r="P267" s="5392"/>
      <c r="Q267" s="5392"/>
      <c r="R267" s="5392"/>
      <c r="S267" s="5392"/>
      <c r="T267" s="5392"/>
      <c r="U267" s="5392"/>
      <c r="V267" s="5392"/>
      <c r="W267" s="5392"/>
      <c r="X267" s="5392"/>
      <c r="Y267" s="5392"/>
      <c r="Z267" s="5392"/>
      <c r="AA267" s="5392"/>
      <c r="AB267" s="2840"/>
      <c r="AC267" s="2840"/>
      <c r="AD267" s="5392"/>
      <c r="AE267" s="5392"/>
      <c r="AF267" s="5392"/>
      <c r="AG267" s="5392"/>
      <c r="AH267" s="126"/>
      <c r="AI267" s="127"/>
    </row>
    <row r="268" spans="1:35" ht="18" customHeight="1" thickBot="1">
      <c r="A268" s="5412"/>
      <c r="B268" s="5413"/>
      <c r="C268" s="5414"/>
      <c r="D268" s="5415"/>
      <c r="E268" s="5415"/>
      <c r="F268" s="5415"/>
      <c r="G268" s="5415"/>
      <c r="H268" s="5415"/>
      <c r="I268" s="5415"/>
      <c r="J268" s="5415"/>
      <c r="K268" s="5415"/>
      <c r="L268" s="5415"/>
      <c r="M268" s="5415"/>
      <c r="N268" s="5416"/>
      <c r="O268" s="5416"/>
      <c r="P268" s="5415"/>
      <c r="Q268" s="5415"/>
      <c r="R268" s="5415"/>
      <c r="S268" s="5415"/>
      <c r="T268" s="5415"/>
      <c r="U268" s="5415"/>
      <c r="V268" s="5415"/>
      <c r="W268" s="5415"/>
      <c r="X268" s="5415"/>
      <c r="Y268" s="5415"/>
      <c r="Z268" s="5415"/>
      <c r="AA268" s="5415"/>
      <c r="AB268" s="5416"/>
      <c r="AC268" s="5416"/>
      <c r="AD268" s="5415"/>
      <c r="AE268" s="5415"/>
      <c r="AF268" s="5415"/>
      <c r="AG268" s="5417"/>
      <c r="AH268" s="126"/>
      <c r="AI268" s="127"/>
    </row>
    <row r="269" spans="1:35" ht="18" customHeight="1"/>
    <row r="270" spans="1:35" ht="18" customHeight="1" thickBot="1">
      <c r="A270" s="14" t="s">
        <v>337</v>
      </c>
    </row>
    <row r="271" spans="1:35" ht="18" customHeight="1">
      <c r="A271" s="1"/>
      <c r="B271" s="5381" t="s">
        <v>281</v>
      </c>
      <c r="C271" s="3834"/>
      <c r="D271" s="3858" t="s">
        <v>87</v>
      </c>
      <c r="E271" s="3640"/>
      <c r="F271" s="3838"/>
      <c r="G271" s="3834"/>
      <c r="H271" s="3858" t="s">
        <v>88</v>
      </c>
      <c r="I271" s="3640"/>
      <c r="J271" s="3838"/>
      <c r="K271" s="3834"/>
      <c r="L271" s="3858" t="s">
        <v>89</v>
      </c>
      <c r="M271" s="3640"/>
      <c r="N271" s="3838"/>
      <c r="O271" s="3834"/>
      <c r="P271" s="3858" t="s">
        <v>90</v>
      </c>
      <c r="Q271" s="3640"/>
      <c r="R271" s="3838"/>
      <c r="S271" s="3834"/>
      <c r="T271" s="3858" t="s">
        <v>91</v>
      </c>
      <c r="U271" s="3640"/>
      <c r="V271" s="3838"/>
      <c r="W271" s="3834"/>
      <c r="X271" s="3858" t="s">
        <v>92</v>
      </c>
      <c r="Y271" s="3640"/>
      <c r="Z271" s="3838"/>
      <c r="AA271" s="3834"/>
      <c r="AB271" s="3858" t="s">
        <v>93</v>
      </c>
      <c r="AC271" s="3640"/>
      <c r="AD271" s="3640"/>
      <c r="AE271" s="3861" t="s">
        <v>94</v>
      </c>
      <c r="AF271" s="3640"/>
      <c r="AG271" s="3640"/>
      <c r="AH271" s="3640"/>
      <c r="AI271" s="3641"/>
    </row>
    <row r="272" spans="1:35" ht="18" customHeight="1">
      <c r="A272" s="1"/>
      <c r="B272" s="116"/>
      <c r="C272" s="121"/>
      <c r="D272" s="111"/>
      <c r="E272" s="8"/>
      <c r="F272" s="120"/>
      <c r="G272" s="121"/>
      <c r="H272" s="111"/>
      <c r="I272" s="8"/>
      <c r="J272" s="120"/>
      <c r="K272" s="121"/>
      <c r="L272" s="111"/>
      <c r="M272" s="8"/>
      <c r="N272" s="120"/>
      <c r="O272" s="121"/>
      <c r="P272" s="111"/>
      <c r="Q272" s="8"/>
      <c r="R272" s="120"/>
      <c r="S272" s="121"/>
      <c r="T272" s="111"/>
      <c r="U272" s="8"/>
      <c r="V272" s="120"/>
      <c r="W272" s="121"/>
      <c r="X272" s="111"/>
      <c r="Y272" s="8"/>
      <c r="Z272" s="120"/>
      <c r="AA272" s="121"/>
      <c r="AB272" s="111"/>
      <c r="AC272" s="8"/>
      <c r="AD272" s="8"/>
      <c r="AE272" s="112"/>
      <c r="AF272" s="8"/>
      <c r="AG272" s="8"/>
      <c r="AH272" s="8"/>
      <c r="AI272" s="105"/>
    </row>
    <row r="273" spans="1:35" ht="18" customHeight="1">
      <c r="A273" s="87"/>
      <c r="B273" s="5382"/>
      <c r="C273" s="3013"/>
      <c r="D273" s="3568"/>
      <c r="E273" s="3568"/>
      <c r="F273" s="3110"/>
      <c r="G273" s="3013"/>
      <c r="H273" s="3568"/>
      <c r="I273" s="3568"/>
      <c r="J273" s="3110"/>
      <c r="K273" s="3013"/>
      <c r="L273" s="3568"/>
      <c r="M273" s="3568"/>
      <c r="N273" s="3110"/>
      <c r="O273" s="3013"/>
      <c r="P273" s="3568"/>
      <c r="Q273" s="3568"/>
      <c r="R273" s="3110"/>
      <c r="S273" s="3013"/>
      <c r="T273" s="3568"/>
      <c r="U273" s="3568"/>
      <c r="V273" s="3110"/>
      <c r="W273" s="3013"/>
      <c r="X273" s="3568"/>
      <c r="Y273" s="3568"/>
      <c r="Z273" s="3110"/>
      <c r="AA273" s="3108"/>
      <c r="AB273" s="3568"/>
      <c r="AC273" s="3568"/>
      <c r="AD273" s="3014"/>
      <c r="AE273" s="5418"/>
      <c r="AF273" s="3568"/>
      <c r="AG273" s="3568"/>
      <c r="AH273" s="3014"/>
      <c r="AI273" s="3437"/>
    </row>
    <row r="274" spans="1:35" ht="18" customHeight="1" thickBot="1">
      <c r="A274" s="1"/>
      <c r="B274" s="3349"/>
      <c r="C274" s="3350"/>
      <c r="D274" s="3268"/>
      <c r="E274" s="3268"/>
      <c r="F274" s="3373"/>
      <c r="G274" s="3350"/>
      <c r="H274" s="3268"/>
      <c r="I274" s="3268"/>
      <c r="J274" s="3373"/>
      <c r="K274" s="3350"/>
      <c r="L274" s="3268"/>
      <c r="M274" s="3268"/>
      <c r="N274" s="3373"/>
      <c r="O274" s="3350"/>
      <c r="P274" s="3268"/>
      <c r="Q274" s="3268"/>
      <c r="R274" s="3373"/>
      <c r="S274" s="3350"/>
      <c r="T274" s="3268"/>
      <c r="U274" s="3268"/>
      <c r="V274" s="3373"/>
      <c r="W274" s="3371"/>
      <c r="X274" s="3268"/>
      <c r="Y274" s="3268"/>
      <c r="Z274" s="3373"/>
      <c r="AA274" s="3371"/>
      <c r="AB274" s="3268"/>
      <c r="AC274" s="3268"/>
      <c r="AD274" s="3357"/>
      <c r="AE274" s="3371"/>
      <c r="AF274" s="3268"/>
      <c r="AG274" s="3268"/>
      <c r="AH274" s="3357"/>
      <c r="AI274" s="3275"/>
    </row>
    <row r="275" spans="1:35" ht="18" customHeight="1">
      <c r="A275" s="1"/>
      <c r="B275" s="113"/>
      <c r="C275" s="37"/>
      <c r="F275" s="22"/>
      <c r="G275" s="37"/>
      <c r="J275" s="22"/>
      <c r="K275" s="37"/>
      <c r="N275" s="22"/>
      <c r="O275" s="37"/>
      <c r="R275" s="22"/>
      <c r="S275" s="37"/>
      <c r="V275" s="22"/>
      <c r="W275" s="22"/>
      <c r="Z275" s="22"/>
      <c r="AA275" s="22"/>
      <c r="AD275" s="22"/>
      <c r="AE275" s="22"/>
      <c r="AH275" s="22"/>
    </row>
    <row r="276" spans="1:35" ht="18" customHeight="1">
      <c r="A276" s="14" t="s">
        <v>338</v>
      </c>
      <c r="B276" s="113"/>
      <c r="C276" s="37"/>
      <c r="F276" s="22"/>
      <c r="G276" s="37"/>
      <c r="J276" s="22"/>
      <c r="K276" s="37"/>
      <c r="N276" s="22"/>
      <c r="O276" s="37"/>
      <c r="R276" s="22"/>
      <c r="S276" s="37"/>
      <c r="V276" s="22"/>
      <c r="W276" s="22"/>
      <c r="Z276" s="22"/>
      <c r="AA276" s="22"/>
      <c r="AD276" s="22"/>
      <c r="AE276" s="22"/>
      <c r="AH276" s="22"/>
    </row>
    <row r="277" spans="1:35" ht="18" customHeight="1" thickBot="1">
      <c r="A277" s="5385" t="s">
        <v>28</v>
      </c>
      <c r="B277" s="5386" t="s">
        <v>29</v>
      </c>
      <c r="C277" s="3410">
        <v>1</v>
      </c>
      <c r="D277" s="3410">
        <v>2</v>
      </c>
      <c r="E277" s="3411">
        <v>3</v>
      </c>
      <c r="F277" s="3411">
        <v>4</v>
      </c>
      <c r="G277" s="3410">
        <v>5</v>
      </c>
      <c r="H277" s="3411">
        <v>6</v>
      </c>
      <c r="I277" s="3411">
        <v>7</v>
      </c>
      <c r="J277" s="3410">
        <v>8</v>
      </c>
      <c r="K277" s="3410">
        <v>9</v>
      </c>
      <c r="L277" s="3410">
        <v>10</v>
      </c>
      <c r="M277" s="3411">
        <v>11</v>
      </c>
      <c r="N277" s="3411">
        <v>12</v>
      </c>
      <c r="O277" s="3411">
        <v>13</v>
      </c>
      <c r="P277" s="3411">
        <v>14</v>
      </c>
      <c r="Q277" s="3410">
        <v>15</v>
      </c>
      <c r="R277" s="3410">
        <v>16</v>
      </c>
      <c r="S277" s="3411">
        <v>17</v>
      </c>
      <c r="T277" s="3411">
        <v>18</v>
      </c>
      <c r="U277" s="3411">
        <v>19</v>
      </c>
      <c r="V277" s="3411">
        <v>20</v>
      </c>
      <c r="W277" s="3411">
        <v>21</v>
      </c>
      <c r="X277" s="3410">
        <v>22</v>
      </c>
      <c r="Y277" s="3410">
        <v>23</v>
      </c>
      <c r="Z277" s="3411">
        <v>24</v>
      </c>
      <c r="AA277" s="3411">
        <v>25</v>
      </c>
      <c r="AB277" s="3411">
        <v>26</v>
      </c>
      <c r="AC277" s="3411">
        <v>27</v>
      </c>
      <c r="AD277" s="3411">
        <v>28</v>
      </c>
      <c r="AE277" s="3410">
        <v>29</v>
      </c>
      <c r="AF277" s="3410">
        <v>30</v>
      </c>
      <c r="AG277" s="3585"/>
      <c r="AH277" s="128"/>
      <c r="AI277" s="24"/>
    </row>
    <row r="278" spans="1:35" ht="18" customHeight="1">
      <c r="A278" s="129"/>
      <c r="B278" s="130" t="s">
        <v>339</v>
      </c>
      <c r="C278" s="3256"/>
      <c r="D278" s="3243"/>
      <c r="E278" s="3256" t="s">
        <v>31</v>
      </c>
      <c r="F278" s="3256" t="s">
        <v>31</v>
      </c>
      <c r="G278" s="3256"/>
      <c r="H278" s="3256" t="s">
        <v>31</v>
      </c>
      <c r="I278" s="3256" t="s">
        <v>31</v>
      </c>
      <c r="J278" s="3256"/>
      <c r="K278" s="3256"/>
      <c r="L278" s="3256"/>
      <c r="M278" s="5253" t="s">
        <v>31</v>
      </c>
      <c r="N278" s="5253" t="s">
        <v>31</v>
      </c>
      <c r="O278" s="5253" t="s">
        <v>31</v>
      </c>
      <c r="P278" s="5253" t="s">
        <v>31</v>
      </c>
      <c r="Q278" s="5251"/>
      <c r="R278" s="5251"/>
      <c r="S278" s="5254" t="s">
        <v>31</v>
      </c>
      <c r="T278" s="5254" t="s">
        <v>31</v>
      </c>
      <c r="U278" s="5254" t="s">
        <v>31</v>
      </c>
      <c r="V278" s="5254" t="s">
        <v>31</v>
      </c>
      <c r="W278" s="5254" t="s">
        <v>31</v>
      </c>
      <c r="X278" s="3256"/>
      <c r="Y278" s="3256"/>
      <c r="Z278" s="3256" t="s">
        <v>31</v>
      </c>
      <c r="AA278" s="3256" t="s">
        <v>31</v>
      </c>
      <c r="AB278" s="3256" t="s">
        <v>31</v>
      </c>
      <c r="AC278" s="3256" t="s">
        <v>31</v>
      </c>
      <c r="AD278" s="3256" t="s">
        <v>31</v>
      </c>
      <c r="AE278" s="3256"/>
      <c r="AF278" s="3256"/>
      <c r="AG278" s="3256"/>
      <c r="AH278" s="131"/>
      <c r="AI278" s="125"/>
    </row>
    <row r="279" spans="1:35" ht="18" customHeight="1">
      <c r="A279" s="5419"/>
      <c r="B279" s="5420" t="s">
        <v>340</v>
      </c>
      <c r="C279" s="3256"/>
      <c r="D279" s="3244"/>
      <c r="E279" s="3244" t="s">
        <v>31</v>
      </c>
      <c r="F279" s="3244" t="s">
        <v>31</v>
      </c>
      <c r="G279" s="5401"/>
      <c r="H279" s="3258" t="s">
        <v>31</v>
      </c>
      <c r="I279" s="3258" t="s">
        <v>31</v>
      </c>
      <c r="J279" s="3256"/>
      <c r="K279" s="3256"/>
      <c r="L279" s="3256"/>
      <c r="M279" s="3256" t="s">
        <v>31</v>
      </c>
      <c r="N279" s="3256" t="s">
        <v>31</v>
      </c>
      <c r="O279" s="3256" t="s">
        <v>31</v>
      </c>
      <c r="P279" s="3256" t="s">
        <v>31</v>
      </c>
      <c r="Q279" s="3256"/>
      <c r="R279" s="3256"/>
      <c r="S279" s="3256" t="s">
        <v>31</v>
      </c>
      <c r="T279" s="3256" t="s">
        <v>31</v>
      </c>
      <c r="U279" s="3256" t="s">
        <v>31</v>
      </c>
      <c r="V279" s="3256" t="s">
        <v>31</v>
      </c>
      <c r="W279" s="3256" t="s">
        <v>31</v>
      </c>
      <c r="X279" s="3256"/>
      <c r="Y279" s="3256"/>
      <c r="Z279" s="3256" t="s">
        <v>31</v>
      </c>
      <c r="AA279" s="3256" t="s">
        <v>31</v>
      </c>
      <c r="AB279" s="3256" t="s">
        <v>31</v>
      </c>
      <c r="AC279" s="3256" t="s">
        <v>31</v>
      </c>
      <c r="AD279" s="3256" t="s">
        <v>31</v>
      </c>
      <c r="AE279" s="3256"/>
      <c r="AF279" s="3256"/>
      <c r="AG279" s="3256"/>
      <c r="AH279" s="131"/>
      <c r="AI279" s="125"/>
    </row>
    <row r="280" spans="1:35" ht="18" customHeight="1">
      <c r="A280" s="5387"/>
      <c r="B280" s="5420" t="s">
        <v>341</v>
      </c>
      <c r="C280" s="3256"/>
      <c r="D280" s="3243"/>
      <c r="E280" s="3256" t="s">
        <v>31</v>
      </c>
      <c r="F280" s="3256" t="s">
        <v>31</v>
      </c>
      <c r="G280" s="3256"/>
      <c r="H280" s="3256" t="s">
        <v>31</v>
      </c>
      <c r="I280" s="3256" t="s">
        <v>31</v>
      </c>
      <c r="J280" s="3256"/>
      <c r="K280" s="3256"/>
      <c r="L280" s="3256"/>
      <c r="M280" s="3256" t="s">
        <v>31</v>
      </c>
      <c r="N280" s="3256" t="s">
        <v>31</v>
      </c>
      <c r="O280" s="3256" t="s">
        <v>31</v>
      </c>
      <c r="P280" s="3256" t="s">
        <v>31</v>
      </c>
      <c r="Q280" s="3256"/>
      <c r="R280" s="3256"/>
      <c r="S280" s="3256" t="s">
        <v>31</v>
      </c>
      <c r="T280" s="3256" t="s">
        <v>31</v>
      </c>
      <c r="U280" s="3256" t="s">
        <v>31</v>
      </c>
      <c r="V280" s="3256" t="s">
        <v>31</v>
      </c>
      <c r="W280" s="3256" t="s">
        <v>31</v>
      </c>
      <c r="X280" s="3256"/>
      <c r="Y280" s="3256"/>
      <c r="Z280" s="3256" t="s">
        <v>31</v>
      </c>
      <c r="AA280" s="5254" t="s">
        <v>31</v>
      </c>
      <c r="AB280" s="5254" t="s">
        <v>31</v>
      </c>
      <c r="AC280" s="5254" t="s">
        <v>31</v>
      </c>
      <c r="AD280" s="5254" t="s">
        <v>31</v>
      </c>
      <c r="AE280" s="5254"/>
      <c r="AF280" s="5254"/>
      <c r="AG280" s="5254"/>
      <c r="AH280" s="131"/>
      <c r="AI280" s="125"/>
    </row>
    <row r="281" spans="1:35" ht="18" customHeight="1">
      <c r="A281" s="5387"/>
      <c r="B281" s="5420" t="s">
        <v>342</v>
      </c>
      <c r="C281" s="3256"/>
      <c r="D281" s="3243"/>
      <c r="E281" s="3256" t="s">
        <v>31</v>
      </c>
      <c r="F281" s="3256" t="s">
        <v>31</v>
      </c>
      <c r="G281" s="3256"/>
      <c r="H281" s="3256" t="s">
        <v>31</v>
      </c>
      <c r="I281" s="3256" t="s">
        <v>31</v>
      </c>
      <c r="J281" s="3256"/>
      <c r="K281" s="3256"/>
      <c r="L281" s="3256"/>
      <c r="M281" s="3256" t="s">
        <v>31</v>
      </c>
      <c r="N281" s="3256" t="s">
        <v>31</v>
      </c>
      <c r="O281" s="3256" t="s">
        <v>31</v>
      </c>
      <c r="P281" s="3256" t="s">
        <v>31</v>
      </c>
      <c r="Q281" s="3256"/>
      <c r="R281" s="3256"/>
      <c r="S281" s="3256" t="s">
        <v>31</v>
      </c>
      <c r="T281" s="3256" t="s">
        <v>31</v>
      </c>
      <c r="U281" s="3256" t="s">
        <v>31</v>
      </c>
      <c r="V281" s="3256" t="s">
        <v>31</v>
      </c>
      <c r="W281" s="3256" t="s">
        <v>31</v>
      </c>
      <c r="X281" s="3256"/>
      <c r="Y281" s="3256"/>
      <c r="Z281" s="3256" t="s">
        <v>31</v>
      </c>
      <c r="AA281" s="3256" t="s">
        <v>31</v>
      </c>
      <c r="AB281" s="3256" t="s">
        <v>31</v>
      </c>
      <c r="AC281" s="3256" t="s">
        <v>31</v>
      </c>
      <c r="AD281" s="5254" t="s">
        <v>31</v>
      </c>
      <c r="AE281" s="3256"/>
      <c r="AF281" s="3256"/>
      <c r="AG281" s="3256"/>
      <c r="AH281" s="131"/>
      <c r="AI281" s="125"/>
    </row>
    <row r="282" spans="1:35" ht="18" customHeight="1">
      <c r="A282" s="5387"/>
      <c r="B282" s="5420" t="s">
        <v>343</v>
      </c>
      <c r="C282" s="3256"/>
      <c r="D282" s="3243"/>
      <c r="E282" s="3256" t="s">
        <v>31</v>
      </c>
      <c r="F282" s="3256" t="s">
        <v>31</v>
      </c>
      <c r="G282" s="3256"/>
      <c r="H282" s="3256" t="s">
        <v>31</v>
      </c>
      <c r="I282" s="3256" t="s">
        <v>31</v>
      </c>
      <c r="J282" s="3256"/>
      <c r="K282" s="3256"/>
      <c r="L282" s="3256"/>
      <c r="M282" s="3256" t="s">
        <v>31</v>
      </c>
      <c r="N282" s="3256" t="s">
        <v>31</v>
      </c>
      <c r="O282" s="3256" t="s">
        <v>31</v>
      </c>
      <c r="P282" s="3256" t="s">
        <v>31</v>
      </c>
      <c r="Q282" s="3256"/>
      <c r="R282" s="3256"/>
      <c r="S282" s="5254" t="s">
        <v>31</v>
      </c>
      <c r="T282" s="5254" t="s">
        <v>31</v>
      </c>
      <c r="U282" s="3256" t="s">
        <v>31</v>
      </c>
      <c r="V282" s="3256" t="s">
        <v>31</v>
      </c>
      <c r="W282" s="3256" t="s">
        <v>31</v>
      </c>
      <c r="X282" s="3256"/>
      <c r="Y282" s="3256"/>
      <c r="Z282" s="3256" t="s">
        <v>31</v>
      </c>
      <c r="AA282" s="3256" t="s">
        <v>31</v>
      </c>
      <c r="AB282" s="3256" t="s">
        <v>31</v>
      </c>
      <c r="AC282" s="3256" t="s">
        <v>31</v>
      </c>
      <c r="AD282" s="3256" t="s">
        <v>31</v>
      </c>
      <c r="AE282" s="3256"/>
      <c r="AF282" s="3256"/>
      <c r="AG282" s="5392"/>
      <c r="AH282" s="131"/>
      <c r="AI282" s="125"/>
    </row>
    <row r="283" spans="1:35" ht="18" customHeight="1">
      <c r="A283" s="5387"/>
      <c r="B283" s="5420" t="s">
        <v>344</v>
      </c>
      <c r="C283" s="3256"/>
      <c r="D283" s="3244"/>
      <c r="E283" s="3244" t="s">
        <v>31</v>
      </c>
      <c r="F283" s="3244" t="s">
        <v>31</v>
      </c>
      <c r="G283" s="5401"/>
      <c r="H283" s="5401" t="s">
        <v>31</v>
      </c>
      <c r="I283" s="3256" t="s">
        <v>31</v>
      </c>
      <c r="J283" s="3256"/>
      <c r="K283" s="3256"/>
      <c r="L283" s="3256"/>
      <c r="M283" s="3256" t="s">
        <v>31</v>
      </c>
      <c r="N283" s="3256" t="s">
        <v>31</v>
      </c>
      <c r="O283" s="5366" t="s">
        <v>31</v>
      </c>
      <c r="P283" s="5366" t="s">
        <v>31</v>
      </c>
      <c r="Q283" s="5366"/>
      <c r="R283" s="5366"/>
      <c r="S283" s="5366" t="s">
        <v>31</v>
      </c>
      <c r="T283" s="5366" t="s">
        <v>31</v>
      </c>
      <c r="U283" s="5366" t="s">
        <v>31</v>
      </c>
      <c r="V283" s="5366" t="s">
        <v>31</v>
      </c>
      <c r="W283" s="5366" t="s">
        <v>31</v>
      </c>
      <c r="X283" s="5366"/>
      <c r="Y283" s="5366"/>
      <c r="Z283" s="5366" t="s">
        <v>31</v>
      </c>
      <c r="AA283" s="5366" t="s">
        <v>31</v>
      </c>
      <c r="AB283" s="5366" t="s">
        <v>31</v>
      </c>
      <c r="AC283" s="5366" t="s">
        <v>31</v>
      </c>
      <c r="AD283" s="5366" t="s">
        <v>31</v>
      </c>
      <c r="AE283" s="3256"/>
      <c r="AF283" s="3256"/>
      <c r="AG283" s="5392"/>
      <c r="AH283" s="131"/>
      <c r="AI283" s="125"/>
    </row>
    <row r="284" spans="1:35" ht="18" customHeight="1">
      <c r="A284" s="5387"/>
      <c r="B284" s="5420" t="s">
        <v>345</v>
      </c>
      <c r="C284" s="3256"/>
      <c r="D284" s="3243"/>
      <c r="E284" s="3256" t="s">
        <v>31</v>
      </c>
      <c r="F284" s="3256" t="s">
        <v>31</v>
      </c>
      <c r="G284" s="3256"/>
      <c r="H284" s="3256" t="s">
        <v>31</v>
      </c>
      <c r="I284" s="3256" t="s">
        <v>31</v>
      </c>
      <c r="J284" s="3256"/>
      <c r="K284" s="3256"/>
      <c r="L284" s="3256"/>
      <c r="M284" s="3256" t="s">
        <v>31</v>
      </c>
      <c r="N284" s="3256" t="s">
        <v>31</v>
      </c>
      <c r="O284" s="3256" t="s">
        <v>31</v>
      </c>
      <c r="P284" s="3256" t="s">
        <v>31</v>
      </c>
      <c r="Q284" s="3256"/>
      <c r="R284" s="3256"/>
      <c r="S284" s="3256" t="s">
        <v>31</v>
      </c>
      <c r="T284" s="3256" t="s">
        <v>31</v>
      </c>
      <c r="U284" s="3256" t="s">
        <v>31</v>
      </c>
      <c r="V284" s="3256" t="s">
        <v>31</v>
      </c>
      <c r="W284" s="3256" t="s">
        <v>31</v>
      </c>
      <c r="X284" s="3256"/>
      <c r="Y284" s="3256"/>
      <c r="Z284" s="3256" t="s">
        <v>31</v>
      </c>
      <c r="AA284" s="3256" t="s">
        <v>31</v>
      </c>
      <c r="AB284" s="3256" t="s">
        <v>31</v>
      </c>
      <c r="AC284" s="3256" t="s">
        <v>31</v>
      </c>
      <c r="AD284" s="3256" t="s">
        <v>31</v>
      </c>
      <c r="AE284" s="3256"/>
      <c r="AF284" s="3256"/>
      <c r="AG284" s="5392"/>
      <c r="AH284" s="131"/>
      <c r="AI284" s="125"/>
    </row>
    <row r="285" spans="1:35" ht="18" customHeight="1">
      <c r="A285" s="5387"/>
      <c r="B285" s="5420" t="s">
        <v>346</v>
      </c>
      <c r="C285" s="3256"/>
      <c r="D285" s="3243"/>
      <c r="E285" s="3256" t="s">
        <v>31</v>
      </c>
      <c r="F285" s="3256" t="s">
        <v>31</v>
      </c>
      <c r="G285" s="3256"/>
      <c r="H285" s="3256" t="s">
        <v>31</v>
      </c>
      <c r="I285" s="3256" t="s">
        <v>31</v>
      </c>
      <c r="J285" s="3256"/>
      <c r="K285" s="3256"/>
      <c r="L285" s="3256"/>
      <c r="M285" s="3256" t="s">
        <v>31</v>
      </c>
      <c r="N285" s="3256" t="s">
        <v>31</v>
      </c>
      <c r="O285" s="3256" t="s">
        <v>31</v>
      </c>
      <c r="P285" s="3256" t="s">
        <v>31</v>
      </c>
      <c r="Q285" s="3256"/>
      <c r="R285" s="3256"/>
      <c r="S285" s="3258" t="s">
        <v>31</v>
      </c>
      <c r="T285" s="3256" t="s">
        <v>31</v>
      </c>
      <c r="U285" s="3256" t="s">
        <v>31</v>
      </c>
      <c r="V285" s="3256" t="s">
        <v>31</v>
      </c>
      <c r="W285" s="3256" t="s">
        <v>31</v>
      </c>
      <c r="X285" s="3256"/>
      <c r="Y285" s="3256"/>
      <c r="Z285" s="3256" t="s">
        <v>31</v>
      </c>
      <c r="AA285" s="3256" t="s">
        <v>31</v>
      </c>
      <c r="AB285" s="3256" t="s">
        <v>31</v>
      </c>
      <c r="AC285" s="3256" t="s">
        <v>31</v>
      </c>
      <c r="AD285" s="3256" t="s">
        <v>31</v>
      </c>
      <c r="AE285" s="3256"/>
      <c r="AF285" s="3256"/>
      <c r="AG285" s="5392"/>
      <c r="AH285" s="131"/>
      <c r="AI285" s="125"/>
    </row>
    <row r="286" spans="1:35" ht="18" customHeight="1">
      <c r="A286" s="5387"/>
      <c r="B286" s="5408" t="s">
        <v>347</v>
      </c>
      <c r="C286" s="5250"/>
      <c r="D286" s="5250"/>
      <c r="E286" s="3256" t="s">
        <v>31</v>
      </c>
      <c r="F286" s="3256" t="s">
        <v>31</v>
      </c>
      <c r="G286" s="3256"/>
      <c r="H286" s="5421" t="s">
        <v>31</v>
      </c>
      <c r="I286" s="3256" t="s">
        <v>31</v>
      </c>
      <c r="J286" s="3256"/>
      <c r="K286" s="3256"/>
      <c r="L286" s="3256"/>
      <c r="M286" s="3256" t="s">
        <v>31</v>
      </c>
      <c r="N286" s="3256" t="s">
        <v>31</v>
      </c>
      <c r="O286" s="3256" t="s">
        <v>31</v>
      </c>
      <c r="P286" s="3256" t="s">
        <v>31</v>
      </c>
      <c r="Q286" s="3256"/>
      <c r="R286" s="3256"/>
      <c r="S286" s="3256" t="s">
        <v>31</v>
      </c>
      <c r="T286" s="3256" t="s">
        <v>31</v>
      </c>
      <c r="U286" s="3256" t="s">
        <v>31</v>
      </c>
      <c r="V286" s="3256" t="s">
        <v>31</v>
      </c>
      <c r="W286" s="3256" t="s">
        <v>31</v>
      </c>
      <c r="X286" s="3256"/>
      <c r="Y286" s="3256"/>
      <c r="Z286" s="3256" t="s">
        <v>31</v>
      </c>
      <c r="AA286" s="3256" t="s">
        <v>31</v>
      </c>
      <c r="AB286" s="3256" t="s">
        <v>31</v>
      </c>
      <c r="AC286" s="3256" t="s">
        <v>31</v>
      </c>
      <c r="AD286" s="3256" t="s">
        <v>31</v>
      </c>
      <c r="AE286" s="3256"/>
      <c r="AF286" s="3256"/>
      <c r="AG286" s="5392"/>
      <c r="AH286" s="131"/>
      <c r="AI286" s="125"/>
    </row>
    <row r="287" spans="1:35" ht="18" customHeight="1">
      <c r="A287" s="5387"/>
      <c r="B287" s="5422" t="s">
        <v>348</v>
      </c>
      <c r="C287" s="3256"/>
      <c r="D287" s="3244"/>
      <c r="E287" s="3244" t="s">
        <v>31</v>
      </c>
      <c r="F287" s="3244" t="s">
        <v>31</v>
      </c>
      <c r="G287" s="5401"/>
      <c r="H287" s="5401" t="s">
        <v>31</v>
      </c>
      <c r="I287" s="3256" t="s">
        <v>31</v>
      </c>
      <c r="J287" s="3256"/>
      <c r="K287" s="3256"/>
      <c r="L287" s="3256"/>
      <c r="M287" s="3256" t="s">
        <v>31</v>
      </c>
      <c r="N287" s="3256" t="s">
        <v>31</v>
      </c>
      <c r="O287" s="3256" t="s">
        <v>31</v>
      </c>
      <c r="P287" s="3256" t="s">
        <v>31</v>
      </c>
      <c r="Q287" s="3256"/>
      <c r="R287" s="3256"/>
      <c r="S287" s="3256" t="s">
        <v>31</v>
      </c>
      <c r="T287" s="3256" t="s">
        <v>31</v>
      </c>
      <c r="U287" s="3256" t="s">
        <v>31</v>
      </c>
      <c r="V287" s="3256" t="s">
        <v>31</v>
      </c>
      <c r="W287" s="3256" t="s">
        <v>31</v>
      </c>
      <c r="X287" s="3256"/>
      <c r="Y287" s="3256"/>
      <c r="Z287" s="3256" t="s">
        <v>31</v>
      </c>
      <c r="AA287" s="3256" t="s">
        <v>31</v>
      </c>
      <c r="AB287" s="3256" t="s">
        <v>31</v>
      </c>
      <c r="AC287" s="3256" t="s">
        <v>31</v>
      </c>
      <c r="AD287" s="3256" t="s">
        <v>31</v>
      </c>
      <c r="AE287" s="3256"/>
      <c r="AF287" s="3256"/>
      <c r="AG287" s="5392"/>
      <c r="AH287" s="131"/>
      <c r="AI287" s="125"/>
    </row>
    <row r="288" spans="1:35" ht="18" customHeight="1">
      <c r="A288" s="5387"/>
      <c r="B288" s="3277" t="s">
        <v>349</v>
      </c>
      <c r="C288" s="3256"/>
      <c r="D288" s="3243"/>
      <c r="E288" s="3256" t="s">
        <v>31</v>
      </c>
      <c r="F288" s="3256" t="s">
        <v>31</v>
      </c>
      <c r="G288" s="3256"/>
      <c r="H288" s="3256" t="s">
        <v>31</v>
      </c>
      <c r="I288" s="3256" t="s">
        <v>31</v>
      </c>
      <c r="J288" s="3256"/>
      <c r="K288" s="3256"/>
      <c r="L288" s="3256"/>
      <c r="M288" s="3256" t="s">
        <v>31</v>
      </c>
      <c r="N288" s="3256" t="s">
        <v>31</v>
      </c>
      <c r="O288" s="3256" t="s">
        <v>31</v>
      </c>
      <c r="P288" s="3256" t="s">
        <v>31</v>
      </c>
      <c r="Q288" s="3256"/>
      <c r="R288" s="3256"/>
      <c r="S288" s="3256" t="s">
        <v>31</v>
      </c>
      <c r="T288" s="3256" t="s">
        <v>31</v>
      </c>
      <c r="U288" s="3256" t="s">
        <v>31</v>
      </c>
      <c r="V288" s="3256" t="s">
        <v>31</v>
      </c>
      <c r="W288" s="3256" t="s">
        <v>31</v>
      </c>
      <c r="X288" s="3256"/>
      <c r="Y288" s="3256"/>
      <c r="Z288" s="3256" t="s">
        <v>31</v>
      </c>
      <c r="AA288" s="3256" t="s">
        <v>31</v>
      </c>
      <c r="AB288" s="3256" t="s">
        <v>31</v>
      </c>
      <c r="AC288" s="3256" t="s">
        <v>31</v>
      </c>
      <c r="AD288" s="3256" t="s">
        <v>31</v>
      </c>
      <c r="AE288" s="3256"/>
      <c r="AF288" s="3256"/>
      <c r="AG288" s="5392"/>
      <c r="AH288" s="131"/>
      <c r="AI288" s="125"/>
    </row>
    <row r="289" spans="1:35" ht="19.5" customHeight="1">
      <c r="A289" s="5387"/>
      <c r="B289" s="5422"/>
      <c r="C289" s="3256"/>
      <c r="D289" s="3243"/>
      <c r="E289" s="3256"/>
      <c r="F289" s="3256"/>
      <c r="G289" s="3256"/>
      <c r="H289" s="3256"/>
      <c r="I289" s="3256"/>
      <c r="J289" s="3256"/>
      <c r="K289" s="3256"/>
      <c r="L289" s="3256"/>
      <c r="M289" s="3256"/>
      <c r="N289" s="3256"/>
      <c r="O289" s="3256"/>
      <c r="P289" s="3256"/>
      <c r="Q289" s="3256"/>
      <c r="R289" s="3256"/>
      <c r="S289" s="3256"/>
      <c r="T289" s="3256"/>
      <c r="U289" s="3256"/>
      <c r="V289" s="3256"/>
      <c r="W289" s="3256"/>
      <c r="X289" s="3256"/>
      <c r="Y289" s="3256"/>
      <c r="Z289" s="3256"/>
      <c r="AA289" s="3256"/>
      <c r="AB289" s="3256"/>
      <c r="AC289" s="3256"/>
      <c r="AD289" s="3256"/>
      <c r="AE289" s="3256"/>
      <c r="AF289" s="3256"/>
      <c r="AG289" s="5392"/>
      <c r="AH289" s="131"/>
      <c r="AI289" s="125"/>
    </row>
    <row r="290" spans="1:35" ht="19.5" customHeight="1">
      <c r="A290" s="3008"/>
      <c r="B290" s="5422"/>
      <c r="C290" s="2990"/>
      <c r="D290" s="2990"/>
      <c r="E290" s="2990"/>
      <c r="F290" s="2990"/>
      <c r="G290" s="5392"/>
      <c r="H290" s="5392"/>
      <c r="I290" s="5392"/>
      <c r="J290" s="5392"/>
      <c r="K290" s="5392"/>
      <c r="L290" s="5392"/>
      <c r="M290" s="5392"/>
      <c r="N290" s="2840"/>
      <c r="O290" s="2840"/>
      <c r="P290" s="5392"/>
      <c r="Q290" s="5392"/>
      <c r="R290" s="5392"/>
      <c r="S290" s="5392"/>
      <c r="T290" s="5392"/>
      <c r="U290" s="5392"/>
      <c r="V290" s="5392"/>
      <c r="W290" s="5392"/>
      <c r="X290" s="5392"/>
      <c r="Y290" s="5392"/>
      <c r="Z290" s="5392"/>
      <c r="AA290" s="5392"/>
      <c r="AB290" s="2840"/>
      <c r="AC290" s="2840"/>
      <c r="AD290" s="5392"/>
      <c r="AE290" s="5392"/>
      <c r="AF290" s="5392"/>
      <c r="AG290" s="5392"/>
      <c r="AH290" s="131"/>
      <c r="AI290" s="127"/>
    </row>
    <row r="291" spans="1:35" ht="19.5" customHeight="1" thickBot="1">
      <c r="A291" s="414"/>
      <c r="B291" s="415"/>
      <c r="C291" s="5414"/>
      <c r="D291" s="5415"/>
      <c r="E291" s="5415"/>
      <c r="F291" s="5415"/>
      <c r="G291" s="5415"/>
      <c r="H291" s="5415"/>
      <c r="I291" s="5415"/>
      <c r="J291" s="5415"/>
      <c r="K291" s="5415"/>
      <c r="L291" s="5415"/>
      <c r="M291" s="5415"/>
      <c r="N291" s="5416"/>
      <c r="O291" s="5416"/>
      <c r="P291" s="5415"/>
      <c r="Q291" s="5415"/>
      <c r="R291" s="5415"/>
      <c r="S291" s="5415"/>
      <c r="T291" s="5415"/>
      <c r="U291" s="5415"/>
      <c r="V291" s="5415"/>
      <c r="W291" s="5415"/>
      <c r="X291" s="5415"/>
      <c r="Y291" s="5415"/>
      <c r="Z291" s="5415"/>
      <c r="AA291" s="5415"/>
      <c r="AB291" s="5416"/>
      <c r="AC291" s="5416"/>
      <c r="AD291" s="5415"/>
      <c r="AE291" s="5415"/>
      <c r="AF291" s="5415"/>
      <c r="AG291" s="5415"/>
      <c r="AH291" s="131"/>
      <c r="AI291" s="127"/>
    </row>
    <row r="292" spans="1:35" ht="19.5" customHeight="1"/>
  </sheetData>
  <sheetProtection algorithmName="SHA-512" hashValue="3bQm9TpdTTJP88+cuUYmsyTAKKANVX7bOivU2R2xmp3D1tnZqJBwBMzkNNdfmRJVveFPvp7sNk/PXJCs5V3FKA==" saltValue="3Z9nf0HqUtbpTeQoAqRYYw==" spinCount="100000" sheet="1" objects="1" scenarios="1"/>
  <protectedRanges>
    <protectedRange sqref="B217" name="Område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17:B118" name="Område1_3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20:B121" name="Område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</protectedRanges>
  <mergeCells count="1">
    <mergeCell ref="T31:Z31"/>
  </mergeCells>
  <pageMargins left="0.7" right="0.7" top="0.75" bottom="0.75" header="0.3" footer="0.3"/>
  <pageSetup paperSize="9" scale="10" orientation="landscape" r:id="rId1"/>
  <drawing r:id="rId2"/>
  <legacy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E06E6-A9E4-429E-93E8-2EE99F77824D}">
  <sheetPr codeName="Ark15"/>
  <dimension ref="A1:O82"/>
  <sheetViews>
    <sheetView workbookViewId="0">
      <selection activeCell="D12" sqref="D12"/>
    </sheetView>
  </sheetViews>
  <sheetFormatPr defaultRowHeight="19.5" customHeight="1"/>
  <cols>
    <col min="1" max="1" width="29.7109375" customWidth="1"/>
    <col min="2" max="2" width="33.42578125" bestFit="1" customWidth="1"/>
    <col min="3" max="15" width="29.7109375" customWidth="1"/>
  </cols>
  <sheetData>
    <row r="1" spans="1:15" ht="19.5" customHeight="1">
      <c r="F1" s="151" t="s">
        <v>1013</v>
      </c>
      <c r="G1" s="152"/>
    </row>
    <row r="2" spans="1:15" ht="19.5" customHeight="1">
      <c r="A2" s="153" t="s">
        <v>1014</v>
      </c>
      <c r="B2" s="154"/>
      <c r="C2" s="154"/>
      <c r="D2" s="154"/>
      <c r="E2" s="153" t="s">
        <v>996</v>
      </c>
      <c r="F2" s="154"/>
      <c r="G2" s="155"/>
      <c r="H2" s="154"/>
      <c r="I2" s="153" t="s">
        <v>1015</v>
      </c>
      <c r="J2" s="154"/>
    </row>
    <row r="3" spans="1:15" ht="19.5" customHeight="1" thickBot="1">
      <c r="A3" s="5423" t="s">
        <v>1016</v>
      </c>
      <c r="B3" s="5423" t="s">
        <v>1017</v>
      </c>
      <c r="C3" s="5423" t="s">
        <v>1018</v>
      </c>
      <c r="D3" s="154"/>
      <c r="E3" s="590" t="s">
        <v>1016</v>
      </c>
      <c r="F3" s="590" t="s">
        <v>1017</v>
      </c>
      <c r="G3" s="591" t="s">
        <v>1018</v>
      </c>
      <c r="H3" s="154"/>
      <c r="I3" s="590" t="s">
        <v>1016</v>
      </c>
      <c r="J3" s="590" t="s">
        <v>1017</v>
      </c>
      <c r="K3" s="5424" t="s">
        <v>1018</v>
      </c>
      <c r="N3" s="5425"/>
      <c r="O3" s="5426"/>
    </row>
    <row r="4" spans="1:15" ht="19.5" customHeight="1">
      <c r="A4" s="5425" t="s">
        <v>585</v>
      </c>
      <c r="B4" s="5427" t="s">
        <v>1019</v>
      </c>
      <c r="C4" s="5428" t="s">
        <v>1020</v>
      </c>
      <c r="D4" s="154"/>
      <c r="E4" s="399" t="s">
        <v>1019</v>
      </c>
      <c r="F4" s="5429" t="s">
        <v>73</v>
      </c>
      <c r="G4" s="5428"/>
      <c r="H4" s="154"/>
      <c r="I4" s="399"/>
      <c r="J4" s="5426"/>
      <c r="K4" s="5430"/>
      <c r="N4" s="5431"/>
      <c r="O4" s="5432"/>
    </row>
    <row r="5" spans="1:15" ht="19.5" customHeight="1">
      <c r="A5" s="5431"/>
      <c r="B5" s="5427" t="s">
        <v>1021</v>
      </c>
      <c r="C5" s="5428" t="s">
        <v>1022</v>
      </c>
      <c r="D5" s="154"/>
      <c r="E5" s="5433"/>
      <c r="F5" s="5434" t="s">
        <v>74</v>
      </c>
      <c r="G5" s="5428"/>
      <c r="H5" s="154"/>
      <c r="I5" s="5433"/>
      <c r="J5" s="5426"/>
      <c r="K5" s="5435"/>
      <c r="N5" s="5431"/>
      <c r="O5" s="5432"/>
    </row>
    <row r="6" spans="1:15" ht="19.5" customHeight="1" thickBot="1">
      <c r="A6" s="5431"/>
      <c r="B6" s="5427" t="s">
        <v>1023</v>
      </c>
      <c r="C6" s="5428" t="s">
        <v>1024</v>
      </c>
      <c r="D6" s="154"/>
      <c r="E6" s="5436"/>
      <c r="F6" s="5437" t="s">
        <v>1025</v>
      </c>
      <c r="G6" s="156"/>
      <c r="H6" s="154"/>
      <c r="I6" s="5436"/>
      <c r="J6" s="157"/>
      <c r="K6" s="5438"/>
      <c r="N6" s="5431"/>
      <c r="O6" s="5432"/>
    </row>
    <row r="7" spans="1:15" ht="19.5" customHeight="1">
      <c r="A7" s="5431"/>
      <c r="B7" s="5427" t="s">
        <v>1026</v>
      </c>
      <c r="C7" s="5428" t="s">
        <v>1027</v>
      </c>
      <c r="D7" s="154"/>
      <c r="E7" s="5433"/>
      <c r="F7" s="5439" t="s">
        <v>379</v>
      </c>
      <c r="G7" s="5440"/>
      <c r="H7" s="154"/>
      <c r="I7" s="399"/>
      <c r="J7" s="5441"/>
      <c r="K7" s="5430"/>
      <c r="N7" s="5425"/>
      <c r="O7" s="5442"/>
    </row>
    <row r="8" spans="1:15" ht="19.5" customHeight="1">
      <c r="A8" s="5431"/>
      <c r="B8" s="5427" t="s">
        <v>1028</v>
      </c>
      <c r="C8" s="5428" t="s">
        <v>1029</v>
      </c>
      <c r="D8" s="154"/>
      <c r="E8" s="5436"/>
      <c r="F8" s="592" t="s">
        <v>135</v>
      </c>
      <c r="G8" s="5443"/>
      <c r="H8" s="154"/>
      <c r="I8" s="158"/>
      <c r="J8" s="5444"/>
      <c r="K8" s="159"/>
      <c r="N8" s="5425"/>
      <c r="O8" s="5445"/>
    </row>
    <row r="9" spans="1:15" ht="19.5" customHeight="1">
      <c r="A9" s="5431"/>
      <c r="B9" s="5427" t="s">
        <v>1030</v>
      </c>
      <c r="C9" s="5428" t="s">
        <v>1031</v>
      </c>
      <c r="D9" s="154"/>
      <c r="E9" s="5431"/>
      <c r="F9" s="5439"/>
      <c r="G9" s="5446"/>
      <c r="H9" s="154"/>
      <c r="I9" s="158"/>
      <c r="J9" s="5444"/>
      <c r="K9" s="159"/>
      <c r="N9" s="5431"/>
      <c r="O9" s="5432"/>
    </row>
    <row r="10" spans="1:15" ht="19.5" customHeight="1">
      <c r="A10" s="5431"/>
      <c r="B10" s="5427" t="s">
        <v>1032</v>
      </c>
      <c r="C10" s="5428" t="s">
        <v>1024</v>
      </c>
      <c r="D10" s="154"/>
      <c r="E10" s="160" t="s">
        <v>1028</v>
      </c>
      <c r="F10" s="161" t="s">
        <v>66</v>
      </c>
      <c r="G10" s="5428" t="s">
        <v>1033</v>
      </c>
      <c r="H10" s="154"/>
      <c r="I10" s="5433"/>
      <c r="J10" s="5447"/>
      <c r="K10" s="5435"/>
      <c r="N10" s="5431"/>
      <c r="O10" s="5432"/>
    </row>
    <row r="11" spans="1:15" ht="19.5" customHeight="1">
      <c r="A11" s="5431"/>
      <c r="B11" s="5427" t="s">
        <v>593</v>
      </c>
      <c r="C11" s="5428" t="s">
        <v>1024</v>
      </c>
      <c r="D11" s="154"/>
      <c r="E11" s="5433"/>
      <c r="F11" s="5448"/>
      <c r="G11" s="5428"/>
      <c r="H11" s="154"/>
      <c r="I11" s="5436"/>
      <c r="J11" s="5426"/>
      <c r="K11" s="5438"/>
      <c r="N11" s="5425"/>
      <c r="O11" s="5432"/>
    </row>
    <row r="12" spans="1:15" ht="19.5" customHeight="1" thickBot="1">
      <c r="A12" s="5431"/>
      <c r="B12" s="5427" t="s">
        <v>223</v>
      </c>
      <c r="C12" s="5428" t="s">
        <v>1034</v>
      </c>
      <c r="D12" s="154"/>
      <c r="E12" s="5436"/>
      <c r="F12" s="592" t="s">
        <v>71</v>
      </c>
      <c r="G12" s="156" t="s">
        <v>1033</v>
      </c>
      <c r="H12" s="154"/>
      <c r="I12" s="162"/>
      <c r="J12" s="5449"/>
      <c r="K12" s="5450"/>
      <c r="N12" s="5431"/>
      <c r="O12" s="5427"/>
    </row>
    <row r="13" spans="1:15" ht="19.5" customHeight="1">
      <c r="A13" s="5431"/>
      <c r="B13" s="5427" t="s">
        <v>1035</v>
      </c>
      <c r="C13" s="5451">
        <v>43886</v>
      </c>
      <c r="D13" s="154"/>
      <c r="E13" s="5433"/>
      <c r="F13" s="5439" t="s">
        <v>116</v>
      </c>
      <c r="G13" s="5440" t="s">
        <v>1033</v>
      </c>
      <c r="H13" s="154"/>
      <c r="I13" s="400"/>
      <c r="J13" s="163"/>
      <c r="K13" s="5430"/>
      <c r="N13" s="5431"/>
      <c r="O13" s="5452"/>
    </row>
    <row r="14" spans="1:15" ht="19.5" customHeight="1" thickBot="1">
      <c r="A14" s="154"/>
      <c r="B14" s="5427"/>
      <c r="C14" s="154"/>
      <c r="D14" s="154"/>
      <c r="E14" s="5436"/>
      <c r="F14" s="164" t="s">
        <v>148</v>
      </c>
      <c r="G14" s="5443" t="s">
        <v>1033</v>
      </c>
      <c r="H14" s="154"/>
      <c r="I14" s="5433"/>
      <c r="J14" s="5426"/>
      <c r="K14" s="5435"/>
      <c r="N14" s="5425"/>
      <c r="O14" s="5427"/>
    </row>
    <row r="15" spans="1:15" ht="19.5" customHeight="1">
      <c r="A15" s="154"/>
      <c r="B15" s="154"/>
      <c r="C15" s="154"/>
      <c r="D15" s="154"/>
      <c r="E15" s="5431"/>
      <c r="F15" s="5439"/>
      <c r="G15" s="5446"/>
      <c r="H15" s="154"/>
      <c r="I15" s="5433"/>
      <c r="J15" s="157"/>
      <c r="K15" s="5435"/>
      <c r="N15" s="5425"/>
      <c r="O15" s="5426"/>
    </row>
    <row r="16" spans="1:15" ht="19.5" customHeight="1">
      <c r="A16" s="153" t="s">
        <v>1036</v>
      </c>
      <c r="B16" s="154"/>
      <c r="C16" s="154"/>
      <c r="D16" s="154"/>
      <c r="E16" s="5425"/>
      <c r="F16" s="5426"/>
      <c r="G16" s="5428"/>
      <c r="H16" s="154"/>
      <c r="I16" s="5433"/>
      <c r="J16" s="165"/>
      <c r="K16" s="5435"/>
      <c r="N16" s="5425"/>
      <c r="O16" s="5427"/>
    </row>
    <row r="17" spans="1:15" ht="19.5" customHeight="1" thickBot="1">
      <c r="A17" s="5423" t="s">
        <v>1016</v>
      </c>
      <c r="B17" s="5423" t="s">
        <v>1017</v>
      </c>
      <c r="C17" s="5423" t="s">
        <v>1018</v>
      </c>
      <c r="D17" s="154"/>
      <c r="E17" s="5425" t="s">
        <v>1026</v>
      </c>
      <c r="F17" s="5453" t="s">
        <v>77</v>
      </c>
      <c r="G17" s="5454"/>
      <c r="H17" s="154"/>
      <c r="I17" s="162"/>
      <c r="J17" s="470"/>
      <c r="K17" s="5450"/>
      <c r="N17" s="5425"/>
      <c r="O17" s="5432"/>
    </row>
    <row r="18" spans="1:15" ht="19.5" customHeight="1">
      <c r="A18" s="5425" t="s">
        <v>293</v>
      </c>
      <c r="B18" s="5427" t="s">
        <v>393</v>
      </c>
      <c r="C18" s="5428"/>
      <c r="D18" s="154"/>
      <c r="E18" s="5431"/>
      <c r="F18" s="5455" t="s">
        <v>358</v>
      </c>
      <c r="G18" s="5428"/>
      <c r="H18" s="154"/>
      <c r="I18" s="154"/>
      <c r="J18" s="154"/>
      <c r="N18" s="5425"/>
      <c r="O18" s="5432"/>
    </row>
    <row r="19" spans="1:15" ht="19.5" customHeight="1">
      <c r="A19" s="5431"/>
      <c r="B19" s="5427" t="s">
        <v>295</v>
      </c>
      <c r="C19" s="5428"/>
      <c r="D19" s="154"/>
      <c r="E19" s="5431"/>
      <c r="F19" s="5432" t="s">
        <v>79</v>
      </c>
      <c r="G19" s="5428"/>
      <c r="H19" s="154"/>
      <c r="I19" s="153"/>
      <c r="J19" s="154"/>
      <c r="N19" s="5431"/>
      <c r="O19" s="5439"/>
    </row>
    <row r="20" spans="1:15" ht="19.5" customHeight="1">
      <c r="A20" s="5431"/>
      <c r="B20" s="5427" t="s">
        <v>1037</v>
      </c>
      <c r="C20" s="5428"/>
      <c r="D20" s="154"/>
      <c r="E20" s="5425"/>
      <c r="F20" s="5439" t="s">
        <v>380</v>
      </c>
      <c r="G20" s="5428"/>
      <c r="H20" s="154"/>
      <c r="I20" s="153"/>
      <c r="J20" s="154"/>
      <c r="N20" s="5431"/>
      <c r="O20" s="5432"/>
    </row>
    <row r="21" spans="1:15" ht="19.5" customHeight="1">
      <c r="A21" s="5431"/>
      <c r="B21" s="5452" t="s">
        <v>297</v>
      </c>
      <c r="C21" s="5428"/>
      <c r="D21" s="154"/>
      <c r="E21" s="593"/>
      <c r="F21" s="5456" t="s">
        <v>130</v>
      </c>
      <c r="G21" s="5428"/>
      <c r="H21" s="154"/>
      <c r="I21" s="590" t="s">
        <v>1016</v>
      </c>
      <c r="J21" s="590" t="s">
        <v>1017</v>
      </c>
      <c r="K21" s="5424" t="s">
        <v>1018</v>
      </c>
      <c r="N21" s="5428"/>
      <c r="O21" s="5439"/>
    </row>
    <row r="22" spans="1:15" ht="19.5" customHeight="1">
      <c r="A22" s="5431"/>
      <c r="B22" s="5452" t="s">
        <v>298</v>
      </c>
      <c r="C22" s="5428"/>
      <c r="D22" s="154"/>
      <c r="E22" s="5425"/>
      <c r="F22" s="5427"/>
      <c r="G22" s="5428"/>
      <c r="H22" s="154"/>
      <c r="I22" s="5425" t="s">
        <v>1038</v>
      </c>
      <c r="J22" s="5426" t="s">
        <v>585</v>
      </c>
      <c r="K22" s="5457"/>
      <c r="N22" s="5427"/>
      <c r="O22" s="5432"/>
    </row>
    <row r="23" spans="1:15" ht="19.5" customHeight="1">
      <c r="A23" s="5431"/>
      <c r="B23" s="5452" t="s">
        <v>299</v>
      </c>
      <c r="C23" s="5428"/>
      <c r="D23" s="154"/>
      <c r="E23" s="160" t="s">
        <v>1023</v>
      </c>
      <c r="F23" s="5427" t="s">
        <v>83</v>
      </c>
      <c r="G23" s="5428" t="s">
        <v>1039</v>
      </c>
      <c r="H23" s="154"/>
      <c r="I23" s="5431"/>
      <c r="J23" s="5426" t="s">
        <v>293</v>
      </c>
      <c r="K23" s="5457"/>
      <c r="N23" s="5431"/>
      <c r="O23" s="5427"/>
    </row>
    <row r="24" spans="1:15" ht="19.5" customHeight="1">
      <c r="A24" s="5431"/>
      <c r="B24" s="5452" t="s">
        <v>1040</v>
      </c>
      <c r="C24" s="5428"/>
      <c r="D24" s="154"/>
      <c r="E24" s="5431"/>
      <c r="F24" s="5452" t="s">
        <v>1041</v>
      </c>
      <c r="G24" s="5428" t="s">
        <v>1039</v>
      </c>
      <c r="H24" s="154"/>
      <c r="I24" s="5431"/>
      <c r="J24" s="5426"/>
      <c r="K24" s="5457"/>
      <c r="N24" s="5431"/>
      <c r="O24" s="5458"/>
    </row>
    <row r="25" spans="1:15" ht="19.5" customHeight="1">
      <c r="A25" s="5431"/>
      <c r="B25" s="5452" t="s">
        <v>1042</v>
      </c>
      <c r="C25" s="5428"/>
      <c r="D25" s="154"/>
      <c r="E25" s="5425"/>
      <c r="F25" s="5427" t="s">
        <v>85</v>
      </c>
      <c r="G25" s="5428" t="s">
        <v>1039</v>
      </c>
      <c r="H25" s="154"/>
      <c r="I25" s="5431"/>
      <c r="J25" s="5447"/>
      <c r="K25" s="5457"/>
      <c r="N25" s="5431"/>
      <c r="O25" s="5427"/>
    </row>
    <row r="26" spans="1:15" ht="19.5" customHeight="1">
      <c r="A26" s="5431"/>
      <c r="B26" s="5452" t="s">
        <v>305</v>
      </c>
      <c r="C26" s="5428"/>
      <c r="D26" s="154"/>
      <c r="E26" s="5431"/>
      <c r="F26" s="5427" t="s">
        <v>111</v>
      </c>
      <c r="G26" s="5428"/>
      <c r="H26" s="154"/>
      <c r="I26" s="5431"/>
      <c r="J26" s="5426"/>
      <c r="K26" s="5457"/>
      <c r="N26" s="5431"/>
      <c r="O26" s="5427"/>
    </row>
    <row r="27" spans="1:15" ht="19.5" customHeight="1">
      <c r="A27" s="5431"/>
      <c r="B27" s="594" t="s">
        <v>302</v>
      </c>
      <c r="C27" s="5428"/>
      <c r="D27" s="154"/>
      <c r="E27" s="5431"/>
      <c r="F27" s="5452"/>
      <c r="G27" s="5428"/>
      <c r="H27" s="154"/>
      <c r="I27" s="5431"/>
      <c r="J27" s="5426"/>
      <c r="K27" s="5457"/>
      <c r="N27" s="5431"/>
      <c r="O27" s="5427"/>
    </row>
    <row r="28" spans="1:15" ht="19.5" customHeight="1" thickBot="1">
      <c r="A28" s="5431"/>
      <c r="B28" s="5459" t="s">
        <v>1043</v>
      </c>
      <c r="C28" s="5428"/>
      <c r="D28" s="154"/>
      <c r="E28" s="5460" t="s">
        <v>1021</v>
      </c>
      <c r="F28" s="5427" t="s">
        <v>113</v>
      </c>
      <c r="G28" s="5428"/>
      <c r="H28" s="154"/>
      <c r="I28" s="5431"/>
      <c r="J28" s="5426"/>
      <c r="K28" s="5457"/>
      <c r="N28" s="5457"/>
      <c r="O28" s="5427"/>
    </row>
    <row r="29" spans="1:15" ht="19.5" customHeight="1">
      <c r="A29" s="5431"/>
      <c r="B29" s="5439" t="s">
        <v>1044</v>
      </c>
      <c r="C29" s="5428"/>
      <c r="D29" s="154"/>
      <c r="E29" s="5425"/>
      <c r="F29" s="5432" t="s">
        <v>81</v>
      </c>
      <c r="G29" s="5428"/>
      <c r="H29" s="154"/>
      <c r="I29" s="5431"/>
      <c r="J29" s="5426"/>
      <c r="K29" s="5457"/>
      <c r="N29" s="5457"/>
      <c r="O29" s="5461"/>
    </row>
    <row r="30" spans="1:15" ht="19.5" customHeight="1">
      <c r="A30" s="5431"/>
      <c r="B30" s="595" t="s">
        <v>309</v>
      </c>
      <c r="C30" s="5428"/>
      <c r="D30" s="154"/>
      <c r="E30" s="5425"/>
      <c r="F30" s="5432" t="s">
        <v>82</v>
      </c>
      <c r="G30" s="5428"/>
      <c r="H30" s="154"/>
      <c r="I30" s="5431"/>
      <c r="J30" s="5426"/>
      <c r="K30" s="5457"/>
      <c r="N30" s="5425"/>
      <c r="O30" s="5457"/>
    </row>
    <row r="31" spans="1:15" ht="19.5" customHeight="1">
      <c r="A31" s="5431"/>
      <c r="B31" s="5439" t="s">
        <v>1045</v>
      </c>
      <c r="C31" s="5428"/>
      <c r="D31" s="154"/>
      <c r="E31" s="5425"/>
      <c r="F31" s="5462" t="s">
        <v>133</v>
      </c>
      <c r="G31" s="5428"/>
      <c r="H31" s="154"/>
      <c r="I31" s="5431"/>
      <c r="J31" s="5426"/>
      <c r="K31" s="5457"/>
      <c r="N31" s="5431"/>
      <c r="O31" s="5461"/>
    </row>
    <row r="32" spans="1:15" ht="19.5" customHeight="1">
      <c r="A32" s="5431"/>
      <c r="B32" s="5439" t="s">
        <v>306</v>
      </c>
      <c r="C32" s="5428"/>
      <c r="D32" s="154"/>
      <c r="E32" s="5425"/>
      <c r="F32" s="596"/>
      <c r="G32" s="5428"/>
      <c r="H32" s="154"/>
      <c r="I32" s="5431"/>
      <c r="J32" s="5463"/>
      <c r="K32" s="5457"/>
      <c r="N32" s="5431"/>
      <c r="O32" s="5427"/>
    </row>
    <row r="33" spans="1:15" ht="19.5" customHeight="1">
      <c r="A33" s="5425"/>
      <c r="B33" s="5439"/>
      <c r="C33" s="5440"/>
      <c r="D33" s="154"/>
      <c r="E33" s="5460" t="s">
        <v>1030</v>
      </c>
      <c r="F33" s="5439" t="s">
        <v>196</v>
      </c>
      <c r="G33" s="5428"/>
      <c r="H33" s="154"/>
      <c r="I33" s="5431"/>
      <c r="J33" s="5426"/>
      <c r="K33" s="5457"/>
      <c r="N33" s="5431"/>
      <c r="O33" s="5439"/>
    </row>
    <row r="34" spans="1:15" ht="19.5" customHeight="1">
      <c r="A34" s="597"/>
      <c r="B34" s="5464"/>
      <c r="C34" s="5443"/>
      <c r="D34" s="154"/>
      <c r="E34" s="5431"/>
      <c r="F34" s="5432" t="s">
        <v>1046</v>
      </c>
      <c r="G34" s="5428"/>
      <c r="H34" s="154"/>
      <c r="I34" s="5431"/>
      <c r="J34" s="5463"/>
      <c r="K34" s="5457"/>
      <c r="N34" s="5431"/>
      <c r="O34" s="5439"/>
    </row>
    <row r="35" spans="1:15" ht="19.5" customHeight="1">
      <c r="A35" s="153"/>
      <c r="B35" s="5426"/>
      <c r="C35" s="154"/>
      <c r="D35" s="154"/>
      <c r="E35" s="5428"/>
      <c r="F35" s="5439" t="s">
        <v>198</v>
      </c>
      <c r="G35" s="5428"/>
      <c r="H35" s="154"/>
      <c r="I35" s="5431"/>
      <c r="J35" s="5426"/>
      <c r="K35" s="5457"/>
      <c r="N35" s="5431"/>
      <c r="O35" s="5439"/>
    </row>
    <row r="36" spans="1:15" ht="19.5" customHeight="1">
      <c r="A36" s="5465"/>
      <c r="B36" s="166"/>
      <c r="C36" s="5465"/>
      <c r="D36" s="154"/>
      <c r="E36" s="5427"/>
      <c r="F36" s="5439" t="s">
        <v>200</v>
      </c>
      <c r="G36" s="5428"/>
      <c r="H36" s="154"/>
      <c r="I36" s="167"/>
      <c r="J36" s="154"/>
      <c r="N36" s="5457"/>
      <c r="O36" s="5439"/>
    </row>
    <row r="37" spans="1:15" ht="19.5" customHeight="1">
      <c r="A37" s="5425"/>
      <c r="B37" s="5426"/>
      <c r="C37" s="5428"/>
      <c r="D37" s="154"/>
      <c r="E37" s="5431"/>
      <c r="F37" s="5466" t="s">
        <v>132</v>
      </c>
      <c r="G37" s="5428"/>
      <c r="H37" s="154"/>
      <c r="I37" s="5467"/>
      <c r="J37" s="5468"/>
      <c r="K37" s="5457"/>
      <c r="N37" s="5457"/>
      <c r="O37" s="5427"/>
    </row>
    <row r="38" spans="1:15" ht="19.5" customHeight="1">
      <c r="A38" s="5431"/>
      <c r="B38" s="5426"/>
      <c r="C38" s="5428"/>
      <c r="D38" s="154"/>
      <c r="E38" s="5431"/>
      <c r="F38" s="5427" t="s">
        <v>183</v>
      </c>
      <c r="G38" s="5428"/>
      <c r="H38" s="154"/>
      <c r="I38" s="5469"/>
      <c r="J38" s="5470"/>
      <c r="K38" s="5457"/>
    </row>
    <row r="39" spans="1:15" ht="19.5" customHeight="1">
      <c r="A39" s="5431"/>
      <c r="B39" s="5426"/>
      <c r="C39" s="5428"/>
      <c r="D39" s="154"/>
      <c r="E39" s="5431"/>
      <c r="F39" s="5427"/>
      <c r="G39" s="5428"/>
      <c r="H39" s="154"/>
      <c r="I39" s="5469"/>
      <c r="J39" s="5470"/>
      <c r="K39" s="5457"/>
    </row>
    <row r="40" spans="1:15" ht="19.5" customHeight="1">
      <c r="A40" s="5431"/>
      <c r="B40" s="5431"/>
      <c r="C40" s="5428"/>
      <c r="D40" s="154"/>
      <c r="E40" s="5427" t="s">
        <v>1047</v>
      </c>
      <c r="F40" s="5427" t="s">
        <v>1048</v>
      </c>
      <c r="G40" s="5428" t="s">
        <v>1049</v>
      </c>
      <c r="H40" s="154"/>
      <c r="I40" s="5469"/>
      <c r="J40" s="5463"/>
      <c r="K40" s="5457"/>
    </row>
    <row r="41" spans="1:15" ht="19.5" customHeight="1">
      <c r="A41" s="153"/>
      <c r="B41" s="154"/>
      <c r="C41" s="154"/>
      <c r="D41" s="154"/>
      <c r="E41" s="5431"/>
      <c r="F41" s="5427" t="s">
        <v>177</v>
      </c>
      <c r="G41" s="5428" t="s">
        <v>1049</v>
      </c>
      <c r="H41" s="154"/>
      <c r="I41" s="5469"/>
      <c r="J41" s="5426"/>
      <c r="K41" s="5457"/>
    </row>
    <row r="42" spans="1:15" ht="19.5" customHeight="1">
      <c r="A42" s="113"/>
      <c r="B42" s="113"/>
      <c r="C42" s="113"/>
      <c r="E42" s="5457"/>
      <c r="F42" s="5458" t="s">
        <v>106</v>
      </c>
      <c r="G42" s="5428" t="s">
        <v>1049</v>
      </c>
      <c r="I42" s="5471"/>
      <c r="J42" s="5472"/>
      <c r="K42" s="5457"/>
    </row>
    <row r="43" spans="1:15" ht="19.5" customHeight="1">
      <c r="A43" s="153"/>
      <c r="B43" s="168"/>
      <c r="E43" s="5457"/>
      <c r="F43" s="5432" t="s">
        <v>1050</v>
      </c>
      <c r="G43" s="5428"/>
      <c r="I43" s="5457"/>
      <c r="J43" s="5426"/>
      <c r="K43" s="5457"/>
    </row>
    <row r="44" spans="1:15" ht="19.5" customHeight="1">
      <c r="B44" s="168"/>
      <c r="E44" s="5425"/>
      <c r="F44" s="5427" t="s">
        <v>1051</v>
      </c>
      <c r="G44" s="5428" t="s">
        <v>1049</v>
      </c>
      <c r="I44" s="5457"/>
      <c r="J44" s="5426"/>
      <c r="K44" s="5457"/>
    </row>
    <row r="45" spans="1:15" ht="19.5" customHeight="1">
      <c r="B45" s="168"/>
      <c r="E45" s="5457"/>
      <c r="F45" s="5427"/>
      <c r="G45" s="5428"/>
      <c r="I45" s="5457"/>
      <c r="J45" s="5463"/>
      <c r="K45" s="5457"/>
    </row>
    <row r="46" spans="1:15" ht="19.5" customHeight="1">
      <c r="B46" s="168"/>
      <c r="E46" s="5431"/>
      <c r="F46" s="5458"/>
      <c r="G46" s="5428"/>
      <c r="I46" s="5457"/>
      <c r="J46" s="5426"/>
      <c r="K46" s="5457"/>
    </row>
    <row r="47" spans="1:15" ht="19.5" customHeight="1">
      <c r="A47" s="153" t="s">
        <v>1052</v>
      </c>
      <c r="B47" s="154"/>
      <c r="C47" s="154"/>
      <c r="E47" s="5431"/>
      <c r="F47" s="5432"/>
      <c r="G47" s="5428"/>
    </row>
    <row r="48" spans="1:15" ht="19.5" customHeight="1">
      <c r="A48" s="5423" t="s">
        <v>1016</v>
      </c>
      <c r="B48" s="5423" t="s">
        <v>1017</v>
      </c>
      <c r="C48" s="5423" t="s">
        <v>1018</v>
      </c>
      <c r="E48" s="5431"/>
      <c r="F48" s="5473"/>
      <c r="G48" s="5428"/>
    </row>
    <row r="49" spans="1:7" ht="19.5" customHeight="1">
      <c r="A49" s="5425" t="s">
        <v>585</v>
      </c>
      <c r="B49" s="5427" t="s">
        <v>1053</v>
      </c>
      <c r="C49" s="5428" t="s">
        <v>1034</v>
      </c>
      <c r="E49" s="5431"/>
      <c r="F49" s="5473"/>
      <c r="G49" s="5428"/>
    </row>
    <row r="50" spans="1:7" ht="19.5" customHeight="1">
      <c r="A50" s="5431"/>
      <c r="B50" s="5427" t="s">
        <v>1054</v>
      </c>
      <c r="C50" s="5428"/>
      <c r="E50" s="5457"/>
      <c r="F50" s="5452"/>
      <c r="G50" s="5474"/>
    </row>
    <row r="51" spans="1:7" ht="19.5" customHeight="1">
      <c r="A51" s="5431"/>
      <c r="B51" s="5475" t="s">
        <v>228</v>
      </c>
      <c r="C51" s="5428"/>
      <c r="E51" s="5457"/>
      <c r="F51" s="5452"/>
      <c r="G51" s="5474"/>
    </row>
    <row r="52" spans="1:7" ht="19.5" customHeight="1">
      <c r="A52" s="5431"/>
      <c r="B52" s="5476" t="s">
        <v>227</v>
      </c>
      <c r="C52" s="5428"/>
      <c r="E52" s="5457"/>
      <c r="F52" s="5427"/>
      <c r="G52" s="5474"/>
    </row>
    <row r="53" spans="1:7" ht="19.5" customHeight="1">
      <c r="B53" s="168"/>
      <c r="F53" s="169"/>
      <c r="G53" s="152"/>
    </row>
    <row r="54" spans="1:7" ht="19.5" customHeight="1">
      <c r="B54" s="168"/>
      <c r="G54" s="152"/>
    </row>
    <row r="55" spans="1:7" ht="19.5" customHeight="1">
      <c r="B55" s="168"/>
      <c r="G55" s="152"/>
    </row>
    <row r="56" spans="1:7" ht="19.5" customHeight="1">
      <c r="B56" s="168"/>
      <c r="G56" s="152"/>
    </row>
    <row r="57" spans="1:7" ht="19.5" customHeight="1">
      <c r="G57" s="152"/>
    </row>
    <row r="58" spans="1:7" ht="19.5" customHeight="1">
      <c r="A58" s="5425" t="s">
        <v>1055</v>
      </c>
      <c r="B58" s="5477"/>
      <c r="G58" s="152"/>
    </row>
    <row r="59" spans="1:7" ht="19.5" customHeight="1">
      <c r="A59" s="5425" t="s">
        <v>1035</v>
      </c>
      <c r="B59" s="5477"/>
      <c r="G59" s="152"/>
    </row>
    <row r="60" spans="1:7" ht="19.5" customHeight="1">
      <c r="A60" s="5457"/>
      <c r="B60" s="5478" t="s">
        <v>262</v>
      </c>
      <c r="G60" s="152"/>
    </row>
    <row r="61" spans="1:7" ht="19.5" customHeight="1">
      <c r="A61" s="5457"/>
      <c r="B61" s="5478" t="s">
        <v>263</v>
      </c>
      <c r="G61" s="152"/>
    </row>
    <row r="62" spans="1:7" ht="19.5" customHeight="1">
      <c r="A62" s="5457"/>
      <c r="B62" s="5478" t="s">
        <v>266</v>
      </c>
      <c r="G62" s="152"/>
    </row>
    <row r="63" spans="1:7" ht="19.5" customHeight="1">
      <c r="A63" s="5457"/>
      <c r="B63" s="5478" t="s">
        <v>275</v>
      </c>
      <c r="G63" s="152"/>
    </row>
    <row r="64" spans="1:7" ht="19.5" customHeight="1">
      <c r="A64" s="5457"/>
      <c r="B64" s="5478" t="s">
        <v>269</v>
      </c>
      <c r="G64" s="152"/>
    </row>
    <row r="65" spans="1:7" ht="19.5" customHeight="1">
      <c r="A65" s="5457"/>
      <c r="B65" s="5478" t="s">
        <v>274</v>
      </c>
      <c r="G65" s="152"/>
    </row>
    <row r="66" spans="1:7" ht="19.5" customHeight="1">
      <c r="A66" s="5457"/>
      <c r="B66" s="5478" t="s">
        <v>276</v>
      </c>
      <c r="G66" s="152"/>
    </row>
    <row r="67" spans="1:7" ht="19.5" customHeight="1">
      <c r="A67" s="5457"/>
      <c r="B67" s="5439" t="s">
        <v>1056</v>
      </c>
      <c r="G67" s="152"/>
    </row>
    <row r="68" spans="1:7" ht="19.5" customHeight="1">
      <c r="A68" s="5457"/>
      <c r="B68" s="5445" t="s">
        <v>273</v>
      </c>
      <c r="G68" s="152"/>
    </row>
    <row r="69" spans="1:7" ht="19.5" customHeight="1" thickBot="1">
      <c r="A69" s="5457"/>
      <c r="B69" s="5479" t="s">
        <v>277</v>
      </c>
      <c r="G69" s="152"/>
    </row>
    <row r="70" spans="1:7" ht="19.5" customHeight="1">
      <c r="A70" s="5457"/>
      <c r="B70" s="5478" t="s">
        <v>278</v>
      </c>
      <c r="G70" s="152"/>
    </row>
    <row r="71" spans="1:7" ht="19.5" customHeight="1">
      <c r="A71" s="5457"/>
      <c r="B71" s="5478" t="s">
        <v>1057</v>
      </c>
      <c r="G71" s="152"/>
    </row>
    <row r="72" spans="1:7" ht="19.5" customHeight="1">
      <c r="A72" s="5457"/>
      <c r="B72" s="294" t="s">
        <v>279</v>
      </c>
      <c r="G72" s="152"/>
    </row>
    <row r="73" spans="1:7" ht="19.5" customHeight="1">
      <c r="A73" s="5457"/>
      <c r="B73" s="5476" t="s">
        <v>441</v>
      </c>
      <c r="G73" s="152"/>
    </row>
    <row r="74" spans="1:7" ht="19.5" customHeight="1">
      <c r="A74" s="5457"/>
      <c r="B74" s="5480" t="s">
        <v>267</v>
      </c>
      <c r="G74" s="152"/>
    </row>
    <row r="75" spans="1:7" ht="19.5" customHeight="1">
      <c r="A75" s="153" t="s">
        <v>202</v>
      </c>
      <c r="B75" s="153"/>
      <c r="G75" s="152"/>
    </row>
    <row r="76" spans="1:7" ht="19.5" customHeight="1">
      <c r="A76" s="5431"/>
      <c r="B76" s="5478" t="s">
        <v>1058</v>
      </c>
      <c r="G76" s="152"/>
    </row>
    <row r="77" spans="1:7" ht="19.5" customHeight="1">
      <c r="A77" s="5431"/>
      <c r="B77" s="5478" t="s">
        <v>1059</v>
      </c>
      <c r="G77" s="152"/>
    </row>
    <row r="78" spans="1:7" ht="19.5" customHeight="1">
      <c r="A78" s="5431"/>
      <c r="B78" s="5478" t="s">
        <v>1060</v>
      </c>
      <c r="G78" s="152"/>
    </row>
    <row r="79" spans="1:7" ht="19.5" customHeight="1">
      <c r="A79" s="5431"/>
      <c r="B79" s="5478" t="s">
        <v>1061</v>
      </c>
      <c r="G79" s="152"/>
    </row>
    <row r="80" spans="1:7" ht="19.5" customHeight="1">
      <c r="A80" s="5431"/>
      <c r="B80" s="5432" t="s">
        <v>366</v>
      </c>
      <c r="G80" s="152"/>
    </row>
    <row r="81" spans="1:7" ht="19.5" customHeight="1">
      <c r="A81" s="5457"/>
      <c r="B81" s="5432" t="s">
        <v>365</v>
      </c>
      <c r="G81" s="152"/>
    </row>
    <row r="82" spans="1:7" ht="19.5" customHeight="1">
      <c r="G82" s="152"/>
    </row>
  </sheetData>
  <sheetProtection algorithmName="SHA-512" hashValue="N8D/RvXgIN3Tz8fJnClBnUlAAIuERyJXCnsdTx2Wh2Th1myjuu0/zJ6X6/Qw9zRW2WT6bs7EdnJBNMIgZljVVQ==" saltValue="dl4ZKS++ZodDTxgGNgQ5LA==" spinCount="100000" sheet="1" objects="1" scenarios="1"/>
  <protectedRanges>
    <protectedRange sqref="O19:O20 F33:F34" name="Område1_3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O22 F47 F43" name="Område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73" name="Område1_1_1_1_1_2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</protectedRange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24556FA7B362AE4B8446F9CC073D5A4F" ma:contentTypeVersion="19" ma:contentTypeDescription="Opret et nyt dokument." ma:contentTypeScope="" ma:versionID="bbcd5a35b0330a42ea26dd1e1437c263">
  <xsd:schema xmlns:xsd="http://www.w3.org/2001/XMLSchema" xmlns:xs="http://www.w3.org/2001/XMLSchema" xmlns:p="http://schemas.microsoft.com/office/2006/metadata/properties" xmlns:ns2="0f03729d-1f1c-4b43-bedd-870f9fd028b5" xmlns:ns3="45c24c4d-4de2-4a11-996b-ad1b02b5a53f" targetNamespace="http://schemas.microsoft.com/office/2006/metadata/properties" ma:root="true" ma:fieldsID="b97bdc496595f6d1b5a990c7b75931b2" ns2:_="" ns3:_="">
    <xsd:import namespace="0f03729d-1f1c-4b43-bedd-870f9fd028b5"/>
    <xsd:import namespace="45c24c4d-4de2-4a11-996b-ad1b02b5a53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dato"/>
                <xsd:element ref="ns2:Note" minOccurs="0"/>
                <xsd:element ref="ns2:MediaLengthInSeconds" minOccurs="0"/>
                <xsd:element ref="ns2:lcf76f155ced4ddcb4097134ff3c332f" minOccurs="0"/>
                <xsd:element ref="ns2:eDoc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03729d-1f1c-4b43-bedd-870f9fd028b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internalName="MediaServiceLocation" ma:readOnly="true">
      <xsd:simpleType>
        <xsd:restriction base="dms:Text"/>
      </xsd:simpleType>
    </xsd:element>
    <xsd:element name="MediaServiceOCR" ma:index="13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dato" ma:index="20" ma:displayName="dato" ma:format="DateTime" ma:internalName="dato">
      <xsd:simpleType>
        <xsd:restriction base="dms:DateTime"/>
      </xsd:simpleType>
    </xsd:element>
    <xsd:element name="Note" ma:index="21" nillable="true" ma:displayName="Note" ma:description="Ekstra noter" ma:format="Dropdown" ma:internalName="Note">
      <xsd:simpleType>
        <xsd:restriction base="dms:Note">
          <xsd:maxLength value="255"/>
        </xsd:restriction>
      </xsd:simpleType>
    </xsd:element>
    <xsd:element name="MediaLengthInSeconds" ma:index="22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4" nillable="true" ma:taxonomy="true" ma:internalName="lcf76f155ced4ddcb4097134ff3c332f" ma:taxonomyFieldName="MediaServiceImageTags" ma:displayName="Billedmærker" ma:readOnly="false" ma:fieldId="{5cf76f15-5ced-4ddc-b409-7134ff3c332f}" ma:taxonomyMulti="true" ma:sspId="e6a412d2-aea5-45d9-add9-4615ec18655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eDoc" ma:index="25" nillable="true" ma:displayName="eDoc" ma:internalName="eDoc">
      <xsd:simpleType>
        <xsd:restriction base="dms:Text"/>
      </xsd:simpleType>
    </xsd:element>
    <xsd:element name="MediaServiceObjectDetectorVersions" ma:index="26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5c24c4d-4de2-4a11-996b-ad1b02b5a53f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Delt med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Delt med detaljer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dhol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ato xmlns="0f03729d-1f1c-4b43-bedd-870f9fd028b5"/>
    <Note xmlns="0f03729d-1f1c-4b43-bedd-870f9fd028b5" xsi:nil="true"/>
    <lcf76f155ced4ddcb4097134ff3c332f xmlns="0f03729d-1f1c-4b43-bedd-870f9fd028b5">
      <Terms xmlns="http://schemas.microsoft.com/office/infopath/2007/PartnerControls"/>
    </lcf76f155ced4ddcb4097134ff3c332f>
    <eDoc xmlns="0f03729d-1f1c-4b43-bedd-870f9fd028b5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49BBBCB-4F90-4BB0-B42C-E538FF0721F4}"/>
</file>

<file path=customXml/itemProps2.xml><?xml version="1.0" encoding="utf-8"?>
<ds:datastoreItem xmlns:ds="http://schemas.openxmlformats.org/officeDocument/2006/customXml" ds:itemID="{127E2EFC-2625-4841-8F28-D51D42C9AB4A}"/>
</file>

<file path=customXml/itemProps3.xml><?xml version="1.0" encoding="utf-8"?>
<ds:datastoreItem xmlns:ds="http://schemas.openxmlformats.org/officeDocument/2006/customXml" ds:itemID="{0390384F-DE2C-4761-BC99-5FAB586CFE4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Kim BT. Pedersen</dc:creator>
  <cp:keywords/>
  <dc:description/>
  <cp:lastModifiedBy>Anders Villadsen</cp:lastModifiedBy>
  <cp:revision/>
  <dcterms:created xsi:type="dcterms:W3CDTF">2019-12-03T00:39:09Z</dcterms:created>
  <dcterms:modified xsi:type="dcterms:W3CDTF">2022-07-26T09:04:35Z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0x01010024556FA7B362AE4B8446F9CC073D5A4F</vt:lpwstr>
  </property>
</Properties>
</file>